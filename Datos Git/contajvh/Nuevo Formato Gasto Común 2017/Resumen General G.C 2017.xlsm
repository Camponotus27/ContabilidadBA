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\\ASISTENTE\compartida\Compartida\Compartida\Nuevo Formato Gasto Común 2017\"/>
    </mc:Choice>
  </mc:AlternateContent>
  <xr:revisionPtr revIDLastSave="0" documentId="13_ncr:1_{0ACCE043-7F92-4AA6-82C3-0412EB570C2A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Resumen" sheetId="1" r:id="rId1"/>
    <sheet name="Morosos" sheetId="9" r:id="rId2"/>
    <sheet name="inicio" sheetId="7" r:id="rId3"/>
    <sheet name="Bosques" sheetId="2" r:id="rId4"/>
    <sheet name="Quillayes" sheetId="3" r:id="rId5"/>
    <sheet name="Boldos" sheetId="4" r:id="rId6"/>
    <sheet name="Peumos I" sheetId="5" r:id="rId7"/>
    <sheet name="Peumos II" sheetId="6" r:id="rId8"/>
    <sheet name="final" sheetId="8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D39" i="1"/>
  <c r="E39" i="1"/>
  <c r="F39" i="1"/>
  <c r="G39" i="1"/>
  <c r="H39" i="1"/>
  <c r="I39" i="1"/>
  <c r="J39" i="1"/>
  <c r="K39" i="1"/>
  <c r="L39" i="1"/>
  <c r="M39" i="1"/>
  <c r="N39" i="1"/>
  <c r="O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C200" i="2" l="1"/>
  <c r="D38" i="1" l="1"/>
  <c r="F38" i="1"/>
  <c r="H38" i="1"/>
  <c r="J38" i="1"/>
  <c r="L38" i="1"/>
  <c r="N38" i="1"/>
  <c r="C38" i="1"/>
  <c r="E38" i="1"/>
  <c r="G38" i="1"/>
  <c r="I38" i="1"/>
  <c r="K38" i="1"/>
  <c r="M38" i="1"/>
  <c r="O38" i="1"/>
  <c r="C104" i="1" l="1"/>
  <c r="C105" i="1"/>
  <c r="C106" i="1"/>
  <c r="C107" i="1"/>
  <c r="C108" i="1"/>
  <c r="C109" i="1"/>
  <c r="C110" i="1"/>
  <c r="C111" i="1"/>
  <c r="C112" i="1"/>
  <c r="D104" i="1"/>
  <c r="D105" i="1"/>
  <c r="D106" i="1"/>
  <c r="D107" i="1"/>
  <c r="D108" i="1"/>
  <c r="D109" i="1"/>
  <c r="D110" i="1"/>
  <c r="D111" i="1"/>
  <c r="D112" i="1"/>
  <c r="D102" i="1"/>
  <c r="C103" i="1"/>
  <c r="D103" i="1" l="1"/>
  <c r="C102" i="1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C197" i="6"/>
  <c r="D197" i="6"/>
  <c r="E197" i="6"/>
  <c r="F197" i="6"/>
  <c r="G197" i="6"/>
  <c r="H197" i="6"/>
  <c r="I197" i="6"/>
  <c r="J197" i="6"/>
  <c r="K197" i="6"/>
  <c r="L197" i="6"/>
  <c r="M197" i="6"/>
  <c r="N197" i="6"/>
  <c r="O197" i="6"/>
  <c r="C198" i="6"/>
  <c r="D198" i="6"/>
  <c r="E198" i="6"/>
  <c r="F198" i="6"/>
  <c r="G198" i="6"/>
  <c r="H198" i="6"/>
  <c r="I198" i="6"/>
  <c r="J198" i="6"/>
  <c r="K198" i="6"/>
  <c r="L198" i="6"/>
  <c r="M198" i="6"/>
  <c r="N198" i="6"/>
  <c r="O198" i="6"/>
  <c r="C199" i="6"/>
  <c r="D199" i="6"/>
  <c r="E199" i="6"/>
  <c r="F199" i="6"/>
  <c r="G199" i="6"/>
  <c r="H199" i="6"/>
  <c r="I199" i="6"/>
  <c r="J199" i="6"/>
  <c r="K199" i="6"/>
  <c r="L199" i="6"/>
  <c r="M199" i="6"/>
  <c r="N199" i="6"/>
  <c r="O199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D200" i="2" l="1"/>
  <c r="E200" i="2"/>
  <c r="F200" i="2"/>
  <c r="G200" i="2"/>
  <c r="H200" i="2"/>
  <c r="I200" i="2"/>
  <c r="J200" i="2"/>
  <c r="K200" i="2"/>
  <c r="L200" i="2"/>
  <c r="M200" i="2"/>
  <c r="N200" i="2"/>
  <c r="O200" i="2"/>
  <c r="L37" i="1" l="1"/>
  <c r="H37" i="1"/>
  <c r="O37" i="1"/>
  <c r="K37" i="1"/>
  <c r="G37" i="1"/>
  <c r="C37" i="1"/>
  <c r="D37" i="1"/>
  <c r="N37" i="1"/>
  <c r="D101" i="1" s="1"/>
  <c r="J37" i="1"/>
  <c r="F37" i="1"/>
  <c r="M37" i="1"/>
  <c r="C101" i="1" s="1"/>
  <c r="I37" i="1"/>
  <c r="E37" i="1"/>
  <c r="L36" i="1" l="1"/>
  <c r="H36" i="1"/>
  <c r="D36" i="1"/>
  <c r="N36" i="1"/>
  <c r="J36" i="1"/>
  <c r="F36" i="1"/>
  <c r="O36" i="1"/>
  <c r="M36" i="1"/>
  <c r="K36" i="1"/>
  <c r="I36" i="1"/>
  <c r="G36" i="1"/>
  <c r="E36" i="1"/>
  <c r="C36" i="1"/>
  <c r="L35" i="1" l="1"/>
  <c r="H35" i="1"/>
  <c r="D35" i="1"/>
  <c r="N35" i="1"/>
  <c r="J35" i="1"/>
  <c r="F35" i="1"/>
  <c r="M35" i="1"/>
  <c r="I35" i="1"/>
  <c r="E35" i="1"/>
  <c r="O35" i="1"/>
  <c r="K35" i="1"/>
  <c r="G35" i="1"/>
  <c r="C35" i="1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L34" i="1" l="1"/>
  <c r="H34" i="1"/>
  <c r="I33" i="1"/>
  <c r="J32" i="1"/>
  <c r="O31" i="1"/>
  <c r="K31" i="1"/>
  <c r="G31" i="1"/>
  <c r="L30" i="1"/>
  <c r="H30" i="1"/>
  <c r="I29" i="1"/>
  <c r="J28" i="1"/>
  <c r="O27" i="1"/>
  <c r="K27" i="1"/>
  <c r="G27" i="1"/>
  <c r="L26" i="1"/>
  <c r="H26" i="1"/>
  <c r="M34" i="1"/>
  <c r="I34" i="1"/>
  <c r="E34" i="1"/>
  <c r="N33" i="1"/>
  <c r="J33" i="1"/>
  <c r="F33" i="1"/>
  <c r="O32" i="1"/>
  <c r="K32" i="1"/>
  <c r="G32" i="1"/>
  <c r="C32" i="1"/>
  <c r="L31" i="1"/>
  <c r="H31" i="1"/>
  <c r="D31" i="1"/>
  <c r="M30" i="1"/>
  <c r="I30" i="1"/>
  <c r="E30" i="1"/>
  <c r="N29" i="1"/>
  <c r="J29" i="1"/>
  <c r="F29" i="1"/>
  <c r="O28" i="1"/>
  <c r="K28" i="1"/>
  <c r="G28" i="1"/>
  <c r="C28" i="1"/>
  <c r="L27" i="1"/>
  <c r="H27" i="1"/>
  <c r="D27" i="1"/>
  <c r="M26" i="1"/>
  <c r="I26" i="1"/>
  <c r="E26" i="1"/>
  <c r="O34" i="1"/>
  <c r="K34" i="1"/>
  <c r="G34" i="1"/>
  <c r="C34" i="1"/>
  <c r="D33" i="1"/>
  <c r="I32" i="1"/>
  <c r="E32" i="1"/>
  <c r="J31" i="1"/>
  <c r="F31" i="1"/>
  <c r="O30" i="1"/>
  <c r="K30" i="1"/>
  <c r="G30" i="1"/>
  <c r="C30" i="1"/>
  <c r="D29" i="1"/>
  <c r="I28" i="1"/>
  <c r="E28" i="1"/>
  <c r="J27" i="1"/>
  <c r="F27" i="1"/>
  <c r="O26" i="1"/>
  <c r="K26" i="1"/>
  <c r="G26" i="1"/>
  <c r="C26" i="1"/>
  <c r="L29" i="1"/>
  <c r="O33" i="1"/>
  <c r="I31" i="1"/>
  <c r="M32" i="1"/>
  <c r="H29" i="1"/>
  <c r="D32" i="1"/>
  <c r="M31" i="1"/>
  <c r="E31" i="1"/>
  <c r="C29" i="1"/>
  <c r="N34" i="1"/>
  <c r="J34" i="1"/>
  <c r="F34" i="1"/>
  <c r="K33" i="1"/>
  <c r="G33" i="1"/>
  <c r="C33" i="1"/>
  <c r="L32" i="1"/>
  <c r="H32" i="1"/>
  <c r="N30" i="1"/>
  <c r="J30" i="1"/>
  <c r="F30" i="1"/>
  <c r="O29" i="1"/>
  <c r="K29" i="1"/>
  <c r="G29" i="1"/>
  <c r="L28" i="1"/>
  <c r="H28" i="1"/>
  <c r="D28" i="1"/>
  <c r="M27" i="1"/>
  <c r="I27" i="1"/>
  <c r="E27" i="1"/>
  <c r="N26" i="1"/>
  <c r="J26" i="1"/>
  <c r="F26" i="1"/>
  <c r="L33" i="1"/>
  <c r="H33" i="1"/>
  <c r="N31" i="1"/>
  <c r="M28" i="1"/>
  <c r="N27" i="1"/>
  <c r="D34" i="1"/>
  <c r="M33" i="1"/>
  <c r="E33" i="1"/>
  <c r="N32" i="1"/>
  <c r="F32" i="1"/>
  <c r="C31" i="1"/>
  <c r="D30" i="1"/>
  <c r="M29" i="1"/>
  <c r="E29" i="1"/>
  <c r="N28" i="1"/>
  <c r="F28" i="1"/>
  <c r="C27" i="1"/>
  <c r="D26" i="1"/>
  <c r="C177" i="3"/>
  <c r="C14" i="1" s="1"/>
  <c r="D177" i="3"/>
  <c r="D14" i="1" s="1"/>
  <c r="E177" i="3"/>
  <c r="E14" i="1" s="1"/>
  <c r="F177" i="3"/>
  <c r="F14" i="1" s="1"/>
  <c r="G177" i="3"/>
  <c r="G14" i="1" s="1"/>
  <c r="H177" i="3"/>
  <c r="H14" i="1" s="1"/>
  <c r="I177" i="3"/>
  <c r="I14" i="1" s="1"/>
  <c r="J177" i="3"/>
  <c r="J14" i="1" s="1"/>
  <c r="K177" i="3"/>
  <c r="K14" i="1" s="1"/>
  <c r="L177" i="3"/>
  <c r="L14" i="1" s="1"/>
  <c r="M177" i="3"/>
  <c r="M14" i="1" s="1"/>
  <c r="N177" i="3"/>
  <c r="N14" i="1" s="1"/>
  <c r="O177" i="3"/>
  <c r="O14" i="1" s="1"/>
  <c r="C178" i="3"/>
  <c r="C15" i="1" s="1"/>
  <c r="D178" i="3"/>
  <c r="D15" i="1" s="1"/>
  <c r="E178" i="3"/>
  <c r="E15" i="1" s="1"/>
  <c r="F178" i="3"/>
  <c r="F15" i="1" s="1"/>
  <c r="G178" i="3"/>
  <c r="G15" i="1" s="1"/>
  <c r="H178" i="3"/>
  <c r="H15" i="1" s="1"/>
  <c r="I178" i="3"/>
  <c r="I15" i="1" s="1"/>
  <c r="J178" i="3"/>
  <c r="J15" i="1" s="1"/>
  <c r="K178" i="3"/>
  <c r="K15" i="1" s="1"/>
  <c r="L178" i="3"/>
  <c r="L15" i="1" s="1"/>
  <c r="M178" i="3"/>
  <c r="M15" i="1" s="1"/>
  <c r="N178" i="3"/>
  <c r="N15" i="1" s="1"/>
  <c r="O178" i="3"/>
  <c r="O15" i="1" s="1"/>
  <c r="C179" i="3"/>
  <c r="C16" i="1" s="1"/>
  <c r="D179" i="3"/>
  <c r="D16" i="1" s="1"/>
  <c r="E179" i="3"/>
  <c r="E16" i="1" s="1"/>
  <c r="F179" i="3"/>
  <c r="F16" i="1" s="1"/>
  <c r="G179" i="3"/>
  <c r="G16" i="1" s="1"/>
  <c r="H179" i="3"/>
  <c r="H16" i="1" s="1"/>
  <c r="I179" i="3"/>
  <c r="I16" i="1" s="1"/>
  <c r="J179" i="3"/>
  <c r="J16" i="1" s="1"/>
  <c r="K179" i="3"/>
  <c r="K16" i="1" s="1"/>
  <c r="L179" i="3"/>
  <c r="L16" i="1" s="1"/>
  <c r="M179" i="3"/>
  <c r="M16" i="1" s="1"/>
  <c r="N179" i="3"/>
  <c r="N16" i="1" s="1"/>
  <c r="O179" i="3"/>
  <c r="O16" i="1" s="1"/>
  <c r="C180" i="3"/>
  <c r="C17" i="1" s="1"/>
  <c r="D180" i="3"/>
  <c r="D17" i="1" s="1"/>
  <c r="E180" i="3"/>
  <c r="E17" i="1" s="1"/>
  <c r="F180" i="3"/>
  <c r="F17" i="1" s="1"/>
  <c r="G180" i="3"/>
  <c r="G17" i="1" s="1"/>
  <c r="H180" i="3"/>
  <c r="H17" i="1" s="1"/>
  <c r="I180" i="3"/>
  <c r="I17" i="1" s="1"/>
  <c r="J180" i="3"/>
  <c r="J17" i="1" s="1"/>
  <c r="K180" i="3"/>
  <c r="K17" i="1" s="1"/>
  <c r="L180" i="3"/>
  <c r="L17" i="1" s="1"/>
  <c r="M180" i="3"/>
  <c r="M17" i="1" s="1"/>
  <c r="N180" i="3"/>
  <c r="N17" i="1" s="1"/>
  <c r="O180" i="3"/>
  <c r="O17" i="1" s="1"/>
  <c r="C181" i="3"/>
  <c r="C18" i="1" s="1"/>
  <c r="D181" i="3"/>
  <c r="D18" i="1" s="1"/>
  <c r="E181" i="3"/>
  <c r="E18" i="1" s="1"/>
  <c r="F181" i="3"/>
  <c r="F18" i="1" s="1"/>
  <c r="G181" i="3"/>
  <c r="G18" i="1" s="1"/>
  <c r="H181" i="3"/>
  <c r="H18" i="1" s="1"/>
  <c r="I181" i="3"/>
  <c r="I18" i="1" s="1"/>
  <c r="J181" i="3"/>
  <c r="J18" i="1" s="1"/>
  <c r="K181" i="3"/>
  <c r="K18" i="1" s="1"/>
  <c r="L181" i="3"/>
  <c r="L18" i="1" s="1"/>
  <c r="M181" i="3"/>
  <c r="M18" i="1" s="1"/>
  <c r="N181" i="3"/>
  <c r="N18" i="1" s="1"/>
  <c r="O181" i="3"/>
  <c r="O18" i="1" s="1"/>
  <c r="C182" i="3"/>
  <c r="C19" i="1" s="1"/>
  <c r="D182" i="3"/>
  <c r="D19" i="1" s="1"/>
  <c r="E182" i="3"/>
  <c r="E19" i="1" s="1"/>
  <c r="F182" i="3"/>
  <c r="F19" i="1" s="1"/>
  <c r="G182" i="3"/>
  <c r="G19" i="1" s="1"/>
  <c r="H182" i="3"/>
  <c r="H19" i="1" s="1"/>
  <c r="I182" i="3"/>
  <c r="I19" i="1" s="1"/>
  <c r="J182" i="3"/>
  <c r="J19" i="1" s="1"/>
  <c r="K182" i="3"/>
  <c r="K19" i="1" s="1"/>
  <c r="L182" i="3"/>
  <c r="L19" i="1" s="1"/>
  <c r="M182" i="3"/>
  <c r="M19" i="1" s="1"/>
  <c r="N182" i="3"/>
  <c r="N19" i="1" s="1"/>
  <c r="O182" i="3"/>
  <c r="O19" i="1" s="1"/>
  <c r="C183" i="3"/>
  <c r="C20" i="1" s="1"/>
  <c r="D183" i="3"/>
  <c r="D20" i="1" s="1"/>
  <c r="E183" i="3"/>
  <c r="E20" i="1" s="1"/>
  <c r="F183" i="3"/>
  <c r="F20" i="1" s="1"/>
  <c r="G183" i="3"/>
  <c r="G20" i="1" s="1"/>
  <c r="H183" i="3"/>
  <c r="H20" i="1" s="1"/>
  <c r="I183" i="3"/>
  <c r="I20" i="1" s="1"/>
  <c r="J183" i="3"/>
  <c r="J20" i="1" s="1"/>
  <c r="K183" i="3"/>
  <c r="K20" i="1" s="1"/>
  <c r="L183" i="3"/>
  <c r="L20" i="1" s="1"/>
  <c r="M183" i="3"/>
  <c r="M20" i="1" s="1"/>
  <c r="N183" i="3"/>
  <c r="N20" i="1" s="1"/>
  <c r="O183" i="3"/>
  <c r="O20" i="1" s="1"/>
  <c r="C184" i="3"/>
  <c r="C21" i="1" s="1"/>
  <c r="D184" i="3"/>
  <c r="D21" i="1" s="1"/>
  <c r="E184" i="3"/>
  <c r="E21" i="1" s="1"/>
  <c r="F184" i="3"/>
  <c r="F21" i="1" s="1"/>
  <c r="G184" i="3"/>
  <c r="G21" i="1" s="1"/>
  <c r="H184" i="3"/>
  <c r="H21" i="1" s="1"/>
  <c r="I184" i="3"/>
  <c r="I21" i="1" s="1"/>
  <c r="J184" i="3"/>
  <c r="J21" i="1" s="1"/>
  <c r="K184" i="3"/>
  <c r="K21" i="1" s="1"/>
  <c r="L184" i="3"/>
  <c r="L21" i="1" s="1"/>
  <c r="M184" i="3"/>
  <c r="M21" i="1" s="1"/>
  <c r="N184" i="3"/>
  <c r="N21" i="1" s="1"/>
  <c r="O184" i="3"/>
  <c r="O21" i="1" s="1"/>
  <c r="C185" i="3"/>
  <c r="C22" i="1" s="1"/>
  <c r="D185" i="3"/>
  <c r="D22" i="1" s="1"/>
  <c r="E185" i="3"/>
  <c r="E22" i="1" s="1"/>
  <c r="F185" i="3"/>
  <c r="F22" i="1" s="1"/>
  <c r="G185" i="3"/>
  <c r="G22" i="1" s="1"/>
  <c r="H185" i="3"/>
  <c r="H22" i="1" s="1"/>
  <c r="I185" i="3"/>
  <c r="I22" i="1" s="1"/>
  <c r="J185" i="3"/>
  <c r="J22" i="1" s="1"/>
  <c r="K185" i="3"/>
  <c r="K22" i="1" s="1"/>
  <c r="L185" i="3"/>
  <c r="L22" i="1" s="1"/>
  <c r="M185" i="3"/>
  <c r="M22" i="1" s="1"/>
  <c r="N185" i="3"/>
  <c r="N22" i="1" s="1"/>
  <c r="O185" i="3"/>
  <c r="O22" i="1" s="1"/>
  <c r="C186" i="3"/>
  <c r="C23" i="1" s="1"/>
  <c r="D186" i="3"/>
  <c r="D23" i="1" s="1"/>
  <c r="E186" i="3"/>
  <c r="E23" i="1" s="1"/>
  <c r="F186" i="3"/>
  <c r="F23" i="1" s="1"/>
  <c r="G186" i="3"/>
  <c r="G23" i="1" s="1"/>
  <c r="H186" i="3"/>
  <c r="H23" i="1" s="1"/>
  <c r="I186" i="3"/>
  <c r="I23" i="1" s="1"/>
  <c r="J186" i="3"/>
  <c r="J23" i="1" s="1"/>
  <c r="K186" i="3"/>
  <c r="K23" i="1" s="1"/>
  <c r="L186" i="3"/>
  <c r="L23" i="1" s="1"/>
  <c r="M186" i="3"/>
  <c r="M23" i="1" s="1"/>
  <c r="N186" i="3"/>
  <c r="N23" i="1" s="1"/>
  <c r="O186" i="3"/>
  <c r="O23" i="1" s="1"/>
  <c r="C187" i="3"/>
  <c r="C24" i="1" s="1"/>
  <c r="D187" i="3"/>
  <c r="D24" i="1" s="1"/>
  <c r="E187" i="3"/>
  <c r="E24" i="1" s="1"/>
  <c r="F187" i="3"/>
  <c r="F24" i="1" s="1"/>
  <c r="G187" i="3"/>
  <c r="G24" i="1" s="1"/>
  <c r="H187" i="3"/>
  <c r="H24" i="1" s="1"/>
  <c r="I187" i="3"/>
  <c r="I24" i="1" s="1"/>
  <c r="J187" i="3"/>
  <c r="J24" i="1" s="1"/>
  <c r="K187" i="3"/>
  <c r="K24" i="1" s="1"/>
  <c r="L187" i="3"/>
  <c r="L24" i="1" s="1"/>
  <c r="M187" i="3"/>
  <c r="M24" i="1" s="1"/>
  <c r="N187" i="3"/>
  <c r="N24" i="1" s="1"/>
  <c r="O187" i="3"/>
  <c r="O24" i="1" s="1"/>
  <c r="C188" i="3"/>
  <c r="C25" i="1" s="1"/>
  <c r="D188" i="3"/>
  <c r="D25" i="1" s="1"/>
  <c r="E188" i="3"/>
  <c r="E25" i="1" s="1"/>
  <c r="F188" i="3"/>
  <c r="F25" i="1" s="1"/>
  <c r="G188" i="3"/>
  <c r="G25" i="1" s="1"/>
  <c r="H188" i="3"/>
  <c r="H25" i="1" s="1"/>
  <c r="I188" i="3"/>
  <c r="I25" i="1" s="1"/>
  <c r="J188" i="3"/>
  <c r="J25" i="1" s="1"/>
  <c r="K188" i="3"/>
  <c r="K25" i="1" s="1"/>
  <c r="L188" i="3"/>
  <c r="L25" i="1" s="1"/>
  <c r="M188" i="3"/>
  <c r="M25" i="1" s="1"/>
  <c r="N188" i="3"/>
  <c r="N25" i="1" s="1"/>
  <c r="O188" i="3"/>
  <c r="O25" i="1" s="1"/>
  <c r="C81" i="1" l="1"/>
  <c r="C80" i="1"/>
  <c r="D81" i="1"/>
  <c r="D80" i="1"/>
  <c r="D82" i="1" l="1"/>
  <c r="D83" i="1"/>
  <c r="D84" i="1"/>
  <c r="D85" i="1"/>
  <c r="D86" i="1"/>
  <c r="D87" i="1"/>
  <c r="D88" i="1"/>
  <c r="D89" i="1"/>
  <c r="D90" i="1"/>
  <c r="C82" i="1"/>
  <c r="C83" i="1"/>
  <c r="C84" i="1"/>
  <c r="C85" i="1"/>
  <c r="C86" i="1"/>
  <c r="C87" i="1"/>
  <c r="C88" i="1"/>
  <c r="C89" i="1"/>
  <c r="C90" i="1"/>
  <c r="D79" i="1"/>
  <c r="C79" i="1" l="1"/>
  <c r="C58" i="1"/>
  <c r="C60" i="1"/>
  <c r="C66" i="1" l="1"/>
  <c r="C64" i="1"/>
  <c r="C62" i="1"/>
  <c r="C67" i="1"/>
  <c r="C65" i="1"/>
  <c r="C63" i="1"/>
  <c r="C61" i="1"/>
  <c r="C59" i="1"/>
  <c r="C57" i="1"/>
  <c r="D67" i="1"/>
  <c r="D57" i="1" l="1"/>
  <c r="D58" i="1"/>
  <c r="D59" i="1"/>
  <c r="D60" i="1"/>
  <c r="D61" i="1"/>
  <c r="D62" i="1"/>
  <c r="D63" i="1"/>
  <c r="D64" i="1"/>
  <c r="D65" i="1"/>
  <c r="D66" i="1"/>
  <c r="E176" i="6" l="1"/>
  <c r="C176" i="6"/>
  <c r="H176" i="4" l="1"/>
  <c r="L176" i="4" l="1"/>
  <c r="L176" i="6" l="1"/>
  <c r="M176" i="6"/>
  <c r="N176" i="6"/>
  <c r="F176" i="5"/>
  <c r="E176" i="5"/>
  <c r="D176" i="5"/>
  <c r="C176" i="5"/>
  <c r="M176" i="5"/>
  <c r="N176" i="5"/>
  <c r="M176" i="4"/>
  <c r="N176" i="4"/>
  <c r="D227" i="6" l="1"/>
  <c r="D226" i="6"/>
  <c r="D225" i="6"/>
  <c r="D224" i="6"/>
  <c r="D223" i="6"/>
  <c r="D222" i="6"/>
  <c r="D221" i="6"/>
  <c r="D220" i="6"/>
  <c r="D219" i="6"/>
  <c r="D218" i="6"/>
  <c r="D217" i="6"/>
  <c r="D216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D229" i="5"/>
  <c r="D228" i="5"/>
  <c r="D227" i="5"/>
  <c r="D226" i="5"/>
  <c r="D225" i="5"/>
  <c r="D224" i="5"/>
  <c r="D223" i="5"/>
  <c r="D222" i="5"/>
  <c r="D221" i="5"/>
  <c r="D220" i="5"/>
  <c r="D219" i="5"/>
  <c r="D218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D227" i="4"/>
  <c r="D226" i="4"/>
  <c r="D225" i="4"/>
  <c r="D224" i="4"/>
  <c r="D223" i="4"/>
  <c r="D222" i="4"/>
  <c r="D221" i="4"/>
  <c r="D220" i="4"/>
  <c r="D219" i="4"/>
  <c r="D218" i="4"/>
  <c r="D217" i="4"/>
  <c r="D216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D226" i="3"/>
  <c r="D225" i="3"/>
  <c r="D224" i="3"/>
  <c r="D223" i="3"/>
  <c r="D222" i="3"/>
  <c r="D221" i="3"/>
  <c r="D220" i="3"/>
  <c r="D219" i="3"/>
  <c r="D218" i="3"/>
  <c r="D217" i="3"/>
  <c r="D216" i="3"/>
  <c r="C226" i="3"/>
  <c r="C225" i="3"/>
  <c r="C224" i="3"/>
  <c r="C223" i="3"/>
  <c r="C222" i="3"/>
  <c r="C221" i="3"/>
  <c r="C220" i="3"/>
  <c r="C219" i="3"/>
  <c r="C218" i="3"/>
  <c r="C217" i="3"/>
  <c r="C216" i="3"/>
  <c r="D215" i="3"/>
  <c r="C215" i="3"/>
  <c r="D227" i="2"/>
  <c r="D228" i="2"/>
  <c r="D226" i="2"/>
  <c r="D225" i="2"/>
  <c r="D224" i="2"/>
  <c r="D223" i="2"/>
  <c r="D222" i="2"/>
  <c r="D221" i="2"/>
  <c r="D220" i="2"/>
  <c r="D219" i="2"/>
  <c r="D218" i="2"/>
  <c r="C228" i="2"/>
  <c r="C227" i="2"/>
  <c r="C226" i="2"/>
  <c r="C225" i="2"/>
  <c r="C224" i="2"/>
  <c r="C223" i="2"/>
  <c r="C222" i="2"/>
  <c r="C221" i="2"/>
  <c r="C220" i="2"/>
  <c r="C219" i="2"/>
  <c r="C218" i="2"/>
  <c r="D217" i="2"/>
  <c r="C217" i="2"/>
  <c r="O176" i="3" l="1"/>
  <c r="M176" i="3"/>
  <c r="L176" i="3"/>
  <c r="K176" i="3"/>
  <c r="J176" i="3"/>
  <c r="I176" i="3"/>
  <c r="H176" i="3"/>
  <c r="G176" i="3"/>
  <c r="F176" i="3"/>
  <c r="E176" i="3"/>
  <c r="D176" i="3"/>
  <c r="C176" i="3"/>
  <c r="N176" i="3" l="1"/>
  <c r="O176" i="5" l="1"/>
  <c r="L176" i="5"/>
  <c r="K176" i="5"/>
  <c r="J176" i="5"/>
  <c r="I176" i="5"/>
  <c r="H176" i="5"/>
  <c r="G176" i="5"/>
  <c r="O176" i="6" l="1"/>
  <c r="K176" i="6"/>
  <c r="J176" i="6"/>
  <c r="I176" i="6"/>
  <c r="H176" i="6"/>
  <c r="G176" i="6"/>
  <c r="F176" i="6"/>
  <c r="D176" i="6"/>
  <c r="O176" i="4" l="1"/>
  <c r="K176" i="4"/>
  <c r="J176" i="4"/>
  <c r="I176" i="4"/>
  <c r="G176" i="4"/>
  <c r="F176" i="4"/>
  <c r="E176" i="4"/>
  <c r="D176" i="4"/>
  <c r="C176" i="4"/>
  <c r="O176" i="2" l="1"/>
  <c r="N176" i="2"/>
  <c r="M176" i="2"/>
  <c r="L176" i="2"/>
  <c r="K176" i="2"/>
  <c r="J176" i="2"/>
  <c r="I176" i="2"/>
  <c r="H176" i="2"/>
  <c r="G176" i="2"/>
  <c r="G13" i="1" s="1"/>
  <c r="G50" i="1" s="1"/>
  <c r="F176" i="2"/>
  <c r="E176" i="2"/>
  <c r="D176" i="2"/>
  <c r="C176" i="2"/>
  <c r="D13" i="1" l="1"/>
  <c r="D50" i="1" s="1"/>
  <c r="E13" i="1"/>
  <c r="E50" i="1" s="1"/>
  <c r="F13" i="1"/>
  <c r="F50" i="1" s="1"/>
  <c r="H13" i="1"/>
  <c r="H50" i="1" s="1"/>
  <c r="I13" i="1"/>
  <c r="I50" i="1" s="1"/>
  <c r="J13" i="1"/>
  <c r="J50" i="1" s="1"/>
  <c r="K13" i="1"/>
  <c r="K50" i="1" s="1"/>
  <c r="L13" i="1"/>
  <c r="L50" i="1" s="1"/>
  <c r="M13" i="1"/>
  <c r="N13" i="1"/>
  <c r="O13" i="1"/>
  <c r="O50" i="1" s="1"/>
  <c r="C13" i="1"/>
  <c r="C50" i="1" s="1"/>
  <c r="C56" i="1" l="1"/>
  <c r="M50" i="1"/>
  <c r="D56" i="1"/>
  <c r="N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</authors>
  <commentList>
    <comment ref="I180" authorId="0" shapeId="0" xr:uid="{00000000-0006-0000-0300-000001000000}">
      <text>
        <r>
          <rPr>
            <sz val="9"/>
            <color indexed="81"/>
            <rFont val="Tahoma"/>
            <family val="2"/>
          </rPr>
          <t>Medidor de Agua Potable Parc. 48 Bosques</t>
        </r>
      </text>
    </comment>
    <comment ref="I189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Energía Eléctrica e instalación 27/02/2018
45 Bosques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I18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Agua Potable Parcela 13A Quillayes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I18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Agua Potable Parc 18 Boldos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I180" authorId="0" shapeId="0" xr:uid="{00000000-0006-0000-0600-000001000000}">
      <text>
        <r>
          <rPr>
            <sz val="9"/>
            <color indexed="81"/>
            <rFont val="Tahoma"/>
            <family val="2"/>
          </rPr>
          <t>Fondo de reserva de Parc 31 Peumos</t>
        </r>
      </text>
    </comment>
    <comment ref="I182" authorId="0" shapeId="0" xr:uid="{00000000-0006-0000-0600-000002000000}">
      <text>
        <r>
          <rPr>
            <sz val="9"/>
            <color indexed="81"/>
            <rFont val="Tahoma"/>
            <family val="2"/>
          </rPr>
          <t>Medidor de energía Electrica de Parc 42 Peumos.</t>
        </r>
      </text>
    </comment>
    <comment ref="I187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Agua Potable Parcela 14 Peumos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I184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Energía Electrica</t>
        </r>
      </text>
    </comment>
  </commentList>
</comments>
</file>

<file path=xl/sharedStrings.xml><?xml version="1.0" encoding="utf-8"?>
<sst xmlns="http://schemas.openxmlformats.org/spreadsheetml/2006/main" count="1428" uniqueCount="125">
  <si>
    <t>AÑO 2017</t>
  </si>
  <si>
    <t>SECTOR BOLDOS</t>
  </si>
  <si>
    <t>48 PARCELAS</t>
  </si>
  <si>
    <t xml:space="preserve">        Cosumo Electrico</t>
  </si>
  <si>
    <t xml:space="preserve">       Consumo Agua Potable</t>
  </si>
  <si>
    <t xml:space="preserve">                Gastos Comunes</t>
  </si>
  <si>
    <t>Total Mes</t>
  </si>
  <si>
    <t>Periodo</t>
  </si>
  <si>
    <t>Consumo</t>
  </si>
  <si>
    <t>Total</t>
  </si>
  <si>
    <t>Cargo Fijo</t>
  </si>
  <si>
    <t>Cuota</t>
  </si>
  <si>
    <t>Otros</t>
  </si>
  <si>
    <t>Embarcadero</t>
  </si>
  <si>
    <t>Gastos</t>
  </si>
  <si>
    <t>Multa</t>
  </si>
  <si>
    <t>Resultado</t>
  </si>
  <si>
    <t>Item</t>
  </si>
  <si>
    <t>KW</t>
  </si>
  <si>
    <t>Energia</t>
  </si>
  <si>
    <t>M3</t>
  </si>
  <si>
    <t>Agua</t>
  </si>
  <si>
    <t>Agua Potable</t>
  </si>
  <si>
    <t>Asociación</t>
  </si>
  <si>
    <t xml:space="preserve"> Comunes</t>
  </si>
  <si>
    <t>Mes</t>
  </si>
  <si>
    <t>Abonos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</si>
  <si>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</si>
  <si>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</si>
  <si>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</si>
  <si>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</si>
  <si>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</si>
  <si>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</si>
  <si>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</si>
  <si>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</si>
  <si>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</si>
  <si>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</si>
  <si>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</si>
  <si>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</si>
  <si>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 xml:space="preserve">SECTOR BOSQUES </t>
  </si>
  <si>
    <t xml:space="preserve">64 PARCELAS </t>
  </si>
  <si>
    <t>SECTOR QUILLAYES</t>
  </si>
  <si>
    <t>57 PARCELAS</t>
  </si>
  <si>
    <t>SECTOR PEUMOS</t>
  </si>
  <si>
    <t xml:space="preserve">57 PARCELAS </t>
  </si>
  <si>
    <t xml:space="preserve">SECTOR PEUMOS II </t>
  </si>
  <si>
    <t xml:space="preserve">41 PARCELAS </t>
  </si>
  <si>
    <t>Total abonos</t>
  </si>
  <si>
    <t>Total Facturado</t>
  </si>
  <si>
    <t>cantidad de parcelas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</si>
  <si>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</si>
  <si>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</si>
  <si>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</si>
  <si>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</si>
  <si>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</si>
  <si>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</si>
  <si>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</si>
  <si>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</si>
  <si>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</si>
  <si>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</si>
  <si>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</si>
  <si>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</si>
  <si>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Sobre consumo  M3</t>
  </si>
  <si>
    <t>Morosos por mas de 4 meses</t>
  </si>
  <si>
    <t>Morosos por  3 meses</t>
  </si>
  <si>
    <t>Morosos por 2 meses</t>
  </si>
  <si>
    <t>Nombre</t>
  </si>
  <si>
    <t>Parcela</t>
  </si>
  <si>
    <t>Atraso</t>
  </si>
  <si>
    <t xml:space="preserve">SALOMON HERNANDEZ ZENTENO </t>
  </si>
  <si>
    <t>Jorge Mandiola Delaigue</t>
  </si>
  <si>
    <t>MASTER CLIMA (EMPRESA)/HERNAN DÍAZ DÍAZ</t>
  </si>
  <si>
    <t>MLADEN DRAGOMIR MARINOVIC L.</t>
  </si>
  <si>
    <t>SEBASTIAN SALINAS CERECEDA</t>
  </si>
  <si>
    <t>5E2C</t>
  </si>
  <si>
    <t>SLOBODAN MITROVIC/IVANA MITROVIC</t>
  </si>
  <si>
    <t>MARIA ELENA NAVARRO ORTEGA</t>
  </si>
  <si>
    <t xml:space="preserve">GUILLERMO CANDIA SILVA </t>
  </si>
  <si>
    <t>JULIO DIEZ MARTINEZ</t>
  </si>
  <si>
    <t>GUIDO GONZALEZ SALINAS</t>
  </si>
  <si>
    <t>CLAUDIA BUSTOS</t>
  </si>
  <si>
    <t>5H 5C</t>
  </si>
  <si>
    <t>JOSE MIGUEL MESTRE POZO</t>
  </si>
  <si>
    <t>5C9-B</t>
  </si>
  <si>
    <t>CHRISTIAN AGUILAR LAGOS</t>
  </si>
  <si>
    <t>23B</t>
  </si>
  <si>
    <t>DANY VALENCIA YAÑEZ</t>
  </si>
  <si>
    <t>20B</t>
  </si>
  <si>
    <t>MAURICIO ECHEVERRIA FRAU</t>
  </si>
  <si>
    <t>25B</t>
  </si>
  <si>
    <t>ORLANDO BERRIOS BERRIOS</t>
  </si>
  <si>
    <t>35A</t>
  </si>
  <si>
    <t xml:space="preserve">FELIPE VALENZUELA </t>
  </si>
  <si>
    <t>39B</t>
  </si>
  <si>
    <t>Rodrigo Moran</t>
  </si>
  <si>
    <t>5KL1B</t>
  </si>
  <si>
    <t>JOSE MOYA MARTINEZ/FABIOLA RUIZ CONTRERAS</t>
  </si>
  <si>
    <t>DIEGO BERRIOS DELAHOZ</t>
  </si>
  <si>
    <t>59B</t>
  </si>
  <si>
    <t>AGUSTIN CAMPENY MALTAS</t>
  </si>
  <si>
    <t>LORENZO BORGHI</t>
  </si>
  <si>
    <t>JORGE OSSES GARCIA</t>
  </si>
  <si>
    <t>ANTONIO QUIROZ VALDES</t>
  </si>
  <si>
    <t>GONZALO SANDOVAL POZO</t>
  </si>
  <si>
    <t>DIEGO PEREZ HERRERA</t>
  </si>
  <si>
    <t>MARIO CARRASCO DIAZ</t>
  </si>
  <si>
    <t>INMOBILIARIA E INVERSIONES SAN JUAN SPA</t>
  </si>
  <si>
    <t>PATRICIO CATALAN CAMPOS</t>
  </si>
  <si>
    <t>OSCAR NOVOA SEPULVEDA</t>
  </si>
  <si>
    <t>MANUEL JESUS GARCIA SALINAS</t>
  </si>
  <si>
    <t>JAVIER CRUZ FLORES</t>
  </si>
  <si>
    <t>DAVID VARGAS A.</t>
  </si>
  <si>
    <t>8A</t>
  </si>
  <si>
    <t>MARISOL NAVARRO ALARCON</t>
  </si>
  <si>
    <t>21A</t>
  </si>
  <si>
    <t>CLAUDIA LEÓN MOLINA - CARLOS PEREZ RODRIGUEZ</t>
  </si>
  <si>
    <t>2A</t>
  </si>
  <si>
    <t>CYSAT S.A. / JEANNETTE URRUTIA</t>
  </si>
  <si>
    <t xml:space="preserve">19A </t>
  </si>
  <si>
    <t>20A</t>
  </si>
  <si>
    <t>4-A PII</t>
  </si>
  <si>
    <t>6-A PII</t>
  </si>
  <si>
    <t>TOTAL ACUMULADO</t>
  </si>
  <si>
    <t>Resumen general de gasto común facturado y abonos</t>
  </si>
  <si>
    <t>Parcelación en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</si>
</sst>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\ #,##0;\-&quot;$&quot;\ #,##0"/>
    <numFmt numFmtId="7" formatCode="&quot;$&quot;\ #,##0.00;\-&quot;$&quot;\ #,##0.00"/>
    <numFmt numFmtId="43" formatCode="_-* #,##0.00_-;\-* #,##0.00_-;_-* &quot;-&quot;??_-;_-@_-"/>
    <numFmt numFmtId="164" formatCode="_ &quot;$&quot;\ * #,##0_ ;_ &quot;$&quot;\ * \-#,##0_ ;_ &quot;$&quot;\ * &quot;-&quot;_ ;_ @_ "/>
    <numFmt numFmtId="165" formatCode="_-* #,##0\ _€_-;\-* #,##0\ _€_-;_-* &quot;-&quot;\ _€_-;_-@_-"/>
    <numFmt numFmtId="166" formatCode="_-[$$-340A]\ * #,##0_-;\-[$$-340A]\ * #,##0_-;_-[$$-340A]\ * &quot;-&quot;_-;_-@_-"/>
    <numFmt numFmtId="167" formatCode="_-&quot;$&quot;\ * #,##0_-;\-&quot;$&quot;\ * #,##0_-;_-&quot;$&quot;\ * &quot;-&quot;??_-;_-@_-"/>
    <numFmt numFmtId="168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8" xfId="0" applyFont="1" applyFill="1" applyBorder="1" applyAlignment="1">
      <alignment horizontal="center"/>
    </xf>
    <xf numFmtId="166" fontId="2" fillId="2" borderId="8" xfId="0" applyNumberFormat="1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6" fontId="2" fillId="2" borderId="10" xfId="0" applyNumberFormat="1" applyFont="1" applyFill="1" applyBorder="1" applyAlignment="1">
      <alignment horizontal="center"/>
    </xf>
    <xf numFmtId="166" fontId="3" fillId="2" borderId="8" xfId="0" applyNumberFormat="1" applyFont="1" applyFill="1" applyBorder="1" applyAlignment="1">
      <alignment horizontal="center"/>
    </xf>
    <xf numFmtId="166" fontId="2" fillId="2" borderId="11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166" fontId="3" fillId="2" borderId="12" xfId="0" applyNumberFormat="1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166" fontId="2" fillId="2" borderId="12" xfId="0" applyNumberFormat="1" applyFont="1" applyFill="1" applyBorder="1" applyAlignment="1">
      <alignment horizontal="center"/>
    </xf>
    <xf numFmtId="0" fontId="2" fillId="0" borderId="12" xfId="0" applyFont="1" applyBorder="1"/>
    <xf numFmtId="166" fontId="2" fillId="2" borderId="14" xfId="0" applyNumberFormat="1" applyFont="1" applyFill="1" applyBorder="1" applyAlignment="1">
      <alignment horizontal="center"/>
    </xf>
    <xf numFmtId="0" fontId="4" fillId="0" borderId="0" xfId="0" applyFont="1"/>
    <xf numFmtId="0" fontId="2" fillId="0" borderId="2" xfId="0" applyFont="1" applyBorder="1"/>
    <xf numFmtId="167" fontId="4" fillId="0" borderId="2" xfId="0" applyNumberFormat="1" applyFont="1" applyBorder="1" applyAlignment="1">
      <alignment horizontal="center"/>
    </xf>
    <xf numFmtId="167" fontId="4" fillId="0" borderId="12" xfId="0" applyNumberFormat="1" applyFont="1" applyBorder="1" applyAlignment="1">
      <alignment horizontal="center"/>
    </xf>
    <xf numFmtId="167" fontId="4" fillId="0" borderId="12" xfId="0" applyNumberFormat="1" applyFont="1" applyBorder="1"/>
    <xf numFmtId="167" fontId="4" fillId="0" borderId="2" xfId="0" applyNumberFormat="1" applyFont="1" applyBorder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66" fontId="2" fillId="2" borderId="6" xfId="0" applyNumberFormat="1" applyFont="1" applyFill="1" applyBorder="1" applyAlignment="1">
      <alignment horizontal="center"/>
    </xf>
    <xf numFmtId="166" fontId="2" fillId="2" borderId="4" xfId="0" applyNumberFormat="1" applyFont="1" applyFill="1" applyBorder="1" applyAlignment="1">
      <alignment horizontal="center"/>
    </xf>
    <xf numFmtId="166" fontId="2" fillId="2" borderId="7" xfId="0" applyNumberFormat="1" applyFont="1" applyFill="1" applyBorder="1" applyAlignment="1">
      <alignment horizontal="center"/>
    </xf>
    <xf numFmtId="166" fontId="2" fillId="2" borderId="3" xfId="0" applyNumberFormat="1" applyFont="1" applyFill="1" applyBorder="1" applyAlignment="1">
      <alignment horizontal="center"/>
    </xf>
    <xf numFmtId="166" fontId="2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left"/>
    </xf>
    <xf numFmtId="0" fontId="0" fillId="0" borderId="2" xfId="0" applyBorder="1"/>
    <xf numFmtId="167" fontId="0" fillId="0" borderId="2" xfId="0" applyNumberFormat="1" applyBorder="1"/>
    <xf numFmtId="0" fontId="0" fillId="0" borderId="12" xfId="0" applyBorder="1"/>
    <xf numFmtId="5" fontId="0" fillId="0" borderId="12" xfId="0" applyNumberFormat="1" applyBorder="1"/>
    <xf numFmtId="7" fontId="0" fillId="0" borderId="0" xfId="0" applyNumberFormat="1"/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7" fillId="0" borderId="0" xfId="0" applyFont="1"/>
    <xf numFmtId="0" fontId="7" fillId="0" borderId="12" xfId="0" applyFont="1" applyBorder="1"/>
    <xf numFmtId="5" fontId="7" fillId="0" borderId="12" xfId="0" applyNumberFormat="1" applyFont="1" applyBorder="1"/>
    <xf numFmtId="0" fontId="7" fillId="0" borderId="2" xfId="0" applyFont="1" applyBorder="1"/>
    <xf numFmtId="0" fontId="4" fillId="0" borderId="2" xfId="0" applyFont="1" applyBorder="1" applyAlignment="1">
      <alignment horizontal="center"/>
    </xf>
    <xf numFmtId="0" fontId="10" fillId="0" borderId="0" xfId="0" applyFont="1"/>
    <xf numFmtId="0" fontId="0" fillId="0" borderId="2" xfId="0" applyBorder="1" applyAlignment="1">
      <alignment horizontal="center"/>
    </xf>
    <xf numFmtId="5" fontId="0" fillId="0" borderId="2" xfId="0" applyNumberFormat="1" applyBorder="1"/>
    <xf numFmtId="7" fontId="0" fillId="0" borderId="2" xfId="0" applyNumberFormat="1" applyBorder="1"/>
    <xf numFmtId="0" fontId="2" fillId="0" borderId="0" xfId="0" applyFont="1"/>
    <xf numFmtId="0" fontId="4" fillId="0" borderId="0" xfId="0" applyFont="1" applyAlignment="1">
      <alignment horizontal="center"/>
    </xf>
    <xf numFmtId="167" fontId="4" fillId="0" borderId="0" xfId="0" applyNumberFormat="1" applyFont="1" applyAlignment="1">
      <alignment horizontal="center"/>
    </xf>
    <xf numFmtId="0" fontId="2" fillId="3" borderId="0" xfId="0" applyFont="1" applyFill="1"/>
    <xf numFmtId="168" fontId="2" fillId="3" borderId="0" xfId="1" applyNumberFormat="1" applyFont="1" applyFill="1" applyAlignment="1">
      <alignment horizontal="center"/>
    </xf>
    <xf numFmtId="168" fontId="4" fillId="0" borderId="2" xfId="1" applyNumberFormat="1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0" fontId="2" fillId="4" borderId="2" xfId="0" applyFont="1" applyFill="1" applyBorder="1"/>
    <xf numFmtId="0" fontId="6" fillId="0" borderId="2" xfId="0" applyFont="1" applyBorder="1"/>
    <xf numFmtId="0" fontId="6" fillId="0" borderId="0" xfId="0" applyFont="1" applyAlignment="1">
      <alignment horizontal="center"/>
    </xf>
    <xf numFmtId="168" fontId="4" fillId="0" borderId="0" xfId="1" applyNumberFormat="1" applyFont="1" applyAlignment="1">
      <alignment horizontal="center"/>
    </xf>
    <xf numFmtId="0" fontId="2" fillId="3" borderId="2" xfId="0" applyFont="1" applyFill="1" applyBorder="1"/>
    <xf numFmtId="168" fontId="4" fillId="3" borderId="2" xfId="1" applyNumberFormat="1" applyFont="1" applyFill="1" applyBorder="1" applyAlignment="1">
      <alignment horizontal="center"/>
    </xf>
    <xf numFmtId="167" fontId="4" fillId="3" borderId="2" xfId="0" applyNumberFormat="1" applyFont="1" applyFill="1" applyBorder="1" applyAlignment="1">
      <alignment horizontal="center"/>
    </xf>
    <xf numFmtId="167" fontId="4" fillId="0" borderId="0" xfId="0" applyNumberFormat="1" applyFont="1"/>
    <xf numFmtId="168" fontId="4" fillId="0" borderId="2" xfId="1" applyNumberFormat="1" applyFont="1" applyFill="1" applyBorder="1" applyAlignment="1">
      <alignment horizontal="center"/>
    </xf>
    <xf numFmtId="167" fontId="4" fillId="0" borderId="2" xfId="0" applyNumberFormat="1" applyFont="1" applyFill="1" applyBorder="1" applyAlignment="1">
      <alignment horizontal="center"/>
    </xf>
    <xf numFmtId="166" fontId="2" fillId="2" borderId="3" xfId="0" applyNumberFormat="1" applyFont="1" applyFill="1" applyBorder="1" applyAlignment="1">
      <alignment horizontal="center"/>
    </xf>
    <xf numFmtId="166" fontId="2" fillId="2" borderId="4" xfId="0" applyNumberFormat="1" applyFont="1" applyFill="1" applyBorder="1" applyAlignment="1">
      <alignment horizontal="center"/>
    </xf>
    <xf numFmtId="166" fontId="2" fillId="2" borderId="7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2" fillId="2" borderId="4" xfId="0" applyFont="1" applyFill="1" applyBorder="1" applyAlignment="1">
      <alignment horizontal="center"/>
    </xf>
    <xf numFmtId="166" fontId="2" fillId="2" borderId="6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Resumen!$C$55</c:f>
              <c:strCache>
                <c:ptCount val="1"/>
                <c:pt idx="0">
                  <c:v>Total Facturado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Resumen!$B$56:$B$67</c:f>
            </c:multiLvlStrRef>
          </c:cat>
          <c:val>
            <c:numRef>
              <c:f>Resumen!$C$56:$C$67</c:f>
            </c:numRef>
          </c:val>
          <c:extLst>
            <c:ext xmlns:c16="http://schemas.microsoft.com/office/drawing/2014/chart" uri="{C3380CC4-5D6E-409C-BE32-E72D297353CC}">
              <c16:uniqueId val="{00000000-EB12-44CE-ABD6-C96E978EB985}"/>
            </c:ext>
          </c:extLst>
        </c:ser>
        <c:ser>
          <c:idx val="1"/>
          <c:order val="1"/>
          <c:tx>
            <c:strRef>
              <c:f>Resumen!$D$55</c:f>
              <c:strCache>
                <c:ptCount val="1"/>
                <c:pt idx="0">
                  <c:v>Total abonos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Resumen!$B$56:$B$67</c:f>
            </c:multiLvlStrRef>
          </c:cat>
          <c:val>
            <c:numRef>
              <c:f>Resumen!$D$56:$D$67</c:f>
            </c:numRef>
          </c:val>
          <c:extLst>
            <c:ext xmlns:c16="http://schemas.microsoft.com/office/drawing/2014/chart" uri="{C3380CC4-5D6E-409C-BE32-E72D297353CC}">
              <c16:uniqueId val="{00000001-EB12-44CE-ABD6-C96E978EB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5299072"/>
        <c:axId val="95300608"/>
      </c:barChart>
      <c:catAx>
        <c:axId val="9529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5300608"/>
        <c:crosses val="autoZero"/>
        <c:auto val="1"/>
        <c:lblAlgn val="ctr"/>
        <c:lblOffset val="100"/>
        <c:noMultiLvlLbl val="0"/>
      </c:catAx>
      <c:valAx>
        <c:axId val="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529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152351692696038"/>
          <c:y val="0.85690653646716508"/>
          <c:w val="0.18791748184767759"/>
          <c:h val="0.12516012331171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Resumen!$C$55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multiLvlStrRef>
              <c:f>Resumen!$B$56:$B$67</c:f>
            </c:multiLvlStrRef>
          </c:cat>
          <c:val>
            <c:numRef>
              <c:f>Resumen!$C$79:$C$90</c:f>
            </c:numRef>
          </c:val>
          <c:extLst>
            <c:ext xmlns:c16="http://schemas.microsoft.com/office/drawing/2014/chart" uri="{C3380CC4-5D6E-409C-BE32-E72D297353CC}">
              <c16:uniqueId val="{00000000-EB12-44CE-ABD6-C96E978EB985}"/>
            </c:ext>
          </c:extLst>
        </c:ser>
        <c:ser>
          <c:idx val="1"/>
          <c:order val="1"/>
          <c:tx>
            <c:strRef>
              <c:f>Resumen!$D$55</c:f>
              <c:strCache>
                <c:ptCount val="1"/>
                <c:pt idx="0">
                  <c:v>Total abonos</c:v>
                </c:pt>
              </c:strCache>
            </c:strRef>
          </c:tx>
          <c:invertIfNegative val="0"/>
          <c:cat>
            <c:multiLvlStrRef>
              <c:f>Resumen!$B$56:$B$67</c:f>
            </c:multiLvlStrRef>
          </c:cat>
          <c:val>
            <c:numRef>
              <c:f>Resumen!$D$79:$D$90</c:f>
            </c:numRef>
          </c:val>
          <c:extLst>
            <c:ext xmlns:c16="http://schemas.microsoft.com/office/drawing/2014/chart" uri="{C3380CC4-5D6E-409C-BE32-E72D297353CC}">
              <c16:uniqueId val="{00000001-EB12-44CE-ABD6-C96E978EB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5323648"/>
        <c:axId val="95325184"/>
      </c:barChart>
      <c:catAx>
        <c:axId val="9532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5325184"/>
        <c:crosses val="autoZero"/>
        <c:auto val="1"/>
        <c:lblAlgn val="ctr"/>
        <c:lblOffset val="100"/>
        <c:noMultiLvlLbl val="0"/>
      </c:catAx>
      <c:valAx>
        <c:axId val="953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532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152351692696038"/>
          <c:y val="0.85690653646716508"/>
          <c:w val="0.18791748184767759"/>
          <c:h val="0.12516012331171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365897238675985E-2"/>
          <c:y val="5.1880674448767837E-2"/>
          <c:w val="0.8958922430768661"/>
          <c:h val="0.8519497125116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Resumen!$C$100</c:f>
              <c:strCache>
                <c:ptCount val="1"/>
                <c:pt idx="0">
                  <c:v>Total Facturado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Resumen!$B$101:$B$112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Resumen!$C$101:$C$112</c:f>
              <c:numCache>
                <c:formatCode>_-"$"\ * #,##0_-;\-"$"\ * #,##0_-;_-"$"\ * "-"??_-;_-@_-</c:formatCode>
                <c:ptCount val="12"/>
                <c:pt idx="0">
                  <c:v>36446420</c:v>
                </c:pt>
                <c:pt idx="1">
                  <c:v>36411362</c:v>
                </c:pt>
                <c:pt idx="2">
                  <c:v>35098108.024193548</c:v>
                </c:pt>
                <c:pt idx="3">
                  <c:v>33157590</c:v>
                </c:pt>
                <c:pt idx="4">
                  <c:v>31636677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2-4D33-9621-56CB4D872F34}"/>
            </c:ext>
          </c:extLst>
        </c:ser>
        <c:ser>
          <c:idx val="1"/>
          <c:order val="1"/>
          <c:tx>
            <c:strRef>
              <c:f>Resumen!$D$100</c:f>
              <c:strCache>
                <c:ptCount val="1"/>
                <c:pt idx="0">
                  <c:v>Total abonos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Resumen!$B$101:$B$112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Resumen!$D$101:$D$112</c:f>
              <c:numCache>
                <c:formatCode>_-"$"\ * #,##0_-;\-"$"\ * #,##0_-;_-"$"\ * "-"??_-;_-@_-</c:formatCode>
                <c:ptCount val="12"/>
                <c:pt idx="0">
                  <c:v>33941781</c:v>
                </c:pt>
                <c:pt idx="1">
                  <c:v>35254344</c:v>
                </c:pt>
                <c:pt idx="2">
                  <c:v>32616274</c:v>
                </c:pt>
                <c:pt idx="3">
                  <c:v>32457495</c:v>
                </c:pt>
                <c:pt idx="4">
                  <c:v>4167286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92-4D33-9621-56CB4D872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12080008"/>
        <c:axId val="412076072"/>
      </c:barChart>
      <c:catAx>
        <c:axId val="412080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2076072"/>
        <c:crosses val="autoZero"/>
        <c:auto val="1"/>
        <c:lblAlgn val="ctr"/>
        <c:lblOffset val="100"/>
        <c:noMultiLvlLbl val="0"/>
      </c:catAx>
      <c:valAx>
        <c:axId val="41207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208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Bosques!$B$214</c:f>
              <c:strCache>
                <c:ptCount val="1"/>
                <c:pt idx="0">
                  <c:v>Sobre consumo  M3</c:v>
                </c:pt>
              </c:strCache>
            </c:strRef>
          </c:tx>
          <c:invertIfNegative val="0"/>
          <c:cat>
            <c:multiLvlStrRef>
              <c:f>Bosques!$B$217:$B$228</c:f>
            </c:multiLvlStrRef>
          </c:cat>
          <c:val>
            <c:numRef>
              <c:f>Bosques!$C$217:$C$228</c:f>
            </c:numRef>
          </c:val>
          <c:extLst>
            <c:ext xmlns:c16="http://schemas.microsoft.com/office/drawing/2014/chart" uri="{C3380CC4-5D6E-409C-BE32-E72D297353CC}">
              <c16:uniqueId val="{00000000-FEB3-4E20-95AA-8F64ED52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079680"/>
        <c:axId val="97081216"/>
      </c:barChart>
      <c:catAx>
        <c:axId val="9707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081216"/>
        <c:crosses val="autoZero"/>
        <c:auto val="1"/>
        <c:lblAlgn val="ctr"/>
        <c:lblOffset val="100"/>
        <c:noMultiLvlLbl val="0"/>
      </c:catAx>
      <c:valAx>
        <c:axId val="9708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07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Quillayes!$B$212</c:f>
              <c:strCache>
                <c:ptCount val="1"/>
                <c:pt idx="0">
                  <c:v>Sobre consumo  M3</c:v>
                </c:pt>
              </c:strCache>
            </c:strRef>
          </c:tx>
          <c:invertIfNegative val="0"/>
          <c:cat>
            <c:multiLvlStrRef>
              <c:f>Quillayes!$B$215:$B$226</c:f>
            </c:multiLvlStrRef>
          </c:cat>
          <c:val>
            <c:numRef>
              <c:f>Quillayes!$C$215:$C$226</c:f>
            </c:numRef>
          </c:val>
          <c:extLst>
            <c:ext xmlns:c16="http://schemas.microsoft.com/office/drawing/2014/chart" uri="{C3380CC4-5D6E-409C-BE32-E72D297353CC}">
              <c16:uniqueId val="{00000000-3111-4879-A79F-52B3425E6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149312"/>
        <c:axId val="97150848"/>
      </c:barChart>
      <c:catAx>
        <c:axId val="9714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150848"/>
        <c:crosses val="autoZero"/>
        <c:auto val="1"/>
        <c:lblAlgn val="ctr"/>
        <c:lblOffset val="100"/>
        <c:noMultiLvlLbl val="0"/>
      </c:catAx>
      <c:valAx>
        <c:axId val="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14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Boldos!$B$213</c:f>
              <c:strCache>
                <c:ptCount val="1"/>
                <c:pt idx="0">
                  <c:v>Sobre consumo  M3</c:v>
                </c:pt>
              </c:strCache>
            </c:strRef>
          </c:tx>
          <c:invertIfNegative val="0"/>
          <c:cat>
            <c:multiLvlStrRef>
              <c:f>Boldos!$B$216:$B$227</c:f>
            </c:multiLvlStrRef>
          </c:cat>
          <c:val>
            <c:numRef>
              <c:f>Boldos!$C$216:$C$227</c:f>
            </c:numRef>
          </c:val>
          <c:extLst>
            <c:ext xmlns:c16="http://schemas.microsoft.com/office/drawing/2014/chart" uri="{C3380CC4-5D6E-409C-BE32-E72D297353CC}">
              <c16:uniqueId val="{00000000-7295-4B06-8F2C-E181E3ADF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163904"/>
        <c:axId val="97218944"/>
      </c:barChart>
      <c:catAx>
        <c:axId val="971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218944"/>
        <c:crosses val="autoZero"/>
        <c:auto val="1"/>
        <c:lblAlgn val="ctr"/>
        <c:lblOffset val="100"/>
        <c:noMultiLvlLbl val="0"/>
      </c:catAx>
      <c:valAx>
        <c:axId val="9721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16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'Peumos I'!$B$215:$D$215</c:f>
              <c:strCache>
                <c:ptCount val="1"/>
                <c:pt idx="0">
                  <c:v>Sobre consumo  M3</c:v>
                </c:pt>
              </c:strCache>
            </c:strRef>
          </c:tx>
          <c:invertIfNegative val="0"/>
          <c:cat>
            <c:multiLvlStrRef>
              <c:f>'Peumos I'!$B$218:$B$229</c:f>
            </c:multiLvlStrRef>
          </c:cat>
          <c:val>
            <c:numRef>
              <c:f>'Peumos I'!$C$218:$C$229</c:f>
            </c:numRef>
          </c:val>
          <c:extLst>
            <c:ext xmlns:c16="http://schemas.microsoft.com/office/drawing/2014/chart" uri="{C3380CC4-5D6E-409C-BE32-E72D297353CC}">
              <c16:uniqueId val="{00000000-41B9-4F04-8CA6-84CB24DE4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227136"/>
        <c:axId val="97232000"/>
      </c:barChart>
      <c:catAx>
        <c:axId val="9722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232000"/>
        <c:crosses val="autoZero"/>
        <c:auto val="1"/>
        <c:lblAlgn val="ctr"/>
        <c:lblOffset val="100"/>
        <c:noMultiLvlLbl val="0"/>
      </c:catAx>
      <c:valAx>
        <c:axId val="972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22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'Peumos II'!$B$213:$D$213</c:f>
              <c:strCache>
                <c:ptCount val="1"/>
                <c:pt idx="0">
                  <c:v>Sobre consumo  M3</c:v>
                </c:pt>
              </c:strCache>
            </c:strRef>
          </c:tx>
          <c:invertIfNegative val="0"/>
          <c:cat>
            <c:multiLvlStrRef>
              <c:f>'Peumos II'!$B$216:$B$227</c:f>
            </c:multiLvlStrRef>
          </c:cat>
          <c:val>
            <c:numRef>
              <c:f>'Peumos II'!$C$216:$C$227</c:f>
            </c:numRef>
          </c:val>
          <c:extLst>
            <c:ext xmlns:c16="http://schemas.microsoft.com/office/drawing/2014/chart" uri="{C3380CC4-5D6E-409C-BE32-E72D297353CC}">
              <c16:uniqueId val="{00000000-CD1C-43D9-8BBB-22101D189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396608"/>
        <c:axId val="97398144"/>
      </c:barChart>
      <c:catAx>
        <c:axId val="9739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398144"/>
        <c:crosses val="autoZero"/>
        <c:auto val="1"/>
        <c:lblAlgn val="ctr"/>
        <c:lblOffset val="100"/>
        <c:noMultiLvlLbl val="0"/>
      </c:catAx>
      <c:valAx>
        <c:axId val="973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39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398099</xdr:colOff>
      <xdr:row>54</xdr:row>
      <xdr:rowOff>11488</xdr:rowOff>
    </xdr:from>
    <xdr:to>
      <xdr:col>14</xdr:col>
      <xdr:colOff>1123950</xdr:colOff>
      <xdr:row>75</xdr:row>
      <xdr:rowOff>79082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28575</xdr:colOff>
      <xdr:row>0</xdr:row>
      <xdr:rowOff>95250</xdr:rowOff>
    </xdr:from>
    <xdr:to>
      <xdr:col>1</xdr:col>
      <xdr:colOff>1247775</xdr:colOff>
      <xdr:row>5</xdr:row>
      <xdr:rowOff>19050</xdr:rowOff>
    </xdr:to>
    <xdr:pic>
      <xdr:nvPicPr>
        <xdr:cNvPr id="4" name="1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95250"/>
          <a:ext cx="12192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666750</xdr:colOff>
      <xdr:row>76</xdr:row>
      <xdr:rowOff>57150</xdr:rowOff>
    </xdr:from>
    <xdr:to>
      <xdr:col>15</xdr:col>
      <xdr:colOff>335326</xdr:colOff>
      <xdr:row>97</xdr:row>
      <xdr:rowOff>115219</xdr:rowOff>
    </xdr:to>
    <xdr:graphicFrame macro="">
      <xdr:nvGraphicFramePr>
        <xdr:cNvPr id="5" name="5 Gráfic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647699</xdr:colOff>
      <xdr:row>52</xdr:row>
      <xdr:rowOff>0</xdr:rowOff>
    </xdr:from>
    <xdr:to>
      <xdr:col>15</xdr:col>
      <xdr:colOff>19049</xdr:colOff>
      <xdr:row>123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06B54D3-5296-44C3-9F35-D2209E383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213</xdr:row>
      <xdr:rowOff>28575</xdr:rowOff>
    </xdr:from>
    <xdr:to>
      <xdr:col>14</xdr:col>
      <xdr:colOff>406482</xdr:colOff>
      <xdr:row>229</xdr:row>
      <xdr:rowOff>152429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211</xdr:row>
      <xdr:rowOff>19050</xdr:rowOff>
    </xdr:from>
    <xdr:to>
      <xdr:col>14</xdr:col>
      <xdr:colOff>25482</xdr:colOff>
      <xdr:row>227</xdr:row>
      <xdr:rowOff>152429</xdr:rowOff>
    </xdr:to>
    <xdr:graphicFrame macro="">
      <xdr:nvGraphicFramePr>
        <xdr:cNvPr id="4" name="5 Gráfic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212</xdr:row>
      <xdr:rowOff>9525</xdr:rowOff>
    </xdr:from>
    <xdr:to>
      <xdr:col>14</xdr:col>
      <xdr:colOff>54057</xdr:colOff>
      <xdr:row>228</xdr:row>
      <xdr:rowOff>152429</xdr:rowOff>
    </xdr:to>
    <xdr:graphicFrame macro="">
      <xdr:nvGraphicFramePr>
        <xdr:cNvPr id="3" name="5 Gráfic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214</xdr:row>
      <xdr:rowOff>0</xdr:rowOff>
    </xdr:from>
    <xdr:to>
      <xdr:col>14</xdr:col>
      <xdr:colOff>168357</xdr:colOff>
      <xdr:row>230</xdr:row>
      <xdr:rowOff>142904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211</xdr:row>
      <xdr:rowOff>190500</xdr:rowOff>
    </xdr:from>
    <xdr:to>
      <xdr:col>14</xdr:col>
      <xdr:colOff>206457</xdr:colOff>
      <xdr:row>228</xdr:row>
      <xdr:rowOff>133379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squ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illay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oldo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oldo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eumo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eumo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eumos%20II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eumos%20I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BA-P1"/>
      <sheetName val="LBA-P2"/>
      <sheetName val="LBA-P3"/>
      <sheetName val="LBA-P4"/>
      <sheetName val="LBA-P5"/>
      <sheetName val="LBA-P6"/>
      <sheetName val="LBA-P7"/>
      <sheetName val="LBA-P8"/>
      <sheetName val="LBA-P9"/>
      <sheetName val="LBA-P10"/>
      <sheetName val="LBA-P11"/>
      <sheetName val="LBA-P12"/>
      <sheetName val="LBA-13"/>
      <sheetName val="LBA-P14"/>
      <sheetName val="LBA-P15"/>
      <sheetName val="LBA-P16 "/>
      <sheetName val="LBA-P17"/>
      <sheetName val="LBA-P18"/>
      <sheetName val="LBA-P19"/>
      <sheetName val="LBA-20"/>
      <sheetName val="LBA-P21"/>
      <sheetName val="LBA-P22"/>
      <sheetName val="LBA-P23"/>
      <sheetName val="LBA-P24"/>
      <sheetName val="LBA-P26"/>
      <sheetName val="LBA-P27"/>
      <sheetName val="LBA-P28"/>
      <sheetName val="LBA-P29"/>
      <sheetName val="LBA-P30"/>
      <sheetName val="LBA-P31"/>
      <sheetName val="LBA-P32"/>
      <sheetName val="LBA-P33"/>
      <sheetName val="LBA-P34"/>
      <sheetName val="LBA-P35"/>
      <sheetName val="LBA-P36"/>
      <sheetName val="LBA-P37"/>
      <sheetName val="LBA-P38"/>
      <sheetName val="LBA-P39"/>
      <sheetName val="LBA-P40"/>
      <sheetName val="LBA-P41"/>
      <sheetName val="LBA-P42"/>
      <sheetName val="LBA-P43"/>
      <sheetName val="LBA-P44"/>
      <sheetName val="LBA-P45"/>
      <sheetName val="LBA-P46"/>
      <sheetName val="LBA-P47"/>
      <sheetName val="LBA-P48"/>
      <sheetName val="LBA-P50"/>
      <sheetName val="LBA-P51"/>
      <sheetName val="LBA-P52"/>
      <sheetName val="LBA-P53"/>
      <sheetName val="LBA-P54"/>
      <sheetName val="LBA-P55"/>
      <sheetName val="LBA-P56"/>
      <sheetName val="LBA-P57"/>
      <sheetName val="LBA-P58"/>
      <sheetName val="LBA-5H-5A"/>
      <sheetName val="LBA - 5H5B"/>
      <sheetName val="LBA - 5H5C"/>
      <sheetName val="LBA - 5H5D"/>
      <sheetName val="LBA-P5K3A"/>
      <sheetName val="LBA-5H-6"/>
      <sheetName val="LQ-5E2A"/>
      <sheetName val="LBA-5E-2C"/>
      <sheetName val="Final"/>
      <sheetName val="LBA-P34 MD"/>
      <sheetName val="LBA-P11 PH"/>
      <sheetName val="Medidor 1"/>
      <sheetName val="Medidor 2"/>
      <sheetName val="Medidor 3 baños"/>
      <sheetName val="Datos EC"/>
      <sheetName val="EC 11-2011"/>
      <sheetName val="EC-Agua"/>
    </sheetNames>
    <sheetDataSet>
      <sheetData sheetId="0">
        <row r="241">
          <cell r="C241">
            <v>7290935</v>
          </cell>
          <cell r="D241">
            <v>7639058</v>
          </cell>
        </row>
        <row r="242">
          <cell r="C242">
            <v>7251807</v>
          </cell>
          <cell r="D242">
            <v>6083029</v>
          </cell>
        </row>
        <row r="243">
          <cell r="C243">
            <v>7337074</v>
          </cell>
          <cell r="D243">
            <v>9739012</v>
          </cell>
        </row>
        <row r="244">
          <cell r="C244">
            <v>7414369</v>
          </cell>
          <cell r="D244">
            <v>6441719</v>
          </cell>
        </row>
        <row r="245">
          <cell r="C245">
            <v>7902381</v>
          </cell>
          <cell r="D245">
            <v>7292514</v>
          </cell>
        </row>
        <row r="246">
          <cell r="C246">
            <v>8774280</v>
          </cell>
          <cell r="D246">
            <v>11101622</v>
          </cell>
        </row>
        <row r="247">
          <cell r="C247">
            <v>8786199</v>
          </cell>
          <cell r="D247">
            <v>9581100</v>
          </cell>
        </row>
      </sheetData>
      <sheetData sheetId="1"/>
      <sheetData sheetId="2"/>
      <sheetData sheetId="3">
        <row r="175">
          <cell r="E175">
            <v>103</v>
          </cell>
          <cell r="G175">
            <v>15038</v>
          </cell>
          <cell r="J175">
            <v>109</v>
          </cell>
          <cell r="L175">
            <v>60931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R175"/>
          <cell r="S175">
            <v>173110</v>
          </cell>
          <cell r="V175">
            <v>327137</v>
          </cell>
          <cell r="W175">
            <v>-0.29999999998835847</v>
          </cell>
        </row>
        <row r="176">
          <cell r="E176">
            <v>107</v>
          </cell>
          <cell r="G176">
            <v>15622</v>
          </cell>
          <cell r="J176">
            <v>119</v>
          </cell>
          <cell r="L176">
            <v>66521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R176"/>
          <cell r="S176">
            <v>179284</v>
          </cell>
          <cell r="V176">
            <v>179284</v>
          </cell>
          <cell r="W176">
            <v>-0.29999999998835847</v>
          </cell>
        </row>
        <row r="177">
          <cell r="E177">
            <v>139</v>
          </cell>
          <cell r="G177">
            <v>20294</v>
          </cell>
          <cell r="J177">
            <v>161</v>
          </cell>
          <cell r="L177">
            <v>103319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R177"/>
          <cell r="S177">
            <v>220754</v>
          </cell>
          <cell r="V177">
            <v>179284</v>
          </cell>
          <cell r="W177">
            <v>41469.700000000012</v>
          </cell>
        </row>
        <row r="178">
          <cell r="E178">
            <v>125</v>
          </cell>
          <cell r="G178">
            <v>18250</v>
          </cell>
          <cell r="J178">
            <v>41</v>
          </cell>
          <cell r="L178">
            <v>22919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R178"/>
          <cell r="S178">
            <v>138310</v>
          </cell>
          <cell r="V178">
            <v>179780</v>
          </cell>
          <cell r="W178">
            <v>-0.29999999998835847</v>
          </cell>
        </row>
        <row r="179">
          <cell r="E179">
            <v>131</v>
          </cell>
          <cell r="G179">
            <v>19126</v>
          </cell>
          <cell r="J179">
            <v>7</v>
          </cell>
          <cell r="L179">
            <v>3913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R179"/>
          <cell r="S179">
            <v>120180</v>
          </cell>
          <cell r="V179"/>
          <cell r="W179">
            <v>120179.70000000001</v>
          </cell>
        </row>
        <row r="180">
          <cell r="E180">
            <v>114</v>
          </cell>
          <cell r="G180">
            <v>16644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R180"/>
          <cell r="S180">
            <v>114903</v>
          </cell>
          <cell r="V180">
            <v>235083</v>
          </cell>
          <cell r="W180">
            <v>-0.29999999998835847</v>
          </cell>
        </row>
        <row r="181">
          <cell r="E181">
            <v>106</v>
          </cell>
          <cell r="G181">
            <v>15476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R181"/>
          <cell r="S181">
            <v>112617</v>
          </cell>
          <cell r="V181">
            <v>112617</v>
          </cell>
          <cell r="W181">
            <v>-0.29999999998835847</v>
          </cell>
        </row>
        <row r="182">
          <cell r="E182">
            <v>115</v>
          </cell>
          <cell r="G182">
            <v>16790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/>
          <cell r="S182">
            <v>114912</v>
          </cell>
          <cell r="V182"/>
          <cell r="W182">
            <v>114911.70000000001</v>
          </cell>
        </row>
        <row r="183">
          <cell r="E183">
            <v>122</v>
          </cell>
          <cell r="G183">
            <v>17812</v>
          </cell>
          <cell r="J183">
            <v>3</v>
          </cell>
          <cell r="L183">
            <v>1677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/>
          <cell r="S183">
            <v>117627</v>
          </cell>
          <cell r="V183">
            <v>232538</v>
          </cell>
          <cell r="W183">
            <v>0.70000000001164153</v>
          </cell>
        </row>
        <row r="184">
          <cell r="E184">
            <v>103</v>
          </cell>
          <cell r="G184">
            <v>15038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>
            <v>53270</v>
          </cell>
          <cell r="S184">
            <v>166439</v>
          </cell>
          <cell r="V184"/>
          <cell r="W184">
            <v>166439.70000000001</v>
          </cell>
        </row>
        <row r="185">
          <cell r="E185">
            <v>114</v>
          </cell>
          <cell r="G185">
            <v>16644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>
            <v>53462</v>
          </cell>
          <cell r="S185">
            <v>168266</v>
          </cell>
          <cell r="V185">
            <v>334705</v>
          </cell>
          <cell r="W185">
            <v>0.70000000001164153</v>
          </cell>
        </row>
        <row r="186">
          <cell r="E186">
            <v>32</v>
          </cell>
          <cell r="G186">
            <v>4672</v>
          </cell>
          <cell r="J186">
            <v>5</v>
          </cell>
          <cell r="L186">
            <v>2795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/>
          <cell r="S186">
            <v>105647</v>
          </cell>
          <cell r="V186"/>
          <cell r="W186">
            <v>105647.70000000001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/>
          <cell r="S187">
            <v>99922</v>
          </cell>
          <cell r="V187">
            <v>205570</v>
          </cell>
          <cell r="W187">
            <v>-0.29999999998835847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R188">
            <v>53934</v>
          </cell>
          <cell r="S188">
            <v>153886</v>
          </cell>
          <cell r="V188">
            <v>393913</v>
          </cell>
          <cell r="W188">
            <v>-240027.3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R189">
            <v>54009</v>
          </cell>
          <cell r="S189">
            <v>153974</v>
          </cell>
          <cell r="V189"/>
          <cell r="W189">
            <v>-86053.299999999988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R190">
            <v>54157</v>
          </cell>
          <cell r="S190">
            <v>154133</v>
          </cell>
          <cell r="V190"/>
          <cell r="W190">
            <v>68079.700000000012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R191">
            <v>54318</v>
          </cell>
          <cell r="S191">
            <v>154316</v>
          </cell>
          <cell r="V191"/>
          <cell r="W191">
            <v>222395.7</v>
          </cell>
        </row>
        <row r="192">
          <cell r="E192">
            <v>0</v>
          </cell>
          <cell r="G192">
            <v>0</v>
          </cell>
          <cell r="J192"/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R192">
            <v>54405</v>
          </cell>
          <cell r="S192">
            <v>144428</v>
          </cell>
          <cell r="V192"/>
          <cell r="W192">
            <v>366823.7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>
            <v>54575</v>
          </cell>
          <cell r="S193">
            <v>144611</v>
          </cell>
          <cell r="V193"/>
          <cell r="W193">
            <v>511434.7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>
            <v>54715</v>
          </cell>
          <cell r="S194">
            <v>144776</v>
          </cell>
          <cell r="V194"/>
          <cell r="W194">
            <v>656210.69999999995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>
            <v>54864</v>
          </cell>
          <cell r="S195">
            <v>144946</v>
          </cell>
          <cell r="V195"/>
          <cell r="W195">
            <v>801156.7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>
            <v>55066</v>
          </cell>
          <cell r="S196">
            <v>145171</v>
          </cell>
          <cell r="V196"/>
          <cell r="W196">
            <v>946327.7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>
            <v>55132</v>
          </cell>
          <cell r="S197">
            <v>145267</v>
          </cell>
          <cell r="V197"/>
          <cell r="W197">
            <v>1091594.7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90145</v>
          </cell>
          <cell r="V198">
            <v>1181740</v>
          </cell>
          <cell r="W198">
            <v>-0.30000000004656613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92267</v>
          </cell>
          <cell r="W199">
            <v>0.69999999995343387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147385.69999999995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294791.69999999995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442418.69999999995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534751.69999999995</v>
          </cell>
        </row>
        <row r="204">
          <cell r="E204">
            <v>-29638</v>
          </cell>
          <cell r="G204">
            <v>-4327148</v>
          </cell>
          <cell r="J204">
            <v>-9388</v>
          </cell>
          <cell r="L204">
            <v>-5247892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-9491036</v>
          </cell>
          <cell r="V204"/>
          <cell r="W204">
            <v>-8956284.3000000007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-8872280.3000000007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-8788276.3000000007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-8704272.3000000007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-8620268.3000000007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-8536264.3000000007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-8452260.3000000007</v>
          </cell>
        </row>
      </sheetData>
      <sheetData sheetId="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80141</v>
          </cell>
          <cell r="V175">
            <v>153536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80141</v>
          </cell>
          <cell r="V176">
            <v>74395</v>
          </cell>
          <cell r="W176">
            <v>5746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80141</v>
          </cell>
          <cell r="V177">
            <v>74395</v>
          </cell>
          <cell r="W177">
            <v>11492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80141</v>
          </cell>
          <cell r="V178">
            <v>74395</v>
          </cell>
          <cell r="W178">
            <v>17238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80141</v>
          </cell>
          <cell r="V179">
            <v>73395</v>
          </cell>
          <cell r="W179">
            <v>23984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80141</v>
          </cell>
          <cell r="V180">
            <v>80000</v>
          </cell>
          <cell r="W180">
            <v>24125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80141</v>
          </cell>
          <cell r="V181"/>
          <cell r="W181">
            <v>104266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0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80141</v>
          </cell>
          <cell r="V182">
            <v>184407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0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80141</v>
          </cell>
          <cell r="V183"/>
          <cell r="W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80141</v>
          </cell>
          <cell r="V184">
            <v>160282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0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80141</v>
          </cell>
          <cell r="V185"/>
          <cell r="W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0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80141</v>
          </cell>
          <cell r="V186">
            <v>160282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0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81875</v>
          </cell>
          <cell r="V187">
            <v>81875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0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81875</v>
          </cell>
          <cell r="V188">
            <v>81875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0</v>
          </cell>
          <cell r="O189">
            <v>0</v>
          </cell>
          <cell r="P189">
            <v>0</v>
          </cell>
          <cell r="Q189">
            <v>78144</v>
          </cell>
          <cell r="R189"/>
          <cell r="S189">
            <v>81875</v>
          </cell>
          <cell r="V189"/>
          <cell r="W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0</v>
          </cell>
          <cell r="O190">
            <v>0</v>
          </cell>
          <cell r="P190">
            <v>0</v>
          </cell>
          <cell r="Q190">
            <v>78144</v>
          </cell>
          <cell r="R190"/>
          <cell r="S190">
            <v>81875</v>
          </cell>
          <cell r="V190">
            <v>163750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0</v>
          </cell>
          <cell r="O191">
            <v>0</v>
          </cell>
          <cell r="P191">
            <v>0</v>
          </cell>
          <cell r="Q191">
            <v>78144</v>
          </cell>
          <cell r="R191"/>
          <cell r="S191">
            <v>81875</v>
          </cell>
          <cell r="V191"/>
          <cell r="W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0</v>
          </cell>
          <cell r="O192">
            <v>0</v>
          </cell>
          <cell r="P192">
            <v>0</v>
          </cell>
          <cell r="Q192">
            <v>78144</v>
          </cell>
          <cell r="R192"/>
          <cell r="S192">
            <v>81875</v>
          </cell>
          <cell r="V192">
            <v>163750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0</v>
          </cell>
          <cell r="O193">
            <v>0</v>
          </cell>
          <cell r="P193">
            <v>0</v>
          </cell>
          <cell r="Q193">
            <v>78144</v>
          </cell>
          <cell r="R193"/>
          <cell r="S193">
            <v>81875</v>
          </cell>
          <cell r="V193">
            <v>81875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0</v>
          </cell>
          <cell r="O194">
            <v>0</v>
          </cell>
          <cell r="P194">
            <v>0</v>
          </cell>
          <cell r="Q194">
            <v>78144</v>
          </cell>
          <cell r="R194"/>
          <cell r="S194">
            <v>81875</v>
          </cell>
          <cell r="V194">
            <v>81875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0</v>
          </cell>
          <cell r="O195">
            <v>0</v>
          </cell>
          <cell r="P195">
            <v>0</v>
          </cell>
          <cell r="Q195">
            <v>78144</v>
          </cell>
          <cell r="R195"/>
          <cell r="S195">
            <v>81875</v>
          </cell>
          <cell r="V195">
            <v>81875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0</v>
          </cell>
          <cell r="O196">
            <v>0</v>
          </cell>
          <cell r="P196">
            <v>0</v>
          </cell>
          <cell r="Q196">
            <v>78144</v>
          </cell>
          <cell r="R196"/>
          <cell r="S196">
            <v>81875</v>
          </cell>
          <cell r="V196">
            <v>81875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0</v>
          </cell>
          <cell r="O197">
            <v>0</v>
          </cell>
          <cell r="P197">
            <v>0</v>
          </cell>
          <cell r="Q197">
            <v>78144</v>
          </cell>
          <cell r="R197"/>
          <cell r="S197">
            <v>81875</v>
          </cell>
          <cell r="V197">
            <v>81875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0</v>
          </cell>
          <cell r="O198">
            <v>0</v>
          </cell>
          <cell r="P198">
            <v>0</v>
          </cell>
          <cell r="Q198">
            <v>78144</v>
          </cell>
          <cell r="R198"/>
          <cell r="S198">
            <v>81875</v>
          </cell>
          <cell r="V198">
            <v>81875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0</v>
          </cell>
          <cell r="O199">
            <v>0</v>
          </cell>
          <cell r="P199">
            <v>0</v>
          </cell>
          <cell r="Q199">
            <v>80176</v>
          </cell>
          <cell r="R199"/>
          <cell r="S199">
            <v>84004</v>
          </cell>
          <cell r="V199">
            <v>81875</v>
          </cell>
          <cell r="W199">
            <v>2129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0</v>
          </cell>
          <cell r="O200">
            <v>0</v>
          </cell>
          <cell r="P200">
            <v>0</v>
          </cell>
          <cell r="Q200">
            <v>80176</v>
          </cell>
          <cell r="R200"/>
          <cell r="S200">
            <v>84004</v>
          </cell>
          <cell r="V200">
            <v>86133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0</v>
          </cell>
          <cell r="O201">
            <v>0</v>
          </cell>
          <cell r="P201">
            <v>0</v>
          </cell>
          <cell r="Q201">
            <v>80176</v>
          </cell>
          <cell r="R201">
            <v>55132</v>
          </cell>
          <cell r="S201">
            <v>139136</v>
          </cell>
          <cell r="V201"/>
          <cell r="W201">
            <v>139136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0</v>
          </cell>
          <cell r="O202">
            <v>0</v>
          </cell>
          <cell r="P202">
            <v>0</v>
          </cell>
          <cell r="Q202">
            <v>80176</v>
          </cell>
          <cell r="R202">
            <v>55324</v>
          </cell>
          <cell r="S202">
            <v>139328</v>
          </cell>
          <cell r="V202"/>
          <cell r="W202">
            <v>278464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0</v>
          </cell>
          <cell r="O203">
            <v>0</v>
          </cell>
          <cell r="P203">
            <v>0</v>
          </cell>
          <cell r="Q203">
            <v>80176</v>
          </cell>
          <cell r="R203"/>
          <cell r="S203">
            <v>84004</v>
          </cell>
          <cell r="V203"/>
          <cell r="W203">
            <v>362468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>
            <v>0</v>
          </cell>
          <cell r="O204">
            <v>0</v>
          </cell>
          <cell r="P204">
            <v>0</v>
          </cell>
          <cell r="Q204">
            <v>80176</v>
          </cell>
          <cell r="R204"/>
          <cell r="S204">
            <v>84004</v>
          </cell>
          <cell r="V204"/>
          <cell r="W204">
            <v>446472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>
            <v>0</v>
          </cell>
          <cell r="O205">
            <v>0</v>
          </cell>
          <cell r="P205">
            <v>0</v>
          </cell>
          <cell r="Q205">
            <v>80176</v>
          </cell>
          <cell r="R205"/>
          <cell r="S205">
            <v>84004</v>
          </cell>
          <cell r="V205"/>
          <cell r="W205">
            <v>530476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>
            <v>0</v>
          </cell>
          <cell r="O206">
            <v>0</v>
          </cell>
          <cell r="P206">
            <v>0</v>
          </cell>
          <cell r="Q206">
            <v>80176</v>
          </cell>
          <cell r="R206"/>
          <cell r="S206">
            <v>84004</v>
          </cell>
          <cell r="V206"/>
          <cell r="W206">
            <v>614480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>
            <v>0</v>
          </cell>
          <cell r="O207">
            <v>0</v>
          </cell>
          <cell r="P207">
            <v>0</v>
          </cell>
          <cell r="Q207">
            <v>80176</v>
          </cell>
          <cell r="R207"/>
          <cell r="S207">
            <v>84004</v>
          </cell>
          <cell r="V207"/>
          <cell r="W207">
            <v>698484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>
            <v>0</v>
          </cell>
          <cell r="O208">
            <v>0</v>
          </cell>
          <cell r="P208">
            <v>0</v>
          </cell>
          <cell r="Q208">
            <v>80176</v>
          </cell>
          <cell r="R208"/>
          <cell r="S208">
            <v>84004</v>
          </cell>
          <cell r="V208"/>
          <cell r="W208">
            <v>782488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>
            <v>0</v>
          </cell>
          <cell r="O209">
            <v>0</v>
          </cell>
          <cell r="P209">
            <v>0</v>
          </cell>
          <cell r="Q209">
            <v>80176</v>
          </cell>
          <cell r="R209"/>
          <cell r="S209">
            <v>84004</v>
          </cell>
          <cell r="V209"/>
          <cell r="W209">
            <v>866492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>
            <v>0</v>
          </cell>
          <cell r="O210">
            <v>0</v>
          </cell>
          <cell r="P210">
            <v>0</v>
          </cell>
          <cell r="Q210">
            <v>80176</v>
          </cell>
          <cell r="R210"/>
          <cell r="S210">
            <v>84004</v>
          </cell>
          <cell r="V210"/>
          <cell r="W210">
            <v>950496</v>
          </cell>
        </row>
      </sheetData>
      <sheetData sheetId="5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87141</v>
          </cell>
          <cell r="W182">
            <v>981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>
            <v>87141</v>
          </cell>
          <cell r="W183">
            <v>1978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90109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>
            <v>88180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89952</v>
          </cell>
          <cell r="V188">
            <v>90000</v>
          </cell>
          <cell r="W188">
            <v>-48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S189">
            <v>89965</v>
          </cell>
          <cell r="V189">
            <v>90000</v>
          </cell>
          <cell r="W189">
            <v>-83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S190">
            <v>89976</v>
          </cell>
          <cell r="V190">
            <v>90000</v>
          </cell>
          <cell r="W190">
            <v>-107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S191">
            <v>89998</v>
          </cell>
          <cell r="V191"/>
          <cell r="W191">
            <v>89891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S192">
            <v>90023</v>
          </cell>
          <cell r="V192">
            <v>179914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S193">
            <v>90036</v>
          </cell>
          <cell r="V193">
            <v>90000</v>
          </cell>
          <cell r="W193">
            <v>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S194">
            <v>90061</v>
          </cell>
          <cell r="V194"/>
          <cell r="W194">
            <v>90097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/>
          <cell r="S195">
            <v>90082</v>
          </cell>
          <cell r="V195">
            <v>180179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/>
          <cell r="S196">
            <v>90105</v>
          </cell>
          <cell r="V196">
            <v>90000</v>
          </cell>
          <cell r="W196">
            <v>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S197">
            <v>145267</v>
          </cell>
          <cell r="V197">
            <v>180000</v>
          </cell>
          <cell r="W197">
            <v>-34628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55092</v>
          </cell>
          <cell r="S198">
            <v>145237</v>
          </cell>
          <cell r="V198">
            <v>110609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90000</v>
          </cell>
          <cell r="W199">
            <v>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90000</v>
          </cell>
          <cell r="W200">
            <v>4539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90000</v>
          </cell>
          <cell r="W201">
            <v>6813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96813</v>
          </cell>
          <cell r="W202">
            <v>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94636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178640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262644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346648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430652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514656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598660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682664</v>
          </cell>
        </row>
      </sheetData>
      <sheetData sheetId="6">
        <row r="175">
          <cell r="E175">
            <v>389</v>
          </cell>
          <cell r="G175">
            <v>56794</v>
          </cell>
          <cell r="J175">
            <v>67</v>
          </cell>
          <cell r="L175">
            <v>37252</v>
          </cell>
          <cell r="M175">
            <v>3731</v>
          </cell>
          <cell r="N175">
            <v>7000</v>
          </cell>
          <cell r="O175"/>
          <cell r="P175">
            <v>0</v>
          </cell>
          <cell r="Q175">
            <v>76410</v>
          </cell>
          <cell r="R175"/>
          <cell r="S175">
            <v>181187</v>
          </cell>
          <cell r="V175">
            <v>181187</v>
          </cell>
          <cell r="W175">
            <v>0</v>
          </cell>
        </row>
        <row r="176">
          <cell r="E176">
            <v>568</v>
          </cell>
          <cell r="G176">
            <v>82928</v>
          </cell>
          <cell r="J176">
            <v>56</v>
          </cell>
          <cell r="L176">
            <v>31304</v>
          </cell>
          <cell r="M176">
            <v>3731</v>
          </cell>
          <cell r="N176">
            <v>7000</v>
          </cell>
          <cell r="O176"/>
          <cell r="P176">
            <v>0</v>
          </cell>
          <cell r="Q176">
            <v>76410</v>
          </cell>
          <cell r="R176"/>
          <cell r="S176">
            <v>201373</v>
          </cell>
          <cell r="V176">
            <v>201373</v>
          </cell>
          <cell r="W176">
            <v>0</v>
          </cell>
        </row>
        <row r="177">
          <cell r="E177">
            <v>477</v>
          </cell>
          <cell r="G177">
            <v>69642</v>
          </cell>
          <cell r="J177">
            <v>54</v>
          </cell>
          <cell r="L177">
            <v>30186</v>
          </cell>
          <cell r="M177">
            <v>3731</v>
          </cell>
          <cell r="N177">
            <v>7000</v>
          </cell>
          <cell r="O177"/>
          <cell r="P177">
            <v>0</v>
          </cell>
          <cell r="Q177">
            <v>76410</v>
          </cell>
          <cell r="R177"/>
          <cell r="S177">
            <v>186969</v>
          </cell>
          <cell r="V177">
            <v>186969</v>
          </cell>
          <cell r="W177">
            <v>0</v>
          </cell>
        </row>
        <row r="178">
          <cell r="E178">
            <v>345</v>
          </cell>
          <cell r="G178">
            <v>50370</v>
          </cell>
          <cell r="J178">
            <v>28</v>
          </cell>
          <cell r="L178">
            <v>15652</v>
          </cell>
          <cell r="M178">
            <v>3731</v>
          </cell>
          <cell r="N178">
            <v>7000</v>
          </cell>
          <cell r="O178"/>
          <cell r="P178">
            <v>0</v>
          </cell>
          <cell r="Q178">
            <v>76410</v>
          </cell>
          <cell r="R178"/>
          <cell r="S178">
            <v>153163</v>
          </cell>
          <cell r="V178">
            <v>153163</v>
          </cell>
          <cell r="W178">
            <v>0</v>
          </cell>
        </row>
        <row r="179">
          <cell r="E179">
            <v>382</v>
          </cell>
          <cell r="G179">
            <v>55772</v>
          </cell>
          <cell r="J179">
            <v>24</v>
          </cell>
          <cell r="L179">
            <v>13416</v>
          </cell>
          <cell r="M179">
            <v>3731</v>
          </cell>
          <cell r="N179">
            <v>7000</v>
          </cell>
          <cell r="O179"/>
          <cell r="P179">
            <v>0</v>
          </cell>
          <cell r="Q179">
            <v>76410</v>
          </cell>
          <cell r="R179"/>
          <cell r="S179">
            <v>156329</v>
          </cell>
          <cell r="V179">
            <v>156329</v>
          </cell>
          <cell r="W179">
            <v>0</v>
          </cell>
        </row>
        <row r="180">
          <cell r="E180">
            <v>514</v>
          </cell>
          <cell r="G180">
            <v>75044</v>
          </cell>
          <cell r="J180">
            <v>12</v>
          </cell>
          <cell r="L180">
            <v>6708</v>
          </cell>
          <cell r="M180">
            <v>3731</v>
          </cell>
          <cell r="N180">
            <v>7000</v>
          </cell>
          <cell r="O180"/>
          <cell r="P180">
            <v>0</v>
          </cell>
          <cell r="Q180">
            <v>76410</v>
          </cell>
          <cell r="R180"/>
          <cell r="S180">
            <v>168893</v>
          </cell>
          <cell r="V180">
            <v>168893</v>
          </cell>
          <cell r="W180">
            <v>0</v>
          </cell>
        </row>
        <row r="181">
          <cell r="E181">
            <v>485</v>
          </cell>
          <cell r="G181">
            <v>70810</v>
          </cell>
          <cell r="J181">
            <v>13</v>
          </cell>
          <cell r="L181">
            <v>7267</v>
          </cell>
          <cell r="M181">
            <v>3731</v>
          </cell>
          <cell r="N181">
            <v>7000</v>
          </cell>
          <cell r="O181"/>
          <cell r="P181">
            <v>0</v>
          </cell>
          <cell r="Q181">
            <v>76410</v>
          </cell>
          <cell r="R181"/>
          <cell r="S181">
            <v>165218</v>
          </cell>
          <cell r="V181">
            <v>165218</v>
          </cell>
          <cell r="W181">
            <v>0</v>
          </cell>
        </row>
        <row r="182">
          <cell r="E182">
            <v>456</v>
          </cell>
          <cell r="G182">
            <v>66576</v>
          </cell>
          <cell r="J182">
            <v>14</v>
          </cell>
          <cell r="L182">
            <v>7826</v>
          </cell>
          <cell r="M182">
            <v>3731</v>
          </cell>
          <cell r="N182">
            <v>7981</v>
          </cell>
          <cell r="O182"/>
          <cell r="P182">
            <v>0</v>
          </cell>
          <cell r="Q182">
            <v>76410</v>
          </cell>
          <cell r="R182"/>
          <cell r="S182">
            <v>162524</v>
          </cell>
          <cell r="V182">
            <v>162524</v>
          </cell>
          <cell r="W182">
            <v>0</v>
          </cell>
        </row>
        <row r="183">
          <cell r="E183">
            <v>385</v>
          </cell>
          <cell r="G183">
            <v>56210</v>
          </cell>
          <cell r="J183">
            <v>20</v>
          </cell>
          <cell r="L183">
            <v>11180</v>
          </cell>
          <cell r="M183">
            <v>3731</v>
          </cell>
          <cell r="N183">
            <v>7997</v>
          </cell>
          <cell r="O183"/>
          <cell r="P183">
            <v>0</v>
          </cell>
          <cell r="Q183">
            <v>76410</v>
          </cell>
          <cell r="R183"/>
          <cell r="S183">
            <v>155528</v>
          </cell>
          <cell r="V183">
            <v>155528</v>
          </cell>
          <cell r="W183">
            <v>0</v>
          </cell>
        </row>
        <row r="184">
          <cell r="E184">
            <v>413</v>
          </cell>
          <cell r="G184">
            <v>60298</v>
          </cell>
          <cell r="J184">
            <v>25</v>
          </cell>
          <cell r="L184">
            <v>13975</v>
          </cell>
          <cell r="M184">
            <v>3731</v>
          </cell>
          <cell r="N184">
            <v>7990</v>
          </cell>
          <cell r="O184"/>
          <cell r="P184">
            <v>0</v>
          </cell>
          <cell r="Q184">
            <v>76410</v>
          </cell>
          <cell r="R184"/>
          <cell r="S184">
            <v>162404</v>
          </cell>
          <cell r="V184">
            <v>162410</v>
          </cell>
          <cell r="W184">
            <v>-6</v>
          </cell>
        </row>
        <row r="185">
          <cell r="E185">
            <v>415</v>
          </cell>
          <cell r="G185">
            <v>60590</v>
          </cell>
          <cell r="J185">
            <v>49</v>
          </cell>
          <cell r="L185">
            <v>27391</v>
          </cell>
          <cell r="M185">
            <v>3731</v>
          </cell>
          <cell r="N185">
            <v>8019</v>
          </cell>
          <cell r="O185"/>
          <cell r="P185">
            <v>0</v>
          </cell>
          <cell r="Q185">
            <v>76410</v>
          </cell>
          <cell r="R185"/>
          <cell r="S185">
            <v>176141</v>
          </cell>
          <cell r="V185">
            <v>176135</v>
          </cell>
          <cell r="W185">
            <v>0</v>
          </cell>
        </row>
        <row r="186">
          <cell r="E186">
            <v>317</v>
          </cell>
          <cell r="G186">
            <v>46282</v>
          </cell>
          <cell r="J186">
            <v>43</v>
          </cell>
          <cell r="L186">
            <v>24037</v>
          </cell>
          <cell r="M186">
            <v>3731</v>
          </cell>
          <cell r="N186">
            <v>8039</v>
          </cell>
          <cell r="O186"/>
          <cell r="P186">
            <v>0</v>
          </cell>
          <cell r="Q186">
            <v>76410</v>
          </cell>
          <cell r="R186"/>
          <cell r="S186">
            <v>158499</v>
          </cell>
          <cell r="V186">
            <v>158499</v>
          </cell>
          <cell r="W186">
            <v>0</v>
          </cell>
        </row>
        <row r="187">
          <cell r="E187">
            <v>412</v>
          </cell>
          <cell r="G187">
            <v>60152</v>
          </cell>
          <cell r="J187">
            <v>67</v>
          </cell>
          <cell r="L187">
            <v>37453</v>
          </cell>
          <cell r="M187">
            <v>3731</v>
          </cell>
          <cell r="N187">
            <v>8047</v>
          </cell>
          <cell r="O187"/>
          <cell r="P187">
            <v>0</v>
          </cell>
          <cell r="Q187">
            <v>78144</v>
          </cell>
          <cell r="R187"/>
          <cell r="S187">
            <v>187527</v>
          </cell>
          <cell r="V187">
            <v>187527</v>
          </cell>
          <cell r="W187">
            <v>0</v>
          </cell>
        </row>
        <row r="188">
          <cell r="E188">
            <v>366</v>
          </cell>
          <cell r="G188">
            <v>53436</v>
          </cell>
          <cell r="J188">
            <v>63</v>
          </cell>
          <cell r="L188">
            <v>35217</v>
          </cell>
          <cell r="M188">
            <v>3731</v>
          </cell>
          <cell r="N188">
            <v>8077</v>
          </cell>
          <cell r="O188"/>
          <cell r="P188">
            <v>0</v>
          </cell>
          <cell r="Q188">
            <v>78144</v>
          </cell>
          <cell r="R188"/>
          <cell r="S188">
            <v>178605</v>
          </cell>
          <cell r="V188">
            <v>178605</v>
          </cell>
          <cell r="W188">
            <v>0</v>
          </cell>
        </row>
        <row r="189">
          <cell r="E189">
            <v>257</v>
          </cell>
          <cell r="G189">
            <v>37522</v>
          </cell>
          <cell r="J189">
            <v>60</v>
          </cell>
          <cell r="L189">
            <v>33540</v>
          </cell>
          <cell r="M189">
            <v>3731</v>
          </cell>
          <cell r="N189">
            <v>8090</v>
          </cell>
          <cell r="O189"/>
          <cell r="P189">
            <v>0</v>
          </cell>
          <cell r="Q189">
            <v>78144</v>
          </cell>
          <cell r="R189"/>
          <cell r="S189">
            <v>161027</v>
          </cell>
          <cell r="V189">
            <v>161027</v>
          </cell>
          <cell r="W189">
            <v>0</v>
          </cell>
        </row>
        <row r="190">
          <cell r="E190">
            <v>161</v>
          </cell>
          <cell r="G190">
            <v>23506</v>
          </cell>
          <cell r="J190">
            <v>35</v>
          </cell>
          <cell r="L190">
            <v>19565</v>
          </cell>
          <cell r="M190">
            <v>3731</v>
          </cell>
          <cell r="N190">
            <v>8101</v>
          </cell>
          <cell r="O190"/>
          <cell r="P190">
            <v>0</v>
          </cell>
          <cell r="Q190">
            <v>78144</v>
          </cell>
          <cell r="R190"/>
          <cell r="S190">
            <v>133047</v>
          </cell>
          <cell r="V190">
            <v>133047</v>
          </cell>
          <cell r="W190">
            <v>0</v>
          </cell>
        </row>
        <row r="191">
          <cell r="E191">
            <v>141</v>
          </cell>
          <cell r="G191">
            <v>20586</v>
          </cell>
          <cell r="J191">
            <v>25</v>
          </cell>
          <cell r="L191">
            <v>13975</v>
          </cell>
          <cell r="M191">
            <v>3731</v>
          </cell>
          <cell r="N191">
            <v>8123</v>
          </cell>
          <cell r="O191"/>
          <cell r="P191">
            <v>0</v>
          </cell>
          <cell r="Q191">
            <v>78144</v>
          </cell>
          <cell r="R191"/>
          <cell r="S191">
            <v>124559</v>
          </cell>
          <cell r="V191"/>
          <cell r="W191">
            <v>124559</v>
          </cell>
        </row>
        <row r="192">
          <cell r="E192">
            <v>116</v>
          </cell>
          <cell r="G192">
            <v>16936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O192"/>
          <cell r="P192">
            <v>0</v>
          </cell>
          <cell r="Q192">
            <v>78144</v>
          </cell>
          <cell r="R192"/>
          <cell r="S192">
            <v>111990</v>
          </cell>
          <cell r="V192">
            <v>236549</v>
          </cell>
          <cell r="W192">
            <v>0</v>
          </cell>
        </row>
        <row r="193">
          <cell r="E193">
            <v>123</v>
          </cell>
          <cell r="G193">
            <v>17958</v>
          </cell>
          <cell r="J193">
            <v>4</v>
          </cell>
          <cell r="L193">
            <v>2236</v>
          </cell>
          <cell r="M193">
            <v>3731</v>
          </cell>
          <cell r="N193">
            <v>8161</v>
          </cell>
          <cell r="O193"/>
          <cell r="P193">
            <v>0</v>
          </cell>
          <cell r="Q193">
            <v>78144</v>
          </cell>
          <cell r="R193"/>
          <cell r="S193">
            <v>110230</v>
          </cell>
          <cell r="V193"/>
          <cell r="W193">
            <v>110230</v>
          </cell>
        </row>
        <row r="194">
          <cell r="E194">
            <v>147</v>
          </cell>
          <cell r="G194">
            <v>21462</v>
          </cell>
          <cell r="J194">
            <v>4</v>
          </cell>
          <cell r="L194">
            <v>2236</v>
          </cell>
          <cell r="M194">
            <v>3731</v>
          </cell>
          <cell r="N194">
            <v>8186</v>
          </cell>
          <cell r="O194"/>
          <cell r="P194">
            <v>0</v>
          </cell>
          <cell r="Q194">
            <v>78144</v>
          </cell>
          <cell r="R194"/>
          <cell r="S194">
            <v>113759</v>
          </cell>
          <cell r="V194">
            <v>223989</v>
          </cell>
          <cell r="W194">
            <v>0</v>
          </cell>
        </row>
        <row r="195">
          <cell r="E195">
            <v>466</v>
          </cell>
          <cell r="G195">
            <v>68036</v>
          </cell>
          <cell r="J195">
            <v>3</v>
          </cell>
          <cell r="L195">
            <v>1677</v>
          </cell>
          <cell r="M195">
            <v>3731</v>
          </cell>
          <cell r="N195">
            <v>8207</v>
          </cell>
          <cell r="O195"/>
          <cell r="P195">
            <v>0</v>
          </cell>
          <cell r="Q195">
            <v>78144</v>
          </cell>
          <cell r="R195"/>
          <cell r="S195">
            <v>159795</v>
          </cell>
          <cell r="V195">
            <v>159795</v>
          </cell>
          <cell r="W195">
            <v>0</v>
          </cell>
        </row>
        <row r="196">
          <cell r="E196">
            <v>201</v>
          </cell>
          <cell r="G196">
            <v>29346</v>
          </cell>
          <cell r="J196">
            <v>10</v>
          </cell>
          <cell r="L196">
            <v>5590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R196"/>
          <cell r="S196">
            <v>125041</v>
          </cell>
          <cell r="V196">
            <v>125041</v>
          </cell>
          <cell r="W196">
            <v>0</v>
          </cell>
        </row>
        <row r="197">
          <cell r="E197">
            <v>175</v>
          </cell>
          <cell r="G197">
            <v>25550</v>
          </cell>
          <cell r="J197">
            <v>26</v>
          </cell>
          <cell r="L197">
            <v>14534</v>
          </cell>
          <cell r="M197">
            <v>3731</v>
          </cell>
          <cell r="N197">
            <v>8260</v>
          </cell>
          <cell r="O197"/>
          <cell r="P197">
            <v>0</v>
          </cell>
          <cell r="Q197">
            <v>78144</v>
          </cell>
          <cell r="R197"/>
          <cell r="S197">
            <v>130219</v>
          </cell>
          <cell r="V197">
            <v>130219</v>
          </cell>
          <cell r="W197">
            <v>0</v>
          </cell>
        </row>
        <row r="198">
          <cell r="E198">
            <v>180</v>
          </cell>
          <cell r="G198">
            <v>26280</v>
          </cell>
          <cell r="J198">
            <v>37</v>
          </cell>
          <cell r="L198">
            <v>20683</v>
          </cell>
          <cell r="M198">
            <v>3731</v>
          </cell>
          <cell r="N198">
            <v>8270</v>
          </cell>
          <cell r="O198"/>
          <cell r="P198">
            <v>0</v>
          </cell>
          <cell r="Q198">
            <v>78144</v>
          </cell>
          <cell r="R198"/>
          <cell r="S198">
            <v>137108</v>
          </cell>
          <cell r="V198">
            <v>137108</v>
          </cell>
          <cell r="W198">
            <v>0</v>
          </cell>
        </row>
        <row r="199">
          <cell r="E199">
            <v>222</v>
          </cell>
          <cell r="G199">
            <v>32412</v>
          </cell>
          <cell r="J199">
            <v>77</v>
          </cell>
          <cell r="L199">
            <v>43043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167723</v>
          </cell>
          <cell r="V199">
            <v>167723</v>
          </cell>
          <cell r="W199">
            <v>0</v>
          </cell>
        </row>
        <row r="200">
          <cell r="E200">
            <v>319</v>
          </cell>
          <cell r="G200">
            <v>46574</v>
          </cell>
          <cell r="J200">
            <v>92</v>
          </cell>
          <cell r="L200">
            <v>51428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190273</v>
          </cell>
          <cell r="V200">
            <v>250000</v>
          </cell>
          <cell r="W200">
            <v>-59727</v>
          </cell>
        </row>
        <row r="201">
          <cell r="E201">
            <v>207</v>
          </cell>
          <cell r="G201">
            <v>30222</v>
          </cell>
          <cell r="J201">
            <v>89</v>
          </cell>
          <cell r="L201">
            <v>49751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172247</v>
          </cell>
          <cell r="V201">
            <v>112520</v>
          </cell>
          <cell r="W201">
            <v>0</v>
          </cell>
        </row>
        <row r="202">
          <cell r="E202">
            <v>217</v>
          </cell>
          <cell r="G202">
            <v>31682</v>
          </cell>
          <cell r="J202">
            <v>88</v>
          </cell>
          <cell r="L202">
            <v>49192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173177</v>
          </cell>
          <cell r="V202"/>
          <cell r="W202">
            <v>173177</v>
          </cell>
        </row>
        <row r="203">
          <cell r="E203">
            <v>167</v>
          </cell>
          <cell r="G203">
            <v>24382</v>
          </cell>
          <cell r="J203">
            <v>84</v>
          </cell>
          <cell r="L203">
            <v>46956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163671</v>
          </cell>
          <cell r="V203"/>
          <cell r="W203">
            <v>336848</v>
          </cell>
        </row>
        <row r="204">
          <cell r="E204">
            <v>-21364</v>
          </cell>
          <cell r="G204">
            <v>-3119144</v>
          </cell>
          <cell r="J204">
            <v>-2983</v>
          </cell>
          <cell r="L204">
            <v>-1667497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-4702637</v>
          </cell>
          <cell r="V204"/>
          <cell r="W204">
            <v>-4365789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-4281785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-4197781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-4113777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-4029773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-3945769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-3861765</v>
          </cell>
        </row>
      </sheetData>
      <sheetData sheetId="7">
        <row r="175">
          <cell r="E175">
            <v>194</v>
          </cell>
          <cell r="G175">
            <v>28324</v>
          </cell>
          <cell r="J175">
            <v>15</v>
          </cell>
          <cell r="L175">
            <v>8385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123850</v>
          </cell>
          <cell r="V175">
            <v>123850</v>
          </cell>
          <cell r="W175">
            <v>0</v>
          </cell>
        </row>
        <row r="176">
          <cell r="E176">
            <v>208</v>
          </cell>
          <cell r="G176">
            <v>30368</v>
          </cell>
          <cell r="J176">
            <v>15</v>
          </cell>
          <cell r="L176">
            <v>8385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125894</v>
          </cell>
          <cell r="V176">
            <v>125894</v>
          </cell>
          <cell r="W176">
            <v>0</v>
          </cell>
        </row>
        <row r="177">
          <cell r="E177">
            <v>130</v>
          </cell>
          <cell r="G177">
            <v>18980</v>
          </cell>
          <cell r="J177">
            <v>15</v>
          </cell>
          <cell r="L177">
            <v>8385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114506</v>
          </cell>
          <cell r="V177">
            <v>114506</v>
          </cell>
          <cell r="W177">
            <v>0</v>
          </cell>
        </row>
        <row r="178">
          <cell r="E178">
            <v>112</v>
          </cell>
          <cell r="G178">
            <v>16352</v>
          </cell>
          <cell r="J178">
            <v>6</v>
          </cell>
          <cell r="L178">
            <v>3354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106847</v>
          </cell>
          <cell r="V178">
            <v>106847</v>
          </cell>
          <cell r="W178">
            <v>0</v>
          </cell>
        </row>
        <row r="179">
          <cell r="E179">
            <v>116</v>
          </cell>
          <cell r="G179">
            <v>16936</v>
          </cell>
          <cell r="J179">
            <v>3</v>
          </cell>
          <cell r="L179">
            <v>1677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105754</v>
          </cell>
          <cell r="V179">
            <v>105754</v>
          </cell>
          <cell r="W179">
            <v>0</v>
          </cell>
        </row>
        <row r="180">
          <cell r="E180">
            <v>113</v>
          </cell>
          <cell r="G180">
            <v>16498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103639</v>
          </cell>
          <cell r="V180">
            <v>103639</v>
          </cell>
          <cell r="W180">
            <v>0</v>
          </cell>
        </row>
        <row r="181">
          <cell r="E181">
            <v>169</v>
          </cell>
          <cell r="G181">
            <v>24674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111815</v>
          </cell>
          <cell r="V181">
            <v>111815</v>
          </cell>
          <cell r="W181">
            <v>0</v>
          </cell>
        </row>
        <row r="182">
          <cell r="E182">
            <v>135</v>
          </cell>
          <cell r="G182">
            <v>19710</v>
          </cell>
          <cell r="J182">
            <v>2</v>
          </cell>
          <cell r="L182">
            <v>1118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108950</v>
          </cell>
          <cell r="V182">
            <v>108950</v>
          </cell>
          <cell r="W182">
            <v>0</v>
          </cell>
        </row>
        <row r="183">
          <cell r="E183">
            <v>156</v>
          </cell>
          <cell r="G183">
            <v>22776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115386</v>
          </cell>
          <cell r="V183">
            <v>115386</v>
          </cell>
          <cell r="W183">
            <v>0</v>
          </cell>
        </row>
        <row r="184">
          <cell r="E184">
            <v>144</v>
          </cell>
          <cell r="G184">
            <v>21024</v>
          </cell>
          <cell r="J184">
            <v>2</v>
          </cell>
          <cell r="L184">
            <v>1118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110273</v>
          </cell>
          <cell r="V184">
            <v>110273</v>
          </cell>
          <cell r="W184">
            <v>0</v>
          </cell>
        </row>
        <row r="185">
          <cell r="E185">
            <v>222</v>
          </cell>
          <cell r="G185">
            <v>32412</v>
          </cell>
          <cell r="J185">
            <v>17</v>
          </cell>
          <cell r="L185">
            <v>9503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130075</v>
          </cell>
          <cell r="V185">
            <v>130075</v>
          </cell>
          <cell r="W185">
            <v>0</v>
          </cell>
        </row>
        <row r="186">
          <cell r="E186">
            <v>296</v>
          </cell>
          <cell r="G186">
            <v>43216</v>
          </cell>
          <cell r="J186">
            <v>20</v>
          </cell>
          <cell r="L186">
            <v>11180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0</v>
          </cell>
          <cell r="S186">
            <v>142576</v>
          </cell>
          <cell r="V186">
            <v>142576</v>
          </cell>
          <cell r="W186">
            <v>0</v>
          </cell>
        </row>
        <row r="187">
          <cell r="E187">
            <v>270</v>
          </cell>
          <cell r="G187">
            <v>39420</v>
          </cell>
          <cell r="J187">
            <v>23</v>
          </cell>
          <cell r="L187">
            <v>12857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0</v>
          </cell>
          <cell r="S187">
            <v>142199</v>
          </cell>
          <cell r="V187">
            <v>142200</v>
          </cell>
          <cell r="W187">
            <v>-1</v>
          </cell>
        </row>
        <row r="188">
          <cell r="E188">
            <v>430</v>
          </cell>
          <cell r="G188">
            <v>62780</v>
          </cell>
          <cell r="J188">
            <v>23</v>
          </cell>
          <cell r="L188">
            <v>12857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0</v>
          </cell>
          <cell r="S188">
            <v>165589</v>
          </cell>
          <cell r="V188">
            <v>165588</v>
          </cell>
          <cell r="W188">
            <v>0</v>
          </cell>
        </row>
        <row r="189">
          <cell r="E189">
            <v>274</v>
          </cell>
          <cell r="G189">
            <v>40004</v>
          </cell>
          <cell r="J189">
            <v>11</v>
          </cell>
          <cell r="L189">
            <v>6149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0</v>
          </cell>
          <cell r="S189">
            <v>136118</v>
          </cell>
          <cell r="V189">
            <v>136118</v>
          </cell>
          <cell r="W189">
            <v>0</v>
          </cell>
        </row>
        <row r="190">
          <cell r="E190">
            <v>192</v>
          </cell>
          <cell r="G190">
            <v>28032</v>
          </cell>
          <cell r="J190">
            <v>13</v>
          </cell>
          <cell r="L190">
            <v>7267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0</v>
          </cell>
          <cell r="S190">
            <v>125275</v>
          </cell>
          <cell r="V190">
            <v>125275</v>
          </cell>
          <cell r="W190">
            <v>0</v>
          </cell>
        </row>
        <row r="191">
          <cell r="E191">
            <v>183</v>
          </cell>
          <cell r="G191">
            <v>26718</v>
          </cell>
          <cell r="J191">
            <v>10</v>
          </cell>
          <cell r="L191">
            <v>5590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0</v>
          </cell>
          <cell r="S191">
            <v>122306</v>
          </cell>
          <cell r="V191">
            <v>122306</v>
          </cell>
          <cell r="W191">
            <v>0</v>
          </cell>
        </row>
        <row r="192">
          <cell r="E192">
            <v>139</v>
          </cell>
          <cell r="G192">
            <v>20294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0</v>
          </cell>
          <cell r="S192">
            <v>110317</v>
          </cell>
          <cell r="V192">
            <v>110317</v>
          </cell>
          <cell r="W192">
            <v>0</v>
          </cell>
        </row>
        <row r="193">
          <cell r="E193">
            <v>121</v>
          </cell>
          <cell r="G193">
            <v>17666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0</v>
          </cell>
          <cell r="S193">
            <v>108261</v>
          </cell>
          <cell r="V193">
            <v>108261</v>
          </cell>
          <cell r="W193">
            <v>0</v>
          </cell>
        </row>
        <row r="194">
          <cell r="E194">
            <v>151</v>
          </cell>
          <cell r="G194">
            <v>22046</v>
          </cell>
          <cell r="J194">
            <v>4</v>
          </cell>
          <cell r="L194">
            <v>2236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0</v>
          </cell>
          <cell r="S194">
            <v>114343</v>
          </cell>
          <cell r="V194">
            <v>114343</v>
          </cell>
          <cell r="W194">
            <v>0</v>
          </cell>
        </row>
        <row r="195">
          <cell r="E195">
            <v>124</v>
          </cell>
          <cell r="G195">
            <v>18104</v>
          </cell>
          <cell r="J195">
            <v>5</v>
          </cell>
          <cell r="L195">
            <v>2795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0</v>
          </cell>
          <cell r="S195">
            <v>110981</v>
          </cell>
          <cell r="V195">
            <v>110981</v>
          </cell>
          <cell r="W195">
            <v>0</v>
          </cell>
        </row>
        <row r="196">
          <cell r="E196">
            <v>314</v>
          </cell>
          <cell r="G196">
            <v>45844</v>
          </cell>
          <cell r="J196">
            <v>7</v>
          </cell>
          <cell r="L196">
            <v>3913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0</v>
          </cell>
          <cell r="S196">
            <v>139862</v>
          </cell>
          <cell r="V196">
            <v>139862</v>
          </cell>
          <cell r="W196">
            <v>0</v>
          </cell>
        </row>
        <row r="197">
          <cell r="E197">
            <v>471</v>
          </cell>
          <cell r="G197">
            <v>68766</v>
          </cell>
          <cell r="J197">
            <v>14</v>
          </cell>
          <cell r="L197">
            <v>7826</v>
          </cell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R197">
            <v>0</v>
          </cell>
          <cell r="S197">
            <v>166727</v>
          </cell>
          <cell r="V197">
            <v>166727</v>
          </cell>
          <cell r="W197">
            <v>0</v>
          </cell>
        </row>
        <row r="198">
          <cell r="E198">
            <v>205</v>
          </cell>
          <cell r="G198">
            <v>29930</v>
          </cell>
          <cell r="J198">
            <v>29</v>
          </cell>
          <cell r="L198">
            <v>16211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0</v>
          </cell>
          <cell r="S198">
            <v>136286</v>
          </cell>
          <cell r="V198">
            <v>136286</v>
          </cell>
          <cell r="W198">
            <v>0</v>
          </cell>
        </row>
        <row r="199">
          <cell r="E199">
            <v>265</v>
          </cell>
          <cell r="G199">
            <v>38690</v>
          </cell>
          <cell r="J199">
            <v>29</v>
          </cell>
          <cell r="L199">
            <v>16211</v>
          </cell>
          <cell r="M199">
            <v>3828</v>
          </cell>
          <cell r="N199">
            <v>8264</v>
          </cell>
          <cell r="O199">
            <v>57500</v>
          </cell>
          <cell r="P199"/>
          <cell r="Q199">
            <v>80176</v>
          </cell>
          <cell r="R199">
            <v>0</v>
          </cell>
          <cell r="S199">
            <v>204669</v>
          </cell>
          <cell r="V199">
            <v>204669</v>
          </cell>
          <cell r="W199">
            <v>0</v>
          </cell>
        </row>
        <row r="200">
          <cell r="E200">
            <v>343</v>
          </cell>
          <cell r="G200">
            <v>50078</v>
          </cell>
          <cell r="J200">
            <v>41</v>
          </cell>
          <cell r="L200">
            <v>22919</v>
          </cell>
          <cell r="M200">
            <v>3828</v>
          </cell>
          <cell r="N200">
            <v>8267</v>
          </cell>
          <cell r="O200">
            <v>57500</v>
          </cell>
          <cell r="P200"/>
          <cell r="Q200">
            <v>80176</v>
          </cell>
          <cell r="R200">
            <v>0</v>
          </cell>
          <cell r="S200">
            <v>222768</v>
          </cell>
          <cell r="V200">
            <v>222768</v>
          </cell>
          <cell r="W200">
            <v>0</v>
          </cell>
        </row>
        <row r="201">
          <cell r="E201">
            <v>307</v>
          </cell>
          <cell r="G201">
            <v>44822</v>
          </cell>
          <cell r="J201">
            <v>17</v>
          </cell>
          <cell r="L201">
            <v>9503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146599</v>
          </cell>
          <cell r="V201">
            <v>146599</v>
          </cell>
          <cell r="W201">
            <v>0</v>
          </cell>
        </row>
        <row r="202">
          <cell r="E202">
            <v>234</v>
          </cell>
          <cell r="G202">
            <v>34164</v>
          </cell>
          <cell r="J202">
            <v>15</v>
          </cell>
          <cell r="L202">
            <v>8385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134852</v>
          </cell>
          <cell r="V202">
            <v>134852</v>
          </cell>
          <cell r="W202">
            <v>0</v>
          </cell>
        </row>
        <row r="203">
          <cell r="E203">
            <v>164</v>
          </cell>
          <cell r="G203">
            <v>23944</v>
          </cell>
          <cell r="J203">
            <v>19</v>
          </cell>
          <cell r="L203">
            <v>10621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126898</v>
          </cell>
          <cell r="V203"/>
          <cell r="W203">
            <v>126898</v>
          </cell>
        </row>
        <row r="204">
          <cell r="E204">
            <v>-23842</v>
          </cell>
          <cell r="G204">
            <v>-3480932</v>
          </cell>
          <cell r="J204">
            <v>-92</v>
          </cell>
          <cell r="L204">
            <v>-51428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-3448356</v>
          </cell>
          <cell r="V204"/>
          <cell r="W204">
            <v>-3321458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-3237454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-3153450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-3069446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-2985442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-2901438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-2817434</v>
          </cell>
        </row>
      </sheetData>
      <sheetData sheetId="8">
        <row r="175">
          <cell r="E175">
            <v>261</v>
          </cell>
          <cell r="G175">
            <v>38106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125247</v>
          </cell>
          <cell r="V175">
            <v>242039</v>
          </cell>
          <cell r="W175">
            <v>3731</v>
          </cell>
        </row>
        <row r="176">
          <cell r="E176">
            <v>281</v>
          </cell>
          <cell r="G176">
            <v>41026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128167</v>
          </cell>
          <cell r="V176"/>
          <cell r="W176">
            <v>131898</v>
          </cell>
        </row>
        <row r="177">
          <cell r="E177">
            <v>338</v>
          </cell>
          <cell r="G177">
            <v>49348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136489</v>
          </cell>
          <cell r="V177">
            <v>268387</v>
          </cell>
          <cell r="W177">
            <v>0</v>
          </cell>
        </row>
        <row r="178">
          <cell r="E178">
            <v>312</v>
          </cell>
          <cell r="G178">
            <v>45552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132693</v>
          </cell>
          <cell r="V178">
            <v>128962</v>
          </cell>
          <cell r="W178">
            <v>3731</v>
          </cell>
        </row>
        <row r="179">
          <cell r="E179">
            <v>462</v>
          </cell>
          <cell r="G179">
            <v>67452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154593</v>
          </cell>
          <cell r="V179"/>
          <cell r="W179">
            <v>158324</v>
          </cell>
        </row>
        <row r="180">
          <cell r="E180">
            <v>638</v>
          </cell>
          <cell r="G180">
            <v>93148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180289</v>
          </cell>
          <cell r="V180">
            <v>338613</v>
          </cell>
          <cell r="W180">
            <v>0</v>
          </cell>
        </row>
        <row r="181">
          <cell r="E181">
            <v>474</v>
          </cell>
          <cell r="G181">
            <v>69204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156345</v>
          </cell>
          <cell r="V181"/>
          <cell r="W181">
            <v>156345</v>
          </cell>
        </row>
        <row r="182">
          <cell r="E182">
            <v>480</v>
          </cell>
          <cell r="G182">
            <v>70080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158202</v>
          </cell>
          <cell r="V182">
            <v>310816</v>
          </cell>
          <cell r="W182">
            <v>3731</v>
          </cell>
        </row>
        <row r="183">
          <cell r="E183">
            <v>383</v>
          </cell>
          <cell r="G183">
            <v>55918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144056</v>
          </cell>
          <cell r="V183">
            <v>147787</v>
          </cell>
          <cell r="W183">
            <v>0</v>
          </cell>
        </row>
        <row r="184">
          <cell r="E184">
            <v>263</v>
          </cell>
          <cell r="G184">
            <v>38398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126529</v>
          </cell>
          <cell r="V184">
            <v>126529</v>
          </cell>
          <cell r="W184">
            <v>0</v>
          </cell>
        </row>
        <row r="185">
          <cell r="E185">
            <v>250</v>
          </cell>
          <cell r="G185">
            <v>36500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124660</v>
          </cell>
          <cell r="V185"/>
          <cell r="W185">
            <v>124660</v>
          </cell>
        </row>
        <row r="186">
          <cell r="E186">
            <v>189</v>
          </cell>
          <cell r="G186">
            <v>27594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115774</v>
          </cell>
          <cell r="V186">
            <v>240434</v>
          </cell>
          <cell r="W186">
            <v>0</v>
          </cell>
        </row>
        <row r="187">
          <cell r="E187">
            <v>310</v>
          </cell>
          <cell r="G187">
            <v>45260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135182</v>
          </cell>
          <cell r="V187"/>
          <cell r="W187">
            <v>135182</v>
          </cell>
        </row>
        <row r="188">
          <cell r="E188">
            <v>315</v>
          </cell>
          <cell r="G188">
            <v>45990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135942</v>
          </cell>
          <cell r="V188">
            <v>271124</v>
          </cell>
          <cell r="W188">
            <v>0</v>
          </cell>
        </row>
        <row r="189">
          <cell r="E189">
            <v>243</v>
          </cell>
          <cell r="G189">
            <v>35478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125443</v>
          </cell>
          <cell r="V189"/>
          <cell r="W189">
            <v>125443</v>
          </cell>
        </row>
        <row r="190">
          <cell r="E190">
            <v>145</v>
          </cell>
          <cell r="G190">
            <v>21170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111146</v>
          </cell>
          <cell r="V190">
            <v>240000</v>
          </cell>
          <cell r="W190">
            <v>-3411</v>
          </cell>
        </row>
        <row r="191">
          <cell r="E191">
            <v>1482</v>
          </cell>
          <cell r="G191">
            <v>216372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306370</v>
          </cell>
          <cell r="V191"/>
          <cell r="W191">
            <v>302959</v>
          </cell>
        </row>
        <row r="192">
          <cell r="E192">
            <v>-371</v>
          </cell>
          <cell r="G192">
            <v>-54166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35857</v>
          </cell>
          <cell r="V192">
            <v>338816</v>
          </cell>
          <cell r="W192">
            <v>0</v>
          </cell>
        </row>
        <row r="193">
          <cell r="E193">
            <v>687</v>
          </cell>
          <cell r="G193">
            <v>100302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190338</v>
          </cell>
          <cell r="V193"/>
          <cell r="W193">
            <v>190338</v>
          </cell>
        </row>
        <row r="194">
          <cell r="E194">
            <v>820</v>
          </cell>
          <cell r="G194">
            <v>119720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209781</v>
          </cell>
          <cell r="V194">
            <v>400119</v>
          </cell>
          <cell r="W194">
            <v>0</v>
          </cell>
        </row>
        <row r="195">
          <cell r="E195">
            <v>418</v>
          </cell>
          <cell r="G195">
            <v>61028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151110</v>
          </cell>
          <cell r="V195"/>
          <cell r="W195">
            <v>151110</v>
          </cell>
        </row>
        <row r="196">
          <cell r="E196">
            <v>364</v>
          </cell>
          <cell r="G196">
            <v>53144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143249</v>
          </cell>
          <cell r="V196">
            <v>294359</v>
          </cell>
          <cell r="W196">
            <v>0</v>
          </cell>
        </row>
        <row r="197">
          <cell r="E197">
            <v>313</v>
          </cell>
          <cell r="G197">
            <v>45698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135833</v>
          </cell>
          <cell r="V197">
            <v>135833</v>
          </cell>
          <cell r="W197">
            <v>0</v>
          </cell>
        </row>
        <row r="198">
          <cell r="E198">
            <v>86</v>
          </cell>
          <cell r="G198">
            <v>12556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102701</v>
          </cell>
          <cell r="V198"/>
          <cell r="W198">
            <v>102701</v>
          </cell>
        </row>
        <row r="199">
          <cell r="E199">
            <v>196</v>
          </cell>
          <cell r="G199">
            <v>28616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120884</v>
          </cell>
          <cell r="V199">
            <v>223585</v>
          </cell>
          <cell r="W199">
            <v>0</v>
          </cell>
        </row>
        <row r="200">
          <cell r="E200">
            <v>212</v>
          </cell>
          <cell r="G200">
            <v>30952</v>
          </cell>
          <cell r="J200">
            <v>1</v>
          </cell>
          <cell r="L200">
            <v>559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123782</v>
          </cell>
          <cell r="V200"/>
          <cell r="W200">
            <v>123782</v>
          </cell>
        </row>
        <row r="201">
          <cell r="E201">
            <v>199</v>
          </cell>
          <cell r="G201">
            <v>29054</v>
          </cell>
          <cell r="J201">
            <v>1</v>
          </cell>
          <cell r="L201">
            <v>559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121887</v>
          </cell>
          <cell r="V201">
            <v>245669</v>
          </cell>
          <cell r="W201">
            <v>0</v>
          </cell>
        </row>
        <row r="202">
          <cell r="E202">
            <v>244</v>
          </cell>
          <cell r="G202">
            <v>35624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127927</v>
          </cell>
          <cell r="V202"/>
          <cell r="W202">
            <v>127927</v>
          </cell>
        </row>
        <row r="203">
          <cell r="E203">
            <v>528</v>
          </cell>
          <cell r="G203">
            <v>77088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169421</v>
          </cell>
          <cell r="V203"/>
          <cell r="W203">
            <v>297348</v>
          </cell>
        </row>
        <row r="204">
          <cell r="E204">
            <v>-33088</v>
          </cell>
          <cell r="G204">
            <v>-4830848</v>
          </cell>
          <cell r="J204">
            <v>-2</v>
          </cell>
          <cell r="L204">
            <v>-1118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-4747962</v>
          </cell>
          <cell r="V204"/>
          <cell r="W204">
            <v>-4450614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-4366610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-4282606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-4198602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-4114598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-4030594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-3946590</v>
          </cell>
        </row>
      </sheetData>
      <sheetData sheetId="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/>
          <cell r="W175">
            <v>452717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174000</v>
          </cell>
          <cell r="W176">
            <v>365858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52944</v>
          </cell>
          <cell r="S177">
            <v>140085</v>
          </cell>
          <cell r="V177"/>
          <cell r="W177">
            <v>505943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53123</v>
          </cell>
          <cell r="S178">
            <v>140264</v>
          </cell>
          <cell r="V178">
            <v>106067</v>
          </cell>
          <cell r="W178">
            <v>540140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/>
          <cell r="W179">
            <v>627281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174282</v>
          </cell>
          <cell r="W180">
            <v>540140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/>
          <cell r="W181">
            <v>627281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167801</v>
          </cell>
          <cell r="W182">
            <v>547602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53314</v>
          </cell>
          <cell r="S183">
            <v>141452</v>
          </cell>
          <cell r="V183"/>
          <cell r="W183">
            <v>689054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53270</v>
          </cell>
          <cell r="S184">
            <v>141401</v>
          </cell>
          <cell r="V184">
            <v>177000</v>
          </cell>
          <cell r="W184">
            <v>653455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/>
          <cell r="W185">
            <v>741615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177000</v>
          </cell>
          <cell r="W186">
            <v>652795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/>
          <cell r="W187">
            <v>742717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180000</v>
          </cell>
          <cell r="W188">
            <v>652669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54009</v>
          </cell>
          <cell r="S189">
            <v>143974</v>
          </cell>
          <cell r="V189">
            <v>157000</v>
          </cell>
          <cell r="W189">
            <v>639643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54157</v>
          </cell>
          <cell r="S190">
            <v>144133</v>
          </cell>
          <cell r="V190">
            <v>170000</v>
          </cell>
          <cell r="W190">
            <v>613776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54318</v>
          </cell>
          <cell r="S191">
            <v>144316</v>
          </cell>
          <cell r="V191">
            <v>800000</v>
          </cell>
          <cell r="W191">
            <v>-41908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54405</v>
          </cell>
          <cell r="S192">
            <v>144428</v>
          </cell>
          <cell r="V192"/>
          <cell r="W192">
            <v>102520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54575</v>
          </cell>
          <cell r="S193">
            <v>144611</v>
          </cell>
          <cell r="V193"/>
          <cell r="W193">
            <v>247131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54715</v>
          </cell>
          <cell r="S194">
            <v>144776</v>
          </cell>
          <cell r="V194"/>
          <cell r="W194">
            <v>391907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54864</v>
          </cell>
          <cell r="S195">
            <v>144946</v>
          </cell>
          <cell r="V195"/>
          <cell r="W195">
            <v>536853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55066</v>
          </cell>
          <cell r="S196">
            <v>145171</v>
          </cell>
          <cell r="V196"/>
          <cell r="W196">
            <v>682024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S197">
            <v>145267</v>
          </cell>
          <cell r="V197"/>
          <cell r="W197">
            <v>827291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145237</v>
          </cell>
          <cell r="V198"/>
          <cell r="W198">
            <v>972528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147360</v>
          </cell>
          <cell r="V199"/>
          <cell r="W199">
            <v>1119888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1212159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/>
          <cell r="W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184577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10">
        <row r="175">
          <cell r="E175">
            <v>390</v>
          </cell>
          <cell r="G175">
            <v>56940</v>
          </cell>
          <cell r="J175">
            <v>32</v>
          </cell>
          <cell r="L175">
            <v>17792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161873</v>
          </cell>
          <cell r="V175">
            <v>158142</v>
          </cell>
          <cell r="W175">
            <v>3731</v>
          </cell>
        </row>
        <row r="176">
          <cell r="E176">
            <v>460</v>
          </cell>
          <cell r="G176">
            <v>67160</v>
          </cell>
          <cell r="J176">
            <v>25</v>
          </cell>
          <cell r="L176">
            <v>13900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168201</v>
          </cell>
          <cell r="V176">
            <v>171932</v>
          </cell>
          <cell r="W176">
            <v>0</v>
          </cell>
        </row>
        <row r="177">
          <cell r="E177">
            <v>519</v>
          </cell>
          <cell r="G177">
            <v>75774</v>
          </cell>
          <cell r="J177">
            <v>23</v>
          </cell>
          <cell r="L177">
            <v>12857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175772</v>
          </cell>
          <cell r="V177">
            <v>175772</v>
          </cell>
          <cell r="W177">
            <v>0</v>
          </cell>
        </row>
        <row r="178">
          <cell r="E178">
            <v>453</v>
          </cell>
          <cell r="G178">
            <v>66138</v>
          </cell>
          <cell r="J178">
            <v>16</v>
          </cell>
          <cell r="L178">
            <v>8944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162223</v>
          </cell>
          <cell r="V178">
            <v>162223</v>
          </cell>
          <cell r="W178">
            <v>0</v>
          </cell>
        </row>
        <row r="179">
          <cell r="E179">
            <v>477</v>
          </cell>
          <cell r="G179">
            <v>69642</v>
          </cell>
          <cell r="J179">
            <v>13</v>
          </cell>
          <cell r="L179">
            <v>7267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164050</v>
          </cell>
          <cell r="V179">
            <v>164050</v>
          </cell>
          <cell r="W179">
            <v>0</v>
          </cell>
        </row>
        <row r="180">
          <cell r="E180">
            <v>459</v>
          </cell>
          <cell r="G180">
            <v>67014</v>
          </cell>
          <cell r="J180">
            <v>14</v>
          </cell>
          <cell r="L180">
            <v>7826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161981</v>
          </cell>
          <cell r="V180">
            <v>161981</v>
          </cell>
          <cell r="W180">
            <v>0</v>
          </cell>
        </row>
        <row r="181">
          <cell r="E181">
            <v>319</v>
          </cell>
          <cell r="G181">
            <v>46574</v>
          </cell>
          <cell r="J181">
            <v>9</v>
          </cell>
          <cell r="L181">
            <v>5031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138746</v>
          </cell>
          <cell r="V181">
            <v>138746</v>
          </cell>
          <cell r="W181">
            <v>0</v>
          </cell>
        </row>
        <row r="182">
          <cell r="E182">
            <v>296</v>
          </cell>
          <cell r="G182">
            <v>43216</v>
          </cell>
          <cell r="J182">
            <v>5</v>
          </cell>
          <cell r="L182">
            <v>2795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134133</v>
          </cell>
          <cell r="V182">
            <v>134133</v>
          </cell>
          <cell r="W182">
            <v>0</v>
          </cell>
        </row>
        <row r="183">
          <cell r="E183">
            <v>426</v>
          </cell>
          <cell r="G183">
            <v>62196</v>
          </cell>
          <cell r="J183">
            <v>14</v>
          </cell>
          <cell r="L183">
            <v>7826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158160</v>
          </cell>
          <cell r="V183"/>
          <cell r="W183">
            <v>158160</v>
          </cell>
        </row>
        <row r="184">
          <cell r="E184">
            <v>403</v>
          </cell>
          <cell r="G184">
            <v>58838</v>
          </cell>
          <cell r="J184">
            <v>23</v>
          </cell>
          <cell r="L184">
            <v>12857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159826</v>
          </cell>
          <cell r="V184">
            <v>317986</v>
          </cell>
          <cell r="W184">
            <v>0</v>
          </cell>
        </row>
        <row r="185">
          <cell r="E185">
            <v>370</v>
          </cell>
          <cell r="G185">
            <v>54020</v>
          </cell>
          <cell r="J185">
            <v>26</v>
          </cell>
          <cell r="L185">
            <v>14534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156714</v>
          </cell>
          <cell r="V185">
            <v>156714</v>
          </cell>
          <cell r="W185">
            <v>0</v>
          </cell>
        </row>
        <row r="186">
          <cell r="E186">
            <v>443</v>
          </cell>
          <cell r="G186">
            <v>64678</v>
          </cell>
          <cell r="J186">
            <v>42</v>
          </cell>
          <cell r="L186">
            <v>23478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176336</v>
          </cell>
          <cell r="V186">
            <v>176336</v>
          </cell>
          <cell r="W186">
            <v>0</v>
          </cell>
        </row>
        <row r="187">
          <cell r="E187">
            <v>399</v>
          </cell>
          <cell r="G187">
            <v>58254</v>
          </cell>
          <cell r="J187">
            <v>34</v>
          </cell>
          <cell r="L187">
            <v>19006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167182</v>
          </cell>
          <cell r="V187">
            <v>167182</v>
          </cell>
          <cell r="W187">
            <v>0</v>
          </cell>
        </row>
        <row r="188">
          <cell r="E188">
            <v>429</v>
          </cell>
          <cell r="G188">
            <v>62634</v>
          </cell>
          <cell r="J188">
            <v>33</v>
          </cell>
          <cell r="L188">
            <v>18447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171033</v>
          </cell>
          <cell r="V188">
            <v>171033</v>
          </cell>
          <cell r="W188">
            <v>0</v>
          </cell>
        </row>
        <row r="189">
          <cell r="E189">
            <v>367</v>
          </cell>
          <cell r="G189">
            <v>53582</v>
          </cell>
          <cell r="J189">
            <v>25</v>
          </cell>
          <cell r="L189">
            <v>13975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157522</v>
          </cell>
          <cell r="V189">
            <v>157522</v>
          </cell>
          <cell r="W189">
            <v>0</v>
          </cell>
        </row>
        <row r="190">
          <cell r="E190">
            <v>448</v>
          </cell>
          <cell r="G190">
            <v>65408</v>
          </cell>
          <cell r="J190">
            <v>25</v>
          </cell>
          <cell r="L190">
            <v>13975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169359</v>
          </cell>
          <cell r="V190">
            <v>169359</v>
          </cell>
          <cell r="W190">
            <v>0</v>
          </cell>
        </row>
        <row r="191">
          <cell r="E191">
            <v>478</v>
          </cell>
          <cell r="G191">
            <v>69788</v>
          </cell>
          <cell r="J191">
            <v>20</v>
          </cell>
          <cell r="L191">
            <v>11180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170966</v>
          </cell>
          <cell r="V191">
            <v>170966</v>
          </cell>
          <cell r="W191">
            <v>0</v>
          </cell>
        </row>
        <row r="192">
          <cell r="E192">
            <v>474</v>
          </cell>
          <cell r="G192">
            <v>69204</v>
          </cell>
          <cell r="J192">
            <v>16</v>
          </cell>
          <cell r="L192">
            <v>8944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168171</v>
          </cell>
          <cell r="V192">
            <v>168171</v>
          </cell>
          <cell r="W192">
            <v>0</v>
          </cell>
        </row>
        <row r="193">
          <cell r="E193">
            <v>454</v>
          </cell>
          <cell r="G193">
            <v>66284</v>
          </cell>
          <cell r="J193">
            <v>13</v>
          </cell>
          <cell r="L193">
            <v>7267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163587</v>
          </cell>
          <cell r="V193">
            <v>163587</v>
          </cell>
          <cell r="W193">
            <v>0</v>
          </cell>
        </row>
        <row r="194">
          <cell r="E194">
            <v>291</v>
          </cell>
          <cell r="G194">
            <v>42486</v>
          </cell>
          <cell r="J194">
            <v>3</v>
          </cell>
          <cell r="L194">
            <v>1677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134224</v>
          </cell>
          <cell r="V194">
            <v>134224</v>
          </cell>
          <cell r="W194">
            <v>0</v>
          </cell>
        </row>
        <row r="195">
          <cell r="E195">
            <v>372</v>
          </cell>
          <cell r="G195">
            <v>54312</v>
          </cell>
          <cell r="J195">
            <v>13</v>
          </cell>
          <cell r="L195">
            <v>7267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151661</v>
          </cell>
          <cell r="V195">
            <v>151661</v>
          </cell>
          <cell r="W195">
            <v>0</v>
          </cell>
        </row>
        <row r="196">
          <cell r="E196">
            <v>419</v>
          </cell>
          <cell r="G196">
            <v>61174</v>
          </cell>
          <cell r="J196">
            <v>19</v>
          </cell>
          <cell r="L196">
            <v>10621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161900</v>
          </cell>
          <cell r="V196">
            <v>161900</v>
          </cell>
          <cell r="W196">
            <v>0</v>
          </cell>
        </row>
        <row r="197">
          <cell r="E197">
            <v>421</v>
          </cell>
          <cell r="G197">
            <v>61466</v>
          </cell>
          <cell r="J197">
            <v>30</v>
          </cell>
          <cell r="L197">
            <v>16770</v>
          </cell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R197"/>
          <cell r="S197">
            <v>187411</v>
          </cell>
          <cell r="V197">
            <v>187411</v>
          </cell>
          <cell r="W197">
            <v>0</v>
          </cell>
        </row>
        <row r="198">
          <cell r="E198">
            <v>378</v>
          </cell>
          <cell r="G198">
            <v>55188</v>
          </cell>
          <cell r="J198">
            <v>42</v>
          </cell>
          <cell r="L198">
            <v>23478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168811</v>
          </cell>
          <cell r="V198">
            <v>168811</v>
          </cell>
          <cell r="W198">
            <v>0</v>
          </cell>
        </row>
        <row r="199">
          <cell r="E199">
            <v>455</v>
          </cell>
          <cell r="G199">
            <v>66430</v>
          </cell>
          <cell r="J199">
            <v>24</v>
          </cell>
          <cell r="L199">
            <v>13416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172114</v>
          </cell>
          <cell r="V199">
            <v>172114</v>
          </cell>
          <cell r="W199">
            <v>0</v>
          </cell>
        </row>
        <row r="200">
          <cell r="E200">
            <v>432</v>
          </cell>
          <cell r="G200">
            <v>63072</v>
          </cell>
          <cell r="J200">
            <v>23</v>
          </cell>
          <cell r="L200">
            <v>12857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168200</v>
          </cell>
          <cell r="V200">
            <v>168200</v>
          </cell>
          <cell r="W200">
            <v>0</v>
          </cell>
        </row>
        <row r="201">
          <cell r="E201">
            <v>510</v>
          </cell>
          <cell r="G201">
            <v>74460</v>
          </cell>
          <cell r="J201">
            <v>33</v>
          </cell>
          <cell r="L201">
            <v>18447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185181</v>
          </cell>
          <cell r="V201">
            <v>185181</v>
          </cell>
          <cell r="W201">
            <v>0</v>
          </cell>
        </row>
        <row r="202">
          <cell r="E202">
            <v>417</v>
          </cell>
          <cell r="G202">
            <v>60882</v>
          </cell>
          <cell r="J202">
            <v>24</v>
          </cell>
          <cell r="L202">
            <v>13416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166601</v>
          </cell>
          <cell r="V202">
            <v>166601</v>
          </cell>
          <cell r="W202">
            <v>0</v>
          </cell>
        </row>
        <row r="203">
          <cell r="E203">
            <v>340</v>
          </cell>
          <cell r="G203">
            <v>49640</v>
          </cell>
          <cell r="J203">
            <v>24</v>
          </cell>
          <cell r="L203">
            <v>13416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155389</v>
          </cell>
          <cell r="V203"/>
          <cell r="W203">
            <v>155389</v>
          </cell>
        </row>
        <row r="204">
          <cell r="E204">
            <v>-34510</v>
          </cell>
          <cell r="G204">
            <v>-5038460</v>
          </cell>
          <cell r="J204">
            <v>-3917</v>
          </cell>
          <cell r="L204">
            <v>-2189603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-7144059</v>
          </cell>
          <cell r="V204"/>
          <cell r="W204">
            <v>-6988670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-6904666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-6820662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-6736658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-6652654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-6568650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-6484646</v>
          </cell>
        </row>
      </sheetData>
      <sheetData sheetId="11">
        <row r="175">
          <cell r="E175">
            <v>76</v>
          </cell>
          <cell r="G175">
            <v>11096</v>
          </cell>
          <cell r="J175">
            <v>118</v>
          </cell>
          <cell r="L175">
            <v>65608</v>
          </cell>
          <cell r="M175">
            <v>3731</v>
          </cell>
          <cell r="N175">
            <v>0</v>
          </cell>
          <cell r="O175"/>
          <cell r="P175">
            <v>5000</v>
          </cell>
          <cell r="Q175">
            <v>76410</v>
          </cell>
          <cell r="R175"/>
          <cell r="S175">
            <v>161845</v>
          </cell>
          <cell r="V175">
            <v>161845</v>
          </cell>
          <cell r="W175">
            <v>0</v>
          </cell>
        </row>
        <row r="176">
          <cell r="E176">
            <v>109</v>
          </cell>
          <cell r="G176">
            <v>15914</v>
          </cell>
          <cell r="J176">
            <v>63</v>
          </cell>
          <cell r="L176">
            <v>35217</v>
          </cell>
          <cell r="M176">
            <v>3731</v>
          </cell>
          <cell r="N176">
            <v>0</v>
          </cell>
          <cell r="O176"/>
          <cell r="P176">
            <v>5000</v>
          </cell>
          <cell r="Q176">
            <v>76410</v>
          </cell>
          <cell r="R176"/>
          <cell r="S176">
            <v>136272</v>
          </cell>
          <cell r="V176">
            <v>136083</v>
          </cell>
          <cell r="W176">
            <v>189</v>
          </cell>
        </row>
        <row r="177">
          <cell r="E177">
            <v>143</v>
          </cell>
          <cell r="G177">
            <v>20878</v>
          </cell>
          <cell r="J177">
            <v>34</v>
          </cell>
          <cell r="L177">
            <v>19006</v>
          </cell>
          <cell r="M177">
            <v>3731</v>
          </cell>
          <cell r="N177">
            <v>0</v>
          </cell>
          <cell r="O177"/>
          <cell r="P177">
            <v>5000</v>
          </cell>
          <cell r="Q177">
            <v>76410</v>
          </cell>
          <cell r="R177"/>
          <cell r="S177">
            <v>125025</v>
          </cell>
          <cell r="V177">
            <v>125214</v>
          </cell>
          <cell r="W177">
            <v>0</v>
          </cell>
        </row>
        <row r="178">
          <cell r="E178">
            <v>75</v>
          </cell>
          <cell r="G178">
            <v>10950</v>
          </cell>
          <cell r="J178">
            <v>18</v>
          </cell>
          <cell r="L178">
            <v>10062</v>
          </cell>
          <cell r="M178">
            <v>3731</v>
          </cell>
          <cell r="N178">
            <v>0</v>
          </cell>
          <cell r="O178"/>
          <cell r="P178">
            <v>5000</v>
          </cell>
          <cell r="Q178">
            <v>76410</v>
          </cell>
          <cell r="R178"/>
          <cell r="S178">
            <v>106153</v>
          </cell>
          <cell r="V178">
            <v>106153</v>
          </cell>
          <cell r="W178">
            <v>0</v>
          </cell>
        </row>
        <row r="179">
          <cell r="E179">
            <v>38</v>
          </cell>
          <cell r="G179">
            <v>5548</v>
          </cell>
          <cell r="J179">
            <v>32</v>
          </cell>
          <cell r="L179">
            <v>17888</v>
          </cell>
          <cell r="M179">
            <v>3731</v>
          </cell>
          <cell r="N179">
            <v>0</v>
          </cell>
          <cell r="O179"/>
          <cell r="P179">
            <v>5000</v>
          </cell>
          <cell r="Q179">
            <v>76410</v>
          </cell>
          <cell r="R179"/>
          <cell r="S179">
            <v>108577</v>
          </cell>
          <cell r="V179">
            <v>108577</v>
          </cell>
          <cell r="W179">
            <v>0</v>
          </cell>
        </row>
        <row r="180">
          <cell r="E180">
            <v>29</v>
          </cell>
          <cell r="G180">
            <v>4234</v>
          </cell>
          <cell r="J180">
            <v>1</v>
          </cell>
          <cell r="L180">
            <v>559</v>
          </cell>
          <cell r="M180">
            <v>3731</v>
          </cell>
          <cell r="N180">
            <v>0</v>
          </cell>
          <cell r="O180"/>
          <cell r="P180">
            <v>5000</v>
          </cell>
          <cell r="Q180">
            <v>76410</v>
          </cell>
          <cell r="R180"/>
          <cell r="S180">
            <v>89934</v>
          </cell>
          <cell r="V180">
            <v>89934</v>
          </cell>
          <cell r="W180">
            <v>0</v>
          </cell>
        </row>
        <row r="181">
          <cell r="E181">
            <v>27</v>
          </cell>
          <cell r="G181">
            <v>3942</v>
          </cell>
          <cell r="J181">
            <v>2</v>
          </cell>
          <cell r="L181">
            <v>1118</v>
          </cell>
          <cell r="M181">
            <v>3731</v>
          </cell>
          <cell r="N181">
            <v>0</v>
          </cell>
          <cell r="O181"/>
          <cell r="P181">
            <v>5000</v>
          </cell>
          <cell r="Q181">
            <v>76410</v>
          </cell>
          <cell r="R181"/>
          <cell r="S181">
            <v>90201</v>
          </cell>
          <cell r="V181">
            <v>90201</v>
          </cell>
          <cell r="W181">
            <v>0</v>
          </cell>
        </row>
        <row r="182">
          <cell r="E182">
            <v>71</v>
          </cell>
          <cell r="G182">
            <v>10366</v>
          </cell>
          <cell r="J182">
            <v>4</v>
          </cell>
          <cell r="L182">
            <v>2236</v>
          </cell>
          <cell r="M182">
            <v>3731</v>
          </cell>
          <cell r="N182">
            <v>0</v>
          </cell>
          <cell r="O182"/>
          <cell r="P182">
            <v>5000</v>
          </cell>
          <cell r="Q182">
            <v>76410</v>
          </cell>
          <cell r="R182"/>
          <cell r="S182">
            <v>97743</v>
          </cell>
          <cell r="V182">
            <v>97743</v>
          </cell>
          <cell r="W182">
            <v>0</v>
          </cell>
        </row>
        <row r="183">
          <cell r="E183">
            <v>45</v>
          </cell>
          <cell r="G183">
            <v>6570</v>
          </cell>
          <cell r="J183">
            <v>1</v>
          </cell>
          <cell r="L183">
            <v>559</v>
          </cell>
          <cell r="M183">
            <v>3731</v>
          </cell>
          <cell r="N183">
            <v>0</v>
          </cell>
          <cell r="O183"/>
          <cell r="P183">
            <v>5000</v>
          </cell>
          <cell r="Q183">
            <v>76410</v>
          </cell>
          <cell r="R183"/>
          <cell r="S183">
            <v>92270</v>
          </cell>
          <cell r="V183">
            <v>92270</v>
          </cell>
          <cell r="W183">
            <v>0</v>
          </cell>
        </row>
        <row r="184">
          <cell r="E184">
            <v>86</v>
          </cell>
          <cell r="G184">
            <v>12556</v>
          </cell>
          <cell r="J184">
            <v>10</v>
          </cell>
          <cell r="L184">
            <v>5590</v>
          </cell>
          <cell r="M184">
            <v>3731</v>
          </cell>
          <cell r="N184">
            <v>0</v>
          </cell>
          <cell r="O184"/>
          <cell r="P184">
            <v>5000</v>
          </cell>
          <cell r="Q184">
            <v>76410</v>
          </cell>
          <cell r="R184"/>
          <cell r="S184">
            <v>103287</v>
          </cell>
          <cell r="V184">
            <v>103287</v>
          </cell>
          <cell r="W184">
            <v>0</v>
          </cell>
        </row>
        <row r="185">
          <cell r="E185">
            <v>104</v>
          </cell>
          <cell r="G185">
            <v>15184</v>
          </cell>
          <cell r="J185">
            <v>49</v>
          </cell>
          <cell r="L185">
            <v>27391</v>
          </cell>
          <cell r="M185">
            <v>3731</v>
          </cell>
          <cell r="N185">
            <v>0</v>
          </cell>
          <cell r="O185"/>
          <cell r="P185">
            <v>5000</v>
          </cell>
          <cell r="Q185">
            <v>76410</v>
          </cell>
          <cell r="R185"/>
          <cell r="S185">
            <v>127716</v>
          </cell>
          <cell r="V185">
            <v>127716</v>
          </cell>
          <cell r="W185">
            <v>0</v>
          </cell>
        </row>
        <row r="186">
          <cell r="E186">
            <v>81</v>
          </cell>
          <cell r="G186">
            <v>11826</v>
          </cell>
          <cell r="J186">
            <v>29</v>
          </cell>
          <cell r="L186">
            <v>16211</v>
          </cell>
          <cell r="M186">
            <v>3731</v>
          </cell>
          <cell r="N186">
            <v>0</v>
          </cell>
          <cell r="O186"/>
          <cell r="P186">
            <v>5000</v>
          </cell>
          <cell r="Q186">
            <v>76410</v>
          </cell>
          <cell r="R186"/>
          <cell r="S186">
            <v>113178</v>
          </cell>
          <cell r="V186">
            <v>113178</v>
          </cell>
          <cell r="W186">
            <v>0</v>
          </cell>
        </row>
        <row r="187">
          <cell r="E187">
            <v>166</v>
          </cell>
          <cell r="G187">
            <v>24236</v>
          </cell>
          <cell r="J187">
            <v>74</v>
          </cell>
          <cell r="L187">
            <v>41366</v>
          </cell>
          <cell r="M187">
            <v>3731</v>
          </cell>
          <cell r="N187">
            <v>0</v>
          </cell>
          <cell r="O187"/>
          <cell r="P187">
            <v>5000</v>
          </cell>
          <cell r="Q187">
            <v>78144</v>
          </cell>
          <cell r="R187"/>
          <cell r="S187">
            <v>152477</v>
          </cell>
          <cell r="V187">
            <v>152477</v>
          </cell>
          <cell r="W187">
            <v>0</v>
          </cell>
        </row>
        <row r="188">
          <cell r="E188">
            <v>124</v>
          </cell>
          <cell r="G188">
            <v>18104</v>
          </cell>
          <cell r="J188">
            <v>38</v>
          </cell>
          <cell r="L188">
            <v>21242</v>
          </cell>
          <cell r="M188">
            <v>3731</v>
          </cell>
          <cell r="N188">
            <v>0</v>
          </cell>
          <cell r="O188"/>
          <cell r="P188">
            <v>5000</v>
          </cell>
          <cell r="Q188">
            <v>78144</v>
          </cell>
          <cell r="R188"/>
          <cell r="S188">
            <v>126221</v>
          </cell>
          <cell r="V188">
            <v>126221</v>
          </cell>
          <cell r="W188">
            <v>0</v>
          </cell>
        </row>
        <row r="189">
          <cell r="E189">
            <v>57</v>
          </cell>
          <cell r="G189">
            <v>8322</v>
          </cell>
          <cell r="J189">
            <v>12</v>
          </cell>
          <cell r="L189">
            <v>6708</v>
          </cell>
          <cell r="M189">
            <v>3731</v>
          </cell>
          <cell r="N189">
            <v>0</v>
          </cell>
          <cell r="O189"/>
          <cell r="P189">
            <v>5000</v>
          </cell>
          <cell r="Q189">
            <v>78144</v>
          </cell>
          <cell r="R189"/>
          <cell r="S189">
            <v>101905</v>
          </cell>
          <cell r="V189">
            <v>101905</v>
          </cell>
          <cell r="W189">
            <v>0</v>
          </cell>
        </row>
        <row r="190">
          <cell r="E190">
            <v>87</v>
          </cell>
          <cell r="G190">
            <v>12702</v>
          </cell>
          <cell r="J190">
            <v>14</v>
          </cell>
          <cell r="L190">
            <v>7826</v>
          </cell>
          <cell r="M190">
            <v>3731</v>
          </cell>
          <cell r="N190">
            <v>0</v>
          </cell>
          <cell r="O190"/>
          <cell r="P190">
            <v>5000</v>
          </cell>
          <cell r="Q190">
            <v>78144</v>
          </cell>
          <cell r="R190"/>
          <cell r="S190">
            <v>107403</v>
          </cell>
          <cell r="V190">
            <v>107403</v>
          </cell>
          <cell r="W190">
            <v>0</v>
          </cell>
        </row>
        <row r="191">
          <cell r="E191">
            <v>98</v>
          </cell>
          <cell r="G191">
            <v>14308</v>
          </cell>
          <cell r="J191">
            <v>27</v>
          </cell>
          <cell r="L191">
            <v>15093</v>
          </cell>
          <cell r="M191">
            <v>3731</v>
          </cell>
          <cell r="N191">
            <v>0</v>
          </cell>
          <cell r="O191"/>
          <cell r="P191">
            <v>5000</v>
          </cell>
          <cell r="Q191">
            <v>78144</v>
          </cell>
          <cell r="R191"/>
          <cell r="S191">
            <v>116276</v>
          </cell>
          <cell r="V191">
            <v>116276</v>
          </cell>
          <cell r="W191">
            <v>0</v>
          </cell>
        </row>
        <row r="192">
          <cell r="E192">
            <v>32</v>
          </cell>
          <cell r="G192">
            <v>4672</v>
          </cell>
          <cell r="J192">
            <v>0</v>
          </cell>
          <cell r="L192">
            <v>0</v>
          </cell>
          <cell r="M192">
            <v>3731</v>
          </cell>
          <cell r="N192">
            <v>0</v>
          </cell>
          <cell r="O192"/>
          <cell r="P192">
            <v>5000</v>
          </cell>
          <cell r="Q192">
            <v>78144</v>
          </cell>
          <cell r="R192"/>
          <cell r="S192">
            <v>91547</v>
          </cell>
          <cell r="V192">
            <v>91547</v>
          </cell>
          <cell r="W192">
            <v>0</v>
          </cell>
        </row>
        <row r="193">
          <cell r="E193">
            <v>26</v>
          </cell>
          <cell r="G193">
            <v>3796</v>
          </cell>
          <cell r="J193">
            <v>6</v>
          </cell>
          <cell r="L193">
            <v>3354</v>
          </cell>
          <cell r="M193">
            <v>3731</v>
          </cell>
          <cell r="N193">
            <v>0</v>
          </cell>
          <cell r="O193"/>
          <cell r="P193"/>
          <cell r="Q193">
            <v>78144</v>
          </cell>
          <cell r="R193"/>
          <cell r="S193">
            <v>89025</v>
          </cell>
          <cell r="V193">
            <v>94025</v>
          </cell>
          <cell r="W193">
            <v>-5000</v>
          </cell>
        </row>
        <row r="194">
          <cell r="E194">
            <v>11</v>
          </cell>
          <cell r="G194">
            <v>1606</v>
          </cell>
          <cell r="J194">
            <v>0</v>
          </cell>
          <cell r="L194">
            <v>0</v>
          </cell>
          <cell r="M194">
            <v>3731</v>
          </cell>
          <cell r="N194">
            <v>0</v>
          </cell>
          <cell r="O194"/>
          <cell r="P194"/>
          <cell r="Q194">
            <v>78144</v>
          </cell>
          <cell r="R194"/>
          <cell r="S194">
            <v>83481</v>
          </cell>
          <cell r="V194">
            <v>78481</v>
          </cell>
          <cell r="W194">
            <v>0</v>
          </cell>
        </row>
        <row r="195">
          <cell r="E195">
            <v>14</v>
          </cell>
          <cell r="G195">
            <v>2044</v>
          </cell>
          <cell r="J195">
            <v>0</v>
          </cell>
          <cell r="L195">
            <v>0</v>
          </cell>
          <cell r="M195">
            <v>3731</v>
          </cell>
          <cell r="N195">
            <v>0</v>
          </cell>
          <cell r="O195"/>
          <cell r="P195"/>
          <cell r="Q195">
            <v>78144</v>
          </cell>
          <cell r="R195"/>
          <cell r="S195">
            <v>83919</v>
          </cell>
          <cell r="V195">
            <v>83919</v>
          </cell>
          <cell r="W195">
            <v>0</v>
          </cell>
        </row>
        <row r="196">
          <cell r="E196">
            <v>56</v>
          </cell>
          <cell r="G196">
            <v>8176</v>
          </cell>
          <cell r="J196">
            <v>21</v>
          </cell>
          <cell r="L196">
            <v>11739</v>
          </cell>
          <cell r="M196">
            <v>3731</v>
          </cell>
          <cell r="N196">
            <v>0</v>
          </cell>
          <cell r="O196"/>
          <cell r="P196"/>
          <cell r="Q196">
            <v>78144</v>
          </cell>
          <cell r="R196"/>
          <cell r="S196">
            <v>101790</v>
          </cell>
          <cell r="V196">
            <v>101790</v>
          </cell>
          <cell r="W196">
            <v>0</v>
          </cell>
        </row>
        <row r="197">
          <cell r="E197">
            <v>111</v>
          </cell>
          <cell r="G197">
            <v>16206</v>
          </cell>
          <cell r="J197">
            <v>59</v>
          </cell>
          <cell r="L197">
            <v>32981</v>
          </cell>
          <cell r="M197">
            <v>3731</v>
          </cell>
          <cell r="N197">
            <v>0</v>
          </cell>
          <cell r="O197">
            <v>57120</v>
          </cell>
          <cell r="P197"/>
          <cell r="Q197">
            <v>78144</v>
          </cell>
          <cell r="R197"/>
          <cell r="S197">
            <v>188182</v>
          </cell>
          <cell r="V197">
            <v>188182</v>
          </cell>
          <cell r="W197">
            <v>0</v>
          </cell>
        </row>
        <row r="198">
          <cell r="E198">
            <v>66</v>
          </cell>
          <cell r="G198">
            <v>9636</v>
          </cell>
          <cell r="J198">
            <v>10</v>
          </cell>
          <cell r="L198">
            <v>5590</v>
          </cell>
          <cell r="M198">
            <v>3731</v>
          </cell>
          <cell r="N198">
            <v>0</v>
          </cell>
          <cell r="O198"/>
          <cell r="P198"/>
          <cell r="Q198">
            <v>78144</v>
          </cell>
          <cell r="R198"/>
          <cell r="S198">
            <v>97101</v>
          </cell>
          <cell r="V198"/>
          <cell r="W198">
            <v>97101</v>
          </cell>
        </row>
        <row r="199">
          <cell r="E199">
            <v>156</v>
          </cell>
          <cell r="G199">
            <v>22776</v>
          </cell>
          <cell r="J199">
            <v>157</v>
          </cell>
          <cell r="L199">
            <v>98203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204983</v>
          </cell>
          <cell r="V199">
            <v>302084</v>
          </cell>
          <cell r="W199">
            <v>0</v>
          </cell>
        </row>
        <row r="200">
          <cell r="E200">
            <v>133</v>
          </cell>
          <cell r="G200">
            <v>19418</v>
          </cell>
          <cell r="J200">
            <v>113</v>
          </cell>
          <cell r="L200">
            <v>63167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166589</v>
          </cell>
          <cell r="V200">
            <v>166589</v>
          </cell>
          <cell r="W200">
            <v>0</v>
          </cell>
        </row>
        <row r="201">
          <cell r="E201">
            <v>100</v>
          </cell>
          <cell r="G201">
            <v>14600</v>
          </cell>
          <cell r="J201">
            <v>21</v>
          </cell>
          <cell r="L201">
            <v>11739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110343</v>
          </cell>
          <cell r="V201">
            <v>110343</v>
          </cell>
          <cell r="W201">
            <v>0</v>
          </cell>
        </row>
        <row r="202">
          <cell r="E202">
            <v>61</v>
          </cell>
          <cell r="G202">
            <v>8906</v>
          </cell>
          <cell r="J202">
            <v>6</v>
          </cell>
          <cell r="L202">
            <v>3354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96264</v>
          </cell>
          <cell r="V202">
            <v>96264</v>
          </cell>
          <cell r="W202">
            <v>0</v>
          </cell>
        </row>
        <row r="203">
          <cell r="E203">
            <v>76</v>
          </cell>
          <cell r="G203">
            <v>11096</v>
          </cell>
          <cell r="J203">
            <v>5</v>
          </cell>
          <cell r="L203">
            <v>2795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97895</v>
          </cell>
          <cell r="V203"/>
          <cell r="W203">
            <v>97895</v>
          </cell>
        </row>
        <row r="204">
          <cell r="E204">
            <v>-56853</v>
          </cell>
          <cell r="G204">
            <v>-8300538</v>
          </cell>
          <cell r="J204">
            <v>-1047</v>
          </cell>
          <cell r="L204">
            <v>-585273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-8801807</v>
          </cell>
          <cell r="V204"/>
          <cell r="W204">
            <v>-8703912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-8619908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-8535904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-8451900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-8367896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-8283892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-8199888</v>
          </cell>
        </row>
      </sheetData>
      <sheetData sheetId="12">
        <row r="175">
          <cell r="E175">
            <v>460</v>
          </cell>
          <cell r="G175">
            <v>67160</v>
          </cell>
          <cell r="J175">
            <v>157</v>
          </cell>
          <cell r="L175">
            <v>98203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252504</v>
          </cell>
          <cell r="V175">
            <v>252504</v>
          </cell>
          <cell r="W175">
            <v>0</v>
          </cell>
        </row>
        <row r="176">
          <cell r="E176">
            <v>547</v>
          </cell>
          <cell r="G176">
            <v>79862</v>
          </cell>
          <cell r="J176">
            <v>153</v>
          </cell>
          <cell r="L176">
            <v>93087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260090</v>
          </cell>
          <cell r="V176">
            <v>260090</v>
          </cell>
          <cell r="W176">
            <v>0</v>
          </cell>
        </row>
        <row r="177">
          <cell r="E177">
            <v>592</v>
          </cell>
          <cell r="G177">
            <v>86432</v>
          </cell>
          <cell r="J177">
            <v>112</v>
          </cell>
          <cell r="L177">
            <v>62272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235845</v>
          </cell>
          <cell r="V177">
            <v>235845</v>
          </cell>
          <cell r="W177">
            <v>0</v>
          </cell>
        </row>
        <row r="178">
          <cell r="E178">
            <v>480</v>
          </cell>
          <cell r="G178">
            <v>70080</v>
          </cell>
          <cell r="J178">
            <v>178</v>
          </cell>
          <cell r="L178">
            <v>125062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282283</v>
          </cell>
          <cell r="V178">
            <v>282283</v>
          </cell>
          <cell r="W178">
            <v>0</v>
          </cell>
        </row>
        <row r="179">
          <cell r="E179">
            <v>514</v>
          </cell>
          <cell r="G179">
            <v>75044</v>
          </cell>
          <cell r="J179">
            <v>81</v>
          </cell>
          <cell r="L179">
            <v>45279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207464</v>
          </cell>
          <cell r="V179">
            <v>207464</v>
          </cell>
          <cell r="W179">
            <v>0</v>
          </cell>
        </row>
        <row r="180">
          <cell r="E180">
            <v>459</v>
          </cell>
          <cell r="G180">
            <v>67014</v>
          </cell>
          <cell r="J180">
            <v>47</v>
          </cell>
          <cell r="L180">
            <v>26273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180428</v>
          </cell>
          <cell r="V180">
            <v>180428</v>
          </cell>
          <cell r="W180">
            <v>0</v>
          </cell>
        </row>
        <row r="181">
          <cell r="E181">
            <v>547</v>
          </cell>
          <cell r="G181">
            <v>79862</v>
          </cell>
          <cell r="J181">
            <v>43</v>
          </cell>
          <cell r="L181">
            <v>24037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191040</v>
          </cell>
          <cell r="V181">
            <v>191040</v>
          </cell>
          <cell r="W181">
            <v>0</v>
          </cell>
        </row>
        <row r="182">
          <cell r="E182">
            <v>510</v>
          </cell>
          <cell r="G182">
            <v>74460</v>
          </cell>
          <cell r="J182">
            <v>51</v>
          </cell>
          <cell r="L182">
            <v>28509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191091</v>
          </cell>
          <cell r="V182">
            <v>191091</v>
          </cell>
          <cell r="W182">
            <v>0</v>
          </cell>
        </row>
        <row r="183">
          <cell r="E183">
            <v>438</v>
          </cell>
          <cell r="G183">
            <v>63948</v>
          </cell>
          <cell r="J183">
            <v>81</v>
          </cell>
          <cell r="L183">
            <v>45279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197365</v>
          </cell>
          <cell r="V183">
            <v>197365</v>
          </cell>
          <cell r="W183">
            <v>0</v>
          </cell>
        </row>
        <row r="184">
          <cell r="E184">
            <v>379</v>
          </cell>
          <cell r="G184">
            <v>55334</v>
          </cell>
          <cell r="J184">
            <v>24</v>
          </cell>
          <cell r="L184">
            <v>13416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156881</v>
          </cell>
          <cell r="V184"/>
          <cell r="W184">
            <v>156881</v>
          </cell>
        </row>
        <row r="185">
          <cell r="E185">
            <v>459</v>
          </cell>
          <cell r="G185">
            <v>67014</v>
          </cell>
          <cell r="J185">
            <v>108</v>
          </cell>
          <cell r="L185">
            <v>60372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215546</v>
          </cell>
          <cell r="V185">
            <v>372427</v>
          </cell>
          <cell r="W185">
            <v>0</v>
          </cell>
        </row>
        <row r="186">
          <cell r="E186">
            <v>487</v>
          </cell>
          <cell r="G186">
            <v>71102</v>
          </cell>
          <cell r="J186">
            <v>140</v>
          </cell>
          <cell r="L186">
            <v>81860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0</v>
          </cell>
          <cell r="S186">
            <v>241142</v>
          </cell>
          <cell r="V186">
            <v>241142</v>
          </cell>
          <cell r="W186">
            <v>0</v>
          </cell>
        </row>
        <row r="187">
          <cell r="E187">
            <v>532</v>
          </cell>
          <cell r="G187">
            <v>77672</v>
          </cell>
          <cell r="J187">
            <v>148</v>
          </cell>
          <cell r="L187">
            <v>87772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0</v>
          </cell>
          <cell r="S187">
            <v>255366</v>
          </cell>
          <cell r="V187">
            <v>255366</v>
          </cell>
          <cell r="W187">
            <v>0</v>
          </cell>
        </row>
        <row r="188">
          <cell r="E188">
            <v>561</v>
          </cell>
          <cell r="G188">
            <v>81906</v>
          </cell>
          <cell r="J188">
            <v>176</v>
          </cell>
          <cell r="L188">
            <v>122504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0</v>
          </cell>
          <cell r="S188">
            <v>294362</v>
          </cell>
          <cell r="V188"/>
          <cell r="W188">
            <v>294362</v>
          </cell>
        </row>
        <row r="189">
          <cell r="E189">
            <v>461</v>
          </cell>
          <cell r="G189">
            <v>67306</v>
          </cell>
          <cell r="J189">
            <v>120</v>
          </cell>
          <cell r="L189">
            <v>67080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0</v>
          </cell>
          <cell r="S189">
            <v>224351</v>
          </cell>
          <cell r="V189">
            <v>518713</v>
          </cell>
          <cell r="W189">
            <v>0</v>
          </cell>
        </row>
        <row r="190">
          <cell r="E190">
            <v>589</v>
          </cell>
          <cell r="G190">
            <v>85994</v>
          </cell>
          <cell r="J190">
            <v>111</v>
          </cell>
          <cell r="L190">
            <v>62049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0</v>
          </cell>
          <cell r="S190">
            <v>238019</v>
          </cell>
          <cell r="V190">
            <v>238019</v>
          </cell>
          <cell r="W190">
            <v>0</v>
          </cell>
        </row>
        <row r="191">
          <cell r="E191">
            <v>542</v>
          </cell>
          <cell r="G191">
            <v>79132</v>
          </cell>
          <cell r="J191">
            <v>99</v>
          </cell>
          <cell r="L191">
            <v>55341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0</v>
          </cell>
          <cell r="S191">
            <v>224471</v>
          </cell>
          <cell r="V191">
            <v>224471</v>
          </cell>
          <cell r="W191">
            <v>0</v>
          </cell>
        </row>
        <row r="192">
          <cell r="E192">
            <v>670</v>
          </cell>
          <cell r="G192">
            <v>97820</v>
          </cell>
          <cell r="J192">
            <v>44</v>
          </cell>
          <cell r="L192">
            <v>24596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0</v>
          </cell>
          <cell r="S192">
            <v>212439</v>
          </cell>
          <cell r="V192">
            <v>212439</v>
          </cell>
          <cell r="W192">
            <v>0</v>
          </cell>
        </row>
        <row r="193">
          <cell r="E193">
            <v>524</v>
          </cell>
          <cell r="G193">
            <v>76504</v>
          </cell>
          <cell r="J193">
            <v>32</v>
          </cell>
          <cell r="L193">
            <v>17888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0</v>
          </cell>
          <cell r="S193">
            <v>184428</v>
          </cell>
          <cell r="V193">
            <v>184428</v>
          </cell>
          <cell r="W193">
            <v>0</v>
          </cell>
        </row>
        <row r="194">
          <cell r="E194">
            <v>460</v>
          </cell>
          <cell r="G194">
            <v>67160</v>
          </cell>
          <cell r="J194">
            <v>31</v>
          </cell>
          <cell r="L194">
            <v>17329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0</v>
          </cell>
          <cell r="S194">
            <v>174550</v>
          </cell>
          <cell r="V194">
            <v>174550</v>
          </cell>
          <cell r="W194">
            <v>0</v>
          </cell>
        </row>
        <row r="195">
          <cell r="E195">
            <v>421</v>
          </cell>
          <cell r="G195">
            <v>61466</v>
          </cell>
          <cell r="J195">
            <v>44</v>
          </cell>
          <cell r="L195">
            <v>24596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0</v>
          </cell>
          <cell r="S195">
            <v>176144</v>
          </cell>
          <cell r="V195">
            <v>176144</v>
          </cell>
          <cell r="W195">
            <v>0</v>
          </cell>
        </row>
        <row r="196">
          <cell r="E196">
            <v>373</v>
          </cell>
          <cell r="G196">
            <v>54458</v>
          </cell>
          <cell r="J196">
            <v>63</v>
          </cell>
          <cell r="L196">
            <v>35217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0</v>
          </cell>
          <cell r="S196">
            <v>179780</v>
          </cell>
          <cell r="V196">
            <v>179780</v>
          </cell>
          <cell r="W196">
            <v>0</v>
          </cell>
        </row>
        <row r="197">
          <cell r="E197">
            <v>286</v>
          </cell>
          <cell r="G197">
            <v>41756</v>
          </cell>
          <cell r="J197">
            <v>198</v>
          </cell>
          <cell r="L197">
            <v>150642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0</v>
          </cell>
          <cell r="S197">
            <v>282533</v>
          </cell>
          <cell r="V197">
            <v>282533</v>
          </cell>
          <cell r="W197">
            <v>0</v>
          </cell>
        </row>
        <row r="198">
          <cell r="E198">
            <v>362</v>
          </cell>
          <cell r="G198">
            <v>52852</v>
          </cell>
          <cell r="J198">
            <v>111</v>
          </cell>
          <cell r="L198">
            <v>62049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0</v>
          </cell>
          <cell r="S198">
            <v>205046</v>
          </cell>
          <cell r="V198">
            <v>205046</v>
          </cell>
          <cell r="W198">
            <v>0</v>
          </cell>
        </row>
        <row r="199">
          <cell r="E199">
            <v>469</v>
          </cell>
          <cell r="G199">
            <v>68474</v>
          </cell>
          <cell r="J199">
            <v>112</v>
          </cell>
          <cell r="L199">
            <v>62608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223350</v>
          </cell>
          <cell r="V199">
            <v>223350</v>
          </cell>
          <cell r="W199">
            <v>0</v>
          </cell>
        </row>
        <row r="200">
          <cell r="E200">
            <v>502</v>
          </cell>
          <cell r="G200">
            <v>73292</v>
          </cell>
          <cell r="J200">
            <v>102</v>
          </cell>
          <cell r="L200">
            <v>57018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222581</v>
          </cell>
          <cell r="V200">
            <v>222581</v>
          </cell>
          <cell r="W200">
            <v>0</v>
          </cell>
        </row>
        <row r="201">
          <cell r="E201">
            <v>415</v>
          </cell>
          <cell r="G201">
            <v>60590</v>
          </cell>
          <cell r="J201">
            <v>92</v>
          </cell>
          <cell r="L201">
            <v>51428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204292</v>
          </cell>
          <cell r="V201">
            <v>204292</v>
          </cell>
          <cell r="W201">
            <v>0</v>
          </cell>
        </row>
        <row r="202">
          <cell r="E202">
            <v>410</v>
          </cell>
          <cell r="G202">
            <v>59860</v>
          </cell>
          <cell r="J202">
            <v>75</v>
          </cell>
          <cell r="L202">
            <v>41925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194088</v>
          </cell>
          <cell r="V202">
            <v>194088</v>
          </cell>
          <cell r="W202">
            <v>0</v>
          </cell>
        </row>
        <row r="203">
          <cell r="E203">
            <v>569</v>
          </cell>
          <cell r="G203">
            <v>83074</v>
          </cell>
          <cell r="J203">
            <v>73</v>
          </cell>
          <cell r="L203">
            <v>40807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216214</v>
          </cell>
          <cell r="V203"/>
          <cell r="W203">
            <v>216214</v>
          </cell>
        </row>
        <row r="204">
          <cell r="E204">
            <v>-14573</v>
          </cell>
          <cell r="G204">
            <v>-2127658</v>
          </cell>
          <cell r="J204">
            <v>-15936</v>
          </cell>
          <cell r="L204">
            <v>-8908224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-10951878</v>
          </cell>
          <cell r="V204"/>
          <cell r="W204">
            <v>-10735664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-10651660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-10567656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-10483652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-10399648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-10315644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-10231640</v>
          </cell>
        </row>
      </sheetData>
      <sheetData sheetId="13">
        <row r="175">
          <cell r="E175">
            <v>113</v>
          </cell>
          <cell r="G175">
            <v>16498</v>
          </cell>
          <cell r="J175">
            <v>100</v>
          </cell>
          <cell r="L175">
            <v>55900</v>
          </cell>
          <cell r="M175">
            <v>3731</v>
          </cell>
          <cell r="N175">
            <v>7000</v>
          </cell>
          <cell r="O175"/>
          <cell r="P175">
            <v>10000</v>
          </cell>
          <cell r="Q175">
            <v>76410</v>
          </cell>
          <cell r="R175"/>
          <cell r="S175">
            <v>169539</v>
          </cell>
          <cell r="V175">
            <v>310674</v>
          </cell>
          <cell r="W175">
            <v>0</v>
          </cell>
        </row>
        <row r="176">
          <cell r="E176">
            <v>254</v>
          </cell>
          <cell r="G176">
            <v>37084</v>
          </cell>
          <cell r="J176">
            <v>45</v>
          </cell>
          <cell r="L176">
            <v>25155</v>
          </cell>
          <cell r="M176">
            <v>3731</v>
          </cell>
          <cell r="N176">
            <v>7000</v>
          </cell>
          <cell r="O176"/>
          <cell r="P176">
            <v>10000</v>
          </cell>
          <cell r="Q176">
            <v>76410</v>
          </cell>
          <cell r="R176"/>
          <cell r="S176">
            <v>159380</v>
          </cell>
          <cell r="V176"/>
          <cell r="W176">
            <v>159380</v>
          </cell>
        </row>
        <row r="177">
          <cell r="E177">
            <v>158</v>
          </cell>
          <cell r="G177">
            <v>23068</v>
          </cell>
          <cell r="J177">
            <v>31</v>
          </cell>
          <cell r="L177">
            <v>17329</v>
          </cell>
          <cell r="M177">
            <v>3731</v>
          </cell>
          <cell r="N177">
            <v>7000</v>
          </cell>
          <cell r="O177"/>
          <cell r="P177">
            <v>10000</v>
          </cell>
          <cell r="Q177">
            <v>76410</v>
          </cell>
          <cell r="R177"/>
          <cell r="S177">
            <v>137538</v>
          </cell>
          <cell r="V177">
            <v>296918</v>
          </cell>
          <cell r="W177">
            <v>0</v>
          </cell>
        </row>
        <row r="178">
          <cell r="E178">
            <v>139</v>
          </cell>
          <cell r="G178">
            <v>20294</v>
          </cell>
          <cell r="J178">
            <v>16</v>
          </cell>
          <cell r="L178">
            <v>8944</v>
          </cell>
          <cell r="M178">
            <v>3731</v>
          </cell>
          <cell r="N178">
            <v>7000</v>
          </cell>
          <cell r="O178"/>
          <cell r="P178">
            <v>10000</v>
          </cell>
          <cell r="Q178">
            <v>76410</v>
          </cell>
          <cell r="R178"/>
          <cell r="S178">
            <v>126379</v>
          </cell>
          <cell r="V178"/>
          <cell r="W178">
            <v>126379</v>
          </cell>
        </row>
        <row r="179">
          <cell r="E179">
            <v>126</v>
          </cell>
          <cell r="G179">
            <v>18396</v>
          </cell>
          <cell r="J179">
            <v>12</v>
          </cell>
          <cell r="L179">
            <v>6708</v>
          </cell>
          <cell r="M179">
            <v>3731</v>
          </cell>
          <cell r="N179">
            <v>7000</v>
          </cell>
          <cell r="O179"/>
          <cell r="P179">
            <v>10000</v>
          </cell>
          <cell r="Q179">
            <v>76410</v>
          </cell>
          <cell r="R179"/>
          <cell r="S179">
            <v>122245</v>
          </cell>
          <cell r="V179">
            <v>248624</v>
          </cell>
          <cell r="W179">
            <v>0</v>
          </cell>
        </row>
        <row r="180">
          <cell r="E180">
            <v>70</v>
          </cell>
          <cell r="G180">
            <v>10220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/>
          <cell r="P180">
            <v>10000</v>
          </cell>
          <cell r="Q180">
            <v>76410</v>
          </cell>
          <cell r="R180"/>
          <cell r="S180">
            <v>108479</v>
          </cell>
          <cell r="V180">
            <v>108479</v>
          </cell>
          <cell r="W180">
            <v>0</v>
          </cell>
        </row>
        <row r="181">
          <cell r="E181">
            <v>59</v>
          </cell>
          <cell r="G181">
            <v>8614</v>
          </cell>
          <cell r="J181">
            <v>1</v>
          </cell>
          <cell r="L181">
            <v>559</v>
          </cell>
          <cell r="M181">
            <v>3731</v>
          </cell>
          <cell r="N181">
            <v>7000</v>
          </cell>
          <cell r="O181"/>
          <cell r="P181">
            <v>10000</v>
          </cell>
          <cell r="Q181">
            <v>76410</v>
          </cell>
          <cell r="R181"/>
          <cell r="S181">
            <v>106314</v>
          </cell>
          <cell r="V181"/>
          <cell r="W181">
            <v>106314</v>
          </cell>
        </row>
        <row r="182">
          <cell r="E182">
            <v>98</v>
          </cell>
          <cell r="G182">
            <v>14308</v>
          </cell>
          <cell r="J182">
            <v>7</v>
          </cell>
          <cell r="L182">
            <v>3913</v>
          </cell>
          <cell r="M182">
            <v>3731</v>
          </cell>
          <cell r="N182">
            <v>7981</v>
          </cell>
          <cell r="O182"/>
          <cell r="P182">
            <v>10000</v>
          </cell>
          <cell r="Q182">
            <v>76410</v>
          </cell>
          <cell r="R182"/>
          <cell r="S182">
            <v>116343</v>
          </cell>
          <cell r="V182">
            <v>222657</v>
          </cell>
          <cell r="W182">
            <v>0</v>
          </cell>
        </row>
        <row r="183">
          <cell r="E183">
            <v>191</v>
          </cell>
          <cell r="G183">
            <v>27886</v>
          </cell>
          <cell r="J183">
            <v>18</v>
          </cell>
          <cell r="L183">
            <v>10062</v>
          </cell>
          <cell r="M183">
            <v>3731</v>
          </cell>
          <cell r="N183">
            <v>7997</v>
          </cell>
          <cell r="O183"/>
          <cell r="P183">
            <v>10000</v>
          </cell>
          <cell r="Q183">
            <v>76410</v>
          </cell>
          <cell r="R183"/>
          <cell r="S183">
            <v>136086</v>
          </cell>
          <cell r="V183"/>
          <cell r="W183">
            <v>136086</v>
          </cell>
        </row>
        <row r="184">
          <cell r="E184">
            <v>134</v>
          </cell>
          <cell r="G184">
            <v>19564</v>
          </cell>
          <cell r="J184">
            <v>5</v>
          </cell>
          <cell r="L184">
            <v>2795</v>
          </cell>
          <cell r="M184">
            <v>3731</v>
          </cell>
          <cell r="N184">
            <v>7990</v>
          </cell>
          <cell r="O184"/>
          <cell r="P184">
            <v>10000</v>
          </cell>
          <cell r="Q184">
            <v>76410</v>
          </cell>
          <cell r="R184"/>
          <cell r="S184">
            <v>120490</v>
          </cell>
          <cell r="V184">
            <v>256576</v>
          </cell>
          <cell r="W184">
            <v>0</v>
          </cell>
        </row>
        <row r="185">
          <cell r="E185">
            <v>170</v>
          </cell>
          <cell r="G185">
            <v>24820</v>
          </cell>
          <cell r="J185">
            <v>36</v>
          </cell>
          <cell r="L185">
            <v>20124</v>
          </cell>
          <cell r="M185">
            <v>3731</v>
          </cell>
          <cell r="N185">
            <v>8019</v>
          </cell>
          <cell r="O185"/>
          <cell r="P185">
            <v>10000</v>
          </cell>
          <cell r="Q185">
            <v>76410</v>
          </cell>
          <cell r="R185"/>
          <cell r="S185">
            <v>143104</v>
          </cell>
          <cell r="V185">
            <v>143104</v>
          </cell>
          <cell r="W185">
            <v>0</v>
          </cell>
        </row>
        <row r="186">
          <cell r="E186">
            <v>173</v>
          </cell>
          <cell r="G186">
            <v>25258</v>
          </cell>
          <cell r="J186">
            <v>59</v>
          </cell>
          <cell r="L186">
            <v>32981</v>
          </cell>
          <cell r="M186">
            <v>3731</v>
          </cell>
          <cell r="N186">
            <v>8039</v>
          </cell>
          <cell r="O186"/>
          <cell r="P186">
            <v>10000</v>
          </cell>
          <cell r="Q186">
            <v>76410</v>
          </cell>
          <cell r="R186"/>
          <cell r="S186">
            <v>156419</v>
          </cell>
          <cell r="V186"/>
          <cell r="W186">
            <v>156419</v>
          </cell>
        </row>
        <row r="187">
          <cell r="E187">
            <v>272</v>
          </cell>
          <cell r="G187">
            <v>39712</v>
          </cell>
          <cell r="J187">
            <v>77</v>
          </cell>
          <cell r="L187">
            <v>43043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172677</v>
          </cell>
          <cell r="V187">
            <v>329096</v>
          </cell>
          <cell r="W187">
            <v>0</v>
          </cell>
        </row>
        <row r="188">
          <cell r="E188">
            <v>296</v>
          </cell>
          <cell r="G188">
            <v>43216</v>
          </cell>
          <cell r="J188">
            <v>99</v>
          </cell>
          <cell r="L188">
            <v>55341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188509</v>
          </cell>
          <cell r="V188">
            <v>188509</v>
          </cell>
          <cell r="W188">
            <v>0</v>
          </cell>
        </row>
        <row r="189">
          <cell r="E189">
            <v>144</v>
          </cell>
          <cell r="G189">
            <v>21024</v>
          </cell>
          <cell r="J189">
            <v>44</v>
          </cell>
          <cell r="L189">
            <v>24596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135585</v>
          </cell>
          <cell r="V189"/>
          <cell r="W189">
            <v>135585</v>
          </cell>
        </row>
        <row r="190">
          <cell r="E190">
            <v>197</v>
          </cell>
          <cell r="G190">
            <v>28762</v>
          </cell>
          <cell r="J190">
            <v>41</v>
          </cell>
          <cell r="L190">
            <v>22919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141657</v>
          </cell>
          <cell r="V190">
            <v>277242</v>
          </cell>
          <cell r="W190">
            <v>0</v>
          </cell>
        </row>
        <row r="191">
          <cell r="E191">
            <v>160</v>
          </cell>
          <cell r="G191">
            <v>23360</v>
          </cell>
          <cell r="J191">
            <v>44</v>
          </cell>
          <cell r="L191">
            <v>24596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137954</v>
          </cell>
          <cell r="V191"/>
          <cell r="W191">
            <v>137954</v>
          </cell>
        </row>
        <row r="192">
          <cell r="E192">
            <v>93</v>
          </cell>
          <cell r="G192">
            <v>13578</v>
          </cell>
          <cell r="J192">
            <v>19</v>
          </cell>
          <cell r="L192">
            <v>10621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114222</v>
          </cell>
          <cell r="V192">
            <v>252176</v>
          </cell>
          <cell r="W192">
            <v>0</v>
          </cell>
        </row>
        <row r="193">
          <cell r="E193">
            <v>223</v>
          </cell>
          <cell r="G193">
            <v>32558</v>
          </cell>
          <cell r="J193">
            <v>9</v>
          </cell>
          <cell r="L193">
            <v>5031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127625</v>
          </cell>
          <cell r="V193"/>
          <cell r="W193">
            <v>127625</v>
          </cell>
        </row>
        <row r="194">
          <cell r="E194">
            <v>99</v>
          </cell>
          <cell r="G194">
            <v>14454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105633</v>
          </cell>
          <cell r="V194">
            <v>233258</v>
          </cell>
          <cell r="W194">
            <v>0</v>
          </cell>
        </row>
        <row r="195">
          <cell r="E195">
            <v>137</v>
          </cell>
          <cell r="G195">
            <v>20002</v>
          </cell>
          <cell r="J195">
            <v>28</v>
          </cell>
          <cell r="L195">
            <v>15652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125736</v>
          </cell>
          <cell r="V195"/>
          <cell r="W195">
            <v>125736</v>
          </cell>
        </row>
        <row r="196">
          <cell r="E196">
            <v>151</v>
          </cell>
          <cell r="G196">
            <v>22046</v>
          </cell>
          <cell r="J196">
            <v>19</v>
          </cell>
          <cell r="L196">
            <v>10621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122772</v>
          </cell>
          <cell r="V196">
            <v>248508</v>
          </cell>
          <cell r="W196">
            <v>0</v>
          </cell>
        </row>
        <row r="197">
          <cell r="E197">
            <v>174</v>
          </cell>
          <cell r="G197">
            <v>25404</v>
          </cell>
          <cell r="J197">
            <v>38</v>
          </cell>
          <cell r="L197">
            <v>21242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136781</v>
          </cell>
          <cell r="V197"/>
          <cell r="W197">
            <v>136781</v>
          </cell>
        </row>
        <row r="198">
          <cell r="E198">
            <v>169</v>
          </cell>
          <cell r="G198">
            <v>24674</v>
          </cell>
          <cell r="J198">
            <v>56</v>
          </cell>
          <cell r="L198">
            <v>31304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146123</v>
          </cell>
          <cell r="V198">
            <v>282904</v>
          </cell>
          <cell r="W198">
            <v>0</v>
          </cell>
        </row>
        <row r="199">
          <cell r="E199">
            <v>226</v>
          </cell>
          <cell r="G199">
            <v>32996</v>
          </cell>
          <cell r="J199">
            <v>79</v>
          </cell>
          <cell r="L199">
            <v>44161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169425</v>
          </cell>
          <cell r="V199"/>
          <cell r="W199">
            <v>169425</v>
          </cell>
        </row>
        <row r="200">
          <cell r="E200">
            <v>224</v>
          </cell>
          <cell r="G200">
            <v>32704</v>
          </cell>
          <cell r="J200">
            <v>77</v>
          </cell>
          <cell r="L200">
            <v>43043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168018</v>
          </cell>
          <cell r="V200">
            <v>337443</v>
          </cell>
          <cell r="W200">
            <v>0</v>
          </cell>
        </row>
        <row r="201">
          <cell r="E201">
            <v>212</v>
          </cell>
          <cell r="G201">
            <v>30952</v>
          </cell>
          <cell r="J201">
            <v>85</v>
          </cell>
          <cell r="L201">
            <v>47515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170741</v>
          </cell>
          <cell r="V201"/>
          <cell r="W201">
            <v>170741</v>
          </cell>
        </row>
        <row r="202">
          <cell r="E202">
            <v>134</v>
          </cell>
          <cell r="G202">
            <v>19564</v>
          </cell>
          <cell r="J202">
            <v>42</v>
          </cell>
          <cell r="L202">
            <v>23478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135345</v>
          </cell>
          <cell r="V202">
            <v>306086</v>
          </cell>
          <cell r="W202">
            <v>0</v>
          </cell>
        </row>
        <row r="203">
          <cell r="E203">
            <v>118</v>
          </cell>
          <cell r="G203">
            <v>17228</v>
          </cell>
          <cell r="J203">
            <v>23</v>
          </cell>
          <cell r="L203">
            <v>12857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122418</v>
          </cell>
          <cell r="V203"/>
          <cell r="W203">
            <v>122418</v>
          </cell>
        </row>
        <row r="204">
          <cell r="E204">
            <v>-28886</v>
          </cell>
          <cell r="G204">
            <v>-4217356</v>
          </cell>
          <cell r="J204">
            <v>-2882</v>
          </cell>
          <cell r="L204">
            <v>-1611038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-5744390</v>
          </cell>
          <cell r="V204"/>
          <cell r="W204">
            <v>-5621972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-5537968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-5453964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-5369960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-5285956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-5201952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-5117948</v>
          </cell>
        </row>
      </sheetData>
      <sheetData sheetId="14">
        <row r="175">
          <cell r="E175">
            <v>200</v>
          </cell>
          <cell r="G175">
            <v>29200</v>
          </cell>
          <cell r="J175">
            <v>118</v>
          </cell>
          <cell r="L175">
            <v>65962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182303</v>
          </cell>
          <cell r="V175"/>
          <cell r="W175">
            <v>182303</v>
          </cell>
        </row>
        <row r="176">
          <cell r="E176">
            <v>264</v>
          </cell>
          <cell r="G176">
            <v>38544</v>
          </cell>
          <cell r="J176">
            <v>119</v>
          </cell>
          <cell r="L176">
            <v>66521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192206</v>
          </cell>
          <cell r="V176">
            <v>374509</v>
          </cell>
          <cell r="W176">
            <v>0</v>
          </cell>
        </row>
        <row r="177">
          <cell r="E177">
            <v>240</v>
          </cell>
          <cell r="G177">
            <v>35040</v>
          </cell>
          <cell r="J177">
            <v>72</v>
          </cell>
          <cell r="L177">
            <v>40248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162429</v>
          </cell>
          <cell r="V177">
            <v>162429</v>
          </cell>
          <cell r="W177">
            <v>0</v>
          </cell>
        </row>
        <row r="178">
          <cell r="E178">
            <v>172</v>
          </cell>
          <cell r="G178">
            <v>25112</v>
          </cell>
          <cell r="J178">
            <v>57</v>
          </cell>
          <cell r="L178">
            <v>31863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144116</v>
          </cell>
          <cell r="V178"/>
          <cell r="W178">
            <v>144116</v>
          </cell>
        </row>
        <row r="179">
          <cell r="E179">
            <v>134</v>
          </cell>
          <cell r="G179">
            <v>19564</v>
          </cell>
          <cell r="J179">
            <v>47</v>
          </cell>
          <cell r="L179">
            <v>26273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132978</v>
          </cell>
          <cell r="V179">
            <v>277094</v>
          </cell>
          <cell r="W179">
            <v>0</v>
          </cell>
        </row>
        <row r="180">
          <cell r="E180">
            <v>130</v>
          </cell>
          <cell r="G180">
            <v>18980</v>
          </cell>
          <cell r="J180">
            <v>23</v>
          </cell>
          <cell r="L180">
            <v>12857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118978</v>
          </cell>
          <cell r="V180"/>
          <cell r="W180">
            <v>118978</v>
          </cell>
        </row>
        <row r="181">
          <cell r="E181">
            <v>139</v>
          </cell>
          <cell r="G181">
            <v>20294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108553</v>
          </cell>
          <cell r="V181">
            <v>227531</v>
          </cell>
          <cell r="W181">
            <v>0</v>
          </cell>
        </row>
        <row r="182">
          <cell r="E182">
            <v>180</v>
          </cell>
          <cell r="G182">
            <v>26280</v>
          </cell>
          <cell r="J182">
            <v>7</v>
          </cell>
          <cell r="L182">
            <v>3913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118315</v>
          </cell>
          <cell r="V182"/>
          <cell r="W182">
            <v>118315</v>
          </cell>
        </row>
        <row r="183">
          <cell r="E183">
            <v>142</v>
          </cell>
          <cell r="G183">
            <v>20732</v>
          </cell>
          <cell r="J183">
            <v>11</v>
          </cell>
          <cell r="L183">
            <v>6149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115019</v>
          </cell>
          <cell r="V183">
            <v>233334</v>
          </cell>
          <cell r="W183">
            <v>0</v>
          </cell>
        </row>
        <row r="184">
          <cell r="E184">
            <v>108</v>
          </cell>
          <cell r="G184">
            <v>15768</v>
          </cell>
          <cell r="J184">
            <v>29</v>
          </cell>
          <cell r="L184">
            <v>16211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120110</v>
          </cell>
          <cell r="V184"/>
          <cell r="W184">
            <v>120110</v>
          </cell>
        </row>
        <row r="185">
          <cell r="E185">
            <v>118</v>
          </cell>
          <cell r="G185">
            <v>17228</v>
          </cell>
          <cell r="J185">
            <v>116</v>
          </cell>
          <cell r="L185">
            <v>64844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170232</v>
          </cell>
          <cell r="V185">
            <v>290342</v>
          </cell>
          <cell r="W185">
            <v>0</v>
          </cell>
        </row>
        <row r="186">
          <cell r="E186">
            <v>139</v>
          </cell>
          <cell r="G186">
            <v>20294</v>
          </cell>
          <cell r="J186">
            <v>108</v>
          </cell>
          <cell r="L186">
            <v>60372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168846</v>
          </cell>
          <cell r="V186">
            <v>120111</v>
          </cell>
          <cell r="W186">
            <v>48735</v>
          </cell>
        </row>
        <row r="187">
          <cell r="E187">
            <v>123</v>
          </cell>
          <cell r="G187">
            <v>17958</v>
          </cell>
          <cell r="J187">
            <v>124</v>
          </cell>
          <cell r="L187">
            <v>70036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177916</v>
          </cell>
          <cell r="V187">
            <v>226651</v>
          </cell>
          <cell r="W187">
            <v>0</v>
          </cell>
        </row>
        <row r="188">
          <cell r="E188">
            <v>190</v>
          </cell>
          <cell r="G188">
            <v>27740</v>
          </cell>
          <cell r="J188">
            <v>79</v>
          </cell>
          <cell r="L188">
            <v>44161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53934</v>
          </cell>
          <cell r="S188">
            <v>215787</v>
          </cell>
          <cell r="V188"/>
          <cell r="W188">
            <v>215787</v>
          </cell>
        </row>
        <row r="189">
          <cell r="E189">
            <v>122</v>
          </cell>
          <cell r="G189">
            <v>17812</v>
          </cell>
          <cell r="J189">
            <v>140</v>
          </cell>
          <cell r="L189">
            <v>81860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54009</v>
          </cell>
          <cell r="S189">
            <v>243646</v>
          </cell>
          <cell r="V189">
            <v>459433</v>
          </cell>
          <cell r="W189">
            <v>0</v>
          </cell>
        </row>
        <row r="190">
          <cell r="E190">
            <v>82</v>
          </cell>
          <cell r="G190">
            <v>11972</v>
          </cell>
          <cell r="J190">
            <v>50</v>
          </cell>
          <cell r="L190">
            <v>27950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129898</v>
          </cell>
          <cell r="V190"/>
          <cell r="W190">
            <v>129898</v>
          </cell>
        </row>
        <row r="191">
          <cell r="E191">
            <v>30</v>
          </cell>
          <cell r="G191">
            <v>4380</v>
          </cell>
          <cell r="J191">
            <v>62</v>
          </cell>
          <cell r="L191">
            <v>34658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129036</v>
          </cell>
          <cell r="V191">
            <v>258934</v>
          </cell>
          <cell r="W191">
            <v>0</v>
          </cell>
        </row>
        <row r="192">
          <cell r="E192">
            <v>23</v>
          </cell>
          <cell r="G192">
            <v>3358</v>
          </cell>
          <cell r="J192">
            <v>15</v>
          </cell>
          <cell r="L192">
            <v>8385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101766</v>
          </cell>
          <cell r="V192"/>
          <cell r="W192">
            <v>101766</v>
          </cell>
        </row>
        <row r="193">
          <cell r="E193">
            <v>75</v>
          </cell>
          <cell r="G193">
            <v>10950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101545</v>
          </cell>
          <cell r="V193">
            <v>203311</v>
          </cell>
          <cell r="W193">
            <v>0</v>
          </cell>
        </row>
        <row r="194">
          <cell r="E194">
            <v>109</v>
          </cell>
          <cell r="G194">
            <v>15914</v>
          </cell>
          <cell r="J194">
            <v>9</v>
          </cell>
          <cell r="L194">
            <v>5031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111006</v>
          </cell>
          <cell r="V194">
            <v>111006</v>
          </cell>
          <cell r="W194">
            <v>0</v>
          </cell>
        </row>
        <row r="195">
          <cell r="E195">
            <v>41</v>
          </cell>
          <cell r="G195">
            <v>5986</v>
          </cell>
          <cell r="J195">
            <v>27</v>
          </cell>
          <cell r="L195">
            <v>15093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111161</v>
          </cell>
          <cell r="V195">
            <v>111161</v>
          </cell>
          <cell r="W195">
            <v>0</v>
          </cell>
        </row>
        <row r="196">
          <cell r="E196">
            <v>36</v>
          </cell>
          <cell r="G196">
            <v>5256</v>
          </cell>
          <cell r="J196">
            <v>6</v>
          </cell>
          <cell r="L196">
            <v>3354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98715</v>
          </cell>
          <cell r="V196"/>
          <cell r="W196">
            <v>98715</v>
          </cell>
        </row>
        <row r="197">
          <cell r="E197">
            <v>76</v>
          </cell>
          <cell r="G197">
            <v>11096</v>
          </cell>
          <cell r="J197">
            <v>65</v>
          </cell>
          <cell r="L197">
            <v>36335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137566</v>
          </cell>
          <cell r="V197">
            <v>236291</v>
          </cell>
          <cell r="W197">
            <v>-10</v>
          </cell>
        </row>
        <row r="198">
          <cell r="E198">
            <v>212</v>
          </cell>
          <cell r="G198">
            <v>30952</v>
          </cell>
          <cell r="J198">
            <v>96</v>
          </cell>
          <cell r="L198">
            <v>53664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174761</v>
          </cell>
          <cell r="V198"/>
          <cell r="W198">
            <v>174751</v>
          </cell>
        </row>
        <row r="199">
          <cell r="E199">
            <v>178</v>
          </cell>
          <cell r="G199">
            <v>25988</v>
          </cell>
          <cell r="J199">
            <v>77</v>
          </cell>
          <cell r="L199">
            <v>43043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161299</v>
          </cell>
          <cell r="V199"/>
          <cell r="W199">
            <v>336050</v>
          </cell>
        </row>
        <row r="200">
          <cell r="E200">
            <v>113</v>
          </cell>
          <cell r="G200">
            <v>16498</v>
          </cell>
          <cell r="J200">
            <v>98</v>
          </cell>
          <cell r="L200">
            <v>54782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163551</v>
          </cell>
          <cell r="V200">
            <v>499000</v>
          </cell>
          <cell r="W200">
            <v>601</v>
          </cell>
        </row>
        <row r="201">
          <cell r="E201">
            <v>36</v>
          </cell>
          <cell r="G201">
            <v>5256</v>
          </cell>
          <cell r="J201">
            <v>30</v>
          </cell>
          <cell r="L201">
            <v>16770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114300</v>
          </cell>
          <cell r="V201">
            <v>114901</v>
          </cell>
          <cell r="W201">
            <v>0</v>
          </cell>
        </row>
        <row r="202">
          <cell r="E202">
            <v>49</v>
          </cell>
          <cell r="G202">
            <v>7154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99457</v>
          </cell>
          <cell r="V202"/>
          <cell r="W202">
            <v>99457</v>
          </cell>
        </row>
        <row r="203">
          <cell r="E203">
            <v>45</v>
          </cell>
          <cell r="G203">
            <v>6570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98903</v>
          </cell>
          <cell r="V203"/>
          <cell r="W203">
            <v>198360</v>
          </cell>
        </row>
        <row r="204">
          <cell r="E204">
            <v>-40581</v>
          </cell>
          <cell r="G204">
            <v>-5924826</v>
          </cell>
          <cell r="J204">
            <v>-4799</v>
          </cell>
          <cell r="L204">
            <v>-2682641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-8523463</v>
          </cell>
          <cell r="V204"/>
          <cell r="W204">
            <v>-8325103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-8241099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-8157095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-8073091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-7989087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-7905083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-7821079</v>
          </cell>
        </row>
      </sheetData>
      <sheetData sheetId="15">
        <row r="175">
          <cell r="E175">
            <v>347</v>
          </cell>
          <cell r="G175">
            <v>50662</v>
          </cell>
          <cell r="J175">
            <v>127</v>
          </cell>
          <cell r="L175">
            <v>72253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210056</v>
          </cell>
          <cell r="V175"/>
          <cell r="W175">
            <v>210056</v>
          </cell>
        </row>
        <row r="176">
          <cell r="E176">
            <v>370</v>
          </cell>
          <cell r="G176">
            <v>54020</v>
          </cell>
          <cell r="J176">
            <v>87</v>
          </cell>
          <cell r="L176">
            <v>48633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189794</v>
          </cell>
          <cell r="V176">
            <v>399850</v>
          </cell>
          <cell r="W176">
            <v>0</v>
          </cell>
        </row>
        <row r="177">
          <cell r="E177">
            <v>429</v>
          </cell>
          <cell r="G177">
            <v>62634</v>
          </cell>
          <cell r="J177">
            <v>104</v>
          </cell>
          <cell r="L177">
            <v>58136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207911</v>
          </cell>
          <cell r="V177"/>
          <cell r="W177">
            <v>207911</v>
          </cell>
        </row>
        <row r="178">
          <cell r="E178">
            <v>454</v>
          </cell>
          <cell r="G178">
            <v>66284</v>
          </cell>
          <cell r="J178">
            <v>109</v>
          </cell>
          <cell r="L178">
            <v>60931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214356</v>
          </cell>
          <cell r="V178">
            <v>422267</v>
          </cell>
          <cell r="W178">
            <v>0</v>
          </cell>
        </row>
        <row r="179">
          <cell r="E179">
            <v>805</v>
          </cell>
          <cell r="G179">
            <v>117530</v>
          </cell>
          <cell r="J179">
            <v>78</v>
          </cell>
          <cell r="L179">
            <v>43602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248273</v>
          </cell>
          <cell r="V179"/>
          <cell r="W179">
            <v>248273</v>
          </cell>
        </row>
        <row r="180">
          <cell r="E180">
            <v>105</v>
          </cell>
          <cell r="G180">
            <v>15330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102471</v>
          </cell>
          <cell r="V180">
            <v>350744</v>
          </cell>
          <cell r="W180">
            <v>0</v>
          </cell>
        </row>
        <row r="181">
          <cell r="E181">
            <v>407</v>
          </cell>
          <cell r="G181">
            <v>59422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148240</v>
          </cell>
          <cell r="V181"/>
          <cell r="W181">
            <v>148240</v>
          </cell>
        </row>
        <row r="182">
          <cell r="E182">
            <v>204</v>
          </cell>
          <cell r="G182">
            <v>29784</v>
          </cell>
          <cell r="J182"/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117906</v>
          </cell>
          <cell r="V182">
            <v>266146</v>
          </cell>
          <cell r="W182">
            <v>0</v>
          </cell>
        </row>
        <row r="183">
          <cell r="E183">
            <v>193</v>
          </cell>
          <cell r="G183">
            <v>28178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116316</v>
          </cell>
          <cell r="V183"/>
          <cell r="W183">
            <v>116316</v>
          </cell>
        </row>
        <row r="184">
          <cell r="E184">
            <v>157</v>
          </cell>
          <cell r="G184">
            <v>22922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111053</v>
          </cell>
          <cell r="V184">
            <v>227369</v>
          </cell>
          <cell r="W184">
            <v>0</v>
          </cell>
        </row>
        <row r="185">
          <cell r="E185">
            <v>78</v>
          </cell>
          <cell r="G185">
            <v>11388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99548</v>
          </cell>
          <cell r="V185">
            <v>99548</v>
          </cell>
          <cell r="W185">
            <v>0</v>
          </cell>
        </row>
        <row r="186">
          <cell r="E186">
            <v>9</v>
          </cell>
          <cell r="G186">
            <v>1314</v>
          </cell>
          <cell r="J186">
            <v>11</v>
          </cell>
          <cell r="L186">
            <v>6149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95643</v>
          </cell>
          <cell r="V186"/>
          <cell r="W186">
            <v>95643</v>
          </cell>
        </row>
        <row r="187">
          <cell r="E187">
            <v>90</v>
          </cell>
          <cell r="G187">
            <v>13140</v>
          </cell>
          <cell r="J187">
            <v>46</v>
          </cell>
          <cell r="L187">
            <v>25714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128776</v>
          </cell>
          <cell r="V187">
            <v>224419</v>
          </cell>
          <cell r="W187">
            <v>0</v>
          </cell>
        </row>
        <row r="188">
          <cell r="E188">
            <v>432</v>
          </cell>
          <cell r="G188">
            <v>63072</v>
          </cell>
          <cell r="J188">
            <v>20</v>
          </cell>
          <cell r="L188">
            <v>11180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164204</v>
          </cell>
          <cell r="V188"/>
          <cell r="W188">
            <v>164204</v>
          </cell>
        </row>
        <row r="189">
          <cell r="E189">
            <v>316</v>
          </cell>
          <cell r="G189">
            <v>46136</v>
          </cell>
          <cell r="J189">
            <v>13</v>
          </cell>
          <cell r="L189">
            <v>7267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143368</v>
          </cell>
          <cell r="V189">
            <v>307572</v>
          </cell>
          <cell r="W189">
            <v>0</v>
          </cell>
        </row>
        <row r="190">
          <cell r="E190">
            <v>319</v>
          </cell>
          <cell r="G190">
            <v>46574</v>
          </cell>
          <cell r="J190">
            <v>8</v>
          </cell>
          <cell r="L190">
            <v>4472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141022</v>
          </cell>
          <cell r="V190"/>
          <cell r="W190">
            <v>141022</v>
          </cell>
        </row>
        <row r="191">
          <cell r="E191">
            <v>270</v>
          </cell>
          <cell r="G191">
            <v>39420</v>
          </cell>
          <cell r="J191">
            <v>9</v>
          </cell>
          <cell r="L191">
            <v>5031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134449</v>
          </cell>
          <cell r="V191">
            <v>275471</v>
          </cell>
          <cell r="W191">
            <v>0</v>
          </cell>
        </row>
        <row r="192">
          <cell r="E192">
            <v>269</v>
          </cell>
          <cell r="G192">
            <v>39274</v>
          </cell>
          <cell r="J192">
            <v>2</v>
          </cell>
          <cell r="L192">
            <v>1118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130415</v>
          </cell>
          <cell r="V192">
            <v>130415</v>
          </cell>
          <cell r="W192">
            <v>0</v>
          </cell>
        </row>
        <row r="193">
          <cell r="E193">
            <v>262</v>
          </cell>
          <cell r="G193">
            <v>38252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128288</v>
          </cell>
          <cell r="V193">
            <v>128288</v>
          </cell>
          <cell r="W193">
            <v>0</v>
          </cell>
        </row>
        <row r="194">
          <cell r="E194">
            <v>258</v>
          </cell>
          <cell r="G194">
            <v>37668</v>
          </cell>
          <cell r="J194">
            <v>1</v>
          </cell>
          <cell r="L194">
            <v>559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128288</v>
          </cell>
          <cell r="V194">
            <v>128288</v>
          </cell>
          <cell r="W194">
            <v>0</v>
          </cell>
        </row>
        <row r="195">
          <cell r="E195">
            <v>314</v>
          </cell>
          <cell r="G195">
            <v>45844</v>
          </cell>
          <cell r="J195">
            <v>2</v>
          </cell>
          <cell r="L195">
            <v>1118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137044</v>
          </cell>
          <cell r="V195">
            <v>137044</v>
          </cell>
          <cell r="W195">
            <v>0</v>
          </cell>
        </row>
        <row r="196">
          <cell r="E196">
            <v>410</v>
          </cell>
          <cell r="G196">
            <v>59860</v>
          </cell>
          <cell r="J196">
            <v>8</v>
          </cell>
          <cell r="L196">
            <v>4472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154437</v>
          </cell>
          <cell r="V196">
            <v>154437</v>
          </cell>
          <cell r="W196">
            <v>0</v>
          </cell>
        </row>
        <row r="197">
          <cell r="E197">
            <v>527</v>
          </cell>
          <cell r="G197">
            <v>76942</v>
          </cell>
          <cell r="J197">
            <v>5</v>
          </cell>
          <cell r="L197">
            <v>2795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S197">
            <v>225004</v>
          </cell>
          <cell r="V197"/>
          <cell r="W197">
            <v>225004</v>
          </cell>
        </row>
        <row r="198">
          <cell r="E198">
            <v>366</v>
          </cell>
          <cell r="G198">
            <v>53436</v>
          </cell>
          <cell r="J198">
            <v>8</v>
          </cell>
          <cell r="L198">
            <v>4472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203145</v>
          </cell>
          <cell r="V198">
            <v>428149</v>
          </cell>
          <cell r="W198">
            <v>0</v>
          </cell>
        </row>
        <row r="199">
          <cell r="E199">
            <v>326</v>
          </cell>
          <cell r="G199">
            <v>47596</v>
          </cell>
          <cell r="J199">
            <v>19</v>
          </cell>
          <cell r="L199">
            <v>10621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150485</v>
          </cell>
          <cell r="V199">
            <v>150485</v>
          </cell>
          <cell r="W199">
            <v>0</v>
          </cell>
        </row>
        <row r="200">
          <cell r="E200">
            <v>527</v>
          </cell>
          <cell r="G200">
            <v>76942</v>
          </cell>
          <cell r="J200">
            <v>30</v>
          </cell>
          <cell r="L200">
            <v>16770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185983</v>
          </cell>
          <cell r="V200">
            <v>185983</v>
          </cell>
          <cell r="W200">
            <v>0</v>
          </cell>
        </row>
        <row r="201">
          <cell r="E201">
            <v>406</v>
          </cell>
          <cell r="G201">
            <v>59276</v>
          </cell>
          <cell r="J201">
            <v>9</v>
          </cell>
          <cell r="L201">
            <v>5031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156581</v>
          </cell>
          <cell r="V201">
            <v>156581</v>
          </cell>
          <cell r="W201">
            <v>0</v>
          </cell>
        </row>
        <row r="202">
          <cell r="E202">
            <v>461</v>
          </cell>
          <cell r="G202">
            <v>67306</v>
          </cell>
          <cell r="J202">
            <v>15</v>
          </cell>
          <cell r="L202">
            <v>8385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167994</v>
          </cell>
          <cell r="V202">
            <v>167994</v>
          </cell>
          <cell r="W202">
            <v>0</v>
          </cell>
        </row>
        <row r="203">
          <cell r="E203">
            <v>260</v>
          </cell>
          <cell r="G203">
            <v>37960</v>
          </cell>
          <cell r="J203">
            <v>1</v>
          </cell>
          <cell r="L203">
            <v>559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130852</v>
          </cell>
          <cell r="V203"/>
          <cell r="W203">
            <v>130852</v>
          </cell>
        </row>
        <row r="204">
          <cell r="E204">
            <v>-30607</v>
          </cell>
          <cell r="G204">
            <v>-4468622</v>
          </cell>
          <cell r="J204">
            <v>-3174</v>
          </cell>
          <cell r="L204">
            <v>-1774266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-6158884</v>
          </cell>
          <cell r="V204"/>
          <cell r="W204">
            <v>-6028032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-5944028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-5860024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-5776020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-5692016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-5608012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-5524008</v>
          </cell>
        </row>
      </sheetData>
      <sheetData sheetId="16">
        <row r="175">
          <cell r="E175">
            <v>9</v>
          </cell>
          <cell r="G175">
            <v>1314</v>
          </cell>
          <cell r="J175">
            <v>6</v>
          </cell>
          <cell r="L175">
            <v>3354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91809</v>
          </cell>
          <cell r="V175">
            <v>176708</v>
          </cell>
          <cell r="W175">
            <v>0</v>
          </cell>
        </row>
        <row r="176">
          <cell r="E176">
            <v>1</v>
          </cell>
          <cell r="G176">
            <v>146</v>
          </cell>
          <cell r="J176">
            <v>87</v>
          </cell>
          <cell r="L176">
            <v>48633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135920</v>
          </cell>
          <cell r="V176"/>
          <cell r="W176">
            <v>135920</v>
          </cell>
        </row>
        <row r="177">
          <cell r="E177">
            <v>0</v>
          </cell>
          <cell r="G177">
            <v>0</v>
          </cell>
          <cell r="J177">
            <v>62</v>
          </cell>
          <cell r="L177">
            <v>34658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121799</v>
          </cell>
          <cell r="V177">
            <v>257719</v>
          </cell>
          <cell r="W177">
            <v>0</v>
          </cell>
        </row>
        <row r="178">
          <cell r="E178">
            <v>17</v>
          </cell>
          <cell r="G178">
            <v>2482</v>
          </cell>
          <cell r="J178">
            <v>1</v>
          </cell>
          <cell r="L178">
            <v>559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90182</v>
          </cell>
          <cell r="V178"/>
          <cell r="W178">
            <v>90182</v>
          </cell>
        </row>
        <row r="179">
          <cell r="E179">
            <v>8</v>
          </cell>
          <cell r="G179">
            <v>1168</v>
          </cell>
          <cell r="J179">
            <v>1</v>
          </cell>
          <cell r="L179">
            <v>559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88868</v>
          </cell>
          <cell r="V179">
            <v>179050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/>
          <cell r="W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174282</v>
          </cell>
          <cell r="W181">
            <v>0</v>
          </cell>
        </row>
        <row r="182">
          <cell r="E182">
            <v>58</v>
          </cell>
          <cell r="G182">
            <v>8468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97149</v>
          </cell>
          <cell r="V182"/>
          <cell r="W182">
            <v>97149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185287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/>
          <cell r="W184">
            <v>88131</v>
          </cell>
        </row>
        <row r="185">
          <cell r="E185">
            <v>13</v>
          </cell>
          <cell r="G185">
            <v>1898</v>
          </cell>
          <cell r="J185">
            <v>2</v>
          </cell>
          <cell r="L185">
            <v>1118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91176</v>
          </cell>
          <cell r="V185">
            <v>179307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/>
          <cell r="W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178102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/>
          <cell r="W188">
            <v>89952</v>
          </cell>
        </row>
        <row r="189">
          <cell r="E189">
            <v>2</v>
          </cell>
          <cell r="G189">
            <v>292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90257</v>
          </cell>
          <cell r="V189">
            <v>180209</v>
          </cell>
          <cell r="W189">
            <v>0</v>
          </cell>
        </row>
        <row r="190">
          <cell r="E190">
            <v>18</v>
          </cell>
          <cell r="G190">
            <v>2628</v>
          </cell>
          <cell r="J190">
            <v>2</v>
          </cell>
          <cell r="L190">
            <v>1118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93722</v>
          </cell>
          <cell r="V190"/>
          <cell r="W190">
            <v>93722</v>
          </cell>
        </row>
        <row r="191">
          <cell r="E191">
            <v>107</v>
          </cell>
          <cell r="G191">
            <v>15622</v>
          </cell>
          <cell r="J191">
            <v>2</v>
          </cell>
          <cell r="L191">
            <v>1118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106738</v>
          </cell>
          <cell r="V191">
            <v>200460</v>
          </cell>
          <cell r="W191">
            <v>0</v>
          </cell>
        </row>
        <row r="192">
          <cell r="E192">
            <v>88</v>
          </cell>
          <cell r="G192">
            <v>12848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102871</v>
          </cell>
          <cell r="V192"/>
          <cell r="W192">
            <v>102871</v>
          </cell>
        </row>
        <row r="193">
          <cell r="E193">
            <v>39</v>
          </cell>
          <cell r="G193">
            <v>5694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96289</v>
          </cell>
          <cell r="V193">
            <v>199160</v>
          </cell>
          <cell r="W193">
            <v>0</v>
          </cell>
        </row>
        <row r="194">
          <cell r="E194">
            <v>31</v>
          </cell>
          <cell r="G194">
            <v>4526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95705</v>
          </cell>
          <cell r="V194"/>
          <cell r="W194">
            <v>95705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185787</v>
          </cell>
          <cell r="W195">
            <v>0</v>
          </cell>
        </row>
        <row r="196">
          <cell r="E196">
            <v>16</v>
          </cell>
          <cell r="G196">
            <v>2336</v>
          </cell>
          <cell r="J196">
            <v>2</v>
          </cell>
          <cell r="L196">
            <v>1118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93559</v>
          </cell>
          <cell r="V196"/>
          <cell r="W196">
            <v>93559</v>
          </cell>
        </row>
        <row r="197">
          <cell r="E197">
            <v>55</v>
          </cell>
          <cell r="G197">
            <v>8030</v>
          </cell>
          <cell r="J197">
            <v>11</v>
          </cell>
          <cell r="L197">
            <v>6149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104314</v>
          </cell>
          <cell r="V197">
            <v>197873</v>
          </cell>
          <cell r="W197">
            <v>0</v>
          </cell>
        </row>
        <row r="198">
          <cell r="E198">
            <v>9</v>
          </cell>
          <cell r="G198">
            <v>1314</v>
          </cell>
          <cell r="J198">
            <v>2</v>
          </cell>
          <cell r="L198">
            <v>1118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147669</v>
          </cell>
          <cell r="V198"/>
          <cell r="W198">
            <v>147669</v>
          </cell>
        </row>
        <row r="199">
          <cell r="E199">
            <v>23</v>
          </cell>
          <cell r="G199">
            <v>3358</v>
          </cell>
          <cell r="J199">
            <v>3</v>
          </cell>
          <cell r="L199">
            <v>1677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152395</v>
          </cell>
          <cell r="V199"/>
          <cell r="W199">
            <v>300064</v>
          </cell>
        </row>
        <row r="200">
          <cell r="E200">
            <v>32</v>
          </cell>
          <cell r="G200">
            <v>4672</v>
          </cell>
          <cell r="J200">
            <v>13</v>
          </cell>
          <cell r="L200">
            <v>7267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104210</v>
          </cell>
          <cell r="V200"/>
          <cell r="W200">
            <v>404274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496548</v>
          </cell>
          <cell r="W201">
            <v>0</v>
          </cell>
        </row>
        <row r="202">
          <cell r="E202">
            <v>11</v>
          </cell>
          <cell r="G202">
            <v>1606</v>
          </cell>
          <cell r="J202">
            <v>2</v>
          </cell>
          <cell r="L202">
            <v>1118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95027</v>
          </cell>
          <cell r="V202">
            <v>95027</v>
          </cell>
          <cell r="W202">
            <v>0</v>
          </cell>
        </row>
        <row r="203">
          <cell r="E203">
            <v>19</v>
          </cell>
          <cell r="G203">
            <v>2774</v>
          </cell>
          <cell r="J203">
            <v>3</v>
          </cell>
          <cell r="L203">
            <v>1677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96784</v>
          </cell>
          <cell r="V203"/>
          <cell r="W203">
            <v>96784</v>
          </cell>
        </row>
        <row r="204">
          <cell r="E204">
            <v>-10627</v>
          </cell>
          <cell r="G204">
            <v>-1551542</v>
          </cell>
          <cell r="J204">
            <v>-1340</v>
          </cell>
          <cell r="L204">
            <v>-749060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-2216598</v>
          </cell>
          <cell r="V204"/>
          <cell r="W204">
            <v>-2119814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-2035810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-1951806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-1867802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-1783798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-1699794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-1615790</v>
          </cell>
        </row>
      </sheetData>
      <sheetData sheetId="1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92021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/>
          <cell r="W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>
            <v>0</v>
          </cell>
          <cell r="Q187">
            <v>78144</v>
          </cell>
          <cell r="R187"/>
          <cell r="S187">
            <v>89922</v>
          </cell>
          <cell r="V187">
            <v>178102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>
            <v>0</v>
          </cell>
          <cell r="Q188">
            <v>78144</v>
          </cell>
          <cell r="R188"/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>
            <v>0</v>
          </cell>
          <cell r="Q189">
            <v>78144</v>
          </cell>
          <cell r="R189"/>
          <cell r="S189">
            <v>89965</v>
          </cell>
          <cell r="V189">
            <v>89965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>
            <v>0</v>
          </cell>
          <cell r="Q190">
            <v>78144</v>
          </cell>
          <cell r="R190"/>
          <cell r="S190">
            <v>89976</v>
          </cell>
          <cell r="V190"/>
          <cell r="W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>
            <v>0</v>
          </cell>
          <cell r="Q191">
            <v>78144</v>
          </cell>
          <cell r="R191"/>
          <cell r="S191">
            <v>89998</v>
          </cell>
          <cell r="V191">
            <v>179974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>
            <v>0</v>
          </cell>
          <cell r="Q192">
            <v>78144</v>
          </cell>
          <cell r="R192"/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>
            <v>0</v>
          </cell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>
            <v>0</v>
          </cell>
          <cell r="Q194">
            <v>78144</v>
          </cell>
          <cell r="R194"/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>
            <v>0</v>
          </cell>
          <cell r="Q195">
            <v>78144</v>
          </cell>
          <cell r="R195"/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>
            <v>0</v>
          </cell>
          <cell r="Q197">
            <v>78144</v>
          </cell>
          <cell r="R197"/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>
            <v>0</v>
          </cell>
          <cell r="Q198">
            <v>78144</v>
          </cell>
          <cell r="R198"/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1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>
            <v>52636</v>
          </cell>
          <cell r="S175">
            <v>132777</v>
          </cell>
          <cell r="V175"/>
          <cell r="W175">
            <v>5011482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>
            <v>52784</v>
          </cell>
          <cell r="S176">
            <v>132925</v>
          </cell>
          <cell r="V176"/>
          <cell r="W176">
            <v>5144407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>
            <v>52944</v>
          </cell>
          <cell r="S177">
            <v>133085</v>
          </cell>
          <cell r="V177"/>
          <cell r="W177">
            <v>5277492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>
            <v>53123</v>
          </cell>
          <cell r="S178">
            <v>133264</v>
          </cell>
          <cell r="V178"/>
          <cell r="W178">
            <v>5410756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>
            <v>53262</v>
          </cell>
          <cell r="S179">
            <v>133403</v>
          </cell>
          <cell r="V179"/>
          <cell r="W179">
            <v>5544159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>
            <v>53330</v>
          </cell>
          <cell r="S180">
            <v>133471</v>
          </cell>
          <cell r="V180"/>
          <cell r="W180">
            <v>5677630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>
            <v>53195</v>
          </cell>
          <cell r="S181">
            <v>133336</v>
          </cell>
          <cell r="V181"/>
          <cell r="W181">
            <v>5810966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>
            <v>53208</v>
          </cell>
          <cell r="S182">
            <v>133349</v>
          </cell>
          <cell r="V182"/>
          <cell r="W182">
            <v>5944315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>
            <v>53314</v>
          </cell>
          <cell r="S183">
            <v>133455</v>
          </cell>
          <cell r="V183"/>
          <cell r="W183">
            <v>6077770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>
            <v>53270</v>
          </cell>
          <cell r="S184">
            <v>133411</v>
          </cell>
          <cell r="V184"/>
          <cell r="W184">
            <v>6211181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>
            <v>53462</v>
          </cell>
          <cell r="S185">
            <v>133603</v>
          </cell>
          <cell r="V185"/>
          <cell r="W185">
            <v>6344784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R186">
            <v>53650</v>
          </cell>
          <cell r="S186">
            <v>133791</v>
          </cell>
          <cell r="V186"/>
          <cell r="W186">
            <v>6478575</v>
          </cell>
        </row>
        <row r="187">
          <cell r="E187"/>
          <cell r="G187"/>
          <cell r="J187"/>
          <cell r="L187"/>
          <cell r="M187">
            <v>3731</v>
          </cell>
          <cell r="N187"/>
          <cell r="O187"/>
          <cell r="P187"/>
          <cell r="Q187">
            <v>78144</v>
          </cell>
          <cell r="R187">
            <v>53847</v>
          </cell>
          <cell r="S187">
            <v>135722</v>
          </cell>
          <cell r="V187"/>
          <cell r="W187">
            <v>6614297</v>
          </cell>
        </row>
        <row r="188">
          <cell r="E188"/>
          <cell r="G188"/>
          <cell r="J188"/>
          <cell r="L188"/>
          <cell r="M188">
            <v>3731</v>
          </cell>
          <cell r="N188"/>
          <cell r="O188"/>
          <cell r="P188"/>
          <cell r="Q188">
            <v>78144</v>
          </cell>
          <cell r="R188">
            <v>53934</v>
          </cell>
          <cell r="S188">
            <v>135809</v>
          </cell>
          <cell r="V188"/>
          <cell r="W188">
            <v>6750106</v>
          </cell>
        </row>
        <row r="189">
          <cell r="E189"/>
          <cell r="G189"/>
          <cell r="J189"/>
          <cell r="L189"/>
          <cell r="M189">
            <v>3731</v>
          </cell>
          <cell r="N189"/>
          <cell r="O189"/>
          <cell r="P189"/>
          <cell r="Q189">
            <v>78144</v>
          </cell>
          <cell r="R189">
            <v>54009</v>
          </cell>
          <cell r="S189">
            <v>135884</v>
          </cell>
          <cell r="V189"/>
          <cell r="W189">
            <v>6885990</v>
          </cell>
        </row>
        <row r="190">
          <cell r="E190"/>
          <cell r="G190"/>
          <cell r="J190"/>
          <cell r="L190"/>
          <cell r="M190">
            <v>3731</v>
          </cell>
          <cell r="N190"/>
          <cell r="O190"/>
          <cell r="P190"/>
          <cell r="Q190">
            <v>78144</v>
          </cell>
          <cell r="R190">
            <v>54157</v>
          </cell>
          <cell r="S190">
            <v>136032</v>
          </cell>
          <cell r="V190"/>
          <cell r="W190">
            <v>7022022</v>
          </cell>
        </row>
        <row r="191">
          <cell r="E191"/>
          <cell r="G191"/>
          <cell r="J191"/>
          <cell r="L191"/>
          <cell r="M191">
            <v>3731</v>
          </cell>
          <cell r="N191"/>
          <cell r="O191"/>
          <cell r="P191"/>
          <cell r="Q191">
            <v>78144</v>
          </cell>
          <cell r="R191">
            <v>54318</v>
          </cell>
          <cell r="S191">
            <v>136193</v>
          </cell>
          <cell r="V191"/>
          <cell r="W191">
            <v>7158215</v>
          </cell>
        </row>
        <row r="192">
          <cell r="E192"/>
          <cell r="G192"/>
          <cell r="J192"/>
          <cell r="L192"/>
          <cell r="M192">
            <v>3731</v>
          </cell>
          <cell r="N192"/>
          <cell r="O192"/>
          <cell r="P192"/>
          <cell r="Q192">
            <v>78144</v>
          </cell>
          <cell r="R192">
            <v>54405</v>
          </cell>
          <cell r="S192">
            <v>136280</v>
          </cell>
          <cell r="V192"/>
          <cell r="W192">
            <v>7294495</v>
          </cell>
        </row>
        <row r="193">
          <cell r="E193"/>
          <cell r="G193"/>
          <cell r="J193"/>
          <cell r="L193"/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81875</v>
          </cell>
          <cell r="V193"/>
          <cell r="W193">
            <v>7376370</v>
          </cell>
        </row>
        <row r="194">
          <cell r="E194"/>
          <cell r="G194"/>
          <cell r="J194"/>
          <cell r="L194"/>
          <cell r="M194">
            <v>3731</v>
          </cell>
          <cell r="N194"/>
          <cell r="O194"/>
          <cell r="P194"/>
          <cell r="Q194">
            <v>78144</v>
          </cell>
          <cell r="R194"/>
          <cell r="S194">
            <v>81875</v>
          </cell>
          <cell r="V194">
            <v>3163750</v>
          </cell>
          <cell r="W194">
            <v>4294495</v>
          </cell>
        </row>
        <row r="195">
          <cell r="E195"/>
          <cell r="G195"/>
          <cell r="J195"/>
          <cell r="L195"/>
          <cell r="M195">
            <v>3731</v>
          </cell>
          <cell r="N195"/>
          <cell r="O195"/>
          <cell r="P195"/>
          <cell r="Q195">
            <v>78144</v>
          </cell>
          <cell r="R195"/>
          <cell r="S195">
            <v>81875</v>
          </cell>
          <cell r="V195">
            <v>81875</v>
          </cell>
          <cell r="W195">
            <v>4294495</v>
          </cell>
        </row>
        <row r="196">
          <cell r="E196"/>
          <cell r="G196"/>
          <cell r="J196"/>
          <cell r="L196"/>
          <cell r="M196">
            <v>3731</v>
          </cell>
          <cell r="N196"/>
          <cell r="O196"/>
          <cell r="P196"/>
          <cell r="Q196">
            <v>78144</v>
          </cell>
          <cell r="R196"/>
          <cell r="S196">
            <v>81875</v>
          </cell>
          <cell r="V196">
            <v>81875</v>
          </cell>
          <cell r="W196">
            <v>4294495</v>
          </cell>
        </row>
        <row r="197">
          <cell r="E197"/>
          <cell r="G197"/>
          <cell r="J197"/>
          <cell r="L197"/>
          <cell r="M197">
            <v>3731</v>
          </cell>
          <cell r="N197"/>
          <cell r="O197"/>
          <cell r="P197"/>
          <cell r="Q197">
            <v>78144</v>
          </cell>
          <cell r="R197"/>
          <cell r="S197">
            <v>81875</v>
          </cell>
          <cell r="V197">
            <v>4376370</v>
          </cell>
          <cell r="W197">
            <v>0</v>
          </cell>
        </row>
        <row r="198">
          <cell r="E198"/>
          <cell r="G198"/>
          <cell r="J198"/>
          <cell r="L198"/>
          <cell r="M198">
            <v>3731</v>
          </cell>
          <cell r="N198"/>
          <cell r="O198"/>
          <cell r="P198"/>
          <cell r="Q198">
            <v>78144</v>
          </cell>
          <cell r="R198"/>
          <cell r="S198">
            <v>81875</v>
          </cell>
          <cell r="V198">
            <v>81875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84004</v>
          </cell>
          <cell r="V199">
            <v>84004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84004</v>
          </cell>
          <cell r="V200">
            <v>84004</v>
          </cell>
          <cell r="W200">
            <v>0</v>
          </cell>
        </row>
        <row r="201">
          <cell r="E201">
            <v>4</v>
          </cell>
          <cell r="G201">
            <v>584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84588</v>
          </cell>
          <cell r="V201">
            <v>84588</v>
          </cell>
          <cell r="W201">
            <v>0</v>
          </cell>
        </row>
        <row r="202">
          <cell r="E202">
            <v>2</v>
          </cell>
          <cell r="G202">
            <v>292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84296</v>
          </cell>
          <cell r="V202">
            <v>84296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84004</v>
          </cell>
          <cell r="V203"/>
          <cell r="W203">
            <v>84004</v>
          </cell>
        </row>
        <row r="204">
          <cell r="E204">
            <v>-6</v>
          </cell>
          <cell r="G204">
            <v>-876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83128</v>
          </cell>
          <cell r="V204"/>
          <cell r="W204">
            <v>167132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251136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335140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419144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503148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587152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671156</v>
          </cell>
        </row>
      </sheetData>
      <sheetData sheetId="19">
        <row r="175">
          <cell r="E175">
            <v>187</v>
          </cell>
          <cell r="G175">
            <v>27302</v>
          </cell>
          <cell r="J175">
            <v>37</v>
          </cell>
          <cell r="L175">
            <v>20683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135126</v>
          </cell>
          <cell r="V175">
            <v>135126</v>
          </cell>
          <cell r="W175">
            <v>0</v>
          </cell>
        </row>
        <row r="176">
          <cell r="E176">
            <v>265</v>
          </cell>
          <cell r="G176">
            <v>38690</v>
          </cell>
          <cell r="J176">
            <v>48</v>
          </cell>
          <cell r="L176">
            <v>26832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152663</v>
          </cell>
          <cell r="V176">
            <v>148932</v>
          </cell>
          <cell r="W176">
            <v>3731</v>
          </cell>
        </row>
        <row r="177">
          <cell r="E177">
            <v>217</v>
          </cell>
          <cell r="G177">
            <v>31682</v>
          </cell>
          <cell r="J177">
            <v>49</v>
          </cell>
          <cell r="L177">
            <v>27391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146214</v>
          </cell>
          <cell r="V177">
            <v>153676</v>
          </cell>
          <cell r="W177">
            <v>-3731</v>
          </cell>
        </row>
        <row r="178">
          <cell r="E178">
            <v>161</v>
          </cell>
          <cell r="G178">
            <v>23506</v>
          </cell>
          <cell r="J178">
            <v>19</v>
          </cell>
          <cell r="L178">
            <v>10621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121268</v>
          </cell>
          <cell r="V178"/>
          <cell r="W178">
            <v>117537</v>
          </cell>
        </row>
        <row r="179">
          <cell r="E179">
            <v>162</v>
          </cell>
          <cell r="G179">
            <v>23652</v>
          </cell>
          <cell r="J179">
            <v>9</v>
          </cell>
          <cell r="L179">
            <v>5031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115824</v>
          </cell>
          <cell r="V179">
            <v>233361</v>
          </cell>
          <cell r="W179">
            <v>0</v>
          </cell>
        </row>
        <row r="180">
          <cell r="E180">
            <v>122</v>
          </cell>
          <cell r="G180">
            <v>17812</v>
          </cell>
          <cell r="J180">
            <v>7</v>
          </cell>
          <cell r="L180">
            <v>3913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108866</v>
          </cell>
          <cell r="V180">
            <v>108866</v>
          </cell>
          <cell r="W180">
            <v>0</v>
          </cell>
        </row>
        <row r="181">
          <cell r="E181">
            <v>84</v>
          </cell>
          <cell r="G181">
            <v>12264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101082</v>
          </cell>
          <cell r="V181">
            <v>101082</v>
          </cell>
          <cell r="W181">
            <v>0</v>
          </cell>
        </row>
        <row r="182">
          <cell r="E182">
            <v>89</v>
          </cell>
          <cell r="G182">
            <v>12994</v>
          </cell>
          <cell r="J182">
            <v>3</v>
          </cell>
          <cell r="L182">
            <v>1677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102793</v>
          </cell>
          <cell r="V182">
            <v>102793</v>
          </cell>
          <cell r="W182">
            <v>0</v>
          </cell>
        </row>
        <row r="183">
          <cell r="E183">
            <v>131</v>
          </cell>
          <cell r="G183">
            <v>19126</v>
          </cell>
          <cell r="J183">
            <v>9</v>
          </cell>
          <cell r="L183">
            <v>5031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112295</v>
          </cell>
          <cell r="V183">
            <v>112295</v>
          </cell>
          <cell r="W183">
            <v>0</v>
          </cell>
        </row>
        <row r="184">
          <cell r="E184">
            <v>120</v>
          </cell>
          <cell r="G184">
            <v>17520</v>
          </cell>
          <cell r="J184">
            <v>4</v>
          </cell>
          <cell r="L184">
            <v>2236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107887</v>
          </cell>
          <cell r="V184">
            <v>107887</v>
          </cell>
          <cell r="W184">
            <v>0</v>
          </cell>
        </row>
        <row r="185">
          <cell r="E185">
            <v>143</v>
          </cell>
          <cell r="G185">
            <v>20878</v>
          </cell>
          <cell r="J185">
            <v>69</v>
          </cell>
          <cell r="L185">
            <v>38571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147609</v>
          </cell>
          <cell r="V185">
            <v>147609</v>
          </cell>
          <cell r="W185">
            <v>0</v>
          </cell>
        </row>
        <row r="186">
          <cell r="E186">
            <v>355</v>
          </cell>
          <cell r="G186">
            <v>51830</v>
          </cell>
          <cell r="J186">
            <v>24</v>
          </cell>
          <cell r="L186">
            <v>13416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153426</v>
          </cell>
          <cell r="V186">
            <v>153426</v>
          </cell>
          <cell r="W186">
            <v>0</v>
          </cell>
        </row>
        <row r="187">
          <cell r="E187">
            <v>361</v>
          </cell>
          <cell r="G187">
            <v>52706</v>
          </cell>
          <cell r="J187">
            <v>70</v>
          </cell>
          <cell r="L187">
            <v>39130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181758</v>
          </cell>
          <cell r="V187">
            <v>181758</v>
          </cell>
          <cell r="W187">
            <v>0</v>
          </cell>
        </row>
        <row r="188">
          <cell r="E188">
            <v>269</v>
          </cell>
          <cell r="G188">
            <v>39274</v>
          </cell>
          <cell r="J188">
            <v>36</v>
          </cell>
          <cell r="L188">
            <v>20124</v>
          </cell>
          <cell r="M188">
            <v>3731</v>
          </cell>
          <cell r="N188">
            <v>8077</v>
          </cell>
          <cell r="O188"/>
          <cell r="P188">
            <v>0</v>
          </cell>
          <cell r="Q188">
            <v>78144</v>
          </cell>
          <cell r="R188"/>
          <cell r="S188">
            <v>149350</v>
          </cell>
          <cell r="V188">
            <v>149350</v>
          </cell>
          <cell r="W188">
            <v>0</v>
          </cell>
        </row>
        <row r="189">
          <cell r="E189">
            <v>167</v>
          </cell>
          <cell r="G189">
            <v>24382</v>
          </cell>
          <cell r="J189">
            <v>9</v>
          </cell>
          <cell r="L189">
            <v>5031</v>
          </cell>
          <cell r="M189">
            <v>3731</v>
          </cell>
          <cell r="N189">
            <v>8090</v>
          </cell>
          <cell r="O189"/>
          <cell r="P189">
            <v>0</v>
          </cell>
          <cell r="Q189">
            <v>78144</v>
          </cell>
          <cell r="R189"/>
          <cell r="S189">
            <v>119378</v>
          </cell>
          <cell r="V189">
            <v>119378</v>
          </cell>
          <cell r="W189">
            <v>0</v>
          </cell>
        </row>
        <row r="190">
          <cell r="E190">
            <v>173</v>
          </cell>
          <cell r="G190">
            <v>25258</v>
          </cell>
          <cell r="J190">
            <v>13</v>
          </cell>
          <cell r="L190">
            <v>7267</v>
          </cell>
          <cell r="M190">
            <v>3731</v>
          </cell>
          <cell r="N190">
            <v>8101</v>
          </cell>
          <cell r="O190"/>
          <cell r="P190">
            <v>0</v>
          </cell>
          <cell r="Q190">
            <v>78144</v>
          </cell>
          <cell r="R190"/>
          <cell r="S190">
            <v>122501</v>
          </cell>
          <cell r="V190">
            <v>122501</v>
          </cell>
          <cell r="W190">
            <v>0</v>
          </cell>
        </row>
        <row r="191">
          <cell r="E191">
            <v>146</v>
          </cell>
          <cell r="G191">
            <v>21316</v>
          </cell>
          <cell r="J191">
            <v>18</v>
          </cell>
          <cell r="L191">
            <v>10062</v>
          </cell>
          <cell r="M191">
            <v>3731</v>
          </cell>
          <cell r="N191">
            <v>8123</v>
          </cell>
          <cell r="O191"/>
          <cell r="P191">
            <v>0</v>
          </cell>
          <cell r="Q191">
            <v>78144</v>
          </cell>
          <cell r="R191"/>
          <cell r="S191">
            <v>121376</v>
          </cell>
          <cell r="V191">
            <v>121376</v>
          </cell>
          <cell r="W191">
            <v>0</v>
          </cell>
        </row>
        <row r="192">
          <cell r="E192">
            <v>92</v>
          </cell>
          <cell r="G192">
            <v>13432</v>
          </cell>
          <cell r="J192">
            <v>4</v>
          </cell>
          <cell r="L192">
            <v>2236</v>
          </cell>
          <cell r="M192">
            <v>3731</v>
          </cell>
          <cell r="N192">
            <v>8148</v>
          </cell>
          <cell r="O192"/>
          <cell r="P192">
            <v>0</v>
          </cell>
          <cell r="Q192">
            <v>78144</v>
          </cell>
          <cell r="R192"/>
          <cell r="S192">
            <v>105691</v>
          </cell>
          <cell r="V192">
            <v>105691</v>
          </cell>
          <cell r="W192">
            <v>0</v>
          </cell>
        </row>
        <row r="193">
          <cell r="E193">
            <v>94</v>
          </cell>
          <cell r="G193">
            <v>13724</v>
          </cell>
          <cell r="J193">
            <v>3</v>
          </cell>
          <cell r="L193">
            <v>1677</v>
          </cell>
          <cell r="M193">
            <v>3731</v>
          </cell>
          <cell r="N193">
            <v>8161</v>
          </cell>
          <cell r="O193"/>
          <cell r="P193">
            <v>0</v>
          </cell>
          <cell r="Q193">
            <v>78144</v>
          </cell>
          <cell r="R193"/>
          <cell r="S193">
            <v>105437</v>
          </cell>
          <cell r="V193">
            <v>105437</v>
          </cell>
          <cell r="W193">
            <v>0</v>
          </cell>
        </row>
        <row r="194">
          <cell r="E194">
            <v>96</v>
          </cell>
          <cell r="G194">
            <v>14016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/>
          <cell r="P194">
            <v>0</v>
          </cell>
          <cell r="Q194">
            <v>78144</v>
          </cell>
          <cell r="R194"/>
          <cell r="S194">
            <v>105195</v>
          </cell>
          <cell r="V194">
            <v>105195</v>
          </cell>
          <cell r="W194">
            <v>0</v>
          </cell>
        </row>
        <row r="195">
          <cell r="E195">
            <v>114</v>
          </cell>
          <cell r="G195">
            <v>16644</v>
          </cell>
          <cell r="J195">
            <v>4</v>
          </cell>
          <cell r="L195">
            <v>2236</v>
          </cell>
          <cell r="M195">
            <v>3731</v>
          </cell>
          <cell r="N195">
            <v>8207</v>
          </cell>
          <cell r="O195"/>
          <cell r="P195">
            <v>0</v>
          </cell>
          <cell r="Q195">
            <v>78144</v>
          </cell>
          <cell r="R195"/>
          <cell r="S195">
            <v>108962</v>
          </cell>
          <cell r="V195">
            <v>108962</v>
          </cell>
          <cell r="W195">
            <v>0</v>
          </cell>
        </row>
        <row r="196">
          <cell r="E196">
            <v>109</v>
          </cell>
          <cell r="G196">
            <v>15914</v>
          </cell>
          <cell r="J196">
            <v>77</v>
          </cell>
          <cell r="L196">
            <v>43043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R196"/>
          <cell r="S196">
            <v>149062</v>
          </cell>
          <cell r="V196">
            <v>149062</v>
          </cell>
          <cell r="W196">
            <v>0</v>
          </cell>
        </row>
        <row r="197">
          <cell r="E197">
            <v>170</v>
          </cell>
          <cell r="G197">
            <v>24820</v>
          </cell>
          <cell r="J197">
            <v>29</v>
          </cell>
          <cell r="L197">
            <v>16211</v>
          </cell>
          <cell r="M197">
            <v>3731</v>
          </cell>
          <cell r="N197">
            <v>8260</v>
          </cell>
          <cell r="O197"/>
          <cell r="P197">
            <v>0</v>
          </cell>
          <cell r="Q197">
            <v>78144</v>
          </cell>
          <cell r="R197"/>
          <cell r="S197">
            <v>131166</v>
          </cell>
          <cell r="V197">
            <v>131166</v>
          </cell>
          <cell r="W197">
            <v>0</v>
          </cell>
        </row>
        <row r="198">
          <cell r="E198">
            <v>228</v>
          </cell>
          <cell r="G198">
            <v>33288</v>
          </cell>
          <cell r="J198">
            <v>84</v>
          </cell>
          <cell r="L198">
            <v>46956</v>
          </cell>
          <cell r="M198">
            <v>3731</v>
          </cell>
          <cell r="N198">
            <v>8270</v>
          </cell>
          <cell r="O198"/>
          <cell r="P198">
            <v>0</v>
          </cell>
          <cell r="Q198">
            <v>78144</v>
          </cell>
          <cell r="R198"/>
          <cell r="S198">
            <v>170389</v>
          </cell>
          <cell r="V198">
            <v>170389</v>
          </cell>
          <cell r="W198">
            <v>0</v>
          </cell>
        </row>
        <row r="199">
          <cell r="E199">
            <v>203</v>
          </cell>
          <cell r="G199">
            <v>29638</v>
          </cell>
          <cell r="J199">
            <v>28</v>
          </cell>
          <cell r="L199">
            <v>15652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137558</v>
          </cell>
          <cell r="V199">
            <v>137558</v>
          </cell>
          <cell r="W199">
            <v>0</v>
          </cell>
        </row>
        <row r="200">
          <cell r="E200">
            <v>214</v>
          </cell>
          <cell r="G200">
            <v>31244</v>
          </cell>
          <cell r="J200">
            <v>23</v>
          </cell>
          <cell r="L200">
            <v>12857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136372</v>
          </cell>
          <cell r="V200">
            <v>136372</v>
          </cell>
          <cell r="W200">
            <v>0</v>
          </cell>
        </row>
        <row r="201">
          <cell r="E201">
            <v>213</v>
          </cell>
          <cell r="G201">
            <v>31098</v>
          </cell>
          <cell r="J201">
            <v>38</v>
          </cell>
          <cell r="L201">
            <v>21242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144614</v>
          </cell>
          <cell r="V201">
            <v>144614</v>
          </cell>
          <cell r="W201">
            <v>0</v>
          </cell>
        </row>
        <row r="202">
          <cell r="E202">
            <v>150</v>
          </cell>
          <cell r="G202">
            <v>21900</v>
          </cell>
          <cell r="J202">
            <v>29</v>
          </cell>
          <cell r="L202">
            <v>16211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130414</v>
          </cell>
          <cell r="V202">
            <v>130414</v>
          </cell>
          <cell r="W202">
            <v>0</v>
          </cell>
        </row>
        <row r="203">
          <cell r="E203">
            <v>130</v>
          </cell>
          <cell r="G203">
            <v>18980</v>
          </cell>
          <cell r="J203">
            <v>27</v>
          </cell>
          <cell r="L203">
            <v>15093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126406</v>
          </cell>
          <cell r="V203"/>
          <cell r="W203">
            <v>126406</v>
          </cell>
        </row>
        <row r="204">
          <cell r="E204">
            <v>-44530</v>
          </cell>
          <cell r="G204">
            <v>-6501380</v>
          </cell>
          <cell r="J204">
            <v>-6070</v>
          </cell>
          <cell r="L204">
            <v>-3393130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-9810506</v>
          </cell>
          <cell r="V204"/>
          <cell r="W204">
            <v>-9684100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-9600096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-9516092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-9432088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-9348084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-9264080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-9180076</v>
          </cell>
        </row>
      </sheetData>
      <sheetData sheetId="20">
        <row r="175">
          <cell r="E175">
            <v>347</v>
          </cell>
          <cell r="G175">
            <v>50662</v>
          </cell>
          <cell r="J175">
            <v>77</v>
          </cell>
          <cell r="L175">
            <v>43043</v>
          </cell>
          <cell r="M175">
            <v>3731</v>
          </cell>
          <cell r="N175">
            <v>7000</v>
          </cell>
          <cell r="O175">
            <v>0</v>
          </cell>
          <cell r="P175"/>
          <cell r="Q175">
            <v>76410</v>
          </cell>
          <cell r="R175"/>
          <cell r="S175">
            <v>180846</v>
          </cell>
          <cell r="V175">
            <v>180846</v>
          </cell>
          <cell r="W175">
            <v>-9.9999999976716936E-2</v>
          </cell>
        </row>
        <row r="176">
          <cell r="E176">
            <v>322</v>
          </cell>
          <cell r="G176">
            <v>47012</v>
          </cell>
          <cell r="J176">
            <v>34</v>
          </cell>
          <cell r="L176">
            <v>19006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R176"/>
          <cell r="S176">
            <v>153159</v>
          </cell>
          <cell r="V176">
            <v>153159</v>
          </cell>
          <cell r="W176">
            <v>-9.9999999976716936E-2</v>
          </cell>
        </row>
        <row r="177">
          <cell r="E177">
            <v>346</v>
          </cell>
          <cell r="G177">
            <v>50516</v>
          </cell>
          <cell r="J177">
            <v>45</v>
          </cell>
          <cell r="L177">
            <v>25155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R177"/>
          <cell r="S177">
            <v>162812</v>
          </cell>
          <cell r="V177">
            <v>162812</v>
          </cell>
          <cell r="W177">
            <v>-9.9999999976716936E-2</v>
          </cell>
        </row>
        <row r="178">
          <cell r="E178">
            <v>197</v>
          </cell>
          <cell r="G178">
            <v>28762</v>
          </cell>
          <cell r="J178">
            <v>27</v>
          </cell>
          <cell r="L178">
            <v>15093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R178"/>
          <cell r="S178">
            <v>130996</v>
          </cell>
          <cell r="V178">
            <v>130996</v>
          </cell>
          <cell r="W178">
            <v>-9.9999999976716936E-2</v>
          </cell>
        </row>
        <row r="179">
          <cell r="E179">
            <v>14</v>
          </cell>
          <cell r="G179">
            <v>2044</v>
          </cell>
          <cell r="J179">
            <v>5</v>
          </cell>
          <cell r="L179">
            <v>2795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R179"/>
          <cell r="S179">
            <v>91980</v>
          </cell>
          <cell r="V179">
            <v>91980</v>
          </cell>
          <cell r="W179">
            <v>-9.9999999976716936E-2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R180"/>
          <cell r="S180">
            <v>87141</v>
          </cell>
          <cell r="V180">
            <v>87141</v>
          </cell>
          <cell r="W180">
            <v>-9.9999999976716936E-2</v>
          </cell>
        </row>
        <row r="181">
          <cell r="E181">
            <v>1</v>
          </cell>
          <cell r="G181">
            <v>146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R181"/>
          <cell r="S181">
            <v>87287</v>
          </cell>
          <cell r="V181">
            <v>87287</v>
          </cell>
          <cell r="W181">
            <v>-9.9999999976716936E-2</v>
          </cell>
        </row>
        <row r="182">
          <cell r="E182">
            <v>12</v>
          </cell>
          <cell r="G182">
            <v>1752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R182"/>
          <cell r="S182">
            <v>89874</v>
          </cell>
          <cell r="V182">
            <v>89874</v>
          </cell>
          <cell r="W182">
            <v>-9.9999999976716936E-2</v>
          </cell>
        </row>
        <row r="183">
          <cell r="E183">
            <v>224</v>
          </cell>
          <cell r="G183">
            <v>32704</v>
          </cell>
          <cell r="J183">
            <v>21</v>
          </cell>
          <cell r="L183">
            <v>11739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R183"/>
          <cell r="S183">
            <v>132581</v>
          </cell>
          <cell r="V183">
            <v>132581</v>
          </cell>
          <cell r="W183">
            <v>-9.9999999976716936E-2</v>
          </cell>
        </row>
        <row r="184">
          <cell r="E184">
            <v>38</v>
          </cell>
          <cell r="G184">
            <v>5548</v>
          </cell>
          <cell r="J184">
            <v>43</v>
          </cell>
          <cell r="L184">
            <v>24037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R184"/>
          <cell r="S184">
            <v>117716</v>
          </cell>
          <cell r="V184"/>
          <cell r="W184">
            <v>117715.90000000002</v>
          </cell>
        </row>
        <row r="185">
          <cell r="E185">
            <v>105</v>
          </cell>
          <cell r="G185">
            <v>15330</v>
          </cell>
          <cell r="J185">
            <v>72</v>
          </cell>
          <cell r="L185">
            <v>40248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R185"/>
          <cell r="S185">
            <v>143738</v>
          </cell>
          <cell r="V185">
            <v>261453</v>
          </cell>
          <cell r="W185">
            <v>0.90000000002328306</v>
          </cell>
        </row>
        <row r="186">
          <cell r="E186">
            <v>396</v>
          </cell>
          <cell r="G186">
            <v>57816</v>
          </cell>
          <cell r="J186">
            <v>53</v>
          </cell>
          <cell r="L186">
            <v>29627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R186"/>
          <cell r="S186">
            <v>175623</v>
          </cell>
          <cell r="V186">
            <v>175624</v>
          </cell>
          <cell r="W186">
            <v>-9.9999999976716936E-2</v>
          </cell>
        </row>
        <row r="187">
          <cell r="E187">
            <v>310</v>
          </cell>
          <cell r="G187">
            <v>45260</v>
          </cell>
          <cell r="J187">
            <v>97</v>
          </cell>
          <cell r="L187">
            <v>54223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R187"/>
          <cell r="S187">
            <v>189405</v>
          </cell>
          <cell r="V187">
            <v>189404</v>
          </cell>
          <cell r="W187">
            <v>0.90000000002328306</v>
          </cell>
        </row>
        <row r="188">
          <cell r="E188">
            <v>293</v>
          </cell>
          <cell r="G188">
            <v>42778</v>
          </cell>
          <cell r="J188">
            <v>37</v>
          </cell>
          <cell r="L188">
            <v>20683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R188"/>
          <cell r="S188">
            <v>153413</v>
          </cell>
          <cell r="V188">
            <v>153413</v>
          </cell>
          <cell r="W188">
            <v>0.90000000002328306</v>
          </cell>
        </row>
        <row r="189">
          <cell r="E189">
            <v>365</v>
          </cell>
          <cell r="G189">
            <v>53290</v>
          </cell>
          <cell r="J189">
            <v>45</v>
          </cell>
          <cell r="L189">
            <v>25155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R189"/>
          <cell r="S189">
            <v>168410</v>
          </cell>
          <cell r="V189">
            <v>168410</v>
          </cell>
          <cell r="W189">
            <v>0.90000000002328306</v>
          </cell>
        </row>
        <row r="190">
          <cell r="E190">
            <v>220</v>
          </cell>
          <cell r="G190">
            <v>32120</v>
          </cell>
          <cell r="J190">
            <v>32</v>
          </cell>
          <cell r="L190">
            <v>17888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R190"/>
          <cell r="S190">
            <v>139984</v>
          </cell>
          <cell r="V190">
            <v>139984</v>
          </cell>
          <cell r="W190">
            <v>0.90000000002328306</v>
          </cell>
        </row>
        <row r="191">
          <cell r="E191">
            <v>85</v>
          </cell>
          <cell r="G191">
            <v>12410</v>
          </cell>
          <cell r="J191">
            <v>24</v>
          </cell>
          <cell r="L191">
            <v>13416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R191"/>
          <cell r="S191">
            <v>115824</v>
          </cell>
          <cell r="V191"/>
          <cell r="W191">
            <v>115824.90000000002</v>
          </cell>
        </row>
        <row r="192">
          <cell r="E192">
            <v>5</v>
          </cell>
          <cell r="G192">
            <v>730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R192"/>
          <cell r="S192">
            <v>95784</v>
          </cell>
          <cell r="V192">
            <v>211608</v>
          </cell>
          <cell r="W192">
            <v>0.90000000002328306</v>
          </cell>
        </row>
        <row r="193">
          <cell r="E193">
            <v>9</v>
          </cell>
          <cell r="G193">
            <v>1314</v>
          </cell>
          <cell r="J193">
            <v>6</v>
          </cell>
          <cell r="L193">
            <v>3354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S193">
            <v>94704</v>
          </cell>
          <cell r="V193">
            <v>94704</v>
          </cell>
          <cell r="W193">
            <v>0.90000000002328306</v>
          </cell>
        </row>
        <row r="194">
          <cell r="E194">
            <v>1</v>
          </cell>
          <cell r="G194">
            <v>146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S194">
            <v>90207</v>
          </cell>
          <cell r="V194">
            <v>90207</v>
          </cell>
          <cell r="W194">
            <v>0.90000000002328306</v>
          </cell>
        </row>
        <row r="195">
          <cell r="E195">
            <v>55</v>
          </cell>
          <cell r="G195">
            <v>8030</v>
          </cell>
          <cell r="J195">
            <v>10</v>
          </cell>
          <cell r="L195">
            <v>5590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S195">
            <v>103702</v>
          </cell>
          <cell r="V195"/>
          <cell r="W195">
            <v>103702.90000000002</v>
          </cell>
        </row>
        <row r="196">
          <cell r="E196">
            <v>25</v>
          </cell>
          <cell r="G196">
            <v>3650</v>
          </cell>
          <cell r="J196">
            <v>5</v>
          </cell>
          <cell r="L196">
            <v>2795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S196">
            <v>96550</v>
          </cell>
          <cell r="V196">
            <v>200253</v>
          </cell>
          <cell r="W196">
            <v>-9.9999999976716936E-2</v>
          </cell>
        </row>
        <row r="197">
          <cell r="E197">
            <v>95</v>
          </cell>
          <cell r="G197">
            <v>13870</v>
          </cell>
          <cell r="J197">
            <v>72</v>
          </cell>
          <cell r="L197">
            <v>40248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S197">
            <v>144253</v>
          </cell>
          <cell r="V197"/>
          <cell r="W197">
            <v>144252.90000000002</v>
          </cell>
        </row>
        <row r="198">
          <cell r="E198">
            <v>180</v>
          </cell>
          <cell r="G198">
            <v>26280</v>
          </cell>
          <cell r="J198">
            <v>12</v>
          </cell>
          <cell r="L198">
            <v>6708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123133</v>
          </cell>
          <cell r="V198">
            <v>267385</v>
          </cell>
          <cell r="W198">
            <v>0.90000000002328306</v>
          </cell>
        </row>
        <row r="199">
          <cell r="E199">
            <v>203</v>
          </cell>
          <cell r="G199">
            <v>29638</v>
          </cell>
          <cell r="J199">
            <v>11</v>
          </cell>
          <cell r="L199">
            <v>6149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128055</v>
          </cell>
          <cell r="V199">
            <v>128055</v>
          </cell>
          <cell r="W199">
            <v>0.90000000002328306</v>
          </cell>
        </row>
        <row r="200">
          <cell r="E200">
            <v>307</v>
          </cell>
          <cell r="G200">
            <v>44822</v>
          </cell>
          <cell r="J200">
            <v>34</v>
          </cell>
          <cell r="L200">
            <v>19006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156099</v>
          </cell>
          <cell r="V200">
            <v>156099</v>
          </cell>
          <cell r="W200">
            <v>0.90000000002328306</v>
          </cell>
        </row>
        <row r="201">
          <cell r="E201">
            <v>222</v>
          </cell>
          <cell r="G201">
            <v>32412</v>
          </cell>
          <cell r="J201">
            <v>29</v>
          </cell>
          <cell r="L201">
            <v>16211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140897</v>
          </cell>
          <cell r="V201"/>
          <cell r="W201">
            <v>140897.90000000002</v>
          </cell>
        </row>
        <row r="202">
          <cell r="E202">
            <v>205</v>
          </cell>
          <cell r="G202">
            <v>29930</v>
          </cell>
          <cell r="J202">
            <v>107</v>
          </cell>
          <cell r="L202">
            <v>59813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182046</v>
          </cell>
          <cell r="V202">
            <v>322943</v>
          </cell>
          <cell r="W202">
            <v>0.90000000002328306</v>
          </cell>
        </row>
        <row r="203">
          <cell r="E203">
            <v>229</v>
          </cell>
          <cell r="G203">
            <v>33434</v>
          </cell>
          <cell r="J203">
            <v>11</v>
          </cell>
          <cell r="L203">
            <v>6149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131916</v>
          </cell>
          <cell r="V203"/>
          <cell r="W203">
            <v>131916.90000000002</v>
          </cell>
        </row>
        <row r="204">
          <cell r="E204">
            <v>-10042</v>
          </cell>
          <cell r="G204">
            <v>-1466132</v>
          </cell>
          <cell r="J204">
            <v>-2596</v>
          </cell>
          <cell r="L204">
            <v>-1451164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-2833292</v>
          </cell>
          <cell r="V204"/>
          <cell r="W204">
            <v>-2701375.1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-2617371.1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-2533367.1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-2449363.1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-2365359.1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-2281355.1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-2197351.1</v>
          </cell>
        </row>
      </sheetData>
      <sheetData sheetId="21">
        <row r="175">
          <cell r="E175">
            <v>108</v>
          </cell>
          <cell r="G175">
            <v>15768</v>
          </cell>
          <cell r="J175">
            <v>59</v>
          </cell>
          <cell r="L175">
            <v>32981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R175">
            <v>0</v>
          </cell>
          <cell r="S175">
            <v>145890</v>
          </cell>
          <cell r="V175">
            <v>145890</v>
          </cell>
          <cell r="W175">
            <v>0</v>
          </cell>
        </row>
        <row r="176">
          <cell r="E176">
            <v>113</v>
          </cell>
          <cell r="G176">
            <v>16498</v>
          </cell>
          <cell r="J176">
            <v>58</v>
          </cell>
          <cell r="L176">
            <v>32422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R176">
            <v>0</v>
          </cell>
          <cell r="S176">
            <v>146061</v>
          </cell>
          <cell r="V176">
            <v>146061</v>
          </cell>
          <cell r="W176">
            <v>0</v>
          </cell>
        </row>
        <row r="177">
          <cell r="E177">
            <v>145</v>
          </cell>
          <cell r="G177">
            <v>21170</v>
          </cell>
          <cell r="J177">
            <v>48</v>
          </cell>
          <cell r="L177">
            <v>26832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R177">
            <v>0</v>
          </cell>
          <cell r="S177">
            <v>145143</v>
          </cell>
          <cell r="V177">
            <v>145143</v>
          </cell>
          <cell r="W177">
            <v>0</v>
          </cell>
        </row>
        <row r="178">
          <cell r="E178">
            <v>134</v>
          </cell>
          <cell r="G178">
            <v>19564</v>
          </cell>
          <cell r="J178">
            <v>47</v>
          </cell>
          <cell r="L178">
            <v>26273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R178">
            <v>0</v>
          </cell>
          <cell r="S178">
            <v>142978</v>
          </cell>
          <cell r="V178">
            <v>142978</v>
          </cell>
          <cell r="W178">
            <v>0</v>
          </cell>
        </row>
        <row r="179">
          <cell r="E179">
            <v>145</v>
          </cell>
          <cell r="G179">
            <v>21170</v>
          </cell>
          <cell r="J179">
            <v>11</v>
          </cell>
          <cell r="L179">
            <v>6149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R179">
            <v>0</v>
          </cell>
          <cell r="S179">
            <v>124460</v>
          </cell>
          <cell r="V179">
            <v>124460</v>
          </cell>
          <cell r="W179">
            <v>0</v>
          </cell>
        </row>
        <row r="180">
          <cell r="E180">
            <v>127</v>
          </cell>
          <cell r="G180">
            <v>18542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R180">
            <v>0</v>
          </cell>
          <cell r="S180">
            <v>116801</v>
          </cell>
          <cell r="V180">
            <v>116801</v>
          </cell>
          <cell r="W180">
            <v>0</v>
          </cell>
        </row>
        <row r="181">
          <cell r="E181">
            <v>153</v>
          </cell>
          <cell r="G181">
            <v>22338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R181">
            <v>0</v>
          </cell>
          <cell r="S181">
            <v>120597</v>
          </cell>
          <cell r="V181">
            <v>120597</v>
          </cell>
          <cell r="W181">
            <v>0</v>
          </cell>
        </row>
        <row r="182">
          <cell r="E182">
            <v>206</v>
          </cell>
          <cell r="G182">
            <v>30076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>
            <v>0</v>
          </cell>
          <cell r="S182">
            <v>128198</v>
          </cell>
          <cell r="V182"/>
          <cell r="W182">
            <v>128198</v>
          </cell>
        </row>
        <row r="183">
          <cell r="E183">
            <v>125</v>
          </cell>
          <cell r="G183">
            <v>18250</v>
          </cell>
          <cell r="J183">
            <v>2</v>
          </cell>
          <cell r="L183">
            <v>1118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>
            <v>0</v>
          </cell>
          <cell r="S183">
            <v>117506</v>
          </cell>
          <cell r="V183">
            <v>245704</v>
          </cell>
          <cell r="W183">
            <v>0</v>
          </cell>
        </row>
        <row r="184">
          <cell r="E184">
            <v>135</v>
          </cell>
          <cell r="G184">
            <v>19710</v>
          </cell>
          <cell r="J184">
            <v>6</v>
          </cell>
          <cell r="L184">
            <v>3354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>
            <v>0</v>
          </cell>
          <cell r="S184">
            <v>121195</v>
          </cell>
          <cell r="V184">
            <v>121195</v>
          </cell>
          <cell r="W184">
            <v>0</v>
          </cell>
        </row>
        <row r="185">
          <cell r="E185">
            <v>136</v>
          </cell>
          <cell r="G185">
            <v>19856</v>
          </cell>
          <cell r="J185">
            <v>23</v>
          </cell>
          <cell r="L185">
            <v>12857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>
            <v>0</v>
          </cell>
          <cell r="S185">
            <v>130873</v>
          </cell>
          <cell r="V185"/>
          <cell r="W185">
            <v>130873</v>
          </cell>
        </row>
        <row r="186">
          <cell r="E186">
            <v>110</v>
          </cell>
          <cell r="G186">
            <v>16060</v>
          </cell>
          <cell r="J186">
            <v>23</v>
          </cell>
          <cell r="L186">
            <v>12857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>
            <v>0</v>
          </cell>
          <cell r="S186">
            <v>127097</v>
          </cell>
          <cell r="V186">
            <v>257970</v>
          </cell>
          <cell r="W186">
            <v>0</v>
          </cell>
        </row>
        <row r="187">
          <cell r="E187">
            <v>126</v>
          </cell>
          <cell r="G187">
            <v>18396</v>
          </cell>
          <cell r="J187">
            <v>48</v>
          </cell>
          <cell r="L187">
            <v>26832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>
            <v>0</v>
          </cell>
          <cell r="S187">
            <v>145150</v>
          </cell>
          <cell r="V187">
            <v>145150</v>
          </cell>
          <cell r="W187">
            <v>0</v>
          </cell>
        </row>
        <row r="188">
          <cell r="E188">
            <v>125</v>
          </cell>
          <cell r="G188">
            <v>18250</v>
          </cell>
          <cell r="J188">
            <v>40</v>
          </cell>
          <cell r="L188">
            <v>22360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R188">
            <v>0</v>
          </cell>
          <cell r="S188">
            <v>140562</v>
          </cell>
          <cell r="V188"/>
          <cell r="W188">
            <v>140562</v>
          </cell>
        </row>
        <row r="189">
          <cell r="E189">
            <v>115</v>
          </cell>
          <cell r="G189">
            <v>16790</v>
          </cell>
          <cell r="J189">
            <v>32</v>
          </cell>
          <cell r="L189">
            <v>17888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R189">
            <v>0</v>
          </cell>
          <cell r="S189">
            <v>134643</v>
          </cell>
          <cell r="V189">
            <v>275205</v>
          </cell>
          <cell r="W189">
            <v>0</v>
          </cell>
        </row>
        <row r="190">
          <cell r="E190">
            <v>122</v>
          </cell>
          <cell r="G190">
            <v>17812</v>
          </cell>
          <cell r="J190">
            <v>30</v>
          </cell>
          <cell r="L190">
            <v>16770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R190">
            <v>0</v>
          </cell>
          <cell r="S190">
            <v>134558</v>
          </cell>
          <cell r="V190">
            <v>134558</v>
          </cell>
          <cell r="W190">
            <v>0</v>
          </cell>
        </row>
        <row r="191">
          <cell r="E191">
            <v>148</v>
          </cell>
          <cell r="G191">
            <v>21608</v>
          </cell>
          <cell r="J191">
            <v>36</v>
          </cell>
          <cell r="L191">
            <v>20124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R191">
            <v>0</v>
          </cell>
          <cell r="S191">
            <v>141730</v>
          </cell>
          <cell r="V191"/>
          <cell r="W191">
            <v>141730</v>
          </cell>
        </row>
        <row r="192">
          <cell r="E192">
            <v>153</v>
          </cell>
          <cell r="G192">
            <v>22338</v>
          </cell>
          <cell r="J192">
            <v>13</v>
          </cell>
          <cell r="L192">
            <v>7267</v>
          </cell>
          <cell r="M192">
            <v>3731</v>
          </cell>
          <cell r="N192">
            <v>8148</v>
          </cell>
          <cell r="O192">
            <v>0</v>
          </cell>
          <cell r="P192">
            <v>10000</v>
          </cell>
          <cell r="Q192">
            <v>78144</v>
          </cell>
          <cell r="R192">
            <v>0</v>
          </cell>
          <cell r="S192">
            <v>129628</v>
          </cell>
          <cell r="V192">
            <v>271358</v>
          </cell>
          <cell r="W192">
            <v>0</v>
          </cell>
        </row>
        <row r="193">
          <cell r="E193">
            <v>137</v>
          </cell>
          <cell r="G193">
            <v>20002</v>
          </cell>
          <cell r="J193">
            <v>2</v>
          </cell>
          <cell r="L193">
            <v>1118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>
            <v>0</v>
          </cell>
          <cell r="S193">
            <v>111156</v>
          </cell>
          <cell r="V193"/>
          <cell r="W193">
            <v>111156</v>
          </cell>
        </row>
        <row r="194">
          <cell r="E194">
            <v>187</v>
          </cell>
          <cell r="G194">
            <v>27302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>
            <v>0</v>
          </cell>
          <cell r="S194">
            <v>118481</v>
          </cell>
          <cell r="V194">
            <v>229637</v>
          </cell>
          <cell r="W194">
            <v>0</v>
          </cell>
        </row>
        <row r="195">
          <cell r="E195">
            <v>144</v>
          </cell>
          <cell r="G195">
            <v>21024</v>
          </cell>
          <cell r="J195">
            <v>4</v>
          </cell>
          <cell r="L195">
            <v>2236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>
            <v>0</v>
          </cell>
          <cell r="S195">
            <v>113342</v>
          </cell>
          <cell r="V195">
            <v>113342</v>
          </cell>
          <cell r="W195">
            <v>0</v>
          </cell>
        </row>
        <row r="196">
          <cell r="E196">
            <v>164</v>
          </cell>
          <cell r="G196">
            <v>23944</v>
          </cell>
          <cell r="J196">
            <v>11</v>
          </cell>
          <cell r="L196">
            <v>6149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>
            <v>0</v>
          </cell>
          <cell r="S196">
            <v>120198</v>
          </cell>
          <cell r="V196">
            <v>120198</v>
          </cell>
          <cell r="W196">
            <v>0</v>
          </cell>
        </row>
        <row r="197">
          <cell r="E197">
            <v>131</v>
          </cell>
          <cell r="G197">
            <v>19126</v>
          </cell>
          <cell r="J197">
            <v>43</v>
          </cell>
          <cell r="L197">
            <v>24037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>
            <v>0</v>
          </cell>
          <cell r="S197">
            <v>133298</v>
          </cell>
          <cell r="V197">
            <v>133298</v>
          </cell>
          <cell r="W197">
            <v>0</v>
          </cell>
        </row>
        <row r="198">
          <cell r="E198">
            <v>111</v>
          </cell>
          <cell r="G198">
            <v>16206</v>
          </cell>
          <cell r="J198">
            <v>37</v>
          </cell>
          <cell r="L198">
            <v>20683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>
            <v>0</v>
          </cell>
          <cell r="S198">
            <v>127034</v>
          </cell>
          <cell r="V198"/>
          <cell r="W198">
            <v>127034</v>
          </cell>
        </row>
        <row r="199">
          <cell r="E199">
            <v>125</v>
          </cell>
          <cell r="G199">
            <v>18250</v>
          </cell>
          <cell r="J199">
            <v>40</v>
          </cell>
          <cell r="L199">
            <v>22360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132878</v>
          </cell>
          <cell r="V199">
            <v>259912</v>
          </cell>
          <cell r="W199">
            <v>0</v>
          </cell>
        </row>
        <row r="200">
          <cell r="E200">
            <v>119</v>
          </cell>
          <cell r="G200">
            <v>17374</v>
          </cell>
          <cell r="J200">
            <v>38</v>
          </cell>
          <cell r="L200">
            <v>21242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186001</v>
          </cell>
          <cell r="V200"/>
          <cell r="W200">
            <v>186001</v>
          </cell>
        </row>
        <row r="201">
          <cell r="E201">
            <v>118</v>
          </cell>
          <cell r="G201">
            <v>17228</v>
          </cell>
          <cell r="J201">
            <v>40</v>
          </cell>
          <cell r="L201">
            <v>22360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186994</v>
          </cell>
          <cell r="V201"/>
          <cell r="W201">
            <v>372995</v>
          </cell>
        </row>
        <row r="202">
          <cell r="E202">
            <v>114</v>
          </cell>
          <cell r="G202">
            <v>16644</v>
          </cell>
          <cell r="J202">
            <v>34</v>
          </cell>
          <cell r="L202">
            <v>19006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127953</v>
          </cell>
          <cell r="V202">
            <v>500948</v>
          </cell>
          <cell r="W202">
            <v>0</v>
          </cell>
        </row>
        <row r="203">
          <cell r="E203">
            <v>136</v>
          </cell>
          <cell r="G203">
            <v>19856</v>
          </cell>
          <cell r="J203">
            <v>37</v>
          </cell>
          <cell r="L203">
            <v>20683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132872</v>
          </cell>
          <cell r="V203"/>
          <cell r="W203">
            <v>132872</v>
          </cell>
        </row>
        <row r="204">
          <cell r="E204">
            <v>-24444</v>
          </cell>
          <cell r="G204">
            <v>-3568824</v>
          </cell>
          <cell r="J204">
            <v>-7943</v>
          </cell>
          <cell r="L204">
            <v>-4440137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-7924957</v>
          </cell>
          <cell r="V204"/>
          <cell r="W204">
            <v>-7792085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-7708081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-7624077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-7540073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-7456069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-7372065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-7288061</v>
          </cell>
        </row>
      </sheetData>
      <sheetData sheetId="22">
        <row r="175">
          <cell r="E175"/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168536</v>
          </cell>
          <cell r="W175">
            <v>0</v>
          </cell>
        </row>
        <row r="176">
          <cell r="E176"/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/>
          <cell r="W176">
            <v>87141</v>
          </cell>
        </row>
        <row r="177">
          <cell r="E177"/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174282</v>
          </cell>
          <cell r="W177">
            <v>0</v>
          </cell>
        </row>
        <row r="178">
          <cell r="E178"/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/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/>
          <cell r="W179">
            <v>87141</v>
          </cell>
        </row>
        <row r="180">
          <cell r="E180"/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174282</v>
          </cell>
          <cell r="W180">
            <v>0</v>
          </cell>
        </row>
        <row r="181">
          <cell r="E181"/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/>
          <cell r="W181">
            <v>87141</v>
          </cell>
        </row>
        <row r="182">
          <cell r="E182"/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174282</v>
          </cell>
          <cell r="W182">
            <v>981</v>
          </cell>
        </row>
        <row r="183">
          <cell r="E183"/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/>
          <cell r="W183">
            <v>89119</v>
          </cell>
        </row>
        <row r="184">
          <cell r="E184"/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174282</v>
          </cell>
          <cell r="W184">
            <v>2968</v>
          </cell>
        </row>
        <row r="185">
          <cell r="E185"/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/>
          <cell r="W185">
            <v>91128</v>
          </cell>
        </row>
        <row r="186">
          <cell r="E186"/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>
            <v>179308</v>
          </cell>
          <cell r="W186">
            <v>0</v>
          </cell>
        </row>
        <row r="187">
          <cell r="E187"/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/>
          <cell r="W187">
            <v>89922</v>
          </cell>
        </row>
        <row r="188">
          <cell r="E188"/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179874</v>
          </cell>
          <cell r="W188">
            <v>0</v>
          </cell>
        </row>
        <row r="189">
          <cell r="E189"/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/>
          <cell r="W189">
            <v>89965</v>
          </cell>
        </row>
        <row r="190">
          <cell r="E190"/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179941</v>
          </cell>
          <cell r="W190">
            <v>0</v>
          </cell>
        </row>
        <row r="191">
          <cell r="E191"/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/>
          <cell r="W191">
            <v>89998</v>
          </cell>
        </row>
        <row r="192">
          <cell r="E192"/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180021</v>
          </cell>
          <cell r="W192">
            <v>0</v>
          </cell>
        </row>
        <row r="193">
          <cell r="E193"/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/>
          <cell r="W193">
            <v>90036</v>
          </cell>
        </row>
        <row r="194">
          <cell r="E194"/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180097</v>
          </cell>
          <cell r="W194">
            <v>0</v>
          </cell>
        </row>
        <row r="195">
          <cell r="E195"/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/>
          <cell r="W195">
            <v>90082</v>
          </cell>
        </row>
        <row r="196">
          <cell r="E196"/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180187</v>
          </cell>
          <cell r="W196">
            <v>0</v>
          </cell>
        </row>
        <row r="197">
          <cell r="E197"/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/>
          <cell r="W197">
            <v>90135</v>
          </cell>
        </row>
        <row r="198">
          <cell r="E198"/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180280</v>
          </cell>
          <cell r="W198">
            <v>0</v>
          </cell>
        </row>
        <row r="199">
          <cell r="E199"/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/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/>
          <cell r="W200">
            <v>92271</v>
          </cell>
        </row>
        <row r="201">
          <cell r="E201"/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184545</v>
          </cell>
          <cell r="W201">
            <v>0</v>
          </cell>
        </row>
        <row r="202">
          <cell r="E202"/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92303</v>
          </cell>
        </row>
        <row r="203">
          <cell r="E203"/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184636</v>
          </cell>
        </row>
        <row r="204">
          <cell r="E204"/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268640</v>
          </cell>
        </row>
        <row r="205">
          <cell r="E205"/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352644</v>
          </cell>
        </row>
        <row r="206">
          <cell r="E206"/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436648</v>
          </cell>
        </row>
        <row r="207">
          <cell r="E207"/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520652</v>
          </cell>
        </row>
        <row r="208">
          <cell r="E208"/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604656</v>
          </cell>
        </row>
        <row r="209">
          <cell r="E209"/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688660</v>
          </cell>
        </row>
        <row r="210">
          <cell r="E210"/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772664</v>
          </cell>
        </row>
      </sheetData>
      <sheetData sheetId="23">
        <row r="175">
          <cell r="E175">
            <v>211</v>
          </cell>
          <cell r="G175">
            <v>99</v>
          </cell>
          <cell r="J175">
            <v>137</v>
          </cell>
          <cell r="L175">
            <v>79643</v>
          </cell>
          <cell r="M175">
            <v>3731</v>
          </cell>
          <cell r="N175">
            <v>7000</v>
          </cell>
          <cell r="O175">
            <v>0</v>
          </cell>
          <cell r="P175"/>
          <cell r="Q175">
            <v>76410</v>
          </cell>
          <cell r="R175">
            <v>0</v>
          </cell>
          <cell r="S175">
            <v>166883</v>
          </cell>
          <cell r="V175">
            <v>197590</v>
          </cell>
          <cell r="W175">
            <v>-30707</v>
          </cell>
        </row>
        <row r="176">
          <cell r="E176">
            <v>245</v>
          </cell>
          <cell r="G176">
            <v>35770</v>
          </cell>
          <cell r="J176">
            <v>84</v>
          </cell>
          <cell r="L176">
            <v>46956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0</v>
          </cell>
          <cell r="S176">
            <v>169867</v>
          </cell>
          <cell r="V176">
            <v>139160</v>
          </cell>
          <cell r="W176">
            <v>0</v>
          </cell>
        </row>
        <row r="177">
          <cell r="E177">
            <v>290</v>
          </cell>
          <cell r="G177">
            <v>42340</v>
          </cell>
          <cell r="J177">
            <v>74</v>
          </cell>
          <cell r="L177">
            <v>41366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0</v>
          </cell>
          <cell r="S177">
            <v>170847</v>
          </cell>
          <cell r="V177">
            <v>170847</v>
          </cell>
          <cell r="W177">
            <v>0</v>
          </cell>
        </row>
        <row r="178">
          <cell r="E178">
            <v>286</v>
          </cell>
          <cell r="G178">
            <v>41756</v>
          </cell>
          <cell r="J178">
            <v>44</v>
          </cell>
          <cell r="L178">
            <v>24596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0</v>
          </cell>
          <cell r="S178">
            <v>153493</v>
          </cell>
          <cell r="V178">
            <v>153493</v>
          </cell>
          <cell r="W178">
            <v>0</v>
          </cell>
        </row>
        <row r="179">
          <cell r="E179">
            <v>236</v>
          </cell>
          <cell r="G179">
            <v>34456</v>
          </cell>
          <cell r="J179">
            <v>27</v>
          </cell>
          <cell r="L179">
            <v>15093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0</v>
          </cell>
          <cell r="S179">
            <v>136690</v>
          </cell>
          <cell r="V179">
            <v>136690</v>
          </cell>
          <cell r="W179">
            <v>0</v>
          </cell>
        </row>
        <row r="180">
          <cell r="E180">
            <v>304</v>
          </cell>
          <cell r="G180">
            <v>44384</v>
          </cell>
          <cell r="J180">
            <v>28</v>
          </cell>
          <cell r="L180">
            <v>15652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0</v>
          </cell>
          <cell r="S180">
            <v>147177</v>
          </cell>
          <cell r="V180">
            <v>147177</v>
          </cell>
          <cell r="W180">
            <v>0</v>
          </cell>
        </row>
        <row r="181">
          <cell r="E181">
            <v>234</v>
          </cell>
          <cell r="G181">
            <v>34164</v>
          </cell>
          <cell r="J181">
            <v>4</v>
          </cell>
          <cell r="L181">
            <v>2236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0</v>
          </cell>
          <cell r="S181">
            <v>123541</v>
          </cell>
          <cell r="V181">
            <v>119810</v>
          </cell>
          <cell r="W181">
            <v>3731</v>
          </cell>
        </row>
        <row r="182">
          <cell r="E182">
            <v>150</v>
          </cell>
          <cell r="G182">
            <v>21900</v>
          </cell>
          <cell r="J182">
            <v>7</v>
          </cell>
          <cell r="L182">
            <v>3913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>
            <v>0</v>
          </cell>
          <cell r="S182">
            <v>113935</v>
          </cell>
          <cell r="V182">
            <v>117666</v>
          </cell>
          <cell r="W182">
            <v>0</v>
          </cell>
        </row>
        <row r="183">
          <cell r="E183">
            <v>436</v>
          </cell>
          <cell r="G183">
            <v>63656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0</v>
          </cell>
          <cell r="S183">
            <v>156266</v>
          </cell>
          <cell r="V183">
            <v>156266</v>
          </cell>
          <cell r="W183">
            <v>0</v>
          </cell>
        </row>
        <row r="184">
          <cell r="E184">
            <v>219</v>
          </cell>
          <cell r="G184">
            <v>31974</v>
          </cell>
          <cell r="J184">
            <v>8</v>
          </cell>
          <cell r="L184">
            <v>4472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0</v>
          </cell>
          <cell r="S184">
            <v>124577</v>
          </cell>
          <cell r="V184">
            <v>124577</v>
          </cell>
          <cell r="W184">
            <v>0</v>
          </cell>
        </row>
        <row r="185">
          <cell r="E185">
            <v>249</v>
          </cell>
          <cell r="G185">
            <v>36354</v>
          </cell>
          <cell r="J185">
            <v>40</v>
          </cell>
          <cell r="L185">
            <v>22360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146874</v>
          </cell>
          <cell r="V185">
            <v>146874</v>
          </cell>
          <cell r="W185">
            <v>0</v>
          </cell>
        </row>
        <row r="186">
          <cell r="E186">
            <v>268</v>
          </cell>
          <cell r="G186">
            <v>39128</v>
          </cell>
          <cell r="J186">
            <v>42</v>
          </cell>
          <cell r="L186">
            <v>23478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150786</v>
          </cell>
          <cell r="V186">
            <v>150786</v>
          </cell>
          <cell r="W186">
            <v>0</v>
          </cell>
        </row>
        <row r="187">
          <cell r="E187">
            <v>301</v>
          </cell>
          <cell r="G187">
            <v>43946</v>
          </cell>
          <cell r="J187">
            <v>41</v>
          </cell>
          <cell r="L187">
            <v>22919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156787</v>
          </cell>
          <cell r="V187">
            <v>156787</v>
          </cell>
          <cell r="W187">
            <v>0</v>
          </cell>
        </row>
        <row r="188">
          <cell r="E188">
            <v>365</v>
          </cell>
          <cell r="G188">
            <v>53290</v>
          </cell>
          <cell r="J188">
            <v>94</v>
          </cell>
          <cell r="L188">
            <v>52546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195788</v>
          </cell>
          <cell r="V188">
            <v>195788</v>
          </cell>
          <cell r="W188">
            <v>0</v>
          </cell>
        </row>
        <row r="189">
          <cell r="E189">
            <v>230</v>
          </cell>
          <cell r="G189">
            <v>33580</v>
          </cell>
          <cell r="J189">
            <v>78</v>
          </cell>
          <cell r="L189">
            <v>43602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167147</v>
          </cell>
          <cell r="V189">
            <v>167147</v>
          </cell>
          <cell r="W189">
            <v>0</v>
          </cell>
        </row>
        <row r="190">
          <cell r="E190">
            <v>267</v>
          </cell>
          <cell r="G190">
            <v>38982</v>
          </cell>
          <cell r="J190">
            <v>75</v>
          </cell>
          <cell r="L190">
            <v>41925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170883</v>
          </cell>
          <cell r="V190">
            <v>170883</v>
          </cell>
          <cell r="W190">
            <v>0</v>
          </cell>
        </row>
        <row r="191">
          <cell r="E191">
            <v>276</v>
          </cell>
          <cell r="G191">
            <v>40296</v>
          </cell>
          <cell r="J191">
            <v>68</v>
          </cell>
          <cell r="L191">
            <v>38012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168306</v>
          </cell>
          <cell r="V191">
            <v>168306</v>
          </cell>
          <cell r="W191">
            <v>0</v>
          </cell>
        </row>
        <row r="192">
          <cell r="E192">
            <v>165</v>
          </cell>
          <cell r="G192">
            <v>24090</v>
          </cell>
          <cell r="J192">
            <v>14</v>
          </cell>
          <cell r="L192">
            <v>7826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121939</v>
          </cell>
          <cell r="V192">
            <v>121939</v>
          </cell>
          <cell r="W192">
            <v>0</v>
          </cell>
        </row>
        <row r="193">
          <cell r="E193">
            <v>206</v>
          </cell>
          <cell r="G193">
            <v>30076</v>
          </cell>
          <cell r="J193">
            <v>15</v>
          </cell>
          <cell r="L193">
            <v>8385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128497</v>
          </cell>
          <cell r="V193">
            <v>128497</v>
          </cell>
          <cell r="W193">
            <v>0</v>
          </cell>
        </row>
        <row r="194">
          <cell r="E194">
            <v>281</v>
          </cell>
          <cell r="G194">
            <v>41026</v>
          </cell>
          <cell r="J194">
            <v>18</v>
          </cell>
          <cell r="L194">
            <v>10062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141149</v>
          </cell>
          <cell r="V194">
            <v>141149</v>
          </cell>
          <cell r="W194">
            <v>0</v>
          </cell>
        </row>
        <row r="195">
          <cell r="E195">
            <v>235</v>
          </cell>
          <cell r="G195">
            <v>34310</v>
          </cell>
          <cell r="J195">
            <v>32</v>
          </cell>
          <cell r="L195">
            <v>17888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142280</v>
          </cell>
          <cell r="V195">
            <v>142280</v>
          </cell>
          <cell r="W195">
            <v>0</v>
          </cell>
        </row>
        <row r="196">
          <cell r="E196">
            <v>213</v>
          </cell>
          <cell r="G196">
            <v>31098</v>
          </cell>
          <cell r="J196">
            <v>43</v>
          </cell>
          <cell r="L196">
            <v>24037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145240</v>
          </cell>
          <cell r="V196">
            <v>145240</v>
          </cell>
          <cell r="W196">
            <v>0</v>
          </cell>
        </row>
        <row r="197">
          <cell r="E197">
            <v>206</v>
          </cell>
          <cell r="G197">
            <v>30076</v>
          </cell>
          <cell r="J197">
            <v>52</v>
          </cell>
          <cell r="L197">
            <v>29068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149279</v>
          </cell>
          <cell r="V197">
            <v>149279</v>
          </cell>
          <cell r="W197">
            <v>0</v>
          </cell>
        </row>
        <row r="198">
          <cell r="E198">
            <v>190</v>
          </cell>
          <cell r="G198">
            <v>27740</v>
          </cell>
          <cell r="J198">
            <v>53</v>
          </cell>
          <cell r="L198">
            <v>29627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147512</v>
          </cell>
          <cell r="V198">
            <v>147512</v>
          </cell>
          <cell r="W198">
            <v>0</v>
          </cell>
        </row>
        <row r="199">
          <cell r="E199">
            <v>246</v>
          </cell>
          <cell r="G199">
            <v>35916</v>
          </cell>
          <cell r="J199">
            <v>110</v>
          </cell>
          <cell r="L199">
            <v>61490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189674</v>
          </cell>
          <cell r="V199">
            <v>189674</v>
          </cell>
          <cell r="W199">
            <v>0</v>
          </cell>
        </row>
        <row r="200">
          <cell r="E200">
            <v>331</v>
          </cell>
          <cell r="G200">
            <v>48326</v>
          </cell>
          <cell r="J200">
            <v>135</v>
          </cell>
          <cell r="L200">
            <v>78165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218762</v>
          </cell>
          <cell r="V200">
            <v>218762</v>
          </cell>
          <cell r="W200">
            <v>0</v>
          </cell>
        </row>
        <row r="201">
          <cell r="E201">
            <v>181</v>
          </cell>
          <cell r="G201">
            <v>26426</v>
          </cell>
          <cell r="J201">
            <v>85</v>
          </cell>
          <cell r="L201">
            <v>47515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166215</v>
          </cell>
          <cell r="V201">
            <v>166215</v>
          </cell>
          <cell r="W201">
            <v>0</v>
          </cell>
        </row>
        <row r="202">
          <cell r="E202">
            <v>133</v>
          </cell>
          <cell r="G202">
            <v>19418</v>
          </cell>
          <cell r="J202">
            <v>42</v>
          </cell>
          <cell r="L202">
            <v>23478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135199</v>
          </cell>
          <cell r="V202">
            <v>135199</v>
          </cell>
          <cell r="W202">
            <v>0</v>
          </cell>
        </row>
        <row r="203">
          <cell r="E203">
            <v>140</v>
          </cell>
          <cell r="G203">
            <v>20440</v>
          </cell>
          <cell r="J203">
            <v>31</v>
          </cell>
          <cell r="L203">
            <v>17329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130102</v>
          </cell>
          <cell r="V203"/>
          <cell r="W203">
            <v>130102</v>
          </cell>
        </row>
        <row r="204">
          <cell r="E204">
            <v>-11818</v>
          </cell>
          <cell r="G204">
            <v>-1725428</v>
          </cell>
          <cell r="J204">
            <v>-2335</v>
          </cell>
          <cell r="L204">
            <v>-1305265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-2946689</v>
          </cell>
          <cell r="V204"/>
          <cell r="W204">
            <v>-2816587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-2732583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-2648579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-2564575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-2480571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-2396567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-2312563</v>
          </cell>
        </row>
      </sheetData>
      <sheetData sheetId="24">
        <row r="175">
          <cell r="E175">
            <v>25</v>
          </cell>
          <cell r="G175">
            <v>3650</v>
          </cell>
          <cell r="J175">
            <v>25</v>
          </cell>
          <cell r="L175">
            <v>13975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104766</v>
          </cell>
          <cell r="V175">
            <v>90036</v>
          </cell>
          <cell r="W175">
            <v>0.70000000018626451</v>
          </cell>
        </row>
        <row r="176">
          <cell r="E176">
            <v>25</v>
          </cell>
          <cell r="G176">
            <v>3650</v>
          </cell>
          <cell r="J176">
            <v>87</v>
          </cell>
          <cell r="L176">
            <v>48633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139424</v>
          </cell>
          <cell r="V176">
            <v>139424</v>
          </cell>
          <cell r="W176">
            <v>0.70000000018626451</v>
          </cell>
        </row>
        <row r="177">
          <cell r="E177">
            <v>25</v>
          </cell>
          <cell r="G177">
            <v>3650</v>
          </cell>
          <cell r="J177">
            <v>34</v>
          </cell>
          <cell r="L177">
            <v>19006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52944</v>
          </cell>
          <cell r="S177">
            <v>162741</v>
          </cell>
          <cell r="V177"/>
          <cell r="W177">
            <v>162741.70000000019</v>
          </cell>
        </row>
        <row r="178">
          <cell r="E178">
            <v>14</v>
          </cell>
          <cell r="G178">
            <v>2044</v>
          </cell>
          <cell r="J178">
            <v>18</v>
          </cell>
          <cell r="L178">
            <v>10062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53123</v>
          </cell>
          <cell r="S178">
            <v>152370</v>
          </cell>
          <cell r="V178"/>
          <cell r="W178">
            <v>315111.70000000019</v>
          </cell>
        </row>
        <row r="179">
          <cell r="E179">
            <v>5</v>
          </cell>
          <cell r="G179">
            <v>730</v>
          </cell>
          <cell r="J179">
            <v>7</v>
          </cell>
          <cell r="L179">
            <v>3913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91784</v>
          </cell>
          <cell r="V179">
            <v>406895</v>
          </cell>
          <cell r="W179">
            <v>0.70000000018626451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87141</v>
          </cell>
          <cell r="W180">
            <v>0.70000000018626451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/>
          <cell r="W181">
            <v>87141.700000000186</v>
          </cell>
        </row>
        <row r="182">
          <cell r="E182">
            <v>31</v>
          </cell>
          <cell r="G182">
            <v>4526</v>
          </cell>
          <cell r="J182">
            <v>2</v>
          </cell>
          <cell r="L182">
            <v>1118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93766</v>
          </cell>
          <cell r="V182">
            <v>180907</v>
          </cell>
          <cell r="W182">
            <v>0.70000000018626451</v>
          </cell>
        </row>
        <row r="183">
          <cell r="E183">
            <v>62</v>
          </cell>
          <cell r="G183">
            <v>9052</v>
          </cell>
          <cell r="J183">
            <v>26</v>
          </cell>
          <cell r="L183">
            <v>14534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0</v>
          </cell>
          <cell r="S183">
            <v>111724</v>
          </cell>
          <cell r="V183"/>
          <cell r="W183">
            <v>111724.70000000019</v>
          </cell>
        </row>
        <row r="184">
          <cell r="E184">
            <v>252</v>
          </cell>
          <cell r="G184">
            <v>36792</v>
          </cell>
          <cell r="J184">
            <v>34</v>
          </cell>
          <cell r="L184">
            <v>19006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0</v>
          </cell>
          <cell r="S184">
            <v>143929</v>
          </cell>
          <cell r="V184">
            <v>255653</v>
          </cell>
          <cell r="W184">
            <v>0.70000000018626451</v>
          </cell>
        </row>
        <row r="185">
          <cell r="E185">
            <v>350</v>
          </cell>
          <cell r="G185">
            <v>51100</v>
          </cell>
          <cell r="J185">
            <v>83</v>
          </cell>
          <cell r="L185">
            <v>46397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53462</v>
          </cell>
          <cell r="S185">
            <v>239119</v>
          </cell>
          <cell r="V185"/>
          <cell r="W185">
            <v>239119.70000000019</v>
          </cell>
        </row>
        <row r="186">
          <cell r="E186">
            <v>66</v>
          </cell>
          <cell r="G186">
            <v>9636</v>
          </cell>
          <cell r="J186">
            <v>156</v>
          </cell>
          <cell r="L186">
            <v>96924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53650</v>
          </cell>
          <cell r="S186">
            <v>248390</v>
          </cell>
          <cell r="V186"/>
          <cell r="W186">
            <v>487509.70000000019</v>
          </cell>
        </row>
        <row r="187">
          <cell r="E187">
            <v>79</v>
          </cell>
          <cell r="G187">
            <v>11534</v>
          </cell>
          <cell r="J187">
            <v>121</v>
          </cell>
          <cell r="L187">
            <v>67819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53847</v>
          </cell>
          <cell r="S187">
            <v>223122</v>
          </cell>
          <cell r="V187"/>
          <cell r="W187">
            <v>710631.70000000019</v>
          </cell>
        </row>
        <row r="188">
          <cell r="E188">
            <v>15</v>
          </cell>
          <cell r="G188">
            <v>2190</v>
          </cell>
          <cell r="J188">
            <v>36</v>
          </cell>
          <cell r="L188">
            <v>20124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112266</v>
          </cell>
          <cell r="V188">
            <v>822897</v>
          </cell>
          <cell r="W188">
            <v>0.70000000018626451</v>
          </cell>
        </row>
        <row r="189">
          <cell r="E189">
            <v>49</v>
          </cell>
          <cell r="G189">
            <v>7154</v>
          </cell>
          <cell r="J189">
            <v>6</v>
          </cell>
          <cell r="L189">
            <v>3354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54009</v>
          </cell>
          <cell r="S189">
            <v>154482</v>
          </cell>
          <cell r="V189"/>
          <cell r="W189">
            <v>154482.70000000019</v>
          </cell>
        </row>
        <row r="190">
          <cell r="E190">
            <v>49</v>
          </cell>
          <cell r="G190">
            <v>7154</v>
          </cell>
          <cell r="J190">
            <v>5</v>
          </cell>
          <cell r="L190">
            <v>2795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54157</v>
          </cell>
          <cell r="S190">
            <v>154082</v>
          </cell>
          <cell r="V190"/>
          <cell r="W190">
            <v>308564.70000000019</v>
          </cell>
        </row>
        <row r="191">
          <cell r="E191">
            <v>22</v>
          </cell>
          <cell r="G191">
            <v>3212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54318</v>
          </cell>
          <cell r="S191">
            <v>147528</v>
          </cell>
          <cell r="V191"/>
          <cell r="W191">
            <v>456092.70000000019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90023</v>
          </cell>
          <cell r="V192">
            <v>546116</v>
          </cell>
          <cell r="W192">
            <v>-0.29999999981373549</v>
          </cell>
        </row>
        <row r="193">
          <cell r="E193">
            <v>2</v>
          </cell>
          <cell r="G193">
            <v>292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54575</v>
          </cell>
          <cell r="S193">
            <v>144903</v>
          </cell>
          <cell r="V193"/>
          <cell r="W193">
            <v>144902.70000000019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54715</v>
          </cell>
          <cell r="S194">
            <v>144776</v>
          </cell>
          <cell r="V194"/>
          <cell r="W194">
            <v>289678.70000000019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90082</v>
          </cell>
          <cell r="V195">
            <v>379761</v>
          </cell>
          <cell r="W195">
            <v>-0.29999999981373549</v>
          </cell>
        </row>
        <row r="196">
          <cell r="E196">
            <v>363</v>
          </cell>
          <cell r="G196">
            <v>52998</v>
          </cell>
          <cell r="J196">
            <v>162</v>
          </cell>
          <cell r="L196">
            <v>104598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247701</v>
          </cell>
          <cell r="V196">
            <v>250000</v>
          </cell>
          <cell r="W196">
            <v>-2299.2999999998137</v>
          </cell>
        </row>
        <row r="197">
          <cell r="E197">
            <v>429</v>
          </cell>
          <cell r="G197">
            <v>62634</v>
          </cell>
          <cell r="J197">
            <v>27</v>
          </cell>
          <cell r="L197">
            <v>15093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167862</v>
          </cell>
          <cell r="V197">
            <v>165563</v>
          </cell>
          <cell r="W197">
            <v>-0.29999999981373549</v>
          </cell>
        </row>
        <row r="198">
          <cell r="E198">
            <v>284</v>
          </cell>
          <cell r="G198">
            <v>41464</v>
          </cell>
          <cell r="J198">
            <v>19</v>
          </cell>
          <cell r="L198">
            <v>10621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142230</v>
          </cell>
          <cell r="V198">
            <v>200000</v>
          </cell>
          <cell r="W198">
            <v>-57770.299999999814</v>
          </cell>
        </row>
        <row r="199">
          <cell r="E199">
            <v>258</v>
          </cell>
          <cell r="G199">
            <v>37668</v>
          </cell>
          <cell r="J199">
            <v>17</v>
          </cell>
          <cell r="L199">
            <v>9503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139439</v>
          </cell>
          <cell r="V199">
            <v>81669</v>
          </cell>
          <cell r="W199">
            <v>-0.29999999981373549</v>
          </cell>
        </row>
        <row r="200">
          <cell r="E200">
            <v>219</v>
          </cell>
          <cell r="G200">
            <v>31974</v>
          </cell>
          <cell r="J200">
            <v>12</v>
          </cell>
          <cell r="L200">
            <v>6708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130953</v>
          </cell>
          <cell r="V200">
            <v>130953</v>
          </cell>
          <cell r="W200">
            <v>-0.29999999981373549</v>
          </cell>
        </row>
        <row r="201">
          <cell r="E201">
            <v>443</v>
          </cell>
          <cell r="G201">
            <v>64678</v>
          </cell>
          <cell r="J201">
            <v>30</v>
          </cell>
          <cell r="L201">
            <v>16770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173722</v>
          </cell>
          <cell r="V201">
            <v>173722</v>
          </cell>
          <cell r="W201">
            <v>-0.29999999981373549</v>
          </cell>
        </row>
        <row r="202">
          <cell r="E202">
            <v>221</v>
          </cell>
          <cell r="G202">
            <v>32266</v>
          </cell>
          <cell r="J202">
            <v>28</v>
          </cell>
          <cell r="L202">
            <v>15652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140221</v>
          </cell>
          <cell r="V202">
            <v>150000</v>
          </cell>
          <cell r="W202">
            <v>-9779.2999999998137</v>
          </cell>
        </row>
        <row r="203">
          <cell r="E203">
            <v>184</v>
          </cell>
          <cell r="G203">
            <v>26864</v>
          </cell>
          <cell r="J203">
            <v>15</v>
          </cell>
          <cell r="L203">
            <v>8385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127582</v>
          </cell>
          <cell r="V203">
            <v>117803</v>
          </cell>
          <cell r="W203">
            <v>-0.29999999981373549</v>
          </cell>
        </row>
        <row r="204">
          <cell r="E204">
            <v>-33959</v>
          </cell>
          <cell r="G204">
            <v>-4958014</v>
          </cell>
          <cell r="J204">
            <v>-3323</v>
          </cell>
          <cell r="L204">
            <v>-1857557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-6731567</v>
          </cell>
          <cell r="V204"/>
          <cell r="W204">
            <v>-6731567.2999999998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-6647563.2999999998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-6563559.2999999998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-6479555.2999999998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-6395551.2999999998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-6311547.2999999998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-6227543.2999999998</v>
          </cell>
        </row>
      </sheetData>
      <sheetData sheetId="25">
        <row r="175">
          <cell r="E175">
            <v>84</v>
          </cell>
          <cell r="G175">
            <v>12264</v>
          </cell>
          <cell r="J175">
            <v>90</v>
          </cell>
          <cell r="L175">
            <v>50310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149715</v>
          </cell>
          <cell r="V175">
            <v>145984</v>
          </cell>
          <cell r="W175">
            <v>3731</v>
          </cell>
        </row>
        <row r="176">
          <cell r="E176">
            <v>63</v>
          </cell>
          <cell r="G176">
            <v>9198</v>
          </cell>
          <cell r="J176">
            <v>74</v>
          </cell>
          <cell r="L176">
            <v>41366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137705</v>
          </cell>
          <cell r="V176">
            <v>145167</v>
          </cell>
          <cell r="W176">
            <v>-3731</v>
          </cell>
        </row>
        <row r="177">
          <cell r="E177">
            <v>65</v>
          </cell>
          <cell r="G177">
            <v>9490</v>
          </cell>
          <cell r="J177">
            <v>83</v>
          </cell>
          <cell r="L177">
            <v>46397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143028</v>
          </cell>
          <cell r="V177">
            <v>139297</v>
          </cell>
          <cell r="W177">
            <v>0</v>
          </cell>
        </row>
        <row r="178">
          <cell r="E178">
            <v>52</v>
          </cell>
          <cell r="G178">
            <v>7592</v>
          </cell>
          <cell r="J178">
            <v>82</v>
          </cell>
          <cell r="L178">
            <v>45838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140571</v>
          </cell>
          <cell r="V178">
            <v>140571</v>
          </cell>
          <cell r="W178">
            <v>0</v>
          </cell>
        </row>
        <row r="179">
          <cell r="E179">
            <v>57</v>
          </cell>
          <cell r="G179">
            <v>8322</v>
          </cell>
          <cell r="J179">
            <v>45</v>
          </cell>
          <cell r="L179">
            <v>25155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120618</v>
          </cell>
          <cell r="V179">
            <v>120618</v>
          </cell>
          <cell r="W179">
            <v>0</v>
          </cell>
        </row>
        <row r="180">
          <cell r="E180">
            <v>28</v>
          </cell>
          <cell r="G180">
            <v>4088</v>
          </cell>
          <cell r="J180">
            <v>83</v>
          </cell>
          <cell r="L180">
            <v>46397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137626</v>
          </cell>
          <cell r="V180">
            <v>137626</v>
          </cell>
          <cell r="W180">
            <v>0</v>
          </cell>
        </row>
        <row r="181">
          <cell r="E181">
            <v>59</v>
          </cell>
          <cell r="G181">
            <v>8614</v>
          </cell>
          <cell r="J181">
            <v>10</v>
          </cell>
          <cell r="L181">
            <v>5590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101345</v>
          </cell>
          <cell r="V181">
            <v>101345</v>
          </cell>
          <cell r="W181">
            <v>0</v>
          </cell>
        </row>
        <row r="182">
          <cell r="E182">
            <v>40</v>
          </cell>
          <cell r="G182">
            <v>5840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96198</v>
          </cell>
          <cell r="V182">
            <v>96198</v>
          </cell>
          <cell r="W182">
            <v>0</v>
          </cell>
        </row>
        <row r="183">
          <cell r="E183">
            <v>70</v>
          </cell>
          <cell r="G183">
            <v>10220</v>
          </cell>
          <cell r="J183">
            <v>13</v>
          </cell>
          <cell r="L183">
            <v>7267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105625</v>
          </cell>
          <cell r="V183">
            <v>105625</v>
          </cell>
          <cell r="W183">
            <v>0</v>
          </cell>
        </row>
        <row r="184">
          <cell r="E184">
            <v>60</v>
          </cell>
          <cell r="G184">
            <v>8760</v>
          </cell>
          <cell r="J184">
            <v>19</v>
          </cell>
          <cell r="L184">
            <v>10621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107512</v>
          </cell>
          <cell r="V184">
            <v>107512</v>
          </cell>
          <cell r="W184">
            <v>0</v>
          </cell>
        </row>
        <row r="185">
          <cell r="E185">
            <v>70</v>
          </cell>
          <cell r="G185">
            <v>10220</v>
          </cell>
          <cell r="J185">
            <v>55</v>
          </cell>
          <cell r="L185">
            <v>30745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129125</v>
          </cell>
          <cell r="V185">
            <v>129125</v>
          </cell>
          <cell r="W185">
            <v>0</v>
          </cell>
        </row>
        <row r="186">
          <cell r="E186">
            <v>62</v>
          </cell>
          <cell r="G186">
            <v>9052</v>
          </cell>
          <cell r="J186">
            <v>95</v>
          </cell>
          <cell r="L186">
            <v>53105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0</v>
          </cell>
          <cell r="S186">
            <v>150337</v>
          </cell>
          <cell r="V186">
            <v>150337</v>
          </cell>
          <cell r="W186">
            <v>0</v>
          </cell>
        </row>
        <row r="187">
          <cell r="E187">
            <v>74</v>
          </cell>
          <cell r="G187">
            <v>10804</v>
          </cell>
          <cell r="J187">
            <v>64</v>
          </cell>
          <cell r="L187">
            <v>35776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0</v>
          </cell>
          <cell r="S187">
            <v>136502</v>
          </cell>
          <cell r="V187">
            <v>136502</v>
          </cell>
          <cell r="W187">
            <v>0</v>
          </cell>
        </row>
        <row r="188">
          <cell r="E188">
            <v>58</v>
          </cell>
          <cell r="G188">
            <v>8468</v>
          </cell>
          <cell r="J188">
            <v>68</v>
          </cell>
          <cell r="L188">
            <v>38012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0</v>
          </cell>
          <cell r="S188">
            <v>136432</v>
          </cell>
          <cell r="V188">
            <v>136432</v>
          </cell>
          <cell r="W188">
            <v>0</v>
          </cell>
        </row>
        <row r="189">
          <cell r="E189">
            <v>44</v>
          </cell>
          <cell r="G189">
            <v>6424</v>
          </cell>
          <cell r="J189">
            <v>59</v>
          </cell>
          <cell r="L189">
            <v>32981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0</v>
          </cell>
          <cell r="S189">
            <v>129370</v>
          </cell>
          <cell r="V189">
            <v>129370</v>
          </cell>
          <cell r="W189">
            <v>0</v>
          </cell>
        </row>
        <row r="190">
          <cell r="E190">
            <v>58</v>
          </cell>
          <cell r="G190">
            <v>8468</v>
          </cell>
          <cell r="J190">
            <v>66</v>
          </cell>
          <cell r="L190">
            <v>36894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0</v>
          </cell>
          <cell r="S190">
            <v>135338</v>
          </cell>
          <cell r="V190">
            <v>135338</v>
          </cell>
          <cell r="W190">
            <v>0</v>
          </cell>
        </row>
        <row r="191">
          <cell r="E191">
            <v>48</v>
          </cell>
          <cell r="G191">
            <v>7008</v>
          </cell>
          <cell r="J191">
            <v>63</v>
          </cell>
          <cell r="L191">
            <v>35217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0</v>
          </cell>
          <cell r="S191">
            <v>132223</v>
          </cell>
          <cell r="V191">
            <v>132223</v>
          </cell>
          <cell r="W191">
            <v>0</v>
          </cell>
        </row>
        <row r="192">
          <cell r="E192">
            <v>39</v>
          </cell>
          <cell r="G192">
            <v>5694</v>
          </cell>
          <cell r="J192">
            <v>10</v>
          </cell>
          <cell r="L192">
            <v>5590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0</v>
          </cell>
          <cell r="S192">
            <v>101307</v>
          </cell>
          <cell r="V192">
            <v>101307</v>
          </cell>
          <cell r="W192">
            <v>0</v>
          </cell>
        </row>
        <row r="193">
          <cell r="E193">
            <v>49</v>
          </cell>
          <cell r="G193">
            <v>7154</v>
          </cell>
          <cell r="J193">
            <v>5</v>
          </cell>
          <cell r="L193">
            <v>2795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0</v>
          </cell>
          <cell r="S193">
            <v>99985</v>
          </cell>
          <cell r="V193">
            <v>99985</v>
          </cell>
          <cell r="W193">
            <v>0</v>
          </cell>
        </row>
        <row r="194">
          <cell r="E194">
            <v>49</v>
          </cell>
          <cell r="G194">
            <v>7154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0</v>
          </cell>
          <cell r="S194">
            <v>100010</v>
          </cell>
          <cell r="V194">
            <v>100010</v>
          </cell>
          <cell r="W194">
            <v>0</v>
          </cell>
        </row>
        <row r="195">
          <cell r="E195">
            <v>72</v>
          </cell>
          <cell r="G195">
            <v>10512</v>
          </cell>
          <cell r="J195">
            <v>13</v>
          </cell>
          <cell r="L195">
            <v>7267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0</v>
          </cell>
          <cell r="S195">
            <v>107861</v>
          </cell>
          <cell r="V195">
            <v>107861</v>
          </cell>
          <cell r="W195">
            <v>0</v>
          </cell>
        </row>
        <row r="196">
          <cell r="E196">
            <v>41</v>
          </cell>
          <cell r="G196">
            <v>5986</v>
          </cell>
          <cell r="J196">
            <v>20</v>
          </cell>
          <cell r="L196">
            <v>11180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0</v>
          </cell>
          <cell r="S196">
            <v>107271</v>
          </cell>
          <cell r="V196">
            <v>107271</v>
          </cell>
          <cell r="W196">
            <v>0</v>
          </cell>
        </row>
        <row r="197">
          <cell r="E197">
            <v>71</v>
          </cell>
          <cell r="G197">
            <v>10366</v>
          </cell>
          <cell r="J197">
            <v>46</v>
          </cell>
          <cell r="L197">
            <v>25714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0</v>
          </cell>
          <cell r="S197">
            <v>126215</v>
          </cell>
          <cell r="V197">
            <v>126215</v>
          </cell>
          <cell r="W197">
            <v>0</v>
          </cell>
        </row>
        <row r="198">
          <cell r="E198">
            <v>65</v>
          </cell>
          <cell r="G198">
            <v>9490</v>
          </cell>
          <cell r="J198">
            <v>45</v>
          </cell>
          <cell r="L198">
            <v>25155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0</v>
          </cell>
          <cell r="S198">
            <v>124790</v>
          </cell>
          <cell r="V198">
            <v>124790</v>
          </cell>
          <cell r="W198">
            <v>0</v>
          </cell>
        </row>
        <row r="199">
          <cell r="E199">
            <v>157</v>
          </cell>
          <cell r="G199">
            <v>22922</v>
          </cell>
          <cell r="J199">
            <v>96</v>
          </cell>
          <cell r="L199">
            <v>53664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168854</v>
          </cell>
          <cell r="V199">
            <v>168854</v>
          </cell>
          <cell r="W199">
            <v>0</v>
          </cell>
        </row>
        <row r="200">
          <cell r="E200">
            <v>115</v>
          </cell>
          <cell r="G200">
            <v>16790</v>
          </cell>
          <cell r="J200">
            <v>60</v>
          </cell>
          <cell r="L200">
            <v>33540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142601</v>
          </cell>
          <cell r="V200">
            <v>142601</v>
          </cell>
          <cell r="W200">
            <v>0</v>
          </cell>
        </row>
        <row r="201">
          <cell r="E201">
            <v>86</v>
          </cell>
          <cell r="G201">
            <v>12556</v>
          </cell>
          <cell r="J201">
            <v>52</v>
          </cell>
          <cell r="L201">
            <v>29068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133898</v>
          </cell>
          <cell r="V201">
            <v>133898</v>
          </cell>
          <cell r="W201">
            <v>0</v>
          </cell>
        </row>
        <row r="202">
          <cell r="E202">
            <v>83</v>
          </cell>
          <cell r="G202">
            <v>12118</v>
          </cell>
          <cell r="J202">
            <v>48</v>
          </cell>
          <cell r="L202">
            <v>26832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131253</v>
          </cell>
          <cell r="V202">
            <v>131253</v>
          </cell>
          <cell r="W202">
            <v>0</v>
          </cell>
        </row>
        <row r="203">
          <cell r="E203">
            <v>86</v>
          </cell>
          <cell r="G203">
            <v>12556</v>
          </cell>
          <cell r="J203">
            <v>53</v>
          </cell>
          <cell r="L203">
            <v>29627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134516</v>
          </cell>
          <cell r="V203"/>
          <cell r="W203">
            <v>134516</v>
          </cell>
        </row>
        <row r="204">
          <cell r="E204">
            <v>-16823</v>
          </cell>
          <cell r="G204">
            <v>-2456158</v>
          </cell>
          <cell r="J204">
            <v>-10689</v>
          </cell>
          <cell r="L204">
            <v>-5975151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-8347305</v>
          </cell>
          <cell r="V204"/>
          <cell r="W204">
            <v>-8212789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-8128785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-8044781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-7960777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-7876773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-7792769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-7708765</v>
          </cell>
        </row>
      </sheetData>
      <sheetData sheetId="26">
        <row r="175">
          <cell r="E175">
            <v>203</v>
          </cell>
          <cell r="G175">
            <v>29638</v>
          </cell>
          <cell r="J175">
            <v>136</v>
          </cell>
          <cell r="L175">
            <v>78904</v>
          </cell>
          <cell r="M175">
            <v>3731</v>
          </cell>
          <cell r="N175">
            <v>7000</v>
          </cell>
          <cell r="O175">
            <v>0</v>
          </cell>
          <cell r="P175"/>
          <cell r="Q175">
            <v>76410</v>
          </cell>
          <cell r="R175"/>
          <cell r="S175">
            <v>195683</v>
          </cell>
          <cell r="V175">
            <v>362806</v>
          </cell>
          <cell r="W175">
            <v>0</v>
          </cell>
        </row>
        <row r="176">
          <cell r="E176">
            <v>173</v>
          </cell>
          <cell r="G176">
            <v>25258</v>
          </cell>
          <cell r="J176">
            <v>115</v>
          </cell>
          <cell r="L176">
            <v>64285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R176"/>
          <cell r="S176">
            <v>176684</v>
          </cell>
          <cell r="V176">
            <v>180000</v>
          </cell>
          <cell r="W176">
            <v>-3316</v>
          </cell>
        </row>
        <row r="177">
          <cell r="E177">
            <v>210</v>
          </cell>
          <cell r="G177">
            <v>30660</v>
          </cell>
          <cell r="J177">
            <v>103</v>
          </cell>
          <cell r="L177">
            <v>57577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R177"/>
          <cell r="S177">
            <v>175378</v>
          </cell>
          <cell r="V177">
            <v>180000</v>
          </cell>
          <cell r="W177">
            <v>-7938</v>
          </cell>
        </row>
        <row r="178">
          <cell r="E178">
            <v>181</v>
          </cell>
          <cell r="G178">
            <v>26426</v>
          </cell>
          <cell r="J178">
            <v>59</v>
          </cell>
          <cell r="L178">
            <v>32981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R178"/>
          <cell r="S178">
            <v>146548</v>
          </cell>
          <cell r="V178"/>
          <cell r="W178">
            <v>138610</v>
          </cell>
        </row>
        <row r="179">
          <cell r="E179">
            <v>194</v>
          </cell>
          <cell r="G179">
            <v>28324</v>
          </cell>
          <cell r="J179">
            <v>28</v>
          </cell>
          <cell r="L179">
            <v>15652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R179"/>
          <cell r="S179">
            <v>131117</v>
          </cell>
          <cell r="V179">
            <v>250000</v>
          </cell>
          <cell r="W179">
            <v>19727</v>
          </cell>
        </row>
        <row r="180">
          <cell r="E180">
            <v>203</v>
          </cell>
          <cell r="G180">
            <v>29638</v>
          </cell>
          <cell r="J180">
            <v>6</v>
          </cell>
          <cell r="L180">
            <v>3354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R180"/>
          <cell r="S180">
            <v>120133</v>
          </cell>
          <cell r="V180"/>
          <cell r="W180">
            <v>139860</v>
          </cell>
        </row>
        <row r="181">
          <cell r="E181">
            <v>163</v>
          </cell>
          <cell r="G181">
            <v>23798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R181"/>
          <cell r="S181">
            <v>110939</v>
          </cell>
          <cell r="V181">
            <v>251000</v>
          </cell>
          <cell r="W181">
            <v>-201</v>
          </cell>
        </row>
        <row r="182">
          <cell r="E182">
            <v>190</v>
          </cell>
          <cell r="G182">
            <v>27740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R182"/>
          <cell r="S182">
            <v>116421</v>
          </cell>
          <cell r="V182"/>
          <cell r="W182">
            <v>116220</v>
          </cell>
        </row>
        <row r="183">
          <cell r="E183">
            <v>198</v>
          </cell>
          <cell r="G183">
            <v>28908</v>
          </cell>
          <cell r="J183">
            <v>10</v>
          </cell>
          <cell r="L183">
            <v>5590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R183"/>
          <cell r="S183">
            <v>122636</v>
          </cell>
          <cell r="V183">
            <v>239000</v>
          </cell>
          <cell r="W183">
            <v>-144</v>
          </cell>
        </row>
        <row r="184">
          <cell r="E184">
            <v>171</v>
          </cell>
          <cell r="G184">
            <v>24966</v>
          </cell>
          <cell r="J184">
            <v>10</v>
          </cell>
          <cell r="L184">
            <v>5590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R184"/>
          <cell r="S184">
            <v>118687</v>
          </cell>
          <cell r="V184">
            <v>119000</v>
          </cell>
          <cell r="W184">
            <v>-457</v>
          </cell>
        </row>
        <row r="185">
          <cell r="E185">
            <v>209</v>
          </cell>
          <cell r="G185">
            <v>30514</v>
          </cell>
          <cell r="J185">
            <v>75</v>
          </cell>
          <cell r="L185">
            <v>41925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R185"/>
          <cell r="S185">
            <v>160599</v>
          </cell>
          <cell r="V185"/>
          <cell r="W185">
            <v>160142</v>
          </cell>
        </row>
        <row r="186">
          <cell r="E186">
            <v>176</v>
          </cell>
          <cell r="G186">
            <v>25696</v>
          </cell>
          <cell r="J186">
            <v>87</v>
          </cell>
          <cell r="L186">
            <v>48633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R186"/>
          <cell r="S186">
            <v>162509</v>
          </cell>
          <cell r="V186">
            <v>200000</v>
          </cell>
          <cell r="W186">
            <v>122651</v>
          </cell>
        </row>
        <row r="187">
          <cell r="E187">
            <v>188</v>
          </cell>
          <cell r="G187">
            <v>27448</v>
          </cell>
          <cell r="J187">
            <v>109</v>
          </cell>
          <cell r="L187">
            <v>60931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R187"/>
          <cell r="S187">
            <v>178301</v>
          </cell>
          <cell r="V187">
            <v>200000</v>
          </cell>
          <cell r="W187">
            <v>100952</v>
          </cell>
        </row>
        <row r="188">
          <cell r="E188">
            <v>179</v>
          </cell>
          <cell r="G188">
            <v>26134</v>
          </cell>
          <cell r="J188">
            <v>103</v>
          </cell>
          <cell r="L188">
            <v>57577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R188"/>
          <cell r="S188">
            <v>173663</v>
          </cell>
          <cell r="V188"/>
          <cell r="W188">
            <v>274615</v>
          </cell>
        </row>
        <row r="189">
          <cell r="E189">
            <v>162</v>
          </cell>
          <cell r="G189">
            <v>23652</v>
          </cell>
          <cell r="J189">
            <v>97</v>
          </cell>
          <cell r="L189">
            <v>54223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R189"/>
          <cell r="S189">
            <v>167840</v>
          </cell>
          <cell r="V189">
            <v>805695</v>
          </cell>
          <cell r="W189">
            <v>-363240</v>
          </cell>
        </row>
        <row r="190">
          <cell r="E190">
            <v>189</v>
          </cell>
          <cell r="G190">
            <v>27594</v>
          </cell>
          <cell r="J190">
            <v>80</v>
          </cell>
          <cell r="L190">
            <v>44720</v>
          </cell>
          <cell r="M190">
            <v>3731</v>
          </cell>
          <cell r="N190"/>
          <cell r="O190">
            <v>0</v>
          </cell>
          <cell r="P190"/>
          <cell r="Q190">
            <v>78144</v>
          </cell>
          <cell r="R190"/>
          <cell r="S190">
            <v>154189</v>
          </cell>
          <cell r="V190"/>
          <cell r="W190">
            <v>-209051</v>
          </cell>
        </row>
        <row r="191">
          <cell r="E191">
            <v>56</v>
          </cell>
          <cell r="G191">
            <v>8176</v>
          </cell>
          <cell r="J191">
            <v>43</v>
          </cell>
          <cell r="L191">
            <v>24037</v>
          </cell>
          <cell r="M191">
            <v>3731</v>
          </cell>
          <cell r="N191"/>
          <cell r="O191">
            <v>0</v>
          </cell>
          <cell r="P191"/>
          <cell r="Q191">
            <v>78144</v>
          </cell>
          <cell r="R191"/>
          <cell r="S191">
            <v>114088</v>
          </cell>
          <cell r="V191"/>
          <cell r="W191">
            <v>-94963</v>
          </cell>
        </row>
        <row r="192">
          <cell r="E192">
            <v>16</v>
          </cell>
          <cell r="G192">
            <v>2336</v>
          </cell>
          <cell r="J192">
            <v>26</v>
          </cell>
          <cell r="L192">
            <v>14534</v>
          </cell>
          <cell r="M192">
            <v>3731</v>
          </cell>
          <cell r="N192"/>
          <cell r="O192">
            <v>0</v>
          </cell>
          <cell r="P192"/>
          <cell r="Q192">
            <v>78144</v>
          </cell>
          <cell r="R192"/>
          <cell r="S192">
            <v>98745</v>
          </cell>
          <cell r="V192">
            <v>3782</v>
          </cell>
          <cell r="W192">
            <v>0</v>
          </cell>
        </row>
        <row r="193">
          <cell r="E193">
            <v>45</v>
          </cell>
          <cell r="G193">
            <v>6570</v>
          </cell>
          <cell r="J193">
            <v>19</v>
          </cell>
          <cell r="L193">
            <v>10621</v>
          </cell>
          <cell r="M193">
            <v>3731</v>
          </cell>
          <cell r="N193"/>
          <cell r="O193">
            <v>0</v>
          </cell>
          <cell r="P193"/>
          <cell r="Q193">
            <v>78144</v>
          </cell>
          <cell r="R193"/>
          <cell r="S193">
            <v>99066</v>
          </cell>
          <cell r="V193">
            <v>99066</v>
          </cell>
          <cell r="W193">
            <v>0</v>
          </cell>
        </row>
        <row r="194">
          <cell r="E194">
            <v>81</v>
          </cell>
          <cell r="G194">
            <v>11826</v>
          </cell>
          <cell r="J194">
            <v>10</v>
          </cell>
          <cell r="L194">
            <v>5590</v>
          </cell>
          <cell r="M194">
            <v>3731</v>
          </cell>
          <cell r="N194"/>
          <cell r="O194">
            <v>0</v>
          </cell>
          <cell r="P194"/>
          <cell r="Q194">
            <v>78144</v>
          </cell>
          <cell r="R194"/>
          <cell r="S194">
            <v>99291</v>
          </cell>
          <cell r="V194">
            <v>99291</v>
          </cell>
          <cell r="W194">
            <v>0</v>
          </cell>
        </row>
        <row r="195">
          <cell r="E195">
            <v>62</v>
          </cell>
          <cell r="G195">
            <v>9052</v>
          </cell>
          <cell r="J195">
            <v>21</v>
          </cell>
          <cell r="L195">
            <v>11739</v>
          </cell>
          <cell r="M195">
            <v>3731</v>
          </cell>
          <cell r="N195"/>
          <cell r="O195">
            <v>0</v>
          </cell>
          <cell r="P195"/>
          <cell r="Q195">
            <v>78144</v>
          </cell>
          <cell r="R195"/>
          <cell r="S195">
            <v>102666</v>
          </cell>
          <cell r="V195">
            <v>102666</v>
          </cell>
          <cell r="W195">
            <v>0</v>
          </cell>
        </row>
        <row r="196">
          <cell r="E196">
            <v>119</v>
          </cell>
          <cell r="G196">
            <v>17374</v>
          </cell>
          <cell r="J196">
            <v>52</v>
          </cell>
          <cell r="L196">
            <v>29068</v>
          </cell>
          <cell r="M196">
            <v>3731</v>
          </cell>
          <cell r="N196"/>
          <cell r="O196">
            <v>0</v>
          </cell>
          <cell r="P196"/>
          <cell r="Q196">
            <v>78144</v>
          </cell>
          <cell r="R196"/>
          <cell r="S196">
            <v>128317</v>
          </cell>
          <cell r="V196">
            <v>128317</v>
          </cell>
          <cell r="W196">
            <v>0</v>
          </cell>
        </row>
        <row r="197">
          <cell r="E197">
            <v>176</v>
          </cell>
          <cell r="G197">
            <v>25696</v>
          </cell>
          <cell r="J197">
            <v>124</v>
          </cell>
          <cell r="L197">
            <v>70036</v>
          </cell>
          <cell r="M197">
            <v>3731</v>
          </cell>
          <cell r="N197"/>
          <cell r="O197">
            <v>0</v>
          </cell>
          <cell r="P197"/>
          <cell r="Q197">
            <v>78144</v>
          </cell>
          <cell r="R197"/>
          <cell r="S197">
            <v>177607</v>
          </cell>
          <cell r="V197">
            <v>177607</v>
          </cell>
          <cell r="W197">
            <v>0</v>
          </cell>
        </row>
        <row r="198">
          <cell r="E198">
            <v>176</v>
          </cell>
          <cell r="G198">
            <v>25696</v>
          </cell>
          <cell r="J198">
            <v>100</v>
          </cell>
          <cell r="L198">
            <v>55900</v>
          </cell>
          <cell r="M198">
            <v>3731</v>
          </cell>
          <cell r="N198"/>
          <cell r="O198">
            <v>0</v>
          </cell>
          <cell r="P198"/>
          <cell r="Q198">
            <v>78144</v>
          </cell>
          <cell r="R198"/>
          <cell r="S198">
            <v>163471</v>
          </cell>
          <cell r="V198">
            <v>163471</v>
          </cell>
          <cell r="W198">
            <v>0</v>
          </cell>
        </row>
        <row r="199">
          <cell r="E199">
            <v>159</v>
          </cell>
          <cell r="G199">
            <v>23214</v>
          </cell>
          <cell r="J199">
            <v>94</v>
          </cell>
          <cell r="L199">
            <v>52546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159764</v>
          </cell>
          <cell r="V199">
            <v>159764</v>
          </cell>
          <cell r="W199">
            <v>0</v>
          </cell>
        </row>
        <row r="200">
          <cell r="E200">
            <v>166</v>
          </cell>
          <cell r="G200">
            <v>24236</v>
          </cell>
          <cell r="J200">
            <v>86</v>
          </cell>
          <cell r="L200">
            <v>48074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156314</v>
          </cell>
          <cell r="V200">
            <v>156314</v>
          </cell>
          <cell r="W200">
            <v>0</v>
          </cell>
        </row>
        <row r="201">
          <cell r="E201">
            <v>184</v>
          </cell>
          <cell r="G201">
            <v>26864</v>
          </cell>
          <cell r="J201">
            <v>110</v>
          </cell>
          <cell r="L201">
            <v>61490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172358</v>
          </cell>
          <cell r="V201">
            <v>172358</v>
          </cell>
          <cell r="W201">
            <v>0</v>
          </cell>
        </row>
        <row r="202">
          <cell r="E202">
            <v>167</v>
          </cell>
          <cell r="G202">
            <v>24382</v>
          </cell>
          <cell r="J202">
            <v>80</v>
          </cell>
          <cell r="L202">
            <v>44720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153106</v>
          </cell>
          <cell r="V202">
            <v>153106</v>
          </cell>
          <cell r="W202">
            <v>0</v>
          </cell>
        </row>
        <row r="203">
          <cell r="E203">
            <v>163</v>
          </cell>
          <cell r="G203">
            <v>23798</v>
          </cell>
          <cell r="J203">
            <v>22</v>
          </cell>
          <cell r="L203">
            <v>12298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120100</v>
          </cell>
          <cell r="V203"/>
          <cell r="W203">
            <v>120100</v>
          </cell>
        </row>
        <row r="204">
          <cell r="E204">
            <v>-35924</v>
          </cell>
          <cell r="G204">
            <v>-5244904</v>
          </cell>
          <cell r="J204">
            <v>-4017</v>
          </cell>
          <cell r="L204">
            <v>-2245503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-7406403</v>
          </cell>
          <cell r="V204"/>
          <cell r="W204">
            <v>-7286303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-7202299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-7118295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-7034291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-6950287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-6866283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-6782279</v>
          </cell>
        </row>
      </sheetData>
      <sheetData sheetId="27">
        <row r="175">
          <cell r="E175"/>
          <cell r="G175"/>
          <cell r="J175"/>
          <cell r="L175"/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61395</v>
          </cell>
          <cell r="W175">
            <v>145746</v>
          </cell>
        </row>
        <row r="176">
          <cell r="E176"/>
          <cell r="G176"/>
          <cell r="J176"/>
          <cell r="L176"/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61395</v>
          </cell>
          <cell r="W176">
            <v>171492</v>
          </cell>
        </row>
        <row r="177">
          <cell r="E177"/>
          <cell r="G177"/>
          <cell r="J177"/>
          <cell r="L177"/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61395</v>
          </cell>
          <cell r="W177">
            <v>197238</v>
          </cell>
        </row>
        <row r="178">
          <cell r="E178"/>
          <cell r="G178"/>
          <cell r="J178"/>
          <cell r="L178"/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61395</v>
          </cell>
          <cell r="W178">
            <v>222984</v>
          </cell>
        </row>
        <row r="179">
          <cell r="E179"/>
          <cell r="G179"/>
          <cell r="J179"/>
          <cell r="L179"/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61395</v>
          </cell>
          <cell r="W179">
            <v>248730</v>
          </cell>
        </row>
        <row r="180">
          <cell r="E180"/>
          <cell r="G180"/>
          <cell r="J180"/>
          <cell r="L180"/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61395</v>
          </cell>
          <cell r="W180">
            <v>274476</v>
          </cell>
        </row>
        <row r="181">
          <cell r="E181"/>
          <cell r="G181"/>
          <cell r="J181"/>
          <cell r="L181"/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61395</v>
          </cell>
          <cell r="W181">
            <v>300222</v>
          </cell>
        </row>
        <row r="182">
          <cell r="E182"/>
          <cell r="G182"/>
          <cell r="J182"/>
          <cell r="L182"/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61395</v>
          </cell>
          <cell r="W182">
            <v>326949</v>
          </cell>
        </row>
        <row r="183">
          <cell r="E183"/>
          <cell r="G183"/>
          <cell r="J183"/>
          <cell r="L183"/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>
            <v>61395</v>
          </cell>
          <cell r="W183">
            <v>353692</v>
          </cell>
        </row>
        <row r="184">
          <cell r="E184"/>
          <cell r="G184"/>
          <cell r="J184"/>
          <cell r="L184"/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61395</v>
          </cell>
          <cell r="W184">
            <v>380428</v>
          </cell>
        </row>
        <row r="185">
          <cell r="E185"/>
          <cell r="G185"/>
          <cell r="J185"/>
          <cell r="L185"/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>
            <v>61395</v>
          </cell>
          <cell r="W185">
            <v>407193</v>
          </cell>
        </row>
        <row r="186">
          <cell r="E186"/>
          <cell r="G186"/>
          <cell r="J186"/>
          <cell r="L186"/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>
            <v>61395</v>
          </cell>
          <cell r="W186">
            <v>433978</v>
          </cell>
        </row>
        <row r="187">
          <cell r="E187"/>
          <cell r="G187"/>
          <cell r="J187"/>
          <cell r="L187"/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61395</v>
          </cell>
          <cell r="W187">
            <v>462505</v>
          </cell>
        </row>
        <row r="188">
          <cell r="E188"/>
          <cell r="G188"/>
          <cell r="J188"/>
          <cell r="L188"/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61395</v>
          </cell>
          <cell r="W188">
            <v>491062</v>
          </cell>
        </row>
        <row r="189">
          <cell r="E189"/>
          <cell r="G189"/>
          <cell r="J189"/>
          <cell r="L189"/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61395</v>
          </cell>
          <cell r="W189">
            <v>519632</v>
          </cell>
        </row>
        <row r="190">
          <cell r="E190"/>
          <cell r="G190"/>
          <cell r="J190"/>
          <cell r="L190"/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61395</v>
          </cell>
          <cell r="W190">
            <v>548213</v>
          </cell>
        </row>
        <row r="191">
          <cell r="E191"/>
          <cell r="G191"/>
          <cell r="J191"/>
          <cell r="L191"/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61395</v>
          </cell>
          <cell r="W191">
            <v>576816</v>
          </cell>
        </row>
        <row r="192">
          <cell r="E192"/>
          <cell r="G192"/>
          <cell r="J192"/>
          <cell r="L192"/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61395</v>
          </cell>
          <cell r="W192">
            <v>605444</v>
          </cell>
        </row>
        <row r="193">
          <cell r="E193"/>
          <cell r="G193"/>
          <cell r="J193"/>
          <cell r="L193"/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311395</v>
          </cell>
          <cell r="W193">
            <v>384085</v>
          </cell>
        </row>
        <row r="194">
          <cell r="E194"/>
          <cell r="G194"/>
          <cell r="J194"/>
          <cell r="L194"/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143270</v>
          </cell>
          <cell r="W194">
            <v>330876</v>
          </cell>
        </row>
        <row r="195">
          <cell r="E195"/>
          <cell r="G195"/>
          <cell r="J195"/>
          <cell r="L195"/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143270</v>
          </cell>
          <cell r="W195">
            <v>277688</v>
          </cell>
        </row>
        <row r="196">
          <cell r="E196"/>
          <cell r="G196"/>
          <cell r="J196"/>
          <cell r="L196"/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143270</v>
          </cell>
          <cell r="W196">
            <v>224523</v>
          </cell>
        </row>
        <row r="197">
          <cell r="E197"/>
          <cell r="G197"/>
          <cell r="J197"/>
          <cell r="L197"/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143270</v>
          </cell>
          <cell r="W197">
            <v>171388</v>
          </cell>
        </row>
        <row r="198">
          <cell r="E198"/>
          <cell r="G198"/>
          <cell r="J198"/>
          <cell r="L198"/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143270</v>
          </cell>
          <cell r="W198">
            <v>118263</v>
          </cell>
        </row>
        <row r="199">
          <cell r="E199"/>
          <cell r="G199"/>
          <cell r="J199"/>
          <cell r="L199"/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143270</v>
          </cell>
          <cell r="W199">
            <v>67261</v>
          </cell>
        </row>
        <row r="200">
          <cell r="E200"/>
          <cell r="G200"/>
          <cell r="J200"/>
          <cell r="L200"/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143270</v>
          </cell>
          <cell r="W200">
            <v>16262</v>
          </cell>
        </row>
        <row r="201">
          <cell r="E201"/>
          <cell r="G201"/>
          <cell r="J201"/>
          <cell r="L201"/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143270</v>
          </cell>
          <cell r="W201">
            <v>-34734</v>
          </cell>
        </row>
        <row r="202">
          <cell r="E202"/>
          <cell r="G202"/>
          <cell r="J202"/>
          <cell r="L202"/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143270</v>
          </cell>
          <cell r="W202">
            <v>-85701</v>
          </cell>
        </row>
        <row r="203">
          <cell r="E203"/>
          <cell r="G203"/>
          <cell r="J203"/>
          <cell r="L203"/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6632</v>
          </cell>
        </row>
        <row r="204">
          <cell r="E204"/>
          <cell r="G204"/>
          <cell r="J204"/>
          <cell r="L204"/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90636</v>
          </cell>
        </row>
        <row r="205">
          <cell r="E205"/>
          <cell r="G205"/>
          <cell r="J205"/>
          <cell r="L205"/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174640</v>
          </cell>
        </row>
        <row r="206">
          <cell r="E206"/>
          <cell r="G206"/>
          <cell r="J206"/>
          <cell r="L206"/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258644</v>
          </cell>
        </row>
        <row r="207">
          <cell r="E207"/>
          <cell r="G207"/>
          <cell r="J207"/>
          <cell r="L207"/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342648</v>
          </cell>
        </row>
        <row r="208">
          <cell r="E208"/>
          <cell r="G208"/>
          <cell r="J208"/>
          <cell r="L208"/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426652</v>
          </cell>
        </row>
        <row r="209">
          <cell r="E209"/>
          <cell r="G209"/>
          <cell r="J209"/>
          <cell r="L209"/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510656</v>
          </cell>
        </row>
        <row r="210">
          <cell r="E210"/>
          <cell r="G210"/>
          <cell r="J210"/>
          <cell r="L210"/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594660</v>
          </cell>
        </row>
      </sheetData>
      <sheetData sheetId="2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/>
          <cell r="S175">
            <v>80141</v>
          </cell>
          <cell r="V175">
            <v>76410</v>
          </cell>
          <cell r="W175">
            <v>3731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/>
          <cell r="S176">
            <v>80141</v>
          </cell>
          <cell r="V176"/>
          <cell r="W176">
            <v>83872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/>
          <cell r="S177">
            <v>80141</v>
          </cell>
          <cell r="V177">
            <v>164013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>
            <v>53123</v>
          </cell>
          <cell r="S178">
            <v>133264</v>
          </cell>
          <cell r="V178"/>
          <cell r="W178">
            <v>133264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>
            <v>53262</v>
          </cell>
          <cell r="S179">
            <v>133403</v>
          </cell>
          <cell r="V179"/>
          <cell r="W179">
            <v>266667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/>
          <cell r="S180">
            <v>80141</v>
          </cell>
          <cell r="V180">
            <v>346808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>
            <v>53195</v>
          </cell>
          <cell r="S181">
            <v>133336</v>
          </cell>
          <cell r="V181"/>
          <cell r="W181">
            <v>133336</v>
          </cell>
        </row>
        <row r="182">
          <cell r="E182">
            <v>4</v>
          </cell>
          <cell r="G182">
            <v>584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>
            <v>53208</v>
          </cell>
          <cell r="S182">
            <v>133933</v>
          </cell>
          <cell r="V182"/>
          <cell r="W182">
            <v>267269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/>
          <cell r="S183">
            <v>80141</v>
          </cell>
          <cell r="V183">
            <v>347410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/>
          <cell r="S184">
            <v>80141</v>
          </cell>
          <cell r="V184"/>
          <cell r="W184">
            <v>80141</v>
          </cell>
        </row>
        <row r="185">
          <cell r="E185">
            <v>8</v>
          </cell>
          <cell r="G185">
            <v>1168</v>
          </cell>
          <cell r="J185">
            <v>4</v>
          </cell>
          <cell r="L185">
            <v>2236</v>
          </cell>
          <cell r="M185">
            <v>3731</v>
          </cell>
          <cell r="N185"/>
          <cell r="O185"/>
          <cell r="P185"/>
          <cell r="Q185">
            <v>76410</v>
          </cell>
          <cell r="R185"/>
          <cell r="S185">
            <v>83545</v>
          </cell>
          <cell r="V185">
            <v>163686</v>
          </cell>
          <cell r="W185">
            <v>0</v>
          </cell>
        </row>
        <row r="186">
          <cell r="E186">
            <v>7</v>
          </cell>
          <cell r="G186">
            <v>1022</v>
          </cell>
          <cell r="J186">
            <v>45</v>
          </cell>
          <cell r="L186">
            <v>25155</v>
          </cell>
          <cell r="M186">
            <v>3731</v>
          </cell>
          <cell r="N186"/>
          <cell r="O186"/>
          <cell r="P186"/>
          <cell r="Q186">
            <v>76410</v>
          </cell>
          <cell r="R186"/>
          <cell r="S186">
            <v>106318</v>
          </cell>
          <cell r="V186"/>
          <cell r="W186">
            <v>106318</v>
          </cell>
        </row>
        <row r="187">
          <cell r="E187">
            <v>69</v>
          </cell>
          <cell r="G187">
            <v>10074</v>
          </cell>
          <cell r="J187">
            <v>48</v>
          </cell>
          <cell r="L187">
            <v>26832</v>
          </cell>
          <cell r="M187">
            <v>3731</v>
          </cell>
          <cell r="N187"/>
          <cell r="O187"/>
          <cell r="P187"/>
          <cell r="Q187">
            <v>78144</v>
          </cell>
          <cell r="R187"/>
          <cell r="S187">
            <v>118781</v>
          </cell>
          <cell r="V187">
            <v>225099</v>
          </cell>
          <cell r="W187">
            <v>0</v>
          </cell>
        </row>
        <row r="188">
          <cell r="E188">
            <v>101</v>
          </cell>
          <cell r="G188">
            <v>14746</v>
          </cell>
          <cell r="J188">
            <v>19</v>
          </cell>
          <cell r="L188">
            <v>10621</v>
          </cell>
          <cell r="M188">
            <v>3731</v>
          </cell>
          <cell r="N188"/>
          <cell r="O188"/>
          <cell r="P188"/>
          <cell r="Q188">
            <v>78144</v>
          </cell>
          <cell r="R188"/>
          <cell r="S188">
            <v>107242</v>
          </cell>
          <cell r="V188">
            <v>107242</v>
          </cell>
          <cell r="W188">
            <v>0</v>
          </cell>
        </row>
        <row r="189">
          <cell r="E189">
            <v>89</v>
          </cell>
          <cell r="G189">
            <v>12994</v>
          </cell>
          <cell r="J189">
            <v>10</v>
          </cell>
          <cell r="L189">
            <v>5590</v>
          </cell>
          <cell r="M189">
            <v>3731</v>
          </cell>
          <cell r="N189"/>
          <cell r="O189"/>
          <cell r="P189"/>
          <cell r="Q189">
            <v>78144</v>
          </cell>
          <cell r="R189">
            <v>54009</v>
          </cell>
          <cell r="S189">
            <v>154468</v>
          </cell>
          <cell r="V189"/>
          <cell r="W189">
            <v>154468</v>
          </cell>
        </row>
        <row r="190">
          <cell r="E190">
            <v>89</v>
          </cell>
          <cell r="G190">
            <v>12994</v>
          </cell>
          <cell r="J190">
            <v>8</v>
          </cell>
          <cell r="L190">
            <v>4472</v>
          </cell>
          <cell r="M190">
            <v>3731</v>
          </cell>
          <cell r="N190"/>
          <cell r="O190"/>
          <cell r="P190"/>
          <cell r="Q190">
            <v>78144</v>
          </cell>
          <cell r="R190">
            <v>54157</v>
          </cell>
          <cell r="S190">
            <v>153498</v>
          </cell>
          <cell r="V190">
            <v>367966</v>
          </cell>
          <cell r="W190">
            <v>-60000</v>
          </cell>
        </row>
        <row r="191">
          <cell r="E191">
            <v>94</v>
          </cell>
          <cell r="G191">
            <v>13724</v>
          </cell>
          <cell r="J191">
            <v>3</v>
          </cell>
          <cell r="L191">
            <v>1677</v>
          </cell>
          <cell r="M191">
            <v>3731</v>
          </cell>
          <cell r="N191"/>
          <cell r="O191"/>
          <cell r="P191"/>
          <cell r="Q191">
            <v>78144</v>
          </cell>
          <cell r="R191">
            <v>54318</v>
          </cell>
          <cell r="S191">
            <v>151594</v>
          </cell>
          <cell r="V191"/>
          <cell r="W191">
            <v>91594</v>
          </cell>
        </row>
        <row r="192">
          <cell r="E192">
            <v>82</v>
          </cell>
          <cell r="G192">
            <v>11972</v>
          </cell>
          <cell r="J192">
            <v>5</v>
          </cell>
          <cell r="L192">
            <v>2795</v>
          </cell>
          <cell r="M192">
            <v>3731</v>
          </cell>
          <cell r="N192"/>
          <cell r="O192"/>
          <cell r="P192"/>
          <cell r="Q192">
            <v>78144</v>
          </cell>
          <cell r="R192">
            <v>54405</v>
          </cell>
          <cell r="S192">
            <v>151047</v>
          </cell>
          <cell r="V192">
            <v>242641</v>
          </cell>
          <cell r="W192">
            <v>0</v>
          </cell>
        </row>
        <row r="193">
          <cell r="E193">
            <v>50</v>
          </cell>
          <cell r="G193">
            <v>7300</v>
          </cell>
          <cell r="J193">
            <v>3</v>
          </cell>
          <cell r="L193">
            <v>1677</v>
          </cell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90852</v>
          </cell>
          <cell r="V193"/>
          <cell r="W193">
            <v>90852</v>
          </cell>
        </row>
        <row r="194">
          <cell r="E194">
            <v>90</v>
          </cell>
          <cell r="G194">
            <v>13140</v>
          </cell>
          <cell r="J194">
            <v>2</v>
          </cell>
          <cell r="L194">
            <v>1118</v>
          </cell>
          <cell r="M194">
            <v>3731</v>
          </cell>
          <cell r="N194"/>
          <cell r="O194"/>
          <cell r="P194"/>
          <cell r="Q194">
            <v>78144</v>
          </cell>
          <cell r="R194"/>
          <cell r="S194">
            <v>96133</v>
          </cell>
          <cell r="V194">
            <v>186985</v>
          </cell>
          <cell r="W194">
            <v>0</v>
          </cell>
        </row>
        <row r="195">
          <cell r="E195">
            <v>80</v>
          </cell>
          <cell r="G195">
            <v>11680</v>
          </cell>
          <cell r="J195">
            <v>4</v>
          </cell>
          <cell r="L195">
            <v>2236</v>
          </cell>
          <cell r="M195">
            <v>3731</v>
          </cell>
          <cell r="N195"/>
          <cell r="O195"/>
          <cell r="P195"/>
          <cell r="Q195">
            <v>78144</v>
          </cell>
          <cell r="R195"/>
          <cell r="S195">
            <v>95791</v>
          </cell>
          <cell r="V195">
            <v>95791</v>
          </cell>
          <cell r="W195">
            <v>0</v>
          </cell>
        </row>
        <row r="196">
          <cell r="E196">
            <v>89</v>
          </cell>
          <cell r="G196">
            <v>12994</v>
          </cell>
          <cell r="J196">
            <v>3</v>
          </cell>
          <cell r="L196">
            <v>1677</v>
          </cell>
          <cell r="M196">
            <v>3731</v>
          </cell>
          <cell r="N196"/>
          <cell r="O196"/>
          <cell r="P196"/>
          <cell r="Q196">
            <v>78144</v>
          </cell>
          <cell r="R196">
            <v>55066</v>
          </cell>
          <cell r="S196">
            <v>151612</v>
          </cell>
          <cell r="V196"/>
          <cell r="W196">
            <v>151612</v>
          </cell>
        </row>
        <row r="197">
          <cell r="E197">
            <v>83</v>
          </cell>
          <cell r="G197">
            <v>12118</v>
          </cell>
          <cell r="J197">
            <v>5</v>
          </cell>
          <cell r="L197">
            <v>2795</v>
          </cell>
          <cell r="M197">
            <v>3731</v>
          </cell>
          <cell r="N197"/>
          <cell r="O197"/>
          <cell r="P197"/>
          <cell r="Q197">
            <v>78144</v>
          </cell>
          <cell r="R197">
            <v>55132</v>
          </cell>
          <cell r="S197">
            <v>151920</v>
          </cell>
          <cell r="V197"/>
          <cell r="W197">
            <v>303532</v>
          </cell>
        </row>
        <row r="198">
          <cell r="E198">
            <v>83</v>
          </cell>
          <cell r="G198">
            <v>12118</v>
          </cell>
          <cell r="J198">
            <v>7</v>
          </cell>
          <cell r="L198">
            <v>3913</v>
          </cell>
          <cell r="M198">
            <v>3731</v>
          </cell>
          <cell r="N198"/>
          <cell r="O198"/>
          <cell r="P198"/>
          <cell r="Q198">
            <v>78144</v>
          </cell>
          <cell r="R198"/>
          <cell r="S198">
            <v>97906</v>
          </cell>
          <cell r="V198">
            <v>401438</v>
          </cell>
          <cell r="W198">
            <v>0</v>
          </cell>
        </row>
        <row r="199">
          <cell r="E199">
            <v>47</v>
          </cell>
          <cell r="G199">
            <v>6862</v>
          </cell>
          <cell r="J199">
            <v>6</v>
          </cell>
          <cell r="L199">
            <v>3354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94220</v>
          </cell>
          <cell r="V199">
            <v>94220</v>
          </cell>
          <cell r="W199">
            <v>0</v>
          </cell>
        </row>
        <row r="200">
          <cell r="E200">
            <v>84</v>
          </cell>
          <cell r="G200">
            <v>12264</v>
          </cell>
          <cell r="J200">
            <v>8</v>
          </cell>
          <cell r="L200">
            <v>4472</v>
          </cell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S200">
            <v>155854</v>
          </cell>
          <cell r="V200"/>
          <cell r="W200">
            <v>155854</v>
          </cell>
        </row>
        <row r="201">
          <cell r="E201">
            <v>88</v>
          </cell>
          <cell r="G201">
            <v>12848</v>
          </cell>
          <cell r="J201">
            <v>5</v>
          </cell>
          <cell r="L201">
            <v>2795</v>
          </cell>
          <cell r="M201">
            <v>3828</v>
          </cell>
          <cell r="N201"/>
          <cell r="O201"/>
          <cell r="P201"/>
          <cell r="Q201">
            <v>80176</v>
          </cell>
          <cell r="R201">
            <v>55132</v>
          </cell>
          <cell r="S201">
            <v>154779</v>
          </cell>
          <cell r="V201">
            <v>310633</v>
          </cell>
          <cell r="W201">
            <v>0</v>
          </cell>
        </row>
        <row r="202">
          <cell r="E202">
            <v>89</v>
          </cell>
          <cell r="G202">
            <v>12994</v>
          </cell>
          <cell r="J202">
            <v>5</v>
          </cell>
          <cell r="L202">
            <v>2795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99793</v>
          </cell>
          <cell r="V202"/>
          <cell r="W202">
            <v>99793</v>
          </cell>
        </row>
        <row r="203">
          <cell r="E203">
            <v>94</v>
          </cell>
          <cell r="G203">
            <v>13724</v>
          </cell>
          <cell r="J203">
            <v>5</v>
          </cell>
          <cell r="L203">
            <v>2795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100523</v>
          </cell>
          <cell r="V203"/>
          <cell r="W203">
            <v>200316</v>
          </cell>
        </row>
        <row r="204">
          <cell r="E204">
            <v>-1420</v>
          </cell>
          <cell r="G204">
            <v>-207320</v>
          </cell>
          <cell r="J204">
            <v>-195</v>
          </cell>
          <cell r="L204">
            <v>-109005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-232321</v>
          </cell>
          <cell r="V204"/>
          <cell r="W204">
            <v>-32005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51999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136003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220007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304011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388015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472019</v>
          </cell>
        </row>
      </sheetData>
      <sheetData sheetId="29">
        <row r="175">
          <cell r="E175">
            <v>417</v>
          </cell>
          <cell r="G175">
            <v>60882</v>
          </cell>
          <cell r="J175">
            <v>87</v>
          </cell>
          <cell r="L175">
            <v>48633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R175">
            <v>0</v>
          </cell>
          <cell r="S175">
            <v>206656</v>
          </cell>
          <cell r="V175">
            <v>206656</v>
          </cell>
          <cell r="W175">
            <v>0</v>
          </cell>
        </row>
        <row r="176">
          <cell r="E176">
            <v>508</v>
          </cell>
          <cell r="G176">
            <v>74168</v>
          </cell>
          <cell r="J176">
            <v>103</v>
          </cell>
          <cell r="L176">
            <v>57577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R176">
            <v>0</v>
          </cell>
          <cell r="S176">
            <v>228886</v>
          </cell>
          <cell r="V176">
            <v>228886</v>
          </cell>
          <cell r="W176">
            <v>0</v>
          </cell>
        </row>
        <row r="177">
          <cell r="E177">
            <v>522</v>
          </cell>
          <cell r="G177">
            <v>76212</v>
          </cell>
          <cell r="J177">
            <v>69</v>
          </cell>
          <cell r="L177">
            <v>38571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R177">
            <v>0</v>
          </cell>
          <cell r="S177">
            <v>211924</v>
          </cell>
          <cell r="V177">
            <v>211924</v>
          </cell>
          <cell r="W177">
            <v>0</v>
          </cell>
        </row>
        <row r="178">
          <cell r="E178">
            <v>396</v>
          </cell>
          <cell r="G178">
            <v>57816</v>
          </cell>
          <cell r="J178">
            <v>104</v>
          </cell>
          <cell r="L178">
            <v>58136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R178">
            <v>0</v>
          </cell>
          <cell r="S178">
            <v>213093</v>
          </cell>
          <cell r="V178">
            <v>213093</v>
          </cell>
          <cell r="W178">
            <v>0</v>
          </cell>
        </row>
        <row r="179">
          <cell r="E179">
            <v>479</v>
          </cell>
          <cell r="G179">
            <v>69934</v>
          </cell>
          <cell r="J179">
            <v>265</v>
          </cell>
          <cell r="L179">
            <v>306535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R179">
            <v>0</v>
          </cell>
          <cell r="S179">
            <v>473610</v>
          </cell>
          <cell r="V179">
            <v>473610</v>
          </cell>
          <cell r="W179">
            <v>0</v>
          </cell>
        </row>
        <row r="180">
          <cell r="E180">
            <v>324</v>
          </cell>
          <cell r="G180">
            <v>47304</v>
          </cell>
          <cell r="J180">
            <v>3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R180">
            <v>0</v>
          </cell>
          <cell r="S180">
            <v>146122</v>
          </cell>
          <cell r="V180">
            <v>146122</v>
          </cell>
          <cell r="W180">
            <v>0</v>
          </cell>
        </row>
        <row r="181">
          <cell r="E181">
            <v>428</v>
          </cell>
          <cell r="G181">
            <v>62488</v>
          </cell>
          <cell r="J181">
            <v>6</v>
          </cell>
          <cell r="L181">
            <v>3354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R181">
            <v>0</v>
          </cell>
          <cell r="S181">
            <v>162983</v>
          </cell>
          <cell r="V181">
            <v>162983</v>
          </cell>
          <cell r="W181">
            <v>0</v>
          </cell>
        </row>
        <row r="182">
          <cell r="E182">
            <v>472</v>
          </cell>
          <cell r="G182">
            <v>68912</v>
          </cell>
          <cell r="J182">
            <v>5</v>
          </cell>
          <cell r="L182">
            <v>2795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>
            <v>0</v>
          </cell>
          <cell r="S182">
            <v>169829</v>
          </cell>
          <cell r="V182">
            <v>169829</v>
          </cell>
          <cell r="W182">
            <v>0</v>
          </cell>
        </row>
        <row r="183">
          <cell r="E183">
            <v>495</v>
          </cell>
          <cell r="G183">
            <v>72270</v>
          </cell>
          <cell r="J183">
            <v>20</v>
          </cell>
          <cell r="L183">
            <v>11180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>
            <v>0</v>
          </cell>
          <cell r="S183">
            <v>181588</v>
          </cell>
          <cell r="V183">
            <v>181588</v>
          </cell>
          <cell r="W183">
            <v>0</v>
          </cell>
        </row>
        <row r="184">
          <cell r="E184">
            <v>398</v>
          </cell>
          <cell r="G184">
            <v>58108</v>
          </cell>
          <cell r="J184">
            <v>58</v>
          </cell>
          <cell r="L184">
            <v>32422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>
            <v>0</v>
          </cell>
          <cell r="S184">
            <v>188661</v>
          </cell>
          <cell r="V184">
            <v>188661</v>
          </cell>
          <cell r="W184">
            <v>0</v>
          </cell>
        </row>
        <row r="185">
          <cell r="E185">
            <v>472</v>
          </cell>
          <cell r="G185">
            <v>68912</v>
          </cell>
          <cell r="J185">
            <v>91</v>
          </cell>
          <cell r="L185">
            <v>50869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>
            <v>133256</v>
          </cell>
          <cell r="S185">
            <v>351197</v>
          </cell>
          <cell r="V185">
            <v>351197</v>
          </cell>
          <cell r="W185">
            <v>0</v>
          </cell>
        </row>
        <row r="186">
          <cell r="E186">
            <v>460</v>
          </cell>
          <cell r="G186">
            <v>67160</v>
          </cell>
          <cell r="J186">
            <v>87</v>
          </cell>
          <cell r="L186">
            <v>48633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>
            <v>0</v>
          </cell>
          <cell r="S186">
            <v>213973</v>
          </cell>
          <cell r="V186">
            <v>213973</v>
          </cell>
          <cell r="W186">
            <v>0</v>
          </cell>
        </row>
        <row r="187">
          <cell r="E187">
            <v>503</v>
          </cell>
          <cell r="G187">
            <v>73438</v>
          </cell>
          <cell r="J187">
            <v>97</v>
          </cell>
          <cell r="L187">
            <v>54223</v>
          </cell>
          <cell r="M187">
            <v>3731</v>
          </cell>
          <cell r="N187">
            <v>8047</v>
          </cell>
          <cell r="O187"/>
          <cell r="P187">
            <v>10000</v>
          </cell>
          <cell r="Q187">
            <v>78144</v>
          </cell>
          <cell r="R187">
            <v>0</v>
          </cell>
          <cell r="S187">
            <v>227583</v>
          </cell>
          <cell r="V187">
            <v>227583</v>
          </cell>
          <cell r="W187">
            <v>0</v>
          </cell>
        </row>
        <row r="188">
          <cell r="E188">
            <v>528</v>
          </cell>
          <cell r="G188">
            <v>77088</v>
          </cell>
          <cell r="J188">
            <v>117</v>
          </cell>
          <cell r="L188">
            <v>65403</v>
          </cell>
          <cell r="M188">
            <v>3731</v>
          </cell>
          <cell r="N188">
            <v>8077</v>
          </cell>
          <cell r="O188"/>
          <cell r="P188">
            <v>10000</v>
          </cell>
          <cell r="Q188">
            <v>78144</v>
          </cell>
          <cell r="R188">
            <v>0</v>
          </cell>
          <cell r="S188">
            <v>242443</v>
          </cell>
          <cell r="V188">
            <v>242443</v>
          </cell>
          <cell r="W188">
            <v>0</v>
          </cell>
        </row>
        <row r="189">
          <cell r="E189">
            <v>384</v>
          </cell>
          <cell r="G189">
            <v>56064</v>
          </cell>
          <cell r="J189">
            <v>59</v>
          </cell>
          <cell r="L189">
            <v>32981</v>
          </cell>
          <cell r="M189">
            <v>3731</v>
          </cell>
          <cell r="N189">
            <v>8090</v>
          </cell>
          <cell r="O189"/>
          <cell r="P189">
            <v>10000</v>
          </cell>
          <cell r="Q189">
            <v>78144</v>
          </cell>
          <cell r="R189">
            <v>0</v>
          </cell>
          <cell r="S189">
            <v>189010</v>
          </cell>
          <cell r="V189">
            <v>189010</v>
          </cell>
          <cell r="W189">
            <v>0</v>
          </cell>
        </row>
        <row r="190">
          <cell r="E190">
            <v>380</v>
          </cell>
          <cell r="G190">
            <v>55480</v>
          </cell>
          <cell r="J190">
            <v>72</v>
          </cell>
          <cell r="L190">
            <v>40248</v>
          </cell>
          <cell r="M190">
            <v>3731</v>
          </cell>
          <cell r="N190">
            <v>8101</v>
          </cell>
          <cell r="O190"/>
          <cell r="P190">
            <v>10000</v>
          </cell>
          <cell r="Q190">
            <v>78144</v>
          </cell>
          <cell r="R190">
            <v>0</v>
          </cell>
          <cell r="S190">
            <v>195704</v>
          </cell>
          <cell r="V190">
            <v>195704</v>
          </cell>
          <cell r="W190">
            <v>0</v>
          </cell>
        </row>
        <row r="191">
          <cell r="E191">
            <v>329</v>
          </cell>
          <cell r="G191">
            <v>48034</v>
          </cell>
          <cell r="J191">
            <v>60</v>
          </cell>
          <cell r="L191">
            <v>33540</v>
          </cell>
          <cell r="M191">
            <v>3731</v>
          </cell>
          <cell r="N191">
            <v>8123</v>
          </cell>
          <cell r="O191"/>
          <cell r="P191">
            <v>10000</v>
          </cell>
          <cell r="Q191">
            <v>78144</v>
          </cell>
          <cell r="R191">
            <v>0</v>
          </cell>
          <cell r="S191">
            <v>181572</v>
          </cell>
          <cell r="V191">
            <v>181572</v>
          </cell>
          <cell r="W191">
            <v>0</v>
          </cell>
        </row>
        <row r="192">
          <cell r="E192">
            <v>245</v>
          </cell>
          <cell r="G192">
            <v>35770</v>
          </cell>
          <cell r="J192">
            <v>20</v>
          </cell>
          <cell r="L192">
            <v>11180</v>
          </cell>
          <cell r="M192">
            <v>3731</v>
          </cell>
          <cell r="N192">
            <v>8148</v>
          </cell>
          <cell r="O192"/>
          <cell r="P192">
            <v>10000</v>
          </cell>
          <cell r="Q192">
            <v>78144</v>
          </cell>
          <cell r="R192">
            <v>0</v>
          </cell>
          <cell r="S192">
            <v>146973</v>
          </cell>
          <cell r="V192">
            <v>146973</v>
          </cell>
          <cell r="W192">
            <v>0</v>
          </cell>
        </row>
        <row r="193">
          <cell r="E193">
            <v>330</v>
          </cell>
          <cell r="G193">
            <v>48180</v>
          </cell>
          <cell r="J193">
            <v>11</v>
          </cell>
          <cell r="L193">
            <v>6149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0</v>
          </cell>
          <cell r="S193">
            <v>144365</v>
          </cell>
          <cell r="V193">
            <v>144365</v>
          </cell>
          <cell r="W193">
            <v>0</v>
          </cell>
        </row>
        <row r="194">
          <cell r="E194">
            <v>376</v>
          </cell>
          <cell r="G194">
            <v>54896</v>
          </cell>
          <cell r="J194">
            <v>7</v>
          </cell>
          <cell r="L194">
            <v>3913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0</v>
          </cell>
          <cell r="S194">
            <v>148870</v>
          </cell>
          <cell r="V194">
            <v>148870</v>
          </cell>
          <cell r="W194">
            <v>0</v>
          </cell>
        </row>
        <row r="195">
          <cell r="E195">
            <v>255</v>
          </cell>
          <cell r="G195">
            <v>37230</v>
          </cell>
          <cell r="J195">
            <v>18</v>
          </cell>
          <cell r="L195">
            <v>10062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0</v>
          </cell>
          <cell r="S195">
            <v>137374</v>
          </cell>
          <cell r="V195">
            <v>137374</v>
          </cell>
          <cell r="W195">
            <v>0</v>
          </cell>
        </row>
        <row r="196">
          <cell r="E196">
            <v>281</v>
          </cell>
          <cell r="G196">
            <v>41026</v>
          </cell>
          <cell r="J196">
            <v>25</v>
          </cell>
          <cell r="L196">
            <v>13975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0</v>
          </cell>
          <cell r="S196">
            <v>145106</v>
          </cell>
          <cell r="V196">
            <v>145106</v>
          </cell>
          <cell r="W196">
            <v>0</v>
          </cell>
        </row>
        <row r="197">
          <cell r="E197">
            <v>366</v>
          </cell>
          <cell r="G197">
            <v>53436</v>
          </cell>
          <cell r="J197">
            <v>61</v>
          </cell>
          <cell r="L197">
            <v>34099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0</v>
          </cell>
          <cell r="S197">
            <v>177670</v>
          </cell>
          <cell r="V197">
            <v>177670</v>
          </cell>
          <cell r="W197">
            <v>0</v>
          </cell>
        </row>
        <row r="198">
          <cell r="E198">
            <v>351</v>
          </cell>
          <cell r="G198">
            <v>51597</v>
          </cell>
          <cell r="J198">
            <v>81</v>
          </cell>
          <cell r="L198">
            <v>45279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0</v>
          </cell>
          <cell r="S198">
            <v>187021</v>
          </cell>
          <cell r="V198">
            <v>187021</v>
          </cell>
          <cell r="W198">
            <v>0</v>
          </cell>
        </row>
        <row r="199">
          <cell r="E199">
            <v>450</v>
          </cell>
          <cell r="G199">
            <v>65700</v>
          </cell>
          <cell r="J199">
            <v>102</v>
          </cell>
          <cell r="L199">
            <v>57018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0</v>
          </cell>
          <cell r="S199">
            <v>214986</v>
          </cell>
          <cell r="V199">
            <v>214986</v>
          </cell>
          <cell r="W199">
            <v>0</v>
          </cell>
        </row>
        <row r="200">
          <cell r="E200">
            <v>503</v>
          </cell>
          <cell r="G200">
            <v>73438</v>
          </cell>
          <cell r="J200">
            <v>97</v>
          </cell>
          <cell r="L200">
            <v>54223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219932</v>
          </cell>
          <cell r="V200">
            <v>219932</v>
          </cell>
          <cell r="W200">
            <v>0</v>
          </cell>
        </row>
        <row r="201">
          <cell r="E201">
            <v>412</v>
          </cell>
          <cell r="G201">
            <v>60152</v>
          </cell>
          <cell r="J201">
            <v>67</v>
          </cell>
          <cell r="L201">
            <v>37453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189879</v>
          </cell>
          <cell r="V201">
            <v>189879</v>
          </cell>
          <cell r="W201">
            <v>0</v>
          </cell>
        </row>
        <row r="202">
          <cell r="E202">
            <v>358</v>
          </cell>
          <cell r="G202">
            <v>52268</v>
          </cell>
          <cell r="J202">
            <v>68</v>
          </cell>
          <cell r="L202">
            <v>38012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182583</v>
          </cell>
          <cell r="V202">
            <v>182583</v>
          </cell>
          <cell r="W202">
            <v>0</v>
          </cell>
        </row>
        <row r="203">
          <cell r="E203">
            <v>449</v>
          </cell>
          <cell r="G203">
            <v>65554</v>
          </cell>
          <cell r="J203">
            <v>92</v>
          </cell>
          <cell r="L203">
            <v>51428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209315</v>
          </cell>
          <cell r="V203">
            <v>209315</v>
          </cell>
          <cell r="W203">
            <v>0</v>
          </cell>
        </row>
        <row r="204">
          <cell r="E204">
            <v>-51350</v>
          </cell>
          <cell r="G204">
            <v>-7497100</v>
          </cell>
          <cell r="J204">
            <v>-16144</v>
          </cell>
          <cell r="L204">
            <v>-9024496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-16437592</v>
          </cell>
          <cell r="V204"/>
          <cell r="W204">
            <v>-16437592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-16353588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-16269584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-16185580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-16101576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-16017572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-15933568</v>
          </cell>
        </row>
      </sheetData>
      <sheetData sheetId="30">
        <row r="175">
          <cell r="E175">
            <v>347</v>
          </cell>
          <cell r="G175">
            <v>50662</v>
          </cell>
          <cell r="J175">
            <v>136</v>
          </cell>
          <cell r="L175">
            <v>78904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216707</v>
          </cell>
          <cell r="V175">
            <v>216707</v>
          </cell>
          <cell r="W175">
            <v>0</v>
          </cell>
        </row>
        <row r="176">
          <cell r="E176">
            <v>371</v>
          </cell>
          <cell r="G176">
            <v>54166</v>
          </cell>
          <cell r="J176">
            <v>77</v>
          </cell>
          <cell r="L176">
            <v>43043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184350</v>
          </cell>
          <cell r="V176">
            <v>184350</v>
          </cell>
          <cell r="W176">
            <v>0</v>
          </cell>
        </row>
        <row r="177">
          <cell r="E177">
            <v>412</v>
          </cell>
          <cell r="G177">
            <v>60152</v>
          </cell>
          <cell r="J177">
            <v>126</v>
          </cell>
          <cell r="L177">
            <v>71514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218807</v>
          </cell>
          <cell r="V177"/>
          <cell r="W177">
            <v>218807</v>
          </cell>
        </row>
        <row r="178">
          <cell r="E178">
            <v>379</v>
          </cell>
          <cell r="G178">
            <v>55334</v>
          </cell>
          <cell r="J178">
            <v>107</v>
          </cell>
          <cell r="L178">
            <v>59813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202288</v>
          </cell>
          <cell r="V178">
            <v>421095</v>
          </cell>
          <cell r="W178">
            <v>0</v>
          </cell>
        </row>
        <row r="179">
          <cell r="E179">
            <v>385</v>
          </cell>
          <cell r="G179">
            <v>56210</v>
          </cell>
          <cell r="J179">
            <v>43</v>
          </cell>
          <cell r="L179">
            <v>24037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167388</v>
          </cell>
          <cell r="V179"/>
          <cell r="W179">
            <v>167388</v>
          </cell>
        </row>
        <row r="180">
          <cell r="E180">
            <v>425</v>
          </cell>
          <cell r="G180">
            <v>62050</v>
          </cell>
          <cell r="J180">
            <v>26</v>
          </cell>
          <cell r="L180">
            <v>14534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163725</v>
          </cell>
          <cell r="V180">
            <v>327382</v>
          </cell>
          <cell r="W180">
            <v>3731</v>
          </cell>
        </row>
        <row r="181">
          <cell r="E181">
            <v>318</v>
          </cell>
          <cell r="G181">
            <v>46428</v>
          </cell>
          <cell r="J181">
            <v>12</v>
          </cell>
          <cell r="L181">
            <v>6708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140277</v>
          </cell>
          <cell r="V181"/>
          <cell r="W181">
            <v>144008</v>
          </cell>
        </row>
        <row r="182">
          <cell r="E182">
            <v>250</v>
          </cell>
          <cell r="G182">
            <v>36500</v>
          </cell>
          <cell r="J182">
            <v>14</v>
          </cell>
          <cell r="L182">
            <v>7826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132448</v>
          </cell>
          <cell r="V182">
            <v>276456</v>
          </cell>
          <cell r="W182">
            <v>0</v>
          </cell>
        </row>
        <row r="183">
          <cell r="E183">
            <v>237</v>
          </cell>
          <cell r="G183">
            <v>34602</v>
          </cell>
          <cell r="J183">
            <v>36</v>
          </cell>
          <cell r="L183">
            <v>20124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142864</v>
          </cell>
          <cell r="V183"/>
          <cell r="W183">
            <v>142864</v>
          </cell>
        </row>
        <row r="184">
          <cell r="E184">
            <v>217</v>
          </cell>
          <cell r="G184">
            <v>31682</v>
          </cell>
          <cell r="J184">
            <v>31</v>
          </cell>
          <cell r="L184">
            <v>17329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137142</v>
          </cell>
          <cell r="V184">
            <v>280006</v>
          </cell>
          <cell r="W184">
            <v>0</v>
          </cell>
        </row>
        <row r="185">
          <cell r="E185">
            <v>265</v>
          </cell>
          <cell r="G185">
            <v>38690</v>
          </cell>
          <cell r="J185">
            <v>105</v>
          </cell>
          <cell r="L185">
            <v>58695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185545</v>
          </cell>
          <cell r="V185"/>
          <cell r="W185">
            <v>185545</v>
          </cell>
        </row>
        <row r="186">
          <cell r="E186">
            <v>384</v>
          </cell>
          <cell r="G186">
            <v>56064</v>
          </cell>
          <cell r="J186">
            <v>178</v>
          </cell>
          <cell r="L186">
            <v>125062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269306</v>
          </cell>
          <cell r="V186">
            <v>454851</v>
          </cell>
          <cell r="W186">
            <v>0</v>
          </cell>
        </row>
        <row r="187">
          <cell r="E187">
            <v>454</v>
          </cell>
          <cell r="G187">
            <v>66284</v>
          </cell>
          <cell r="J187">
            <v>150</v>
          </cell>
          <cell r="L187">
            <v>89250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245456</v>
          </cell>
          <cell r="V187"/>
          <cell r="W187">
            <v>245456</v>
          </cell>
        </row>
        <row r="188">
          <cell r="E188">
            <v>523</v>
          </cell>
          <cell r="G188">
            <v>76358</v>
          </cell>
          <cell r="J188">
            <v>117</v>
          </cell>
          <cell r="L188">
            <v>65403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231713</v>
          </cell>
          <cell r="V188">
            <v>477169</v>
          </cell>
          <cell r="W188">
            <v>0</v>
          </cell>
        </row>
        <row r="189">
          <cell r="E189">
            <v>439</v>
          </cell>
          <cell r="G189">
            <v>64094</v>
          </cell>
          <cell r="J189">
            <v>137</v>
          </cell>
          <cell r="L189">
            <v>79643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S189">
            <v>233702</v>
          </cell>
          <cell r="V189"/>
          <cell r="W189">
            <v>233702</v>
          </cell>
        </row>
        <row r="190">
          <cell r="E190">
            <v>495</v>
          </cell>
          <cell r="G190">
            <v>72270</v>
          </cell>
          <cell r="J190">
            <v>111</v>
          </cell>
          <cell r="L190">
            <v>62049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S190">
            <v>224295</v>
          </cell>
          <cell r="V190">
            <v>457997</v>
          </cell>
          <cell r="W190">
            <v>0</v>
          </cell>
        </row>
        <row r="191">
          <cell r="E191">
            <v>568</v>
          </cell>
          <cell r="G191">
            <v>82928</v>
          </cell>
          <cell r="J191">
            <v>108</v>
          </cell>
          <cell r="L191">
            <v>60372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S191">
            <v>233298</v>
          </cell>
          <cell r="V191">
            <v>233298</v>
          </cell>
          <cell r="W191">
            <v>0</v>
          </cell>
        </row>
        <row r="192">
          <cell r="E192">
            <v>650</v>
          </cell>
          <cell r="G192">
            <v>94900</v>
          </cell>
          <cell r="J192">
            <v>58</v>
          </cell>
          <cell r="L192">
            <v>32422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S192">
            <v>217345</v>
          </cell>
          <cell r="V192"/>
          <cell r="W192">
            <v>217345</v>
          </cell>
        </row>
        <row r="193">
          <cell r="E193">
            <v>740</v>
          </cell>
          <cell r="G193">
            <v>108040</v>
          </cell>
          <cell r="J193">
            <v>58</v>
          </cell>
          <cell r="L193">
            <v>32422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S193">
            <v>230498</v>
          </cell>
          <cell r="V193">
            <v>447843</v>
          </cell>
          <cell r="W193">
            <v>0</v>
          </cell>
        </row>
        <row r="194">
          <cell r="E194">
            <v>612</v>
          </cell>
          <cell r="G194">
            <v>89352</v>
          </cell>
          <cell r="J194">
            <v>82</v>
          </cell>
          <cell r="L194">
            <v>45838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S194">
            <v>225251</v>
          </cell>
          <cell r="V194"/>
          <cell r="W194">
            <v>225251</v>
          </cell>
        </row>
        <row r="195">
          <cell r="E195">
            <v>385</v>
          </cell>
          <cell r="G195">
            <v>56210</v>
          </cell>
          <cell r="J195">
            <v>75</v>
          </cell>
          <cell r="L195">
            <v>41925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/>
          <cell r="S195">
            <v>188217</v>
          </cell>
          <cell r="V195">
            <v>413468</v>
          </cell>
          <cell r="W195">
            <v>0</v>
          </cell>
        </row>
        <row r="196">
          <cell r="E196">
            <v>522</v>
          </cell>
          <cell r="G196">
            <v>76212</v>
          </cell>
          <cell r="J196">
            <v>119</v>
          </cell>
          <cell r="L196">
            <v>66521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S196">
            <v>287904</v>
          </cell>
          <cell r="V196"/>
          <cell r="W196">
            <v>287904</v>
          </cell>
        </row>
        <row r="197">
          <cell r="E197">
            <v>340</v>
          </cell>
          <cell r="G197">
            <v>49640</v>
          </cell>
          <cell r="J197">
            <v>159</v>
          </cell>
          <cell r="L197">
            <v>100761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S197">
            <v>295668</v>
          </cell>
          <cell r="V197">
            <v>583572</v>
          </cell>
          <cell r="W197">
            <v>0</v>
          </cell>
        </row>
        <row r="198">
          <cell r="E198">
            <v>327</v>
          </cell>
          <cell r="G198">
            <v>47742</v>
          </cell>
          <cell r="J198">
            <v>99</v>
          </cell>
          <cell r="L198">
            <v>55341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55092</v>
          </cell>
          <cell r="S198">
            <v>248320</v>
          </cell>
          <cell r="V198"/>
          <cell r="W198">
            <v>248320</v>
          </cell>
        </row>
        <row r="199">
          <cell r="E199">
            <v>315</v>
          </cell>
          <cell r="G199">
            <v>45990</v>
          </cell>
          <cell r="J199">
            <v>136</v>
          </cell>
          <cell r="L199">
            <v>78904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272254</v>
          </cell>
          <cell r="V199">
            <v>520574</v>
          </cell>
          <cell r="W199">
            <v>0</v>
          </cell>
        </row>
        <row r="200">
          <cell r="E200">
            <v>424</v>
          </cell>
          <cell r="G200">
            <v>61904</v>
          </cell>
          <cell r="J200">
            <v>99</v>
          </cell>
          <cell r="L200">
            <v>55341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209516</v>
          </cell>
          <cell r="V200"/>
          <cell r="W200">
            <v>209516</v>
          </cell>
        </row>
        <row r="201">
          <cell r="E201">
            <v>474</v>
          </cell>
          <cell r="G201">
            <v>69204</v>
          </cell>
          <cell r="J201">
            <v>109</v>
          </cell>
          <cell r="L201">
            <v>60931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222409</v>
          </cell>
          <cell r="V201">
            <v>431925</v>
          </cell>
          <cell r="W201">
            <v>0</v>
          </cell>
        </row>
        <row r="202">
          <cell r="E202">
            <v>507</v>
          </cell>
          <cell r="G202">
            <v>74022</v>
          </cell>
          <cell r="J202">
            <v>91</v>
          </cell>
          <cell r="L202">
            <v>50869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217194</v>
          </cell>
          <cell r="V202"/>
          <cell r="W202">
            <v>217194</v>
          </cell>
        </row>
        <row r="203">
          <cell r="E203">
            <v>775</v>
          </cell>
          <cell r="G203">
            <v>113150</v>
          </cell>
          <cell r="J203">
            <v>86</v>
          </cell>
          <cell r="L203">
            <v>48074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253557</v>
          </cell>
          <cell r="V203"/>
          <cell r="W203">
            <v>470751</v>
          </cell>
        </row>
        <row r="204">
          <cell r="E204">
            <v>-48894</v>
          </cell>
          <cell r="G204">
            <v>-7138524</v>
          </cell>
          <cell r="J204">
            <v>-15607</v>
          </cell>
          <cell r="L204">
            <v>-8724313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-15778833</v>
          </cell>
          <cell r="V204"/>
          <cell r="W204">
            <v>-15308082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-15224078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-15140074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-15056070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-14972066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-14888062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-14804058</v>
          </cell>
        </row>
      </sheetData>
      <sheetData sheetId="31">
        <row r="175">
          <cell r="E175">
            <v>351</v>
          </cell>
          <cell r="G175">
            <v>51246</v>
          </cell>
          <cell r="J175">
            <v>145</v>
          </cell>
          <cell r="L175">
            <v>85555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223942</v>
          </cell>
          <cell r="V175">
            <v>435195</v>
          </cell>
          <cell r="W175">
            <v>0</v>
          </cell>
        </row>
        <row r="176">
          <cell r="E176">
            <v>301</v>
          </cell>
          <cell r="G176">
            <v>43946</v>
          </cell>
          <cell r="J176">
            <v>92</v>
          </cell>
          <cell r="L176">
            <v>51428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182515</v>
          </cell>
          <cell r="V176">
            <v>194807</v>
          </cell>
          <cell r="W176">
            <v>-12292</v>
          </cell>
        </row>
        <row r="177">
          <cell r="E177">
            <v>308</v>
          </cell>
          <cell r="G177">
            <v>44968</v>
          </cell>
          <cell r="J177">
            <v>107</v>
          </cell>
          <cell r="L177">
            <v>59813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191922</v>
          </cell>
          <cell r="V177">
            <v>179630</v>
          </cell>
          <cell r="W177">
            <v>0</v>
          </cell>
        </row>
        <row r="178">
          <cell r="E178">
            <v>140</v>
          </cell>
          <cell r="G178">
            <v>20440</v>
          </cell>
          <cell r="J178">
            <v>71</v>
          </cell>
          <cell r="L178">
            <v>39689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147270</v>
          </cell>
          <cell r="V178"/>
          <cell r="W178">
            <v>147270</v>
          </cell>
        </row>
        <row r="179">
          <cell r="E179">
            <v>102</v>
          </cell>
          <cell r="G179">
            <v>14892</v>
          </cell>
          <cell r="J179">
            <v>29</v>
          </cell>
          <cell r="L179">
            <v>16211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118244</v>
          </cell>
          <cell r="V179">
            <v>265514</v>
          </cell>
          <cell r="W179">
            <v>0</v>
          </cell>
        </row>
        <row r="180">
          <cell r="E180">
            <v>182</v>
          </cell>
          <cell r="G180">
            <v>26572</v>
          </cell>
          <cell r="J180">
            <v>7</v>
          </cell>
          <cell r="L180">
            <v>3913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117626</v>
          </cell>
          <cell r="V180">
            <v>117626</v>
          </cell>
          <cell r="W180">
            <v>0</v>
          </cell>
        </row>
        <row r="181">
          <cell r="E181">
            <v>171</v>
          </cell>
          <cell r="G181">
            <v>24966</v>
          </cell>
          <cell r="J181">
            <v>11</v>
          </cell>
          <cell r="L181">
            <v>6149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118256</v>
          </cell>
          <cell r="V181">
            <v>118256</v>
          </cell>
          <cell r="W181">
            <v>0</v>
          </cell>
        </row>
        <row r="182">
          <cell r="E182">
            <v>169</v>
          </cell>
          <cell r="G182">
            <v>24674</v>
          </cell>
          <cell r="J182">
            <v>8</v>
          </cell>
          <cell r="L182">
            <v>4472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117268</v>
          </cell>
          <cell r="V182">
            <v>117268</v>
          </cell>
          <cell r="W182">
            <v>0</v>
          </cell>
        </row>
        <row r="183">
          <cell r="E183">
            <v>165</v>
          </cell>
          <cell r="G183">
            <v>24090</v>
          </cell>
          <cell r="J183">
            <v>16</v>
          </cell>
          <cell r="L183">
            <v>8944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121172</v>
          </cell>
          <cell r="V183">
            <v>121172</v>
          </cell>
          <cell r="W183">
            <v>0</v>
          </cell>
        </row>
        <row r="184">
          <cell r="E184">
            <v>73</v>
          </cell>
          <cell r="G184">
            <v>10658</v>
          </cell>
          <cell r="J184">
            <v>51</v>
          </cell>
          <cell r="L184">
            <v>28509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53270</v>
          </cell>
          <cell r="S184">
            <v>180568</v>
          </cell>
          <cell r="V184"/>
          <cell r="W184">
            <v>180568</v>
          </cell>
        </row>
        <row r="185">
          <cell r="E185">
            <v>198</v>
          </cell>
          <cell r="G185">
            <v>28908</v>
          </cell>
          <cell r="J185">
            <v>44</v>
          </cell>
          <cell r="L185">
            <v>24596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S185">
            <v>195126</v>
          </cell>
          <cell r="V185"/>
          <cell r="W185">
            <v>375694</v>
          </cell>
        </row>
        <row r="186">
          <cell r="E186">
            <v>284</v>
          </cell>
          <cell r="G186">
            <v>41464</v>
          </cell>
          <cell r="J186">
            <v>43</v>
          </cell>
          <cell r="L186">
            <v>24037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153681</v>
          </cell>
          <cell r="V186">
            <v>529375</v>
          </cell>
          <cell r="W186">
            <v>0</v>
          </cell>
        </row>
        <row r="187">
          <cell r="E187">
            <v>259</v>
          </cell>
          <cell r="G187">
            <v>37814</v>
          </cell>
          <cell r="J187">
            <v>107</v>
          </cell>
          <cell r="L187">
            <v>59813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187549</v>
          </cell>
          <cell r="V187">
            <v>187549</v>
          </cell>
          <cell r="W187">
            <v>0</v>
          </cell>
        </row>
        <row r="188">
          <cell r="E188">
            <v>260</v>
          </cell>
          <cell r="G188">
            <v>37960</v>
          </cell>
          <cell r="J188">
            <v>130</v>
          </cell>
          <cell r="L188">
            <v>74470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202382</v>
          </cell>
          <cell r="V188">
            <v>202382</v>
          </cell>
          <cell r="W188">
            <v>0</v>
          </cell>
        </row>
        <row r="189">
          <cell r="E189">
            <v>263</v>
          </cell>
          <cell r="G189">
            <v>38398</v>
          </cell>
          <cell r="J189">
            <v>84</v>
          </cell>
          <cell r="L189">
            <v>46956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175319</v>
          </cell>
          <cell r="V189">
            <v>175319</v>
          </cell>
          <cell r="W189">
            <v>0</v>
          </cell>
        </row>
        <row r="190">
          <cell r="E190">
            <v>261</v>
          </cell>
          <cell r="G190">
            <v>38106</v>
          </cell>
          <cell r="J190">
            <v>86</v>
          </cell>
          <cell r="L190">
            <v>48074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176156</v>
          </cell>
          <cell r="V190">
            <v>176156</v>
          </cell>
          <cell r="W190">
            <v>0</v>
          </cell>
        </row>
        <row r="191">
          <cell r="E191">
            <v>202</v>
          </cell>
          <cell r="G191">
            <v>29492</v>
          </cell>
          <cell r="J191">
            <v>83</v>
          </cell>
          <cell r="L191">
            <v>46397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165887</v>
          </cell>
          <cell r="V191"/>
          <cell r="W191">
            <v>165887</v>
          </cell>
        </row>
        <row r="192">
          <cell r="E192">
            <v>115</v>
          </cell>
          <cell r="G192">
            <v>16790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111844</v>
          </cell>
          <cell r="V192">
            <v>277731</v>
          </cell>
          <cell r="W192">
            <v>0</v>
          </cell>
        </row>
        <row r="193">
          <cell r="E193">
            <v>112</v>
          </cell>
          <cell r="G193">
            <v>16352</v>
          </cell>
          <cell r="J193">
            <v>7</v>
          </cell>
          <cell r="L193">
            <v>3913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110301</v>
          </cell>
          <cell r="V193">
            <v>110301</v>
          </cell>
          <cell r="W193">
            <v>0</v>
          </cell>
        </row>
        <row r="194">
          <cell r="E194">
            <v>138</v>
          </cell>
          <cell r="G194">
            <v>20148</v>
          </cell>
          <cell r="J194">
            <v>4</v>
          </cell>
          <cell r="L194">
            <v>2236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112445</v>
          </cell>
          <cell r="V194">
            <v>112445</v>
          </cell>
          <cell r="W194">
            <v>0</v>
          </cell>
        </row>
        <row r="195">
          <cell r="E195">
            <v>110</v>
          </cell>
          <cell r="G195">
            <v>16060</v>
          </cell>
          <cell r="J195">
            <v>8</v>
          </cell>
          <cell r="L195">
            <v>4472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110614</v>
          </cell>
          <cell r="V195">
            <v>110614</v>
          </cell>
          <cell r="W195">
            <v>0</v>
          </cell>
        </row>
        <row r="196">
          <cell r="E196">
            <v>209</v>
          </cell>
          <cell r="G196">
            <v>30514</v>
          </cell>
          <cell r="J196">
            <v>15</v>
          </cell>
          <cell r="L196">
            <v>8385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129004</v>
          </cell>
          <cell r="V196">
            <v>129004</v>
          </cell>
          <cell r="W196">
            <v>0</v>
          </cell>
        </row>
        <row r="197">
          <cell r="E197">
            <v>196</v>
          </cell>
          <cell r="G197">
            <v>28616</v>
          </cell>
          <cell r="J197">
            <v>25</v>
          </cell>
          <cell r="L197">
            <v>13975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132726</v>
          </cell>
          <cell r="V197">
            <v>132726</v>
          </cell>
          <cell r="W197">
            <v>0</v>
          </cell>
        </row>
        <row r="198">
          <cell r="E198">
            <v>156</v>
          </cell>
          <cell r="G198">
            <v>22776</v>
          </cell>
          <cell r="J198">
            <v>26</v>
          </cell>
          <cell r="L198">
            <v>14534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127455</v>
          </cell>
          <cell r="V198">
            <v>127455</v>
          </cell>
          <cell r="W198">
            <v>0</v>
          </cell>
        </row>
        <row r="199">
          <cell r="E199">
            <v>212</v>
          </cell>
          <cell r="G199">
            <v>30952</v>
          </cell>
          <cell r="J199">
            <v>30</v>
          </cell>
          <cell r="L199">
            <v>16770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139990</v>
          </cell>
          <cell r="V199">
            <v>139990</v>
          </cell>
          <cell r="W199">
            <v>0</v>
          </cell>
        </row>
        <row r="200">
          <cell r="E200">
            <v>238</v>
          </cell>
          <cell r="G200">
            <v>34748</v>
          </cell>
          <cell r="J200">
            <v>31</v>
          </cell>
          <cell r="L200">
            <v>17329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144348</v>
          </cell>
          <cell r="V200">
            <v>144348</v>
          </cell>
          <cell r="W200">
            <v>0</v>
          </cell>
        </row>
        <row r="201">
          <cell r="E201">
            <v>215</v>
          </cell>
          <cell r="G201">
            <v>31390</v>
          </cell>
          <cell r="J201">
            <v>36</v>
          </cell>
          <cell r="L201">
            <v>20124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143788</v>
          </cell>
          <cell r="V201">
            <v>143788</v>
          </cell>
          <cell r="W201">
            <v>0</v>
          </cell>
        </row>
        <row r="202">
          <cell r="E202">
            <v>154</v>
          </cell>
          <cell r="G202">
            <v>22484</v>
          </cell>
          <cell r="J202">
            <v>37</v>
          </cell>
          <cell r="L202">
            <v>20683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135470</v>
          </cell>
          <cell r="V202">
            <v>135470</v>
          </cell>
          <cell r="W202">
            <v>0</v>
          </cell>
        </row>
        <row r="203">
          <cell r="E203">
            <v>161</v>
          </cell>
          <cell r="G203">
            <v>23506</v>
          </cell>
          <cell r="J203">
            <v>43</v>
          </cell>
          <cell r="L203">
            <v>24037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139876</v>
          </cell>
          <cell r="V203"/>
          <cell r="W203">
            <v>139876</v>
          </cell>
        </row>
        <row r="204">
          <cell r="E204">
            <v>-49872</v>
          </cell>
          <cell r="G204">
            <v>-7281312</v>
          </cell>
          <cell r="J204">
            <v>-9594</v>
          </cell>
          <cell r="L204">
            <v>-5363046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-12560354</v>
          </cell>
          <cell r="V204"/>
          <cell r="W204">
            <v>-12420478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-12336474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-12252470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-12168466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-12084462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-12000458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-11916454</v>
          </cell>
        </row>
      </sheetData>
      <sheetData sheetId="3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87141</v>
          </cell>
          <cell r="V175">
            <v>83410</v>
          </cell>
          <cell r="W175">
            <v>1716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87141</v>
          </cell>
          <cell r="V176">
            <v>83410</v>
          </cell>
          <cell r="W176">
            <v>5447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87141</v>
          </cell>
          <cell r="V177">
            <v>83410</v>
          </cell>
          <cell r="W177">
            <v>9178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87141</v>
          </cell>
          <cell r="V178">
            <v>96319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88122</v>
          </cell>
          <cell r="V182">
            <v>87141</v>
          </cell>
          <cell r="W182">
            <v>981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88138</v>
          </cell>
          <cell r="V183">
            <v>87141</v>
          </cell>
          <cell r="W183">
            <v>1978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88131</v>
          </cell>
          <cell r="V184">
            <v>87141</v>
          </cell>
          <cell r="W184">
            <v>2968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87141</v>
          </cell>
          <cell r="W185">
            <v>3987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87141</v>
          </cell>
          <cell r="W186">
            <v>5026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87141</v>
          </cell>
          <cell r="W187">
            <v>7807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87141</v>
          </cell>
          <cell r="W188">
            <v>10618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100583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90000</v>
          </cell>
          <cell r="W190">
            <v>-24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90000</v>
          </cell>
          <cell r="W191">
            <v>-26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90000</v>
          </cell>
          <cell r="W192">
            <v>-3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90000</v>
          </cell>
          <cell r="W193">
            <v>33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91000</v>
          </cell>
          <cell r="W194">
            <v>-906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90000</v>
          </cell>
          <cell r="W195">
            <v>-824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92000</v>
          </cell>
          <cell r="W196">
            <v>-2719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92000</v>
          </cell>
          <cell r="W197">
            <v>-4584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92000</v>
          </cell>
          <cell r="W198">
            <v>-6439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92000</v>
          </cell>
          <cell r="W199">
            <v>-6171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92000</v>
          </cell>
          <cell r="W200">
            <v>-5900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92000</v>
          </cell>
          <cell r="W201">
            <v>-5626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92000</v>
          </cell>
          <cell r="W202">
            <v>-5323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>
            <v>92000</v>
          </cell>
          <cell r="W203">
            <v>-4990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79014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163018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247022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331026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415030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499034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583038</v>
          </cell>
        </row>
      </sheetData>
      <sheetData sheetId="3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52784</v>
          </cell>
          <cell r="S176">
            <v>139925</v>
          </cell>
          <cell r="V176"/>
          <cell r="W176">
            <v>139925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52944</v>
          </cell>
          <cell r="S177">
            <v>140085</v>
          </cell>
          <cell r="V177"/>
          <cell r="W177">
            <v>280010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/>
          <cell r="W178">
            <v>367151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454631</v>
          </cell>
          <cell r="W179">
            <v>-339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/>
          <cell r="W180">
            <v>86802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173943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/>
          <cell r="W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176260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53270</v>
          </cell>
          <cell r="S184">
            <v>141401</v>
          </cell>
          <cell r="V184"/>
          <cell r="W184">
            <v>141401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S185">
            <v>141622</v>
          </cell>
          <cell r="V185"/>
          <cell r="W185">
            <v>283023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S186">
            <v>141830</v>
          </cell>
          <cell r="V186"/>
          <cell r="W186">
            <v>424853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134106</v>
          </cell>
          <cell r="S187">
            <v>224028</v>
          </cell>
          <cell r="V187">
            <v>648881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/>
          <cell r="W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179917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/>
          <cell r="W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180021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/>
          <cell r="W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180187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S197">
            <v>145267</v>
          </cell>
          <cell r="V197"/>
          <cell r="W197">
            <v>145267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145237</v>
          </cell>
          <cell r="V198"/>
          <cell r="W198">
            <v>290504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147360</v>
          </cell>
          <cell r="V199"/>
          <cell r="W199">
            <v>437864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530135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34">
        <row r="175">
          <cell r="E175">
            <v>80</v>
          </cell>
          <cell r="G175">
            <v>11680</v>
          </cell>
          <cell r="J175">
            <v>25</v>
          </cell>
          <cell r="L175">
            <v>13975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112796</v>
          </cell>
          <cell r="V175">
            <v>112876</v>
          </cell>
          <cell r="W175">
            <v>-80</v>
          </cell>
        </row>
        <row r="176">
          <cell r="E176">
            <v>69</v>
          </cell>
          <cell r="G176">
            <v>10074</v>
          </cell>
          <cell r="J176">
            <v>3</v>
          </cell>
          <cell r="L176">
            <v>1677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98892</v>
          </cell>
          <cell r="V176">
            <v>98812</v>
          </cell>
          <cell r="W176">
            <v>0</v>
          </cell>
        </row>
        <row r="177">
          <cell r="E177">
            <v>64</v>
          </cell>
          <cell r="G177">
            <v>9344</v>
          </cell>
          <cell r="J177">
            <v>1</v>
          </cell>
          <cell r="L177">
            <v>559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97044</v>
          </cell>
          <cell r="V177">
            <v>97044</v>
          </cell>
          <cell r="W177">
            <v>0</v>
          </cell>
        </row>
        <row r="178">
          <cell r="E178">
            <v>82</v>
          </cell>
          <cell r="G178">
            <v>11972</v>
          </cell>
          <cell r="J178">
            <v>9</v>
          </cell>
          <cell r="L178">
            <v>5031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104144</v>
          </cell>
          <cell r="V178"/>
          <cell r="W178">
            <v>104144</v>
          </cell>
        </row>
        <row r="179">
          <cell r="E179">
            <v>52</v>
          </cell>
          <cell r="G179">
            <v>7592</v>
          </cell>
          <cell r="J179">
            <v>1</v>
          </cell>
          <cell r="L179">
            <v>559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95292</v>
          </cell>
          <cell r="V179">
            <v>199436</v>
          </cell>
          <cell r="W179">
            <v>0</v>
          </cell>
        </row>
        <row r="180">
          <cell r="E180">
            <v>17</v>
          </cell>
          <cell r="G180">
            <v>2482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89623</v>
          </cell>
          <cell r="V180">
            <v>89623</v>
          </cell>
          <cell r="W180">
            <v>0</v>
          </cell>
        </row>
        <row r="181">
          <cell r="E181">
            <v>15</v>
          </cell>
          <cell r="G181">
            <v>2190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89331</v>
          </cell>
          <cell r="V181">
            <v>89331</v>
          </cell>
          <cell r="W181">
            <v>0</v>
          </cell>
        </row>
        <row r="182">
          <cell r="E182">
            <v>62</v>
          </cell>
          <cell r="G182">
            <v>9052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97733</v>
          </cell>
          <cell r="V182">
            <v>97733</v>
          </cell>
          <cell r="W182">
            <v>0</v>
          </cell>
        </row>
        <row r="183">
          <cell r="E183">
            <v>121</v>
          </cell>
          <cell r="G183">
            <v>17666</v>
          </cell>
          <cell r="J183">
            <v>6</v>
          </cell>
          <cell r="L183">
            <v>3354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109158</v>
          </cell>
          <cell r="V183"/>
          <cell r="W183">
            <v>109158</v>
          </cell>
        </row>
        <row r="184">
          <cell r="E184">
            <v>31</v>
          </cell>
          <cell r="G184">
            <v>4526</v>
          </cell>
          <cell r="J184">
            <v>1</v>
          </cell>
          <cell r="L184">
            <v>559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93216</v>
          </cell>
          <cell r="V184">
            <v>202374</v>
          </cell>
          <cell r="W184">
            <v>0</v>
          </cell>
        </row>
        <row r="185">
          <cell r="E185">
            <v>52</v>
          </cell>
          <cell r="G185">
            <v>7592</v>
          </cell>
          <cell r="J185">
            <v>1</v>
          </cell>
          <cell r="L185">
            <v>559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96311</v>
          </cell>
          <cell r="V185">
            <v>96311</v>
          </cell>
          <cell r="W185">
            <v>0</v>
          </cell>
        </row>
        <row r="186">
          <cell r="E186">
            <v>57</v>
          </cell>
          <cell r="G186">
            <v>8322</v>
          </cell>
          <cell r="J186">
            <v>3</v>
          </cell>
          <cell r="L186">
            <v>1677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98179</v>
          </cell>
          <cell r="V186">
            <v>98179</v>
          </cell>
          <cell r="W186">
            <v>0</v>
          </cell>
        </row>
        <row r="187">
          <cell r="E187">
            <v>60</v>
          </cell>
          <cell r="G187">
            <v>8760</v>
          </cell>
          <cell r="J187">
            <v>3</v>
          </cell>
          <cell r="L187">
            <v>1677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100359</v>
          </cell>
          <cell r="V187">
            <v>100359</v>
          </cell>
          <cell r="W187">
            <v>0</v>
          </cell>
        </row>
        <row r="188">
          <cell r="E188">
            <v>135</v>
          </cell>
          <cell r="G188">
            <v>19710</v>
          </cell>
          <cell r="J188">
            <v>13</v>
          </cell>
          <cell r="L188">
            <v>7267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116929</v>
          </cell>
          <cell r="V188"/>
          <cell r="W188">
            <v>116929</v>
          </cell>
        </row>
        <row r="189">
          <cell r="E189">
            <v>26</v>
          </cell>
          <cell r="G189">
            <v>3796</v>
          </cell>
          <cell r="J189">
            <v>1</v>
          </cell>
          <cell r="L189">
            <v>559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94320</v>
          </cell>
          <cell r="V189">
            <v>211249</v>
          </cell>
          <cell r="W189">
            <v>0</v>
          </cell>
        </row>
        <row r="190">
          <cell r="E190">
            <v>35</v>
          </cell>
          <cell r="G190">
            <v>5110</v>
          </cell>
          <cell r="J190">
            <v>2</v>
          </cell>
          <cell r="L190">
            <v>1118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96204</v>
          </cell>
          <cell r="V190"/>
          <cell r="W190">
            <v>96204</v>
          </cell>
        </row>
        <row r="191">
          <cell r="E191">
            <v>122</v>
          </cell>
          <cell r="G191">
            <v>17812</v>
          </cell>
          <cell r="J191">
            <v>3</v>
          </cell>
          <cell r="L191">
            <v>1677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109487</v>
          </cell>
          <cell r="V191">
            <v>205691</v>
          </cell>
          <cell r="W191">
            <v>0</v>
          </cell>
        </row>
        <row r="192">
          <cell r="E192">
            <v>7</v>
          </cell>
          <cell r="G192">
            <v>1022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91045</v>
          </cell>
          <cell r="V192">
            <v>91045</v>
          </cell>
          <cell r="W192">
            <v>0</v>
          </cell>
        </row>
        <row r="193">
          <cell r="E193">
            <v>31</v>
          </cell>
          <cell r="G193">
            <v>4526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94562</v>
          </cell>
          <cell r="V193">
            <v>94562</v>
          </cell>
          <cell r="W193">
            <v>0</v>
          </cell>
        </row>
        <row r="194">
          <cell r="E194">
            <v>145</v>
          </cell>
          <cell r="G194">
            <v>21170</v>
          </cell>
          <cell r="J194">
            <v>28</v>
          </cell>
          <cell r="L194">
            <v>15652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126883</v>
          </cell>
          <cell r="V194">
            <v>126883</v>
          </cell>
          <cell r="W194">
            <v>0</v>
          </cell>
        </row>
        <row r="195">
          <cell r="E195">
            <v>110</v>
          </cell>
          <cell r="G195">
            <v>16060</v>
          </cell>
          <cell r="J195">
            <v>13</v>
          </cell>
          <cell r="L195">
            <v>7267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113409</v>
          </cell>
          <cell r="V195"/>
          <cell r="W195">
            <v>113409</v>
          </cell>
        </row>
        <row r="196">
          <cell r="E196">
            <v>50</v>
          </cell>
          <cell r="G196">
            <v>7300</v>
          </cell>
          <cell r="J196">
            <v>3</v>
          </cell>
          <cell r="L196">
            <v>1677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99082</v>
          </cell>
          <cell r="V196">
            <v>212491</v>
          </cell>
          <cell r="W196">
            <v>0</v>
          </cell>
        </row>
        <row r="197">
          <cell r="E197">
            <v>53</v>
          </cell>
          <cell r="G197">
            <v>7738</v>
          </cell>
          <cell r="J197">
            <v>3</v>
          </cell>
          <cell r="L197">
            <v>1677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99550</v>
          </cell>
          <cell r="V197"/>
          <cell r="W197">
            <v>99550</v>
          </cell>
        </row>
        <row r="198">
          <cell r="E198">
            <v>56</v>
          </cell>
          <cell r="G198">
            <v>8176</v>
          </cell>
          <cell r="J198">
            <v>3</v>
          </cell>
          <cell r="L198">
            <v>1677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99998</v>
          </cell>
          <cell r="V198">
            <v>199548</v>
          </cell>
          <cell r="W198">
            <v>0</v>
          </cell>
        </row>
        <row r="199">
          <cell r="E199">
            <v>54</v>
          </cell>
          <cell r="G199">
            <v>7884</v>
          </cell>
          <cell r="J199">
            <v>2</v>
          </cell>
          <cell r="L199">
            <v>1118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101270</v>
          </cell>
          <cell r="V199"/>
          <cell r="W199">
            <v>101270</v>
          </cell>
        </row>
        <row r="200">
          <cell r="E200">
            <v>70</v>
          </cell>
          <cell r="G200">
            <v>10220</v>
          </cell>
          <cell r="J200">
            <v>6</v>
          </cell>
          <cell r="L200">
            <v>3354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105845</v>
          </cell>
          <cell r="V200">
            <v>207115</v>
          </cell>
          <cell r="W200">
            <v>0</v>
          </cell>
        </row>
        <row r="201">
          <cell r="E201">
            <v>57</v>
          </cell>
          <cell r="G201">
            <v>8322</v>
          </cell>
          <cell r="J201">
            <v>5</v>
          </cell>
          <cell r="L201">
            <v>2795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103391</v>
          </cell>
          <cell r="V201">
            <v>103391</v>
          </cell>
          <cell r="W201">
            <v>0</v>
          </cell>
        </row>
        <row r="202">
          <cell r="E202">
            <v>53</v>
          </cell>
          <cell r="G202">
            <v>7738</v>
          </cell>
          <cell r="J202">
            <v>5</v>
          </cell>
          <cell r="L202">
            <v>2795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102836</v>
          </cell>
          <cell r="V202">
            <v>102836</v>
          </cell>
          <cell r="W202">
            <v>0</v>
          </cell>
        </row>
        <row r="203">
          <cell r="E203">
            <v>15</v>
          </cell>
          <cell r="G203">
            <v>2190</v>
          </cell>
          <cell r="J203">
            <v>1</v>
          </cell>
          <cell r="L203">
            <v>559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95082</v>
          </cell>
          <cell r="V203"/>
          <cell r="W203">
            <v>95082</v>
          </cell>
        </row>
        <row r="204">
          <cell r="E204">
            <v>-3842</v>
          </cell>
          <cell r="G204">
            <v>-560932</v>
          </cell>
          <cell r="J204">
            <v>-755</v>
          </cell>
          <cell r="L204">
            <v>-422045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-898973</v>
          </cell>
          <cell r="V204"/>
          <cell r="W204">
            <v>-803891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-719887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-635883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-551879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-467875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-383871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-299867</v>
          </cell>
        </row>
      </sheetData>
      <sheetData sheetId="35">
        <row r="175">
          <cell r="E175">
            <v>39</v>
          </cell>
          <cell r="G175">
            <v>5694</v>
          </cell>
          <cell r="J175">
            <v>1</v>
          </cell>
          <cell r="L175">
            <v>559</v>
          </cell>
          <cell r="M175">
            <v>3731</v>
          </cell>
          <cell r="N175">
            <v>7000</v>
          </cell>
          <cell r="O175">
            <v>0</v>
          </cell>
          <cell r="P175">
            <v>25000</v>
          </cell>
          <cell r="Q175">
            <v>76410</v>
          </cell>
          <cell r="R175">
            <v>0</v>
          </cell>
          <cell r="S175">
            <v>118394</v>
          </cell>
          <cell r="V175">
            <v>118034</v>
          </cell>
          <cell r="W175">
            <v>491.10000000000582</v>
          </cell>
        </row>
        <row r="176">
          <cell r="E176">
            <v>103</v>
          </cell>
          <cell r="G176">
            <v>15038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25000</v>
          </cell>
          <cell r="Q176">
            <v>76410</v>
          </cell>
          <cell r="R176">
            <v>0</v>
          </cell>
          <cell r="S176">
            <v>127179</v>
          </cell>
          <cell r="V176">
            <v>127034</v>
          </cell>
          <cell r="W176">
            <v>636.10000000000582</v>
          </cell>
        </row>
        <row r="177">
          <cell r="E177">
            <v>82</v>
          </cell>
          <cell r="G177">
            <v>11972</v>
          </cell>
          <cell r="J177">
            <v>2</v>
          </cell>
          <cell r="L177">
            <v>1118</v>
          </cell>
          <cell r="M177">
            <v>3731</v>
          </cell>
          <cell r="N177">
            <v>7000</v>
          </cell>
          <cell r="O177">
            <v>0</v>
          </cell>
          <cell r="P177">
            <v>25000</v>
          </cell>
          <cell r="Q177">
            <v>76410</v>
          </cell>
          <cell r="R177">
            <v>0</v>
          </cell>
          <cell r="S177">
            <v>125231</v>
          </cell>
          <cell r="V177">
            <v>124034</v>
          </cell>
          <cell r="W177">
            <v>1833.1000000000058</v>
          </cell>
        </row>
        <row r="178">
          <cell r="E178">
            <v>75</v>
          </cell>
          <cell r="G178">
            <v>10950</v>
          </cell>
          <cell r="J178">
            <v>1</v>
          </cell>
          <cell r="L178">
            <v>559</v>
          </cell>
          <cell r="M178">
            <v>3731</v>
          </cell>
          <cell r="N178">
            <v>7000</v>
          </cell>
          <cell r="O178">
            <v>0</v>
          </cell>
          <cell r="P178">
            <v>25000</v>
          </cell>
          <cell r="Q178">
            <v>76410</v>
          </cell>
          <cell r="R178">
            <v>0</v>
          </cell>
          <cell r="S178">
            <v>123650</v>
          </cell>
          <cell r="V178">
            <v>125034</v>
          </cell>
          <cell r="W178">
            <v>449.10000000000582</v>
          </cell>
        </row>
        <row r="179">
          <cell r="E179">
            <v>80</v>
          </cell>
          <cell r="G179">
            <v>11680</v>
          </cell>
          <cell r="J179">
            <v>3</v>
          </cell>
          <cell r="L179">
            <v>1677</v>
          </cell>
          <cell r="M179">
            <v>3731</v>
          </cell>
          <cell r="N179">
            <v>7000</v>
          </cell>
          <cell r="O179">
            <v>0</v>
          </cell>
          <cell r="P179">
            <v>25000</v>
          </cell>
          <cell r="Q179">
            <v>76410</v>
          </cell>
          <cell r="R179">
            <v>0</v>
          </cell>
          <cell r="S179">
            <v>125498</v>
          </cell>
          <cell r="V179">
            <v>122034</v>
          </cell>
          <cell r="W179">
            <v>3913.1000000000058</v>
          </cell>
        </row>
        <row r="180">
          <cell r="E180">
            <v>54</v>
          </cell>
          <cell r="G180">
            <v>7884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25000</v>
          </cell>
          <cell r="Q180">
            <v>76410</v>
          </cell>
          <cell r="R180">
            <v>0</v>
          </cell>
          <cell r="S180">
            <v>120584</v>
          </cell>
          <cell r="V180">
            <v>124034</v>
          </cell>
          <cell r="W180">
            <v>463.10000000000582</v>
          </cell>
        </row>
        <row r="181">
          <cell r="E181">
            <v>49</v>
          </cell>
          <cell r="G181">
            <v>7154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25000</v>
          </cell>
          <cell r="Q181">
            <v>76410</v>
          </cell>
          <cell r="R181">
            <v>0</v>
          </cell>
          <cell r="S181">
            <v>119295</v>
          </cell>
          <cell r="V181">
            <v>119034</v>
          </cell>
          <cell r="W181">
            <v>724.10000000000582</v>
          </cell>
        </row>
        <row r="182">
          <cell r="E182">
            <v>59</v>
          </cell>
          <cell r="G182">
            <v>8614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20000</v>
          </cell>
          <cell r="Q182">
            <v>76410</v>
          </cell>
          <cell r="R182">
            <v>0</v>
          </cell>
          <cell r="S182">
            <v>116736</v>
          </cell>
          <cell r="V182">
            <v>117034</v>
          </cell>
          <cell r="W182">
            <v>426.10000000000582</v>
          </cell>
        </row>
        <row r="183">
          <cell r="E183">
            <v>68</v>
          </cell>
          <cell r="G183">
            <v>9928</v>
          </cell>
          <cell r="J183">
            <v>1</v>
          </cell>
          <cell r="L183">
            <v>559</v>
          </cell>
          <cell r="M183">
            <v>3731</v>
          </cell>
          <cell r="N183">
            <v>7997</v>
          </cell>
          <cell r="O183">
            <v>0</v>
          </cell>
          <cell r="P183">
            <v>20000</v>
          </cell>
          <cell r="Q183">
            <v>76410</v>
          </cell>
          <cell r="R183">
            <v>0</v>
          </cell>
          <cell r="S183">
            <v>118625</v>
          </cell>
          <cell r="V183">
            <v>119034</v>
          </cell>
          <cell r="W183">
            <v>17.100000000005821</v>
          </cell>
        </row>
        <row r="184">
          <cell r="E184">
            <v>62</v>
          </cell>
          <cell r="G184">
            <v>9052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20000</v>
          </cell>
          <cell r="Q184">
            <v>76410</v>
          </cell>
          <cell r="R184">
            <v>0</v>
          </cell>
          <cell r="S184">
            <v>117183</v>
          </cell>
          <cell r="V184">
            <v>117034</v>
          </cell>
          <cell r="W184">
            <v>166.10000000000582</v>
          </cell>
        </row>
        <row r="185">
          <cell r="E185">
            <v>70</v>
          </cell>
          <cell r="G185">
            <v>10220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20000</v>
          </cell>
          <cell r="Q185">
            <v>76410</v>
          </cell>
          <cell r="R185">
            <v>0</v>
          </cell>
          <cell r="S185">
            <v>118380</v>
          </cell>
          <cell r="V185">
            <v>118034</v>
          </cell>
          <cell r="W185">
            <v>512.10000000000582</v>
          </cell>
        </row>
        <row r="186">
          <cell r="E186">
            <v>65</v>
          </cell>
          <cell r="G186">
            <v>9490</v>
          </cell>
          <cell r="J186">
            <v>3</v>
          </cell>
          <cell r="L186">
            <v>1677</v>
          </cell>
          <cell r="M186">
            <v>3731</v>
          </cell>
          <cell r="N186">
            <v>8039</v>
          </cell>
          <cell r="O186">
            <v>0</v>
          </cell>
          <cell r="P186">
            <v>20000</v>
          </cell>
          <cell r="Q186">
            <v>76410</v>
          </cell>
          <cell r="R186"/>
          <cell r="S186">
            <v>119347</v>
          </cell>
          <cell r="V186">
            <v>119034</v>
          </cell>
          <cell r="W186">
            <v>825.10000000000582</v>
          </cell>
        </row>
        <row r="187">
          <cell r="E187">
            <v>97</v>
          </cell>
          <cell r="G187">
            <v>14162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20000</v>
          </cell>
          <cell r="Q187">
            <v>78144</v>
          </cell>
          <cell r="R187"/>
          <cell r="S187">
            <v>124084</v>
          </cell>
          <cell r="V187">
            <v>124084</v>
          </cell>
          <cell r="W187">
            <v>825.10000000000582</v>
          </cell>
        </row>
        <row r="188">
          <cell r="E188">
            <v>89</v>
          </cell>
          <cell r="G188">
            <v>12994</v>
          </cell>
          <cell r="J188">
            <v>2</v>
          </cell>
          <cell r="L188">
            <v>1118</v>
          </cell>
          <cell r="M188">
            <v>3731</v>
          </cell>
          <cell r="N188">
            <v>8077</v>
          </cell>
          <cell r="O188">
            <v>0</v>
          </cell>
          <cell r="P188">
            <v>20000</v>
          </cell>
          <cell r="Q188">
            <v>78144</v>
          </cell>
          <cell r="R188"/>
          <cell r="S188">
            <v>124064</v>
          </cell>
          <cell r="V188">
            <v>122034</v>
          </cell>
          <cell r="W188">
            <v>2855.1000000000058</v>
          </cell>
        </row>
        <row r="189">
          <cell r="E189">
            <v>68</v>
          </cell>
          <cell r="G189">
            <v>9928</v>
          </cell>
          <cell r="J189">
            <v>1</v>
          </cell>
          <cell r="L189">
            <v>559</v>
          </cell>
          <cell r="M189">
            <v>3731</v>
          </cell>
          <cell r="N189">
            <v>8090</v>
          </cell>
          <cell r="O189">
            <v>0</v>
          </cell>
          <cell r="P189">
            <v>20000</v>
          </cell>
          <cell r="Q189">
            <v>78144</v>
          </cell>
          <cell r="R189"/>
          <cell r="S189">
            <v>120452</v>
          </cell>
          <cell r="V189">
            <v>123034</v>
          </cell>
          <cell r="W189">
            <v>273.10000000000582</v>
          </cell>
        </row>
        <row r="190">
          <cell r="E190">
            <v>65</v>
          </cell>
          <cell r="G190">
            <v>9490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20000</v>
          </cell>
          <cell r="Q190">
            <v>78144</v>
          </cell>
          <cell r="R190"/>
          <cell r="S190">
            <v>119466</v>
          </cell>
          <cell r="V190">
            <v>119034</v>
          </cell>
          <cell r="W190">
            <v>705.10000000000582</v>
          </cell>
        </row>
        <row r="191">
          <cell r="E191">
            <v>59</v>
          </cell>
          <cell r="G191">
            <v>8614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20000</v>
          </cell>
          <cell r="Q191">
            <v>78144</v>
          </cell>
          <cell r="R191"/>
          <cell r="S191">
            <v>118612</v>
          </cell>
          <cell r="V191">
            <v>119034</v>
          </cell>
          <cell r="W191">
            <v>283.10000000000582</v>
          </cell>
        </row>
        <row r="192">
          <cell r="E192">
            <v>60</v>
          </cell>
          <cell r="G192">
            <v>8760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P192">
            <v>18667</v>
          </cell>
          <cell r="Q192">
            <v>78144</v>
          </cell>
          <cell r="R192"/>
          <cell r="S192">
            <v>118009</v>
          </cell>
          <cell r="V192">
            <v>118034</v>
          </cell>
          <cell r="W192">
            <v>258.10000000000582</v>
          </cell>
        </row>
        <row r="193">
          <cell r="E193">
            <v>67</v>
          </cell>
          <cell r="G193">
            <v>9782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S193">
            <v>99818</v>
          </cell>
          <cell r="V193">
            <v>100034</v>
          </cell>
          <cell r="W193">
            <v>42.100000000005821</v>
          </cell>
        </row>
        <row r="194">
          <cell r="E194">
            <v>66</v>
          </cell>
          <cell r="G194">
            <v>9636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S194">
            <v>99697</v>
          </cell>
          <cell r="V194">
            <v>99034</v>
          </cell>
          <cell r="W194">
            <v>705.10000000000582</v>
          </cell>
        </row>
        <row r="195">
          <cell r="E195">
            <v>80</v>
          </cell>
          <cell r="G195">
            <v>11680</v>
          </cell>
          <cell r="J195">
            <v>5</v>
          </cell>
          <cell r="L195">
            <v>2795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S195">
            <v>104557</v>
          </cell>
          <cell r="V195">
            <v>105034</v>
          </cell>
          <cell r="W195">
            <v>228.10000000000582</v>
          </cell>
        </row>
        <row r="196">
          <cell r="E196">
            <v>58</v>
          </cell>
          <cell r="G196">
            <v>8468</v>
          </cell>
          <cell r="J196">
            <v>1</v>
          </cell>
          <cell r="L196">
            <v>559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S196">
            <v>99132</v>
          </cell>
          <cell r="V196">
            <v>95034</v>
          </cell>
          <cell r="W196">
            <v>4326.1000000000058</v>
          </cell>
        </row>
        <row r="197">
          <cell r="E197">
            <v>80</v>
          </cell>
          <cell r="G197">
            <v>11680</v>
          </cell>
          <cell r="J197">
            <v>1</v>
          </cell>
          <cell r="L197">
            <v>559</v>
          </cell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R197"/>
          <cell r="S197">
            <v>121414</v>
          </cell>
          <cell r="V197">
            <v>125034</v>
          </cell>
          <cell r="W197">
            <v>706.10000000000582</v>
          </cell>
        </row>
        <row r="198">
          <cell r="E198">
            <v>64</v>
          </cell>
          <cell r="G198">
            <v>9344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99489</v>
          </cell>
          <cell r="V198">
            <v>100034</v>
          </cell>
          <cell r="W198">
            <v>161.10000000000582</v>
          </cell>
        </row>
        <row r="199">
          <cell r="E199">
            <v>72</v>
          </cell>
          <cell r="G199">
            <v>10512</v>
          </cell>
          <cell r="J199">
            <v>1</v>
          </cell>
          <cell r="L199">
            <v>559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R199"/>
          <cell r="S199">
            <v>103339</v>
          </cell>
          <cell r="V199">
            <v>103034</v>
          </cell>
          <cell r="W199">
            <v>466.10000000000582</v>
          </cell>
        </row>
        <row r="200">
          <cell r="E200">
            <v>79</v>
          </cell>
          <cell r="G200">
            <v>11534</v>
          </cell>
          <cell r="J200">
            <v>1</v>
          </cell>
          <cell r="L200">
            <v>559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S200">
            <v>104364</v>
          </cell>
          <cell r="V200">
            <v>103304</v>
          </cell>
          <cell r="W200">
            <v>1526.1000000000058</v>
          </cell>
        </row>
        <row r="201">
          <cell r="E201">
            <v>65</v>
          </cell>
          <cell r="G201">
            <v>9490</v>
          </cell>
          <cell r="J201">
            <v>1</v>
          </cell>
          <cell r="L201">
            <v>559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S201">
            <v>102323</v>
          </cell>
          <cell r="V201">
            <v>103034</v>
          </cell>
          <cell r="W201">
            <v>815.10000000000582</v>
          </cell>
        </row>
        <row r="202">
          <cell r="E202">
            <v>66</v>
          </cell>
          <cell r="G202">
            <v>9636</v>
          </cell>
          <cell r="J202">
            <v>3</v>
          </cell>
          <cell r="L202">
            <v>1677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S202">
            <v>103616</v>
          </cell>
          <cell r="V202">
            <v>103034</v>
          </cell>
          <cell r="W202">
            <v>1397.1000000000058</v>
          </cell>
        </row>
        <row r="203">
          <cell r="E203">
            <v>72</v>
          </cell>
          <cell r="G203">
            <v>10512</v>
          </cell>
          <cell r="J203">
            <v>7</v>
          </cell>
          <cell r="L203">
            <v>3913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S203">
            <v>106758</v>
          </cell>
          <cell r="V203"/>
          <cell r="W203">
            <v>108155.1</v>
          </cell>
        </row>
        <row r="204">
          <cell r="E204">
            <v>-17699</v>
          </cell>
          <cell r="G204">
            <v>-2584054</v>
          </cell>
          <cell r="J204">
            <v>-878</v>
          </cell>
          <cell r="L204">
            <v>-490802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S204">
            <v>-2990852</v>
          </cell>
          <cell r="V204"/>
          <cell r="W204">
            <v>-2882696.9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S205">
            <v>84004</v>
          </cell>
          <cell r="V205"/>
          <cell r="W205">
            <v>-2798692.9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S206">
            <v>84004</v>
          </cell>
          <cell r="V206"/>
          <cell r="W206">
            <v>-2714688.9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S207">
            <v>84004</v>
          </cell>
          <cell r="V207"/>
          <cell r="W207">
            <v>-2630684.9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S208">
            <v>84004</v>
          </cell>
          <cell r="V208"/>
          <cell r="W208">
            <v>-2546680.9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S209">
            <v>84004</v>
          </cell>
          <cell r="V209"/>
          <cell r="W209">
            <v>-2462676.9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S210">
            <v>84004</v>
          </cell>
          <cell r="V210"/>
          <cell r="W210">
            <v>-2378672.9</v>
          </cell>
        </row>
      </sheetData>
      <sheetData sheetId="36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168536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/>
          <cell r="W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/>
          <cell r="W177">
            <v>174282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/>
          <cell r="W178">
            <v>261423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/>
          <cell r="W179">
            <v>348564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/>
          <cell r="W180">
            <v>435705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523000</v>
          </cell>
          <cell r="W181">
            <v>-154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87968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/>
          <cell r="W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176340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/>
          <cell r="W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/>
          <cell r="W188">
            <v>179874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/>
          <cell r="W189">
            <v>269839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/>
          <cell r="W190">
            <v>359815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/>
          <cell r="W191">
            <v>449813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/>
          <cell r="W192">
            <v>539836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/>
          <cell r="W193">
            <v>629872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/>
          <cell r="W194">
            <v>719933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/>
          <cell r="W195">
            <v>810015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/>
          <cell r="W196">
            <v>900120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/>
          <cell r="W197">
            <v>990255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1080400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147385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294791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442418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534751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618755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702759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786763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870767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954771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1038775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1122779</v>
          </cell>
        </row>
      </sheetData>
      <sheetData sheetId="3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168536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84268</v>
          </cell>
          <cell r="W176">
            <v>2873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84268</v>
          </cell>
          <cell r="W177">
            <v>5746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84268</v>
          </cell>
          <cell r="W178">
            <v>8619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84268</v>
          </cell>
          <cell r="W179">
            <v>11492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84268</v>
          </cell>
          <cell r="W180">
            <v>14365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84268</v>
          </cell>
          <cell r="W181">
            <v>17238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84268</v>
          </cell>
          <cell r="W182">
            <v>21092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84268</v>
          </cell>
          <cell r="W183">
            <v>24962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84268</v>
          </cell>
          <cell r="W184">
            <v>28825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84268</v>
          </cell>
          <cell r="W185">
            <v>32717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84268</v>
          </cell>
          <cell r="W186">
            <v>36629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84268</v>
          </cell>
          <cell r="W187">
            <v>42283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/>
          <cell r="W188">
            <v>132235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222200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91000</v>
          </cell>
          <cell r="W190">
            <v>-1024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91000</v>
          </cell>
          <cell r="W191">
            <v>-2026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91000</v>
          </cell>
          <cell r="W192">
            <v>-3003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91000</v>
          </cell>
          <cell r="W193">
            <v>-3967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91000</v>
          </cell>
          <cell r="W194">
            <v>-4906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91000</v>
          </cell>
          <cell r="W195">
            <v>-5824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91000</v>
          </cell>
          <cell r="W196">
            <v>-6719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S197">
            <v>145267</v>
          </cell>
          <cell r="V197"/>
          <cell r="W197">
            <v>138548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145237</v>
          </cell>
          <cell r="V198"/>
          <cell r="W198">
            <v>283785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147360</v>
          </cell>
          <cell r="V199"/>
          <cell r="W199">
            <v>431145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578530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725936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873563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965896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1049900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1133904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1217908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1301912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1385916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1469920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1553924</v>
          </cell>
        </row>
      </sheetData>
      <sheetData sheetId="38">
        <row r="175">
          <cell r="E175">
            <v>0</v>
          </cell>
          <cell r="G175">
            <v>0</v>
          </cell>
          <cell r="J175"/>
          <cell r="L175"/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/>
          <cell r="L176"/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/>
          <cell r="L177"/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/>
          <cell r="L178"/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/>
          <cell r="L179"/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/>
          <cell r="L180"/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/>
          <cell r="L181"/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/>
          <cell r="L182"/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/>
          <cell r="L183"/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0</v>
          </cell>
          <cell r="G184">
            <v>0</v>
          </cell>
          <cell r="J184"/>
          <cell r="L184"/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/>
          <cell r="L185"/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/>
          <cell r="W185">
            <v>88160</v>
          </cell>
        </row>
        <row r="186">
          <cell r="E186">
            <v>0</v>
          </cell>
          <cell r="G186">
            <v>0</v>
          </cell>
          <cell r="J186"/>
          <cell r="L186"/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176340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/>
          <cell r="L187"/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/>
          <cell r="L188"/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78144</v>
          </cell>
          <cell r="W188">
            <v>11808</v>
          </cell>
        </row>
        <row r="189">
          <cell r="E189">
            <v>0</v>
          </cell>
          <cell r="G189">
            <v>0</v>
          </cell>
          <cell r="J189"/>
          <cell r="L189"/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101773</v>
          </cell>
          <cell r="W189">
            <v>0</v>
          </cell>
        </row>
        <row r="190">
          <cell r="E190">
            <v>0</v>
          </cell>
          <cell r="G190">
            <v>0</v>
          </cell>
          <cell r="J190"/>
          <cell r="L190"/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/>
          <cell r="L191"/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/>
          <cell r="L192"/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/>
          <cell r="L193"/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/>
          <cell r="W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180143</v>
          </cell>
          <cell r="W195">
            <v>0</v>
          </cell>
        </row>
        <row r="196">
          <cell r="E196">
            <v>3</v>
          </cell>
          <cell r="G196">
            <v>438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90543</v>
          </cell>
          <cell r="V196">
            <v>90543</v>
          </cell>
          <cell r="W196">
            <v>0</v>
          </cell>
        </row>
        <row r="197">
          <cell r="E197">
            <v>3</v>
          </cell>
          <cell r="G197">
            <v>438</v>
          </cell>
          <cell r="J197">
            <v>2</v>
          </cell>
          <cell r="L197">
            <v>1118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91691</v>
          </cell>
          <cell r="V197">
            <v>91691</v>
          </cell>
          <cell r="W197">
            <v>0</v>
          </cell>
        </row>
        <row r="198">
          <cell r="E198">
            <v>2</v>
          </cell>
          <cell r="G198">
            <v>292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90437</v>
          </cell>
          <cell r="V198">
            <v>90437</v>
          </cell>
          <cell r="W198">
            <v>0</v>
          </cell>
        </row>
        <row r="199">
          <cell r="E199">
            <v>2</v>
          </cell>
          <cell r="G199">
            <v>292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92560</v>
          </cell>
          <cell r="V199">
            <v>92560</v>
          </cell>
          <cell r="W199">
            <v>0</v>
          </cell>
        </row>
        <row r="200">
          <cell r="E200">
            <v>2</v>
          </cell>
          <cell r="G200">
            <v>292</v>
          </cell>
          <cell r="J200">
            <v>4</v>
          </cell>
          <cell r="L200">
            <v>2236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94799</v>
          </cell>
          <cell r="V200">
            <v>94799</v>
          </cell>
          <cell r="W200">
            <v>0</v>
          </cell>
        </row>
        <row r="201">
          <cell r="E201">
            <v>3</v>
          </cell>
          <cell r="G201">
            <v>438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92712</v>
          </cell>
          <cell r="V201">
            <v>92712</v>
          </cell>
          <cell r="W201">
            <v>0</v>
          </cell>
        </row>
        <row r="202">
          <cell r="E202">
            <v>2</v>
          </cell>
          <cell r="G202">
            <v>292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92595</v>
          </cell>
          <cell r="V202"/>
          <cell r="W202">
            <v>92595</v>
          </cell>
        </row>
        <row r="203">
          <cell r="E203">
            <v>2</v>
          </cell>
          <cell r="G203">
            <v>292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92625</v>
          </cell>
          <cell r="V203">
            <v>185220</v>
          </cell>
          <cell r="W203">
            <v>0</v>
          </cell>
        </row>
        <row r="204">
          <cell r="E204">
            <v>-27</v>
          </cell>
          <cell r="G204">
            <v>-3942</v>
          </cell>
          <cell r="J204">
            <v>-107</v>
          </cell>
          <cell r="L204">
            <v>-59813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20249</v>
          </cell>
          <cell r="V204"/>
          <cell r="W204">
            <v>20249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104253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188257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272261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356265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440269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524273</v>
          </cell>
        </row>
      </sheetData>
      <sheetData sheetId="3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/>
          <cell r="W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174282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/>
          <cell r="W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174282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88180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89965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4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/>
          <cell r="W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>
            <v>176340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>
            <v>0</v>
          </cell>
          <cell r="Q187">
            <v>78144</v>
          </cell>
          <cell r="R187"/>
          <cell r="S187">
            <v>89922</v>
          </cell>
          <cell r="V187"/>
          <cell r="W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>
            <v>0</v>
          </cell>
          <cell r="Q188">
            <v>78144</v>
          </cell>
          <cell r="R188"/>
          <cell r="S188">
            <v>89952</v>
          </cell>
          <cell r="V188">
            <v>179874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>
            <v>0</v>
          </cell>
          <cell r="Q189">
            <v>78144</v>
          </cell>
          <cell r="R189"/>
          <cell r="S189">
            <v>89965</v>
          </cell>
          <cell r="V189"/>
          <cell r="W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>
            <v>0</v>
          </cell>
          <cell r="Q190">
            <v>78144</v>
          </cell>
          <cell r="R190"/>
          <cell r="S190">
            <v>89976</v>
          </cell>
          <cell r="V190">
            <v>179941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>
            <v>0</v>
          </cell>
          <cell r="Q191">
            <v>78144</v>
          </cell>
          <cell r="R191"/>
          <cell r="S191">
            <v>89998</v>
          </cell>
          <cell r="V191"/>
          <cell r="W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>
            <v>0</v>
          </cell>
          <cell r="Q192">
            <v>78144</v>
          </cell>
          <cell r="R192"/>
          <cell r="S192">
            <v>90023</v>
          </cell>
          <cell r="V192">
            <v>180021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>
            <v>0</v>
          </cell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>
            <v>0</v>
          </cell>
          <cell r="Q194">
            <v>78144</v>
          </cell>
          <cell r="R194"/>
          <cell r="S194">
            <v>90061</v>
          </cell>
          <cell r="V194"/>
          <cell r="W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>
            <v>0</v>
          </cell>
          <cell r="Q195">
            <v>78144</v>
          </cell>
          <cell r="R195"/>
          <cell r="S195">
            <v>90082</v>
          </cell>
          <cell r="V195">
            <v>180143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>
            <v>0</v>
          </cell>
          <cell r="Q197">
            <v>78144</v>
          </cell>
          <cell r="R197"/>
          <cell r="S197">
            <v>90135</v>
          </cell>
          <cell r="V197"/>
          <cell r="W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>
            <v>0</v>
          </cell>
          <cell r="Q198">
            <v>78144</v>
          </cell>
          <cell r="R198"/>
          <cell r="S198">
            <v>90145</v>
          </cell>
          <cell r="V198">
            <v>180280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184636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268640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352644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436648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520652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604656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688660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772664</v>
          </cell>
        </row>
      </sheetData>
      <sheetData sheetId="4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/>
          <cell r="S175">
            <v>80141</v>
          </cell>
          <cell r="V175">
            <v>80141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/>
          <cell r="S176">
            <v>80141</v>
          </cell>
          <cell r="V176"/>
          <cell r="W176">
            <v>80141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/>
          <cell r="S177">
            <v>80141</v>
          </cell>
          <cell r="V177">
            <v>160400</v>
          </cell>
          <cell r="W177">
            <v>-118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/>
          <cell r="S178">
            <v>80141</v>
          </cell>
          <cell r="V178">
            <v>80030</v>
          </cell>
          <cell r="W178">
            <v>-7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/>
          <cell r="S179">
            <v>80141</v>
          </cell>
          <cell r="V179">
            <v>80141</v>
          </cell>
          <cell r="W179">
            <v>-7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/>
          <cell r="S180">
            <v>80141</v>
          </cell>
          <cell r="V180">
            <v>80141</v>
          </cell>
          <cell r="W180">
            <v>-7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/>
          <cell r="S181">
            <v>80141</v>
          </cell>
          <cell r="V181">
            <v>80134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/>
          <cell r="S182">
            <v>80141</v>
          </cell>
          <cell r="V182">
            <v>80141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/>
          <cell r="S183">
            <v>80141</v>
          </cell>
          <cell r="V183">
            <v>80141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/>
          <cell r="S184">
            <v>80141</v>
          </cell>
          <cell r="V184">
            <v>80141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/>
          <cell r="S185">
            <v>80141</v>
          </cell>
          <cell r="V185">
            <v>80141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R186"/>
          <cell r="S186">
            <v>80141</v>
          </cell>
          <cell r="V186">
            <v>80141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/>
          <cell r="O187"/>
          <cell r="P187"/>
          <cell r="Q187">
            <v>78144</v>
          </cell>
          <cell r="R187"/>
          <cell r="S187">
            <v>81875</v>
          </cell>
          <cell r="V187">
            <v>81875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/>
          <cell r="O188"/>
          <cell r="P188"/>
          <cell r="Q188">
            <v>78144</v>
          </cell>
          <cell r="R188"/>
          <cell r="S188">
            <v>81875</v>
          </cell>
          <cell r="V188">
            <v>81875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/>
          <cell r="O189"/>
          <cell r="P189"/>
          <cell r="Q189">
            <v>78144</v>
          </cell>
          <cell r="R189"/>
          <cell r="S189">
            <v>81875</v>
          </cell>
          <cell r="V189">
            <v>81875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/>
          <cell r="O190"/>
          <cell r="P190"/>
          <cell r="Q190">
            <v>78144</v>
          </cell>
          <cell r="R190"/>
          <cell r="S190">
            <v>81875</v>
          </cell>
          <cell r="V190">
            <v>81875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/>
          <cell r="O191"/>
          <cell r="P191"/>
          <cell r="Q191">
            <v>78144</v>
          </cell>
          <cell r="R191"/>
          <cell r="S191">
            <v>81875</v>
          </cell>
          <cell r="V191">
            <v>81875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/>
          <cell r="O192"/>
          <cell r="P192"/>
          <cell r="Q192">
            <v>78144</v>
          </cell>
          <cell r="R192"/>
          <cell r="S192">
            <v>81875</v>
          </cell>
          <cell r="V192">
            <v>81875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81875</v>
          </cell>
          <cell r="V193">
            <v>81875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/>
          <cell r="O194"/>
          <cell r="P194"/>
          <cell r="Q194">
            <v>78144</v>
          </cell>
          <cell r="R194"/>
          <cell r="S194">
            <v>81875</v>
          </cell>
          <cell r="V194">
            <v>81875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/>
          <cell r="O195"/>
          <cell r="P195"/>
          <cell r="Q195">
            <v>78144</v>
          </cell>
          <cell r="R195"/>
          <cell r="S195">
            <v>81875</v>
          </cell>
          <cell r="V195">
            <v>81875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/>
          <cell r="O196"/>
          <cell r="P196"/>
          <cell r="Q196">
            <v>78144</v>
          </cell>
          <cell r="R196"/>
          <cell r="S196">
            <v>81875</v>
          </cell>
          <cell r="V196">
            <v>81875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/>
          <cell r="O197"/>
          <cell r="P197"/>
          <cell r="Q197">
            <v>78144</v>
          </cell>
          <cell r="R197"/>
          <cell r="S197">
            <v>81875</v>
          </cell>
          <cell r="V197">
            <v>81875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/>
          <cell r="O198"/>
          <cell r="P198"/>
          <cell r="Q198">
            <v>78144</v>
          </cell>
          <cell r="R198"/>
          <cell r="S198">
            <v>81875</v>
          </cell>
          <cell r="V198">
            <v>81875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84004</v>
          </cell>
          <cell r="V199"/>
          <cell r="W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84004</v>
          </cell>
          <cell r="V200">
            <v>168008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84004</v>
          </cell>
          <cell r="V201">
            <v>84004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84004</v>
          </cell>
          <cell r="V202">
            <v>84004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84004</v>
          </cell>
          <cell r="V203"/>
          <cell r="W203">
            <v>84004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168008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252012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336016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420020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504024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588028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672032</v>
          </cell>
        </row>
      </sheetData>
      <sheetData sheetId="4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/>
          <cell r="S175">
            <v>80141</v>
          </cell>
          <cell r="V175"/>
          <cell r="W175">
            <v>2080141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/>
          <cell r="S176">
            <v>80141</v>
          </cell>
          <cell r="V176"/>
          <cell r="W176">
            <v>2160282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/>
          <cell r="S177">
            <v>80141</v>
          </cell>
          <cell r="V177">
            <v>2240423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/>
          <cell r="S178">
            <v>80141</v>
          </cell>
          <cell r="V178">
            <v>87141</v>
          </cell>
          <cell r="W178">
            <v>-7000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/>
          <cell r="S179">
            <v>80141</v>
          </cell>
          <cell r="V179">
            <v>73141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/>
          <cell r="S180">
            <v>80141</v>
          </cell>
          <cell r="V180">
            <v>80141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/>
          <cell r="S181">
            <v>80141</v>
          </cell>
          <cell r="V181">
            <v>80141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24</v>
          </cell>
          <cell r="L182">
            <v>13416</v>
          </cell>
          <cell r="M182">
            <v>3731</v>
          </cell>
          <cell r="N182"/>
          <cell r="O182"/>
          <cell r="P182"/>
          <cell r="Q182">
            <v>76410</v>
          </cell>
          <cell r="R182"/>
          <cell r="S182">
            <v>93557</v>
          </cell>
          <cell r="V182">
            <v>93557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/>
          <cell r="S183">
            <v>80141</v>
          </cell>
          <cell r="V183">
            <v>80141</v>
          </cell>
          <cell r="W183">
            <v>0</v>
          </cell>
        </row>
        <row r="184">
          <cell r="E184">
            <v>6</v>
          </cell>
          <cell r="G184">
            <v>876</v>
          </cell>
          <cell r="J184">
            <v>1</v>
          </cell>
          <cell r="L184">
            <v>559</v>
          </cell>
          <cell r="M184">
            <v>3731</v>
          </cell>
          <cell r="N184"/>
          <cell r="O184"/>
          <cell r="P184"/>
          <cell r="Q184">
            <v>76410</v>
          </cell>
          <cell r="R184"/>
          <cell r="S184">
            <v>81576</v>
          </cell>
          <cell r="V184">
            <v>81576</v>
          </cell>
          <cell r="W184">
            <v>0</v>
          </cell>
        </row>
        <row r="185">
          <cell r="E185">
            <v>4</v>
          </cell>
          <cell r="G185">
            <v>584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/>
          <cell r="S185">
            <v>80725</v>
          </cell>
          <cell r="V185">
            <v>80725</v>
          </cell>
          <cell r="W185">
            <v>0</v>
          </cell>
        </row>
        <row r="186">
          <cell r="E186">
            <v>6</v>
          </cell>
          <cell r="G186">
            <v>876</v>
          </cell>
          <cell r="J186">
            <v>1</v>
          </cell>
          <cell r="L186">
            <v>559</v>
          </cell>
          <cell r="M186">
            <v>3731</v>
          </cell>
          <cell r="N186"/>
          <cell r="O186"/>
          <cell r="P186"/>
          <cell r="Q186">
            <v>76410</v>
          </cell>
          <cell r="R186"/>
          <cell r="S186">
            <v>81576</v>
          </cell>
          <cell r="V186">
            <v>81576</v>
          </cell>
          <cell r="W186">
            <v>0</v>
          </cell>
        </row>
        <row r="187">
          <cell r="E187">
            <v>8</v>
          </cell>
          <cell r="G187">
            <v>1168</v>
          </cell>
          <cell r="J187">
            <v>8</v>
          </cell>
          <cell r="L187">
            <v>4472</v>
          </cell>
          <cell r="M187">
            <v>3731</v>
          </cell>
          <cell r="N187"/>
          <cell r="O187"/>
          <cell r="P187"/>
          <cell r="Q187">
            <v>78144</v>
          </cell>
          <cell r="R187"/>
          <cell r="S187">
            <v>87515</v>
          </cell>
          <cell r="V187">
            <v>87515</v>
          </cell>
          <cell r="W187">
            <v>0</v>
          </cell>
        </row>
        <row r="188">
          <cell r="E188">
            <v>17</v>
          </cell>
          <cell r="G188">
            <v>2482</v>
          </cell>
          <cell r="J188">
            <v>10</v>
          </cell>
          <cell r="L188">
            <v>5590</v>
          </cell>
          <cell r="M188">
            <v>3731</v>
          </cell>
          <cell r="N188"/>
          <cell r="O188"/>
          <cell r="P188"/>
          <cell r="Q188">
            <v>78144</v>
          </cell>
          <cell r="R188"/>
          <cell r="S188">
            <v>89947</v>
          </cell>
          <cell r="V188">
            <v>89947</v>
          </cell>
          <cell r="W188">
            <v>0</v>
          </cell>
        </row>
        <row r="189">
          <cell r="E189">
            <v>6</v>
          </cell>
          <cell r="G189">
            <v>876</v>
          </cell>
          <cell r="J189">
            <v>5</v>
          </cell>
          <cell r="L189">
            <v>2795</v>
          </cell>
          <cell r="M189">
            <v>3731</v>
          </cell>
          <cell r="N189"/>
          <cell r="O189"/>
          <cell r="P189"/>
          <cell r="Q189">
            <v>78144</v>
          </cell>
          <cell r="R189"/>
          <cell r="S189">
            <v>85546</v>
          </cell>
          <cell r="V189">
            <v>85546</v>
          </cell>
          <cell r="W189">
            <v>0</v>
          </cell>
        </row>
        <row r="190">
          <cell r="E190">
            <v>1</v>
          </cell>
          <cell r="G190">
            <v>146</v>
          </cell>
          <cell r="J190">
            <v>1</v>
          </cell>
          <cell r="L190">
            <v>559</v>
          </cell>
          <cell r="M190">
            <v>3731</v>
          </cell>
          <cell r="N190"/>
          <cell r="O190"/>
          <cell r="P190"/>
          <cell r="Q190">
            <v>78144</v>
          </cell>
          <cell r="R190"/>
          <cell r="S190">
            <v>82580</v>
          </cell>
          <cell r="V190">
            <v>82580</v>
          </cell>
          <cell r="W190">
            <v>0</v>
          </cell>
        </row>
        <row r="191">
          <cell r="E191">
            <v>5</v>
          </cell>
          <cell r="G191">
            <v>730</v>
          </cell>
          <cell r="J191">
            <v>6</v>
          </cell>
          <cell r="L191">
            <v>3354</v>
          </cell>
          <cell r="M191">
            <v>3731</v>
          </cell>
          <cell r="N191"/>
          <cell r="O191"/>
          <cell r="P191"/>
          <cell r="Q191">
            <v>78144</v>
          </cell>
          <cell r="R191"/>
          <cell r="S191">
            <v>85959</v>
          </cell>
          <cell r="V191">
            <v>85959</v>
          </cell>
          <cell r="W191">
            <v>0</v>
          </cell>
        </row>
        <row r="192">
          <cell r="E192">
            <v>2</v>
          </cell>
          <cell r="G192">
            <v>292</v>
          </cell>
          <cell r="J192">
            <v>0</v>
          </cell>
          <cell r="L192">
            <v>0</v>
          </cell>
          <cell r="M192">
            <v>3731</v>
          </cell>
          <cell r="N192"/>
          <cell r="O192"/>
          <cell r="P192"/>
          <cell r="Q192">
            <v>78144</v>
          </cell>
          <cell r="R192"/>
          <cell r="S192">
            <v>82167</v>
          </cell>
          <cell r="V192">
            <v>82167</v>
          </cell>
          <cell r="W192">
            <v>0</v>
          </cell>
        </row>
        <row r="193">
          <cell r="E193">
            <v>1</v>
          </cell>
          <cell r="G193">
            <v>146</v>
          </cell>
          <cell r="J193">
            <v>0</v>
          </cell>
          <cell r="L193">
            <v>0</v>
          </cell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82021</v>
          </cell>
          <cell r="V193">
            <v>82021</v>
          </cell>
          <cell r="W193">
            <v>0</v>
          </cell>
        </row>
        <row r="194">
          <cell r="E194">
            <v>1</v>
          </cell>
          <cell r="G194">
            <v>146</v>
          </cell>
          <cell r="J194">
            <v>0</v>
          </cell>
          <cell r="L194">
            <v>0</v>
          </cell>
          <cell r="M194">
            <v>3731</v>
          </cell>
          <cell r="N194"/>
          <cell r="O194"/>
          <cell r="P194"/>
          <cell r="Q194">
            <v>78144</v>
          </cell>
          <cell r="R194"/>
          <cell r="S194">
            <v>82021</v>
          </cell>
          <cell r="V194">
            <v>82021</v>
          </cell>
          <cell r="W194">
            <v>0</v>
          </cell>
        </row>
        <row r="195">
          <cell r="E195">
            <v>5</v>
          </cell>
          <cell r="G195">
            <v>730</v>
          </cell>
          <cell r="J195">
            <v>10</v>
          </cell>
          <cell r="L195">
            <v>5590</v>
          </cell>
          <cell r="M195">
            <v>3731</v>
          </cell>
          <cell r="N195"/>
          <cell r="O195"/>
          <cell r="P195"/>
          <cell r="Q195">
            <v>78144</v>
          </cell>
          <cell r="R195"/>
          <cell r="S195">
            <v>88195</v>
          </cell>
          <cell r="V195">
            <v>88195</v>
          </cell>
          <cell r="W195">
            <v>0</v>
          </cell>
        </row>
        <row r="196">
          <cell r="E196">
            <v>22</v>
          </cell>
          <cell r="G196">
            <v>3212</v>
          </cell>
          <cell r="J196">
            <v>37</v>
          </cell>
          <cell r="L196">
            <v>20683</v>
          </cell>
          <cell r="M196">
            <v>3731</v>
          </cell>
          <cell r="N196"/>
          <cell r="O196"/>
          <cell r="P196"/>
          <cell r="Q196">
            <v>78144</v>
          </cell>
          <cell r="R196"/>
          <cell r="S196">
            <v>105770</v>
          </cell>
          <cell r="V196">
            <v>105770</v>
          </cell>
          <cell r="W196">
            <v>0</v>
          </cell>
        </row>
        <row r="197">
          <cell r="E197">
            <v>116</v>
          </cell>
          <cell r="G197">
            <v>16936</v>
          </cell>
          <cell r="J197">
            <v>20</v>
          </cell>
          <cell r="L197">
            <v>11180</v>
          </cell>
          <cell r="M197">
            <v>3731</v>
          </cell>
          <cell r="N197"/>
          <cell r="O197"/>
          <cell r="P197"/>
          <cell r="Q197">
            <v>78144</v>
          </cell>
          <cell r="R197"/>
          <cell r="S197">
            <v>109991</v>
          </cell>
          <cell r="V197">
            <v>109991</v>
          </cell>
          <cell r="W197">
            <v>0</v>
          </cell>
        </row>
        <row r="198">
          <cell r="E198">
            <v>87</v>
          </cell>
          <cell r="G198">
            <v>12702</v>
          </cell>
          <cell r="J198">
            <v>14</v>
          </cell>
          <cell r="L198">
            <v>7826</v>
          </cell>
          <cell r="M198">
            <v>3731</v>
          </cell>
          <cell r="N198"/>
          <cell r="O198"/>
          <cell r="P198"/>
          <cell r="Q198">
            <v>78144</v>
          </cell>
          <cell r="R198"/>
          <cell r="S198">
            <v>102403</v>
          </cell>
          <cell r="V198">
            <v>102403</v>
          </cell>
          <cell r="W198">
            <v>0</v>
          </cell>
        </row>
        <row r="199">
          <cell r="E199">
            <v>68</v>
          </cell>
          <cell r="G199">
            <v>9928</v>
          </cell>
          <cell r="J199">
            <v>13</v>
          </cell>
          <cell r="L199">
            <v>7267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101199</v>
          </cell>
          <cell r="V199">
            <v>101199</v>
          </cell>
          <cell r="W199">
            <v>0</v>
          </cell>
        </row>
        <row r="200">
          <cell r="E200">
            <v>59</v>
          </cell>
          <cell r="G200">
            <v>8614</v>
          </cell>
          <cell r="J200">
            <v>16</v>
          </cell>
          <cell r="L200">
            <v>8944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101562</v>
          </cell>
          <cell r="V200">
            <v>101562</v>
          </cell>
          <cell r="W200">
            <v>0</v>
          </cell>
        </row>
        <row r="201">
          <cell r="E201">
            <v>79</v>
          </cell>
          <cell r="G201">
            <v>11534</v>
          </cell>
          <cell r="J201">
            <v>13</v>
          </cell>
          <cell r="L201">
            <v>7267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102805</v>
          </cell>
          <cell r="V201">
            <v>102805</v>
          </cell>
          <cell r="W201">
            <v>0</v>
          </cell>
        </row>
        <row r="202">
          <cell r="E202">
            <v>25</v>
          </cell>
          <cell r="G202">
            <v>3650</v>
          </cell>
          <cell r="J202">
            <v>8</v>
          </cell>
          <cell r="L202">
            <v>4472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92126</v>
          </cell>
          <cell r="V202">
            <v>92126</v>
          </cell>
          <cell r="W202">
            <v>0</v>
          </cell>
        </row>
        <row r="203">
          <cell r="E203">
            <v>33</v>
          </cell>
          <cell r="G203">
            <v>4818</v>
          </cell>
          <cell r="J203">
            <v>26</v>
          </cell>
          <cell r="L203">
            <v>14534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103356</v>
          </cell>
          <cell r="V203"/>
          <cell r="W203">
            <v>103356</v>
          </cell>
        </row>
        <row r="204">
          <cell r="E204">
            <v>-551</v>
          </cell>
          <cell r="G204">
            <v>-80446</v>
          </cell>
          <cell r="J204">
            <v>-213</v>
          </cell>
          <cell r="L204">
            <v>-119067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-115509</v>
          </cell>
          <cell r="V204"/>
          <cell r="W204">
            <v>-12153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71851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155855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239859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323863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407867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491871</v>
          </cell>
        </row>
      </sheetData>
      <sheetData sheetId="4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87141</v>
          </cell>
          <cell r="W182">
            <v>981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87141</v>
          </cell>
          <cell r="W183">
            <v>1978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87141</v>
          </cell>
          <cell r="W184">
            <v>2968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91128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88180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90000</v>
          </cell>
          <cell r="W189">
            <v>-35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90000</v>
          </cell>
          <cell r="W190">
            <v>-59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90000</v>
          </cell>
          <cell r="W191">
            <v>-61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90000</v>
          </cell>
          <cell r="W192">
            <v>-38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90000</v>
          </cell>
          <cell r="W193">
            <v>-2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90000</v>
          </cell>
          <cell r="W194">
            <v>59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90000</v>
          </cell>
          <cell r="W195">
            <v>141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90000</v>
          </cell>
          <cell r="W196">
            <v>246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90500</v>
          </cell>
          <cell r="W197">
            <v>-119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90500</v>
          </cell>
          <cell r="W198">
            <v>-474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92000</v>
          </cell>
          <cell r="W199">
            <v>-206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92500</v>
          </cell>
          <cell r="W200">
            <v>-435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92500</v>
          </cell>
          <cell r="W201">
            <v>-661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92500</v>
          </cell>
          <cell r="W202">
            <v>-858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91475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175479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259483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343487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427491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511495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595499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679503</v>
          </cell>
        </row>
      </sheetData>
      <sheetData sheetId="4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/>
          <cell r="W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88138</v>
          </cell>
          <cell r="V183">
            <v>176260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1</v>
          </cell>
          <cell r="L184">
            <v>559</v>
          </cell>
          <cell r="M184">
            <v>3731</v>
          </cell>
          <cell r="N184">
            <v>7990</v>
          </cell>
          <cell r="O184">
            <v>0</v>
          </cell>
          <cell r="P184">
            <v>3333</v>
          </cell>
          <cell r="Q184">
            <v>76410</v>
          </cell>
          <cell r="R184"/>
          <cell r="S184">
            <v>92023</v>
          </cell>
          <cell r="V184">
            <v>92023</v>
          </cell>
          <cell r="W184">
            <v>0</v>
          </cell>
        </row>
        <row r="185">
          <cell r="E185">
            <v>14</v>
          </cell>
          <cell r="G185">
            <v>2044</v>
          </cell>
          <cell r="J185">
            <v>7</v>
          </cell>
          <cell r="L185">
            <v>3913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>
            <v>5351558</v>
          </cell>
          <cell r="S185">
            <v>5455675</v>
          </cell>
          <cell r="V185">
            <v>104117</v>
          </cell>
          <cell r="W185">
            <v>5351558</v>
          </cell>
        </row>
        <row r="186">
          <cell r="E186">
            <v>5</v>
          </cell>
          <cell r="G186">
            <v>730</v>
          </cell>
          <cell r="J186">
            <v>9</v>
          </cell>
          <cell r="L186">
            <v>5031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/>
          <cell r="S186">
            <v>103941</v>
          </cell>
          <cell r="V186">
            <v>93601</v>
          </cell>
          <cell r="W186">
            <v>5361898</v>
          </cell>
        </row>
        <row r="187">
          <cell r="E187">
            <v>3</v>
          </cell>
          <cell r="G187">
            <v>438</v>
          </cell>
          <cell r="J187">
            <v>5</v>
          </cell>
          <cell r="L187">
            <v>2795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/>
          <cell r="S187">
            <v>103155</v>
          </cell>
          <cell r="V187">
            <v>103155</v>
          </cell>
          <cell r="W187">
            <v>5361898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R188"/>
          <cell r="S188">
            <v>99952</v>
          </cell>
          <cell r="V188">
            <v>99952</v>
          </cell>
          <cell r="W188">
            <v>5361898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R189"/>
          <cell r="S189">
            <v>99965</v>
          </cell>
          <cell r="V189">
            <v>99952</v>
          </cell>
          <cell r="W189">
            <v>5361911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R190"/>
          <cell r="S190">
            <v>99976</v>
          </cell>
          <cell r="V190">
            <v>99976</v>
          </cell>
          <cell r="W190">
            <v>5361911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R191"/>
          <cell r="S191">
            <v>99998</v>
          </cell>
          <cell r="V191">
            <v>99998</v>
          </cell>
          <cell r="W191">
            <v>5361911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10000</v>
          </cell>
          <cell r="Q192">
            <v>78144</v>
          </cell>
          <cell r="R192"/>
          <cell r="S192">
            <v>100023</v>
          </cell>
          <cell r="V192">
            <v>100023</v>
          </cell>
          <cell r="W192">
            <v>5361911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5361911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5361911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S195">
            <v>90082</v>
          </cell>
          <cell r="V195">
            <v>90082</v>
          </cell>
          <cell r="W195">
            <v>5361911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5361911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S197">
            <v>90135</v>
          </cell>
          <cell r="V197">
            <v>90135</v>
          </cell>
          <cell r="W197">
            <v>5361911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90145</v>
          </cell>
          <cell r="V198">
            <v>90145</v>
          </cell>
          <cell r="W198">
            <v>5361911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5361911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5361911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5361911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S202">
            <v>92303</v>
          </cell>
          <cell r="V202">
            <v>92333</v>
          </cell>
          <cell r="W202">
            <v>5361881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S203">
            <v>92333</v>
          </cell>
          <cell r="V203"/>
          <cell r="W203">
            <v>5454214</v>
          </cell>
        </row>
        <row r="204">
          <cell r="E204">
            <v>-22</v>
          </cell>
          <cell r="G204">
            <v>-3212</v>
          </cell>
          <cell r="J204">
            <v>-22</v>
          </cell>
          <cell r="L204">
            <v>-12298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S204">
            <v>68494</v>
          </cell>
          <cell r="V204"/>
          <cell r="W204">
            <v>5522708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S205">
            <v>84004</v>
          </cell>
          <cell r="V205"/>
          <cell r="W205">
            <v>5606712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S206">
            <v>84004</v>
          </cell>
          <cell r="V206"/>
          <cell r="W206">
            <v>5690716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S207">
            <v>84004</v>
          </cell>
          <cell r="V207"/>
          <cell r="W207">
            <v>5774720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S208">
            <v>84004</v>
          </cell>
          <cell r="V208"/>
          <cell r="W208">
            <v>5858724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S209">
            <v>84004</v>
          </cell>
          <cell r="V209"/>
          <cell r="W209">
            <v>5942728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S210">
            <v>84004</v>
          </cell>
          <cell r="V210"/>
          <cell r="W210">
            <v>6026732</v>
          </cell>
        </row>
      </sheetData>
      <sheetData sheetId="45">
        <row r="175">
          <cell r="E175">
            <v>322</v>
          </cell>
          <cell r="G175">
            <v>47012</v>
          </cell>
          <cell r="J175">
            <v>59</v>
          </cell>
          <cell r="L175">
            <v>32981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R175">
            <v>0</v>
          </cell>
          <cell r="S175">
            <v>177134</v>
          </cell>
          <cell r="V175">
            <v>177134</v>
          </cell>
          <cell r="W175">
            <v>0</v>
          </cell>
        </row>
        <row r="176">
          <cell r="E176">
            <v>433</v>
          </cell>
          <cell r="G176">
            <v>63218</v>
          </cell>
          <cell r="J176">
            <v>52</v>
          </cell>
          <cell r="L176">
            <v>29068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R176">
            <v>0</v>
          </cell>
          <cell r="S176">
            <v>189427</v>
          </cell>
          <cell r="V176">
            <v>189427</v>
          </cell>
          <cell r="W176">
            <v>0</v>
          </cell>
        </row>
        <row r="177">
          <cell r="E177">
            <v>527</v>
          </cell>
          <cell r="G177">
            <v>76942</v>
          </cell>
          <cell r="J177">
            <v>63</v>
          </cell>
          <cell r="L177">
            <v>35217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R177">
            <v>0</v>
          </cell>
          <cell r="S177">
            <v>209300</v>
          </cell>
          <cell r="V177">
            <v>209300</v>
          </cell>
          <cell r="W177">
            <v>0</v>
          </cell>
        </row>
        <row r="178">
          <cell r="E178">
            <v>408</v>
          </cell>
          <cell r="G178">
            <v>59568</v>
          </cell>
          <cell r="J178">
            <v>66</v>
          </cell>
          <cell r="L178">
            <v>36894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R178">
            <v>0</v>
          </cell>
          <cell r="S178">
            <v>193603</v>
          </cell>
          <cell r="V178">
            <v>193603</v>
          </cell>
          <cell r="W178">
            <v>0</v>
          </cell>
        </row>
        <row r="179">
          <cell r="E179">
            <v>79</v>
          </cell>
          <cell r="G179">
            <v>11534</v>
          </cell>
          <cell r="J179">
            <v>22</v>
          </cell>
          <cell r="L179">
            <v>12298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R179">
            <v>0</v>
          </cell>
          <cell r="S179">
            <v>120973</v>
          </cell>
          <cell r="V179">
            <v>120973</v>
          </cell>
          <cell r="W179">
            <v>0</v>
          </cell>
        </row>
        <row r="180">
          <cell r="E180">
            <v>149</v>
          </cell>
          <cell r="G180">
            <v>21754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R180">
            <v>0</v>
          </cell>
          <cell r="S180">
            <v>119454</v>
          </cell>
          <cell r="V180">
            <v>119454</v>
          </cell>
          <cell r="W180">
            <v>0</v>
          </cell>
        </row>
        <row r="181">
          <cell r="E181">
            <v>138</v>
          </cell>
          <cell r="G181">
            <v>20148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R181">
            <v>0</v>
          </cell>
          <cell r="S181">
            <v>117289</v>
          </cell>
          <cell r="V181">
            <v>117289</v>
          </cell>
          <cell r="W181">
            <v>0</v>
          </cell>
        </row>
        <row r="182">
          <cell r="E182">
            <v>156</v>
          </cell>
          <cell r="G182">
            <v>22776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>
            <v>0</v>
          </cell>
          <cell r="S182">
            <v>120898</v>
          </cell>
          <cell r="V182">
            <v>120898</v>
          </cell>
          <cell r="W182">
            <v>0</v>
          </cell>
        </row>
        <row r="183">
          <cell r="E183">
            <v>323</v>
          </cell>
          <cell r="G183">
            <v>47158</v>
          </cell>
          <cell r="J183">
            <v>7</v>
          </cell>
          <cell r="L183">
            <v>3913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>
            <v>0</v>
          </cell>
          <cell r="S183">
            <v>149209</v>
          </cell>
          <cell r="V183">
            <v>149209</v>
          </cell>
          <cell r="W183">
            <v>0</v>
          </cell>
        </row>
        <row r="184">
          <cell r="E184">
            <v>403</v>
          </cell>
          <cell r="G184">
            <v>58838</v>
          </cell>
          <cell r="J184">
            <v>19</v>
          </cell>
          <cell r="L184">
            <v>10621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>
            <v>0</v>
          </cell>
          <cell r="S184">
            <v>167590</v>
          </cell>
          <cell r="V184">
            <v>167590</v>
          </cell>
          <cell r="W184">
            <v>0</v>
          </cell>
        </row>
        <row r="185">
          <cell r="E185">
            <v>283</v>
          </cell>
          <cell r="G185">
            <v>41318</v>
          </cell>
          <cell r="J185">
            <v>35</v>
          </cell>
          <cell r="L185">
            <v>19565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>
            <v>0</v>
          </cell>
          <cell r="S185">
            <v>159043</v>
          </cell>
          <cell r="V185">
            <v>159043</v>
          </cell>
          <cell r="W185">
            <v>0</v>
          </cell>
        </row>
        <row r="186">
          <cell r="E186">
            <v>428</v>
          </cell>
          <cell r="G186">
            <v>62488</v>
          </cell>
          <cell r="J186">
            <v>53</v>
          </cell>
          <cell r="L186">
            <v>29627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/>
          <cell r="S186">
            <v>190295</v>
          </cell>
          <cell r="V186">
            <v>190295</v>
          </cell>
          <cell r="W186">
            <v>0</v>
          </cell>
        </row>
        <row r="187">
          <cell r="E187">
            <v>483</v>
          </cell>
          <cell r="G187">
            <v>70518</v>
          </cell>
          <cell r="J187">
            <v>82</v>
          </cell>
          <cell r="L187">
            <v>45838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/>
          <cell r="S187">
            <v>216278</v>
          </cell>
          <cell r="V187">
            <v>216278</v>
          </cell>
          <cell r="W187">
            <v>0</v>
          </cell>
        </row>
        <row r="188">
          <cell r="E188">
            <v>356</v>
          </cell>
          <cell r="G188">
            <v>51976</v>
          </cell>
          <cell r="J188">
            <v>71</v>
          </cell>
          <cell r="L188">
            <v>39689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R188"/>
          <cell r="S188">
            <v>191617</v>
          </cell>
          <cell r="V188">
            <v>191617</v>
          </cell>
          <cell r="W188">
            <v>0</v>
          </cell>
        </row>
        <row r="189">
          <cell r="E189">
            <v>418</v>
          </cell>
          <cell r="G189">
            <v>61028</v>
          </cell>
          <cell r="J189">
            <v>401</v>
          </cell>
          <cell r="L189">
            <v>627359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R189"/>
          <cell r="S189">
            <v>788352</v>
          </cell>
          <cell r="V189">
            <v>788352</v>
          </cell>
          <cell r="W189">
            <v>0</v>
          </cell>
        </row>
        <row r="190">
          <cell r="E190">
            <v>515</v>
          </cell>
          <cell r="G190">
            <v>75190</v>
          </cell>
          <cell r="J190">
            <v>10</v>
          </cell>
          <cell r="L190">
            <v>5590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R190"/>
          <cell r="S190">
            <v>180756</v>
          </cell>
          <cell r="V190">
            <v>182756</v>
          </cell>
          <cell r="W190">
            <v>-2000</v>
          </cell>
        </row>
        <row r="191">
          <cell r="E191">
            <v>506</v>
          </cell>
          <cell r="G191">
            <v>73876</v>
          </cell>
          <cell r="J191">
            <v>22</v>
          </cell>
          <cell r="L191">
            <v>12298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R191"/>
          <cell r="S191">
            <v>186172</v>
          </cell>
          <cell r="V191">
            <v>184172</v>
          </cell>
          <cell r="W191">
            <v>0</v>
          </cell>
        </row>
        <row r="192">
          <cell r="E192">
            <v>330</v>
          </cell>
          <cell r="G192">
            <v>48180</v>
          </cell>
          <cell r="J192">
            <v>2</v>
          </cell>
          <cell r="L192">
            <v>1118</v>
          </cell>
          <cell r="M192">
            <v>3731</v>
          </cell>
          <cell r="N192">
            <v>8148</v>
          </cell>
          <cell r="O192">
            <v>0</v>
          </cell>
          <cell r="P192">
            <v>10000</v>
          </cell>
          <cell r="Q192">
            <v>78144</v>
          </cell>
          <cell r="R192"/>
          <cell r="S192">
            <v>149321</v>
          </cell>
          <cell r="V192">
            <v>149321</v>
          </cell>
          <cell r="W192">
            <v>0</v>
          </cell>
        </row>
        <row r="193">
          <cell r="E193">
            <v>434</v>
          </cell>
          <cell r="G193">
            <v>63364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10000</v>
          </cell>
          <cell r="Q193">
            <v>78144</v>
          </cell>
          <cell r="R193"/>
          <cell r="S193">
            <v>163400</v>
          </cell>
          <cell r="V193">
            <v>163400</v>
          </cell>
          <cell r="W193">
            <v>0</v>
          </cell>
        </row>
        <row r="194">
          <cell r="E194">
            <v>521</v>
          </cell>
          <cell r="G194">
            <v>76066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S194">
            <v>168922</v>
          </cell>
          <cell r="V194">
            <v>168922</v>
          </cell>
          <cell r="W194">
            <v>0</v>
          </cell>
        </row>
        <row r="195">
          <cell r="E195">
            <v>439</v>
          </cell>
          <cell r="G195">
            <v>64094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S195">
            <v>154176</v>
          </cell>
          <cell r="V195">
            <v>154176</v>
          </cell>
          <cell r="W195">
            <v>0</v>
          </cell>
        </row>
        <row r="196">
          <cell r="E196">
            <v>544</v>
          </cell>
          <cell r="G196">
            <v>79424</v>
          </cell>
          <cell r="J196">
            <v>25</v>
          </cell>
          <cell r="L196">
            <v>13975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S196">
            <v>183504</v>
          </cell>
          <cell r="V196">
            <v>183504</v>
          </cell>
          <cell r="W196">
            <v>0</v>
          </cell>
        </row>
        <row r="197">
          <cell r="E197">
            <v>577</v>
          </cell>
          <cell r="G197">
            <v>84242</v>
          </cell>
          <cell r="J197">
            <v>22</v>
          </cell>
          <cell r="L197">
            <v>12298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S197">
            <v>186675</v>
          </cell>
          <cell r="V197">
            <v>186675</v>
          </cell>
          <cell r="W197">
            <v>0</v>
          </cell>
        </row>
        <row r="198">
          <cell r="E198">
            <v>416</v>
          </cell>
          <cell r="G198">
            <v>60736</v>
          </cell>
          <cell r="J198">
            <v>14</v>
          </cell>
          <cell r="L198">
            <v>7826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158707</v>
          </cell>
          <cell r="V198">
            <v>158707</v>
          </cell>
          <cell r="W198">
            <v>0</v>
          </cell>
        </row>
        <row r="199">
          <cell r="E199">
            <v>476</v>
          </cell>
          <cell r="G199">
            <v>69496</v>
          </cell>
          <cell r="J199">
            <v>11</v>
          </cell>
          <cell r="L199">
            <v>6149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167913</v>
          </cell>
          <cell r="V199"/>
          <cell r="W199">
            <v>167913</v>
          </cell>
        </row>
        <row r="200">
          <cell r="E200">
            <v>446</v>
          </cell>
          <cell r="G200">
            <v>65116</v>
          </cell>
          <cell r="J200">
            <v>29</v>
          </cell>
          <cell r="L200">
            <v>16211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173598</v>
          </cell>
          <cell r="V200">
            <v>341511</v>
          </cell>
          <cell r="W200">
            <v>0</v>
          </cell>
        </row>
        <row r="201">
          <cell r="E201">
            <v>486</v>
          </cell>
          <cell r="G201">
            <v>70956</v>
          </cell>
          <cell r="J201">
            <v>9</v>
          </cell>
          <cell r="L201">
            <v>5031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168261</v>
          </cell>
          <cell r="V201">
            <v>168261</v>
          </cell>
          <cell r="W201">
            <v>0</v>
          </cell>
        </row>
        <row r="202">
          <cell r="E202">
            <v>466</v>
          </cell>
          <cell r="G202">
            <v>68036</v>
          </cell>
          <cell r="J202">
            <v>27</v>
          </cell>
          <cell r="L202">
            <v>15093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175432</v>
          </cell>
          <cell r="V202">
            <v>175432</v>
          </cell>
          <cell r="W202">
            <v>0</v>
          </cell>
        </row>
        <row r="203">
          <cell r="E203">
            <v>165</v>
          </cell>
          <cell r="G203">
            <v>24090</v>
          </cell>
          <cell r="J203">
            <v>8</v>
          </cell>
          <cell r="L203">
            <v>4472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120895</v>
          </cell>
          <cell r="V203">
            <v>120895</v>
          </cell>
          <cell r="W203">
            <v>0</v>
          </cell>
        </row>
        <row r="204">
          <cell r="E204">
            <v>-56635</v>
          </cell>
          <cell r="G204">
            <v>-8268710</v>
          </cell>
          <cell r="J204">
            <v>-11937</v>
          </cell>
          <cell r="L204">
            <v>-6672783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-14857489</v>
          </cell>
          <cell r="V204"/>
          <cell r="W204">
            <v>-14857489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-14773485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-14689481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-14605477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-14521473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-14437469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-14353465</v>
          </cell>
        </row>
      </sheetData>
      <sheetData sheetId="46">
        <row r="175">
          <cell r="E175">
            <v>35</v>
          </cell>
          <cell r="G175">
            <v>5110</v>
          </cell>
          <cell r="J175">
            <v>8</v>
          </cell>
          <cell r="L175">
            <v>4472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0</v>
          </cell>
          <cell r="S175">
            <v>96723</v>
          </cell>
          <cell r="V175">
            <v>96723</v>
          </cell>
          <cell r="W175">
            <v>0</v>
          </cell>
        </row>
        <row r="176">
          <cell r="E176">
            <v>24</v>
          </cell>
          <cell r="G176">
            <v>3504</v>
          </cell>
          <cell r="J176">
            <v>9</v>
          </cell>
          <cell r="L176">
            <v>5031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0</v>
          </cell>
          <cell r="S176">
            <v>95676</v>
          </cell>
          <cell r="V176">
            <v>95676</v>
          </cell>
          <cell r="W176">
            <v>0</v>
          </cell>
        </row>
        <row r="177">
          <cell r="E177">
            <v>11</v>
          </cell>
          <cell r="G177">
            <v>1606</v>
          </cell>
          <cell r="J177">
            <v>9</v>
          </cell>
          <cell r="L177">
            <v>5031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0</v>
          </cell>
          <cell r="S177">
            <v>93778</v>
          </cell>
          <cell r="V177">
            <v>93778</v>
          </cell>
          <cell r="W177">
            <v>0</v>
          </cell>
        </row>
        <row r="178">
          <cell r="E178">
            <v>8</v>
          </cell>
          <cell r="G178">
            <v>1168</v>
          </cell>
          <cell r="J178">
            <v>9</v>
          </cell>
          <cell r="L178">
            <v>5031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0</v>
          </cell>
          <cell r="S178">
            <v>93340</v>
          </cell>
          <cell r="V178">
            <v>93340</v>
          </cell>
          <cell r="W178">
            <v>0</v>
          </cell>
        </row>
        <row r="179">
          <cell r="E179">
            <v>15</v>
          </cell>
          <cell r="G179">
            <v>2190</v>
          </cell>
          <cell r="J179">
            <v>9</v>
          </cell>
          <cell r="L179">
            <v>5031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0</v>
          </cell>
          <cell r="S179">
            <v>94362</v>
          </cell>
          <cell r="V179">
            <v>94362</v>
          </cell>
          <cell r="W179">
            <v>0</v>
          </cell>
        </row>
        <row r="180">
          <cell r="E180">
            <v>1</v>
          </cell>
          <cell r="G180">
            <v>146</v>
          </cell>
          <cell r="J180">
            <v>9</v>
          </cell>
          <cell r="L180">
            <v>5031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0</v>
          </cell>
          <cell r="S180">
            <v>92318</v>
          </cell>
          <cell r="V180">
            <v>92318</v>
          </cell>
          <cell r="W180">
            <v>0</v>
          </cell>
        </row>
        <row r="181">
          <cell r="E181">
            <v>5</v>
          </cell>
          <cell r="G181">
            <v>730</v>
          </cell>
          <cell r="J181">
            <v>8</v>
          </cell>
          <cell r="L181">
            <v>4472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0</v>
          </cell>
          <cell r="S181">
            <v>92343</v>
          </cell>
          <cell r="V181">
            <v>92343</v>
          </cell>
          <cell r="W181">
            <v>0</v>
          </cell>
        </row>
        <row r="182">
          <cell r="E182">
            <v>7</v>
          </cell>
          <cell r="G182">
            <v>1022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>
            <v>0</v>
          </cell>
          <cell r="S182">
            <v>91380</v>
          </cell>
          <cell r="V182"/>
          <cell r="W182">
            <v>91380</v>
          </cell>
        </row>
        <row r="183">
          <cell r="E183">
            <v>14</v>
          </cell>
          <cell r="G183">
            <v>2044</v>
          </cell>
          <cell r="J183">
            <v>1</v>
          </cell>
          <cell r="L183">
            <v>559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0</v>
          </cell>
          <cell r="S183">
            <v>90741</v>
          </cell>
          <cell r="V183">
            <v>182121</v>
          </cell>
          <cell r="W183">
            <v>0</v>
          </cell>
        </row>
        <row r="184">
          <cell r="E184">
            <v>6</v>
          </cell>
          <cell r="G184">
            <v>876</v>
          </cell>
          <cell r="J184">
            <v>4</v>
          </cell>
          <cell r="L184">
            <v>2236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0</v>
          </cell>
          <cell r="S184">
            <v>91243</v>
          </cell>
          <cell r="V184">
            <v>91243</v>
          </cell>
          <cell r="W184">
            <v>0</v>
          </cell>
        </row>
        <row r="185">
          <cell r="E185">
            <v>9</v>
          </cell>
          <cell r="G185">
            <v>1314</v>
          </cell>
          <cell r="J185">
            <v>9</v>
          </cell>
          <cell r="L185">
            <v>5031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94505</v>
          </cell>
          <cell r="V185">
            <v>94505</v>
          </cell>
          <cell r="W185">
            <v>0</v>
          </cell>
        </row>
        <row r="186">
          <cell r="E186">
            <v>10</v>
          </cell>
          <cell r="G186">
            <v>1460</v>
          </cell>
          <cell r="J186">
            <v>8</v>
          </cell>
          <cell r="L186">
            <v>4472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94112</v>
          </cell>
          <cell r="V186">
            <v>94112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8</v>
          </cell>
          <cell r="L187">
            <v>4472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94394</v>
          </cell>
          <cell r="V187">
            <v>94394</v>
          </cell>
          <cell r="W187">
            <v>0</v>
          </cell>
        </row>
        <row r="188">
          <cell r="E188">
            <v>8</v>
          </cell>
          <cell r="G188">
            <v>1168</v>
          </cell>
          <cell r="J188">
            <v>8</v>
          </cell>
          <cell r="L188">
            <v>4472</v>
          </cell>
          <cell r="M188">
            <v>3731</v>
          </cell>
          <cell r="N188">
            <v>8077</v>
          </cell>
          <cell r="O188">
            <v>29516</v>
          </cell>
          <cell r="P188">
            <v>0</v>
          </cell>
          <cell r="Q188">
            <v>78144</v>
          </cell>
          <cell r="R188"/>
          <cell r="S188">
            <v>125108</v>
          </cell>
          <cell r="V188">
            <v>125108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7</v>
          </cell>
          <cell r="L189">
            <v>3913</v>
          </cell>
          <cell r="M189">
            <v>3731</v>
          </cell>
          <cell r="N189">
            <v>8090</v>
          </cell>
          <cell r="O189"/>
          <cell r="P189">
            <v>0</v>
          </cell>
          <cell r="Q189">
            <v>78144</v>
          </cell>
          <cell r="R189"/>
          <cell r="S189">
            <v>93878</v>
          </cell>
          <cell r="V189">
            <v>93878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9</v>
          </cell>
          <cell r="L190">
            <v>5031</v>
          </cell>
          <cell r="M190">
            <v>3731</v>
          </cell>
          <cell r="N190">
            <v>8101</v>
          </cell>
          <cell r="O190"/>
          <cell r="P190">
            <v>0</v>
          </cell>
          <cell r="Q190">
            <v>78144</v>
          </cell>
          <cell r="R190"/>
          <cell r="S190">
            <v>95007</v>
          </cell>
          <cell r="V190">
            <v>95007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10</v>
          </cell>
          <cell r="L191">
            <v>5590</v>
          </cell>
          <cell r="M191">
            <v>3731</v>
          </cell>
          <cell r="N191">
            <v>8123</v>
          </cell>
          <cell r="O191"/>
          <cell r="P191">
            <v>0</v>
          </cell>
          <cell r="Q191">
            <v>78144</v>
          </cell>
          <cell r="R191"/>
          <cell r="S191">
            <v>95588</v>
          </cell>
          <cell r="V191">
            <v>95588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8</v>
          </cell>
          <cell r="L192">
            <v>4472</v>
          </cell>
          <cell r="M192">
            <v>3731</v>
          </cell>
          <cell r="N192">
            <v>8148</v>
          </cell>
          <cell r="O192"/>
          <cell r="P192">
            <v>0</v>
          </cell>
          <cell r="Q192">
            <v>78144</v>
          </cell>
          <cell r="R192"/>
          <cell r="S192">
            <v>94495</v>
          </cell>
          <cell r="V192">
            <v>94495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8</v>
          </cell>
          <cell r="L193">
            <v>4472</v>
          </cell>
          <cell r="M193">
            <v>3731</v>
          </cell>
          <cell r="N193">
            <v>8161</v>
          </cell>
          <cell r="O193"/>
          <cell r="P193">
            <v>0</v>
          </cell>
          <cell r="Q193">
            <v>78144</v>
          </cell>
          <cell r="R193"/>
          <cell r="S193">
            <v>94508</v>
          </cell>
          <cell r="V193">
            <v>94508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10</v>
          </cell>
          <cell r="L194">
            <v>5590</v>
          </cell>
          <cell r="M194">
            <v>3731</v>
          </cell>
          <cell r="N194">
            <v>8186</v>
          </cell>
          <cell r="O194"/>
          <cell r="P194">
            <v>0</v>
          </cell>
          <cell r="Q194">
            <v>78144</v>
          </cell>
          <cell r="R194"/>
          <cell r="S194">
            <v>95651</v>
          </cell>
          <cell r="V194">
            <v>95651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8</v>
          </cell>
          <cell r="L195">
            <v>4472</v>
          </cell>
          <cell r="M195">
            <v>3731</v>
          </cell>
          <cell r="N195">
            <v>8207</v>
          </cell>
          <cell r="O195"/>
          <cell r="P195">
            <v>0</v>
          </cell>
          <cell r="Q195">
            <v>78144</v>
          </cell>
          <cell r="R195"/>
          <cell r="S195">
            <v>94554</v>
          </cell>
          <cell r="V195">
            <v>94554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8</v>
          </cell>
          <cell r="L196">
            <v>4472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R196"/>
          <cell r="S196">
            <v>94577</v>
          </cell>
          <cell r="V196">
            <v>94577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10</v>
          </cell>
          <cell r="L197">
            <v>5590</v>
          </cell>
          <cell r="M197">
            <v>3731</v>
          </cell>
          <cell r="N197">
            <v>8260</v>
          </cell>
          <cell r="O197"/>
          <cell r="P197">
            <v>0</v>
          </cell>
          <cell r="Q197">
            <v>78144</v>
          </cell>
          <cell r="R197"/>
          <cell r="S197">
            <v>95725</v>
          </cell>
          <cell r="V197">
            <v>95725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8</v>
          </cell>
          <cell r="L198">
            <v>4472</v>
          </cell>
          <cell r="M198">
            <v>3731</v>
          </cell>
          <cell r="N198">
            <v>8270</v>
          </cell>
          <cell r="O198"/>
          <cell r="P198">
            <v>0</v>
          </cell>
          <cell r="Q198">
            <v>78144</v>
          </cell>
          <cell r="R198">
            <v>55092</v>
          </cell>
          <cell r="S198">
            <v>149709</v>
          </cell>
          <cell r="V198"/>
          <cell r="W198">
            <v>149709</v>
          </cell>
        </row>
        <row r="199">
          <cell r="E199">
            <v>0</v>
          </cell>
          <cell r="G199">
            <v>0</v>
          </cell>
          <cell r="J199">
            <v>10</v>
          </cell>
          <cell r="L199">
            <v>5590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152950</v>
          </cell>
          <cell r="V199">
            <v>302659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10</v>
          </cell>
          <cell r="L200">
            <v>5590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97861</v>
          </cell>
          <cell r="V200">
            <v>97861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10</v>
          </cell>
          <cell r="L201">
            <v>5590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97864</v>
          </cell>
          <cell r="V201">
            <v>97864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9</v>
          </cell>
          <cell r="L202">
            <v>5031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97334</v>
          </cell>
          <cell r="V202"/>
          <cell r="W202">
            <v>97334</v>
          </cell>
        </row>
        <row r="203">
          <cell r="E203">
            <v>0</v>
          </cell>
          <cell r="G203">
            <v>0</v>
          </cell>
          <cell r="J203">
            <v>11</v>
          </cell>
          <cell r="L203">
            <v>6149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98482</v>
          </cell>
          <cell r="V203"/>
          <cell r="W203">
            <v>195816</v>
          </cell>
        </row>
        <row r="204">
          <cell r="E204">
            <v>0</v>
          </cell>
          <cell r="G204">
            <v>0</v>
          </cell>
          <cell r="J204">
            <v>-1893</v>
          </cell>
          <cell r="L204">
            <v>-1058187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-974183</v>
          </cell>
          <cell r="V204"/>
          <cell r="W204">
            <v>-778367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-694363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-610359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-526355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-442351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-358347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-274343</v>
          </cell>
        </row>
      </sheetData>
      <sheetData sheetId="4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>
            <v>10000</v>
          </cell>
          <cell r="Q175">
            <v>76410</v>
          </cell>
          <cell r="R175"/>
          <cell r="S175">
            <v>97141</v>
          </cell>
          <cell r="V175">
            <v>188536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>
            <v>10000</v>
          </cell>
          <cell r="Q176">
            <v>76410</v>
          </cell>
          <cell r="R176"/>
          <cell r="S176">
            <v>97141</v>
          </cell>
          <cell r="V176">
            <v>97141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>
            <v>10000</v>
          </cell>
          <cell r="Q177">
            <v>76410</v>
          </cell>
          <cell r="R177"/>
          <cell r="S177">
            <v>97141</v>
          </cell>
          <cell r="V177">
            <v>97141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>
            <v>10000</v>
          </cell>
          <cell r="Q178">
            <v>76410</v>
          </cell>
          <cell r="R178">
            <v>53123</v>
          </cell>
          <cell r="S178">
            <v>150264</v>
          </cell>
          <cell r="V178"/>
          <cell r="W178">
            <v>150264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>
            <v>10000</v>
          </cell>
          <cell r="Q179">
            <v>76410</v>
          </cell>
          <cell r="R179">
            <v>53262</v>
          </cell>
          <cell r="S179">
            <v>150403</v>
          </cell>
          <cell r="V179"/>
          <cell r="W179">
            <v>300667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>
            <v>10000</v>
          </cell>
          <cell r="Q180">
            <v>76410</v>
          </cell>
          <cell r="R180">
            <v>53330</v>
          </cell>
          <cell r="S180">
            <v>150471</v>
          </cell>
          <cell r="V180"/>
          <cell r="W180">
            <v>451138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>
            <v>10000</v>
          </cell>
          <cell r="Q181">
            <v>76410</v>
          </cell>
          <cell r="R181">
            <v>53195</v>
          </cell>
          <cell r="S181">
            <v>150336</v>
          </cell>
          <cell r="V181"/>
          <cell r="W181">
            <v>601474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>
            <v>10000</v>
          </cell>
          <cell r="Q182">
            <v>76410</v>
          </cell>
          <cell r="R182">
            <v>53208</v>
          </cell>
          <cell r="S182">
            <v>151330</v>
          </cell>
          <cell r="V182"/>
          <cell r="W182">
            <v>752804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>
            <v>10000</v>
          </cell>
          <cell r="Q183">
            <v>76410</v>
          </cell>
          <cell r="R183">
            <v>53314</v>
          </cell>
          <cell r="S183">
            <v>151452</v>
          </cell>
          <cell r="V183"/>
          <cell r="W183">
            <v>904256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>
            <v>10000</v>
          </cell>
          <cell r="Q184">
            <v>76410</v>
          </cell>
          <cell r="R184">
            <v>53270</v>
          </cell>
          <cell r="S184">
            <v>151401</v>
          </cell>
          <cell r="V184"/>
          <cell r="W184">
            <v>1055657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>
            <v>10000</v>
          </cell>
          <cell r="Q185">
            <v>76410</v>
          </cell>
          <cell r="R185">
            <v>53462</v>
          </cell>
          <cell r="S185">
            <v>151622</v>
          </cell>
          <cell r="V185"/>
          <cell r="W185">
            <v>1207279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>
            <v>10000</v>
          </cell>
          <cell r="Q186">
            <v>76410</v>
          </cell>
          <cell r="R186">
            <v>53650</v>
          </cell>
          <cell r="S186">
            <v>151830</v>
          </cell>
          <cell r="V186"/>
          <cell r="W186">
            <v>1359109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>
            <v>10000</v>
          </cell>
          <cell r="Q187">
            <v>78144</v>
          </cell>
          <cell r="R187">
            <v>53847</v>
          </cell>
          <cell r="S187">
            <v>153769</v>
          </cell>
          <cell r="V187"/>
          <cell r="W187">
            <v>1512878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>
            <v>10000</v>
          </cell>
          <cell r="Q188">
            <v>78144</v>
          </cell>
          <cell r="R188">
            <v>53934</v>
          </cell>
          <cell r="S188">
            <v>153886</v>
          </cell>
          <cell r="V188"/>
          <cell r="W188">
            <v>1666764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>
            <v>10000</v>
          </cell>
          <cell r="Q189">
            <v>78144</v>
          </cell>
          <cell r="R189">
            <v>54009</v>
          </cell>
          <cell r="S189">
            <v>153974</v>
          </cell>
          <cell r="V189"/>
          <cell r="W189">
            <v>1820738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>
            <v>10000</v>
          </cell>
          <cell r="Q190">
            <v>78144</v>
          </cell>
          <cell r="R190">
            <v>54157</v>
          </cell>
          <cell r="S190">
            <v>154133</v>
          </cell>
          <cell r="V190"/>
          <cell r="W190">
            <v>1974871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>
            <v>10000</v>
          </cell>
          <cell r="Q191">
            <v>78144</v>
          </cell>
          <cell r="R191">
            <v>54318</v>
          </cell>
          <cell r="S191">
            <v>154316</v>
          </cell>
          <cell r="V191"/>
          <cell r="W191">
            <v>2129187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>
            <v>10000</v>
          </cell>
          <cell r="Q192">
            <v>78144</v>
          </cell>
          <cell r="R192">
            <v>54405</v>
          </cell>
          <cell r="S192">
            <v>154428</v>
          </cell>
          <cell r="V192"/>
          <cell r="W192">
            <v>2283615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>
            <v>10000</v>
          </cell>
          <cell r="Q193">
            <v>78144</v>
          </cell>
          <cell r="R193">
            <v>54575</v>
          </cell>
          <cell r="S193">
            <v>154611</v>
          </cell>
          <cell r="V193"/>
          <cell r="W193">
            <v>2438226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>
            <v>10000</v>
          </cell>
          <cell r="Q194">
            <v>78144</v>
          </cell>
          <cell r="R194">
            <v>54715</v>
          </cell>
          <cell r="S194">
            <v>154776</v>
          </cell>
          <cell r="V194"/>
          <cell r="W194">
            <v>2593002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>
            <v>10000</v>
          </cell>
          <cell r="Q195">
            <v>78144</v>
          </cell>
          <cell r="R195">
            <v>54864</v>
          </cell>
          <cell r="S195">
            <v>154946</v>
          </cell>
          <cell r="V195"/>
          <cell r="W195">
            <v>2747948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>
            <v>10000</v>
          </cell>
          <cell r="Q196">
            <v>78144</v>
          </cell>
          <cell r="R196">
            <v>55066</v>
          </cell>
          <cell r="S196">
            <v>155171</v>
          </cell>
          <cell r="V196"/>
          <cell r="W196">
            <v>2903119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>
            <v>10000</v>
          </cell>
          <cell r="Q197">
            <v>78144</v>
          </cell>
          <cell r="R197">
            <v>55132</v>
          </cell>
          <cell r="S197">
            <v>155267</v>
          </cell>
          <cell r="V197"/>
          <cell r="W197">
            <v>3058386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>
            <v>10000</v>
          </cell>
          <cell r="Q198">
            <v>78144</v>
          </cell>
          <cell r="R198">
            <v>55092</v>
          </cell>
          <cell r="S198">
            <v>155237</v>
          </cell>
          <cell r="V198"/>
          <cell r="W198">
            <v>3213623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>
            <v>10000</v>
          </cell>
          <cell r="Q199">
            <v>80176</v>
          </cell>
          <cell r="R199">
            <v>55092</v>
          </cell>
          <cell r="S199">
            <v>157360</v>
          </cell>
          <cell r="V199"/>
          <cell r="W199">
            <v>3370983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>
            <v>10000</v>
          </cell>
          <cell r="Q200">
            <v>80176</v>
          </cell>
          <cell r="R200">
            <v>55114</v>
          </cell>
          <cell r="S200">
            <v>157385</v>
          </cell>
          <cell r="V200"/>
          <cell r="W200">
            <v>3528368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>
            <v>10000</v>
          </cell>
          <cell r="Q201">
            <v>80176</v>
          </cell>
          <cell r="R201">
            <v>55132</v>
          </cell>
          <cell r="S201">
            <v>157406</v>
          </cell>
          <cell r="V201"/>
          <cell r="W201">
            <v>3685774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>
            <v>10000</v>
          </cell>
          <cell r="Q202">
            <v>80176</v>
          </cell>
          <cell r="R202">
            <v>55324</v>
          </cell>
          <cell r="S202">
            <v>157627</v>
          </cell>
          <cell r="V202"/>
          <cell r="W202">
            <v>3843401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>
            <v>10000</v>
          </cell>
          <cell r="Q203">
            <v>80176</v>
          </cell>
          <cell r="R203"/>
          <cell r="S203">
            <v>102333</v>
          </cell>
          <cell r="V203"/>
          <cell r="W203">
            <v>3945734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>
            <v>10000</v>
          </cell>
          <cell r="Q204">
            <v>80176</v>
          </cell>
          <cell r="R204"/>
          <cell r="S204">
            <v>94004</v>
          </cell>
          <cell r="V204"/>
          <cell r="W204">
            <v>4039738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>
            <v>10000</v>
          </cell>
          <cell r="Q205">
            <v>80176</v>
          </cell>
          <cell r="R205"/>
          <cell r="S205">
            <v>94004</v>
          </cell>
          <cell r="V205"/>
          <cell r="W205">
            <v>4133742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>
            <v>10000</v>
          </cell>
          <cell r="Q206">
            <v>80176</v>
          </cell>
          <cell r="R206"/>
          <cell r="S206">
            <v>94004</v>
          </cell>
          <cell r="V206"/>
          <cell r="W206">
            <v>4227746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>
            <v>10000</v>
          </cell>
          <cell r="Q207">
            <v>80176</v>
          </cell>
          <cell r="R207"/>
          <cell r="S207">
            <v>94004</v>
          </cell>
          <cell r="V207"/>
          <cell r="W207">
            <v>4321750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>
            <v>10000</v>
          </cell>
          <cell r="Q208">
            <v>80176</v>
          </cell>
          <cell r="R208"/>
          <cell r="S208">
            <v>94004</v>
          </cell>
          <cell r="V208"/>
          <cell r="W208">
            <v>4415754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>
            <v>10000</v>
          </cell>
          <cell r="Q209">
            <v>80176</v>
          </cell>
          <cell r="R209"/>
          <cell r="S209">
            <v>94004</v>
          </cell>
          <cell r="V209"/>
          <cell r="W209">
            <v>4509758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>
            <v>10000</v>
          </cell>
          <cell r="Q210">
            <v>80176</v>
          </cell>
          <cell r="R210"/>
          <cell r="S210">
            <v>94004</v>
          </cell>
          <cell r="V210"/>
          <cell r="W210">
            <v>4603762</v>
          </cell>
        </row>
      </sheetData>
      <sheetData sheetId="48">
        <row r="175">
          <cell r="E175">
            <v>54</v>
          </cell>
          <cell r="G175">
            <v>7884</v>
          </cell>
          <cell r="J175">
            <v>6</v>
          </cell>
          <cell r="L175">
            <v>3354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98379</v>
          </cell>
          <cell r="V175">
            <v>98429</v>
          </cell>
          <cell r="W175">
            <v>0</v>
          </cell>
        </row>
        <row r="176">
          <cell r="E176">
            <v>91</v>
          </cell>
          <cell r="G176">
            <v>13286</v>
          </cell>
          <cell r="J176">
            <v>14</v>
          </cell>
          <cell r="L176">
            <v>7826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108253</v>
          </cell>
          <cell r="V176">
            <v>108253</v>
          </cell>
          <cell r="W176">
            <v>0</v>
          </cell>
        </row>
        <row r="177">
          <cell r="E177">
            <v>72</v>
          </cell>
          <cell r="G177">
            <v>10512</v>
          </cell>
          <cell r="J177">
            <v>10</v>
          </cell>
          <cell r="L177">
            <v>5590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103243</v>
          </cell>
          <cell r="V177">
            <v>103243</v>
          </cell>
          <cell r="W177">
            <v>0</v>
          </cell>
        </row>
        <row r="178">
          <cell r="E178">
            <v>76</v>
          </cell>
          <cell r="G178">
            <v>11096</v>
          </cell>
          <cell r="J178">
            <v>10</v>
          </cell>
          <cell r="L178">
            <v>5590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103827</v>
          </cell>
          <cell r="V178">
            <v>103823</v>
          </cell>
          <cell r="W178">
            <v>4</v>
          </cell>
        </row>
        <row r="179">
          <cell r="E179">
            <v>197</v>
          </cell>
          <cell r="G179">
            <v>28762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115903</v>
          </cell>
          <cell r="V179">
            <v>115907</v>
          </cell>
          <cell r="W179">
            <v>0</v>
          </cell>
        </row>
        <row r="180">
          <cell r="E180">
            <v>131</v>
          </cell>
          <cell r="G180">
            <v>19126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107385</v>
          </cell>
          <cell r="V180">
            <v>107385</v>
          </cell>
          <cell r="W180">
            <v>0</v>
          </cell>
        </row>
        <row r="181">
          <cell r="E181">
            <v>91</v>
          </cell>
          <cell r="G181">
            <v>13286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100427</v>
          </cell>
          <cell r="V181">
            <v>100427</v>
          </cell>
          <cell r="W181">
            <v>0</v>
          </cell>
        </row>
        <row r="182">
          <cell r="E182">
            <v>57</v>
          </cell>
          <cell r="G182">
            <v>8322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97003</v>
          </cell>
          <cell r="V182">
            <v>97003</v>
          </cell>
          <cell r="W182">
            <v>0</v>
          </cell>
        </row>
        <row r="183">
          <cell r="E183">
            <v>10</v>
          </cell>
          <cell r="G183">
            <v>1460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94070</v>
          </cell>
          <cell r="V183"/>
          <cell r="W183">
            <v>94070</v>
          </cell>
        </row>
        <row r="184">
          <cell r="E184">
            <v>8</v>
          </cell>
          <cell r="G184">
            <v>1168</v>
          </cell>
          <cell r="J184">
            <v>5</v>
          </cell>
          <cell r="L184">
            <v>2795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92094</v>
          </cell>
          <cell r="V184">
            <v>186164</v>
          </cell>
          <cell r="W184">
            <v>0</v>
          </cell>
        </row>
        <row r="185">
          <cell r="E185">
            <v>10</v>
          </cell>
          <cell r="G185">
            <v>1460</v>
          </cell>
          <cell r="J185">
            <v>7</v>
          </cell>
          <cell r="L185">
            <v>3913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93533</v>
          </cell>
          <cell r="V185"/>
          <cell r="W185">
            <v>93533</v>
          </cell>
        </row>
        <row r="186">
          <cell r="E186">
            <v>8</v>
          </cell>
          <cell r="G186">
            <v>1168</v>
          </cell>
          <cell r="J186">
            <v>6</v>
          </cell>
          <cell r="L186">
            <v>3354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92702</v>
          </cell>
          <cell r="V186">
            <v>186235</v>
          </cell>
          <cell r="W186">
            <v>0</v>
          </cell>
        </row>
        <row r="187">
          <cell r="E187">
            <v>19</v>
          </cell>
          <cell r="G187">
            <v>2774</v>
          </cell>
          <cell r="J187">
            <v>10</v>
          </cell>
          <cell r="L187">
            <v>5590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98286</v>
          </cell>
          <cell r="V187"/>
          <cell r="W187">
            <v>98286</v>
          </cell>
        </row>
        <row r="188">
          <cell r="E188">
            <v>48</v>
          </cell>
          <cell r="G188">
            <v>7008</v>
          </cell>
          <cell r="J188">
            <v>11</v>
          </cell>
          <cell r="L188">
            <v>6149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103109</v>
          </cell>
          <cell r="V188">
            <v>201395</v>
          </cell>
          <cell r="W188">
            <v>0</v>
          </cell>
        </row>
        <row r="189">
          <cell r="E189">
            <v>8</v>
          </cell>
          <cell r="G189">
            <v>1168</v>
          </cell>
          <cell r="J189">
            <v>10</v>
          </cell>
          <cell r="L189">
            <v>5590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54009</v>
          </cell>
          <cell r="S189">
            <v>150732</v>
          </cell>
          <cell r="V189"/>
          <cell r="W189">
            <v>150732</v>
          </cell>
        </row>
        <row r="190">
          <cell r="E190">
            <v>0</v>
          </cell>
          <cell r="G190">
            <v>0</v>
          </cell>
          <cell r="J190">
            <v>10</v>
          </cell>
          <cell r="L190">
            <v>5590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54157</v>
          </cell>
          <cell r="S190">
            <v>149723</v>
          </cell>
          <cell r="V190"/>
          <cell r="W190">
            <v>300455</v>
          </cell>
        </row>
        <row r="191">
          <cell r="E191">
            <v>0</v>
          </cell>
          <cell r="G191">
            <v>0</v>
          </cell>
          <cell r="J191">
            <v>11</v>
          </cell>
          <cell r="L191">
            <v>6149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54318</v>
          </cell>
          <cell r="S191">
            <v>150465</v>
          </cell>
          <cell r="V191"/>
          <cell r="W191">
            <v>450920</v>
          </cell>
        </row>
        <row r="192">
          <cell r="E192">
            <v>0</v>
          </cell>
          <cell r="G192">
            <v>0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54405</v>
          </cell>
          <cell r="S192">
            <v>144987</v>
          </cell>
          <cell r="V192"/>
          <cell r="W192">
            <v>595907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54575</v>
          </cell>
          <cell r="S193">
            <v>144611</v>
          </cell>
          <cell r="V193"/>
          <cell r="W193">
            <v>740518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54715</v>
          </cell>
          <cell r="S194">
            <v>144776</v>
          </cell>
          <cell r="V194"/>
          <cell r="W194">
            <v>885294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54864</v>
          </cell>
          <cell r="S195">
            <v>144946</v>
          </cell>
          <cell r="V195"/>
          <cell r="W195">
            <v>1030240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S196">
            <v>145171</v>
          </cell>
          <cell r="V196"/>
          <cell r="W196">
            <v>1175411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S197">
            <v>145267</v>
          </cell>
          <cell r="V197"/>
          <cell r="W197">
            <v>1320678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55092</v>
          </cell>
          <cell r="S198">
            <v>145237</v>
          </cell>
          <cell r="V198"/>
          <cell r="W198">
            <v>1465915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147360</v>
          </cell>
          <cell r="V199"/>
          <cell r="W199">
            <v>1613275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1760660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1908066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2055693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2148026</v>
          </cell>
        </row>
        <row r="204">
          <cell r="E204">
            <v>-1018</v>
          </cell>
          <cell r="G204">
            <v>-148628</v>
          </cell>
          <cell r="J204">
            <v>-190</v>
          </cell>
          <cell r="L204">
            <v>-106210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-170834</v>
          </cell>
          <cell r="V204"/>
          <cell r="W204">
            <v>1977192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2061196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2145200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2229204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2313208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2397212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2481216</v>
          </cell>
        </row>
      </sheetData>
      <sheetData sheetId="49">
        <row r="175">
          <cell r="E175">
            <v>630</v>
          </cell>
          <cell r="G175">
            <v>91980</v>
          </cell>
          <cell r="J175">
            <v>128</v>
          </cell>
          <cell r="L175">
            <v>72992</v>
          </cell>
          <cell r="M175">
            <v>3731</v>
          </cell>
          <cell r="N175">
            <v>7000</v>
          </cell>
          <cell r="O175"/>
          <cell r="P175">
            <v>10000</v>
          </cell>
          <cell r="Q175">
            <v>76410</v>
          </cell>
          <cell r="R175">
            <v>0</v>
          </cell>
          <cell r="S175">
            <v>262113</v>
          </cell>
          <cell r="V175">
            <v>262113</v>
          </cell>
          <cell r="W175">
            <v>0</v>
          </cell>
        </row>
        <row r="176">
          <cell r="E176">
            <v>690</v>
          </cell>
          <cell r="G176">
            <v>100740</v>
          </cell>
          <cell r="J176">
            <v>145</v>
          </cell>
          <cell r="L176">
            <v>85555</v>
          </cell>
          <cell r="M176">
            <v>3731</v>
          </cell>
          <cell r="N176">
            <v>7000</v>
          </cell>
          <cell r="O176"/>
          <cell r="P176">
            <v>10000</v>
          </cell>
          <cell r="Q176">
            <v>76410</v>
          </cell>
          <cell r="R176">
            <v>0</v>
          </cell>
          <cell r="S176">
            <v>283436</v>
          </cell>
          <cell r="V176">
            <v>283436</v>
          </cell>
          <cell r="W176">
            <v>0</v>
          </cell>
        </row>
        <row r="177">
          <cell r="E177">
            <v>701</v>
          </cell>
          <cell r="G177">
            <v>102346</v>
          </cell>
          <cell r="J177">
            <v>109</v>
          </cell>
          <cell r="L177">
            <v>60931</v>
          </cell>
          <cell r="M177">
            <v>3731</v>
          </cell>
          <cell r="N177">
            <v>7000</v>
          </cell>
          <cell r="O177"/>
          <cell r="P177">
            <v>10000</v>
          </cell>
          <cell r="Q177">
            <v>76410</v>
          </cell>
          <cell r="R177">
            <v>0</v>
          </cell>
          <cell r="S177">
            <v>260418</v>
          </cell>
          <cell r="V177">
            <v>260418</v>
          </cell>
          <cell r="W177">
            <v>0</v>
          </cell>
        </row>
        <row r="178">
          <cell r="E178">
            <v>726</v>
          </cell>
          <cell r="G178">
            <v>105996</v>
          </cell>
          <cell r="J178"/>
          <cell r="L178">
            <v>50310</v>
          </cell>
          <cell r="M178">
            <v>3731</v>
          </cell>
          <cell r="N178">
            <v>7000</v>
          </cell>
          <cell r="O178"/>
          <cell r="P178">
            <v>10000</v>
          </cell>
          <cell r="Q178">
            <v>76410</v>
          </cell>
          <cell r="R178">
            <v>0</v>
          </cell>
          <cell r="S178">
            <v>253447</v>
          </cell>
          <cell r="V178">
            <v>275390</v>
          </cell>
          <cell r="W178">
            <v>-21943</v>
          </cell>
        </row>
        <row r="179">
          <cell r="E179">
            <v>723</v>
          </cell>
          <cell r="G179">
            <v>105558</v>
          </cell>
          <cell r="J179"/>
          <cell r="L179">
            <v>50310</v>
          </cell>
          <cell r="M179">
            <v>3731</v>
          </cell>
          <cell r="N179">
            <v>7000</v>
          </cell>
          <cell r="O179">
            <v>123409</v>
          </cell>
          <cell r="P179">
            <v>10000</v>
          </cell>
          <cell r="Q179">
            <v>76410</v>
          </cell>
          <cell r="R179">
            <v>0</v>
          </cell>
          <cell r="S179">
            <v>376418</v>
          </cell>
          <cell r="V179">
            <v>354475</v>
          </cell>
          <cell r="W179">
            <v>0</v>
          </cell>
        </row>
        <row r="180">
          <cell r="E180">
            <v>657</v>
          </cell>
          <cell r="G180">
            <v>95922</v>
          </cell>
          <cell r="J180">
            <v>43</v>
          </cell>
          <cell r="L180">
            <v>24037</v>
          </cell>
          <cell r="M180">
            <v>3731</v>
          </cell>
          <cell r="N180">
            <v>7000</v>
          </cell>
          <cell r="O180"/>
          <cell r="P180">
            <v>10000</v>
          </cell>
          <cell r="Q180">
            <v>76410</v>
          </cell>
          <cell r="R180">
            <v>0</v>
          </cell>
          <cell r="S180">
            <v>217100</v>
          </cell>
          <cell r="V180">
            <v>217100</v>
          </cell>
          <cell r="W180">
            <v>0</v>
          </cell>
        </row>
        <row r="181">
          <cell r="E181">
            <v>573</v>
          </cell>
          <cell r="G181">
            <v>83658</v>
          </cell>
          <cell r="J181">
            <v>46</v>
          </cell>
          <cell r="L181">
            <v>25714</v>
          </cell>
          <cell r="M181">
            <v>3731</v>
          </cell>
          <cell r="N181">
            <v>7000</v>
          </cell>
          <cell r="O181"/>
          <cell r="P181">
            <v>10000</v>
          </cell>
          <cell r="Q181">
            <v>76410</v>
          </cell>
          <cell r="R181">
            <v>0</v>
          </cell>
          <cell r="S181">
            <v>206513</v>
          </cell>
          <cell r="V181">
            <v>206513</v>
          </cell>
          <cell r="W181">
            <v>0</v>
          </cell>
        </row>
        <row r="182">
          <cell r="E182">
            <v>598</v>
          </cell>
          <cell r="G182">
            <v>87308</v>
          </cell>
          <cell r="J182">
            <v>106</v>
          </cell>
          <cell r="L182">
            <v>59254</v>
          </cell>
          <cell r="M182">
            <v>3731</v>
          </cell>
          <cell r="N182">
            <v>7981</v>
          </cell>
          <cell r="O182"/>
          <cell r="P182">
            <v>10000</v>
          </cell>
          <cell r="Q182">
            <v>76410</v>
          </cell>
          <cell r="R182">
            <v>0</v>
          </cell>
          <cell r="S182">
            <v>244684</v>
          </cell>
          <cell r="V182">
            <v>244684</v>
          </cell>
          <cell r="W182">
            <v>0</v>
          </cell>
        </row>
        <row r="183">
          <cell r="E183">
            <v>570</v>
          </cell>
          <cell r="G183">
            <v>83220</v>
          </cell>
          <cell r="J183">
            <v>124</v>
          </cell>
          <cell r="L183">
            <v>69316</v>
          </cell>
          <cell r="M183">
            <v>3731</v>
          </cell>
          <cell r="N183">
            <v>7997</v>
          </cell>
          <cell r="O183"/>
          <cell r="P183">
            <v>10000</v>
          </cell>
          <cell r="Q183">
            <v>76410</v>
          </cell>
          <cell r="R183">
            <v>0</v>
          </cell>
          <cell r="S183">
            <v>250674</v>
          </cell>
          <cell r="V183">
            <v>250674</v>
          </cell>
          <cell r="W183">
            <v>0</v>
          </cell>
        </row>
        <row r="184">
          <cell r="E184">
            <v>580</v>
          </cell>
          <cell r="G184">
            <v>84680</v>
          </cell>
          <cell r="J184">
            <v>87</v>
          </cell>
          <cell r="L184">
            <v>48633</v>
          </cell>
          <cell r="M184">
            <v>3731</v>
          </cell>
          <cell r="N184">
            <v>7990</v>
          </cell>
          <cell r="O184"/>
          <cell r="P184">
            <v>10000</v>
          </cell>
          <cell r="Q184">
            <v>76410</v>
          </cell>
          <cell r="R184">
            <v>0</v>
          </cell>
          <cell r="S184">
            <v>231444</v>
          </cell>
          <cell r="V184">
            <v>231444</v>
          </cell>
          <cell r="W184">
            <v>0</v>
          </cell>
        </row>
        <row r="185">
          <cell r="E185">
            <v>647</v>
          </cell>
          <cell r="G185">
            <v>94462</v>
          </cell>
          <cell r="J185">
            <v>138</v>
          </cell>
          <cell r="L185">
            <v>80382</v>
          </cell>
          <cell r="M185">
            <v>3731</v>
          </cell>
          <cell r="N185">
            <v>8019</v>
          </cell>
          <cell r="O185"/>
          <cell r="P185">
            <v>10000</v>
          </cell>
          <cell r="Q185">
            <v>76410</v>
          </cell>
          <cell r="R185">
            <v>0</v>
          </cell>
          <cell r="S185">
            <v>273004</v>
          </cell>
          <cell r="V185">
            <v>0</v>
          </cell>
          <cell r="W185">
            <v>273004</v>
          </cell>
        </row>
        <row r="186">
          <cell r="E186">
            <v>505</v>
          </cell>
          <cell r="G186">
            <v>73730</v>
          </cell>
          <cell r="J186">
            <v>187</v>
          </cell>
          <cell r="L186">
            <v>136573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298483</v>
          </cell>
          <cell r="V186">
            <v>571487</v>
          </cell>
          <cell r="W186">
            <v>0</v>
          </cell>
        </row>
        <row r="187">
          <cell r="E187">
            <v>609</v>
          </cell>
          <cell r="G187">
            <v>88914</v>
          </cell>
          <cell r="J187">
            <v>162</v>
          </cell>
          <cell r="L187">
            <v>104598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283434</v>
          </cell>
          <cell r="V187">
            <v>283434</v>
          </cell>
          <cell r="W187">
            <v>0</v>
          </cell>
        </row>
        <row r="188">
          <cell r="E188">
            <v>598</v>
          </cell>
          <cell r="G188">
            <v>87308</v>
          </cell>
          <cell r="J188">
            <v>159</v>
          </cell>
          <cell r="L188">
            <v>100761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278021</v>
          </cell>
          <cell r="V188"/>
          <cell r="W188">
            <v>278021</v>
          </cell>
        </row>
        <row r="189">
          <cell r="E189">
            <v>408</v>
          </cell>
          <cell r="G189">
            <v>59568</v>
          </cell>
          <cell r="J189">
            <v>56</v>
          </cell>
          <cell r="L189">
            <v>31304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180837</v>
          </cell>
          <cell r="V189">
            <v>458858</v>
          </cell>
          <cell r="W189">
            <v>0</v>
          </cell>
        </row>
        <row r="190">
          <cell r="E190">
            <v>452</v>
          </cell>
          <cell r="G190">
            <v>65992</v>
          </cell>
          <cell r="J190">
            <v>70</v>
          </cell>
          <cell r="L190">
            <v>39130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195098</v>
          </cell>
          <cell r="V190">
            <v>195098</v>
          </cell>
          <cell r="W190">
            <v>0</v>
          </cell>
        </row>
        <row r="191">
          <cell r="E191">
            <v>447</v>
          </cell>
          <cell r="G191">
            <v>65262</v>
          </cell>
          <cell r="J191">
            <v>112</v>
          </cell>
          <cell r="L191">
            <v>62608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217868</v>
          </cell>
          <cell r="V191">
            <v>217868</v>
          </cell>
          <cell r="W191">
            <v>0</v>
          </cell>
        </row>
        <row r="192">
          <cell r="E192">
            <v>393</v>
          </cell>
          <cell r="G192">
            <v>57378</v>
          </cell>
          <cell r="J192">
            <v>40</v>
          </cell>
          <cell r="L192">
            <v>22360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169761</v>
          </cell>
          <cell r="V192"/>
          <cell r="W192">
            <v>169761</v>
          </cell>
        </row>
        <row r="193">
          <cell r="E193">
            <v>398</v>
          </cell>
          <cell r="G193">
            <v>58108</v>
          </cell>
          <cell r="J193">
            <v>30</v>
          </cell>
          <cell r="L193">
            <v>16770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164914</v>
          </cell>
          <cell r="V193">
            <v>334675</v>
          </cell>
          <cell r="W193">
            <v>0</v>
          </cell>
        </row>
        <row r="194">
          <cell r="E194">
            <v>471</v>
          </cell>
          <cell r="G194">
            <v>68766</v>
          </cell>
          <cell r="J194">
            <v>43</v>
          </cell>
          <cell r="L194">
            <v>24037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182864</v>
          </cell>
          <cell r="V194">
            <v>182864</v>
          </cell>
          <cell r="W194">
            <v>0</v>
          </cell>
        </row>
        <row r="195">
          <cell r="E195">
            <v>346</v>
          </cell>
          <cell r="G195">
            <v>50516</v>
          </cell>
          <cell r="J195">
            <v>32</v>
          </cell>
          <cell r="L195">
            <v>17888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158486</v>
          </cell>
          <cell r="V195"/>
          <cell r="W195">
            <v>158486</v>
          </cell>
        </row>
        <row r="196">
          <cell r="E196">
            <v>442</v>
          </cell>
          <cell r="G196">
            <v>64532</v>
          </cell>
          <cell r="J196">
            <v>45</v>
          </cell>
          <cell r="L196">
            <v>25155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179792</v>
          </cell>
          <cell r="V196">
            <v>338278</v>
          </cell>
          <cell r="W196">
            <v>0</v>
          </cell>
        </row>
        <row r="197">
          <cell r="E197">
            <v>512</v>
          </cell>
          <cell r="G197">
            <v>74752</v>
          </cell>
          <cell r="J197">
            <v>100</v>
          </cell>
          <cell r="L197">
            <v>55900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220787</v>
          </cell>
          <cell r="V197"/>
          <cell r="W197">
            <v>220787</v>
          </cell>
        </row>
        <row r="198">
          <cell r="E198">
            <v>473</v>
          </cell>
          <cell r="G198">
            <v>69058</v>
          </cell>
          <cell r="J198">
            <v>108</v>
          </cell>
          <cell r="L198">
            <v>60372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219575</v>
          </cell>
          <cell r="V198">
            <v>440362</v>
          </cell>
          <cell r="W198">
            <v>0</v>
          </cell>
        </row>
        <row r="199">
          <cell r="E199">
            <v>614</v>
          </cell>
          <cell r="G199">
            <v>89644</v>
          </cell>
          <cell r="J199">
            <v>130</v>
          </cell>
          <cell r="L199">
            <v>74470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256382</v>
          </cell>
          <cell r="V199">
            <v>256382</v>
          </cell>
          <cell r="W199">
            <v>0</v>
          </cell>
        </row>
        <row r="200">
          <cell r="E200">
            <v>550</v>
          </cell>
          <cell r="G200">
            <v>80300</v>
          </cell>
          <cell r="J200">
            <v>110</v>
          </cell>
          <cell r="L200">
            <v>61490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234061</v>
          </cell>
          <cell r="V200">
            <v>234061</v>
          </cell>
          <cell r="W200">
            <v>0</v>
          </cell>
        </row>
        <row r="201">
          <cell r="E201">
            <v>555</v>
          </cell>
          <cell r="G201">
            <v>81030</v>
          </cell>
          <cell r="J201">
            <v>112</v>
          </cell>
          <cell r="L201">
            <v>62608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235912</v>
          </cell>
          <cell r="V201">
            <v>235912</v>
          </cell>
          <cell r="W201">
            <v>0</v>
          </cell>
        </row>
        <row r="202">
          <cell r="E202">
            <v>492</v>
          </cell>
          <cell r="G202">
            <v>71832</v>
          </cell>
          <cell r="J202">
            <v>157</v>
          </cell>
          <cell r="L202">
            <v>98203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262338</v>
          </cell>
          <cell r="V202">
            <v>262338</v>
          </cell>
          <cell r="W202">
            <v>0</v>
          </cell>
        </row>
        <row r="203">
          <cell r="E203">
            <v>508</v>
          </cell>
          <cell r="G203">
            <v>74168</v>
          </cell>
          <cell r="J203">
            <v>88</v>
          </cell>
          <cell r="L203">
            <v>49192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215693</v>
          </cell>
          <cell r="V203"/>
          <cell r="W203">
            <v>215693</v>
          </cell>
        </row>
        <row r="204">
          <cell r="E204">
            <v>-90397</v>
          </cell>
          <cell r="G204">
            <v>-13197962</v>
          </cell>
          <cell r="J204">
            <v>-2285</v>
          </cell>
          <cell r="L204">
            <v>-1277315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-14391273</v>
          </cell>
          <cell r="V204"/>
          <cell r="W204">
            <v>-14175580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-14091576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-14007572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-13923568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-13839564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-13755560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-13671556</v>
          </cell>
        </row>
      </sheetData>
      <sheetData sheetId="5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/>
          <cell r="S175">
            <v>80141</v>
          </cell>
          <cell r="V175">
            <v>76410</v>
          </cell>
          <cell r="W175">
            <v>3731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/>
          <cell r="S176">
            <v>80141</v>
          </cell>
          <cell r="V176">
            <v>81000</v>
          </cell>
          <cell r="W176">
            <v>2872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/>
          <cell r="S177">
            <v>80141</v>
          </cell>
          <cell r="V177">
            <v>81000</v>
          </cell>
          <cell r="W177">
            <v>2013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/>
          <cell r="S178">
            <v>80141</v>
          </cell>
          <cell r="V178">
            <v>81000</v>
          </cell>
          <cell r="W178">
            <v>1154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/>
          <cell r="S179">
            <v>80141</v>
          </cell>
          <cell r="V179">
            <v>81000</v>
          </cell>
          <cell r="W179">
            <v>295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/>
          <cell r="S180">
            <v>80141</v>
          </cell>
          <cell r="V180">
            <v>81000</v>
          </cell>
          <cell r="W180">
            <v>-564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/>
          <cell r="S181">
            <v>80141</v>
          </cell>
          <cell r="V181">
            <v>81000</v>
          </cell>
          <cell r="W181">
            <v>-1423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/>
          <cell r="S182">
            <v>80141</v>
          </cell>
          <cell r="V182">
            <v>81000</v>
          </cell>
          <cell r="W182">
            <v>-2282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/>
          <cell r="S183">
            <v>80141</v>
          </cell>
          <cell r="V183">
            <v>81000</v>
          </cell>
          <cell r="W183">
            <v>-3141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/>
          <cell r="S184">
            <v>80141</v>
          </cell>
          <cell r="V184">
            <v>81000</v>
          </cell>
          <cell r="W184">
            <v>-4000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/>
          <cell r="S185">
            <v>80141</v>
          </cell>
          <cell r="V185">
            <v>81000</v>
          </cell>
          <cell r="W185">
            <v>-4859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R186"/>
          <cell r="S186">
            <v>80141</v>
          </cell>
          <cell r="V186">
            <v>81000</v>
          </cell>
          <cell r="W186">
            <v>-5718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/>
          <cell r="O187"/>
          <cell r="P187"/>
          <cell r="Q187">
            <v>78144</v>
          </cell>
          <cell r="R187"/>
          <cell r="S187">
            <v>81875</v>
          </cell>
          <cell r="V187">
            <v>81000</v>
          </cell>
          <cell r="W187">
            <v>-4843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/>
          <cell r="O188"/>
          <cell r="P188"/>
          <cell r="Q188">
            <v>78144</v>
          </cell>
          <cell r="R188"/>
          <cell r="S188">
            <v>81875</v>
          </cell>
          <cell r="V188">
            <v>81000</v>
          </cell>
          <cell r="W188">
            <v>-3968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/>
          <cell r="O189"/>
          <cell r="P189"/>
          <cell r="Q189">
            <v>78144</v>
          </cell>
          <cell r="R189"/>
          <cell r="S189">
            <v>81875</v>
          </cell>
          <cell r="V189">
            <v>81000</v>
          </cell>
          <cell r="W189">
            <v>-3093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/>
          <cell r="O190"/>
          <cell r="P190"/>
          <cell r="Q190">
            <v>78144</v>
          </cell>
          <cell r="R190"/>
          <cell r="S190">
            <v>81875</v>
          </cell>
          <cell r="V190">
            <v>81000</v>
          </cell>
          <cell r="W190">
            <v>-2218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/>
          <cell r="O191"/>
          <cell r="P191"/>
          <cell r="Q191">
            <v>78144</v>
          </cell>
          <cell r="R191"/>
          <cell r="S191">
            <v>81875</v>
          </cell>
          <cell r="V191">
            <v>81000</v>
          </cell>
          <cell r="W191">
            <v>-1343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/>
          <cell r="O192"/>
          <cell r="P192"/>
          <cell r="Q192">
            <v>78144</v>
          </cell>
          <cell r="R192"/>
          <cell r="S192">
            <v>81875</v>
          </cell>
          <cell r="V192">
            <v>81000</v>
          </cell>
          <cell r="W192">
            <v>-468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81875</v>
          </cell>
          <cell r="V193">
            <v>81000</v>
          </cell>
          <cell r="W193">
            <v>407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/>
          <cell r="O194"/>
          <cell r="P194">
            <v>0</v>
          </cell>
          <cell r="Q194">
            <v>78144</v>
          </cell>
          <cell r="R194"/>
          <cell r="S194">
            <v>81875</v>
          </cell>
          <cell r="V194">
            <v>83000</v>
          </cell>
          <cell r="W194">
            <v>-718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/>
          <cell r="O195"/>
          <cell r="P195">
            <v>0</v>
          </cell>
          <cell r="Q195">
            <v>78144</v>
          </cell>
          <cell r="R195"/>
          <cell r="S195">
            <v>81875</v>
          </cell>
          <cell r="V195">
            <v>83000</v>
          </cell>
          <cell r="W195">
            <v>-1843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/>
          <cell r="O196"/>
          <cell r="P196">
            <v>0</v>
          </cell>
          <cell r="Q196">
            <v>78144</v>
          </cell>
          <cell r="R196"/>
          <cell r="S196">
            <v>81875</v>
          </cell>
          <cell r="V196">
            <v>70000</v>
          </cell>
          <cell r="W196">
            <v>10032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/>
          <cell r="O197"/>
          <cell r="P197">
            <v>0</v>
          </cell>
          <cell r="Q197">
            <v>78144</v>
          </cell>
          <cell r="R197"/>
          <cell r="S197">
            <v>81875</v>
          </cell>
          <cell r="V197">
            <v>83000</v>
          </cell>
          <cell r="W197">
            <v>8907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/>
          <cell r="O198"/>
          <cell r="P198">
            <v>0</v>
          </cell>
          <cell r="Q198">
            <v>78144</v>
          </cell>
          <cell r="R198"/>
          <cell r="S198">
            <v>81875</v>
          </cell>
          <cell r="V198">
            <v>30000</v>
          </cell>
          <cell r="W198">
            <v>60782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/>
          <cell r="O199"/>
          <cell r="P199">
            <v>0</v>
          </cell>
          <cell r="Q199">
            <v>80176</v>
          </cell>
          <cell r="R199"/>
          <cell r="S199">
            <v>84004</v>
          </cell>
          <cell r="V199">
            <v>55000</v>
          </cell>
          <cell r="W199">
            <v>89786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>
            <v>0</v>
          </cell>
          <cell r="Q200">
            <v>80176</v>
          </cell>
          <cell r="R200"/>
          <cell r="S200">
            <v>84004</v>
          </cell>
          <cell r="V200">
            <v>30000</v>
          </cell>
          <cell r="W200">
            <v>143790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>
            <v>0</v>
          </cell>
          <cell r="Q201">
            <v>80176</v>
          </cell>
          <cell r="R201"/>
          <cell r="S201">
            <v>84004</v>
          </cell>
          <cell r="V201">
            <v>55000</v>
          </cell>
          <cell r="W201">
            <v>172794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>
            <v>0</v>
          </cell>
          <cell r="Q202">
            <v>80176</v>
          </cell>
          <cell r="R202"/>
          <cell r="S202">
            <v>84004</v>
          </cell>
          <cell r="V202">
            <v>85000</v>
          </cell>
          <cell r="W202">
            <v>171798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>
            <v>0</v>
          </cell>
          <cell r="Q203">
            <v>80176</v>
          </cell>
          <cell r="R203"/>
          <cell r="S203">
            <v>84004</v>
          </cell>
          <cell r="V203">
            <v>30000</v>
          </cell>
          <cell r="W203">
            <v>225802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>
            <v>0</v>
          </cell>
          <cell r="Q204">
            <v>80176</v>
          </cell>
          <cell r="R204"/>
          <cell r="S204">
            <v>84004</v>
          </cell>
          <cell r="V204"/>
          <cell r="W204">
            <v>309806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>
            <v>0</v>
          </cell>
          <cell r="Q205">
            <v>80176</v>
          </cell>
          <cell r="R205"/>
          <cell r="S205">
            <v>84004</v>
          </cell>
          <cell r="V205"/>
          <cell r="W205">
            <v>393810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>
            <v>0</v>
          </cell>
          <cell r="Q206">
            <v>80176</v>
          </cell>
          <cell r="R206"/>
          <cell r="S206">
            <v>84004</v>
          </cell>
          <cell r="V206"/>
          <cell r="W206">
            <v>477814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>
            <v>0</v>
          </cell>
          <cell r="Q207">
            <v>80176</v>
          </cell>
          <cell r="R207"/>
          <cell r="S207">
            <v>84004</v>
          </cell>
          <cell r="V207"/>
          <cell r="W207">
            <v>561818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>
            <v>0</v>
          </cell>
          <cell r="Q208">
            <v>80176</v>
          </cell>
          <cell r="R208"/>
          <cell r="S208">
            <v>84004</v>
          </cell>
          <cell r="V208"/>
          <cell r="W208">
            <v>645822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>
            <v>0</v>
          </cell>
          <cell r="Q209">
            <v>80176</v>
          </cell>
          <cell r="R209"/>
          <cell r="S209">
            <v>84004</v>
          </cell>
          <cell r="V209"/>
          <cell r="W209">
            <v>729826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>
            <v>0</v>
          </cell>
          <cell r="Q210">
            <v>80176</v>
          </cell>
          <cell r="R210"/>
          <cell r="S210">
            <v>84004</v>
          </cell>
          <cell r="V210"/>
          <cell r="W210">
            <v>813830</v>
          </cell>
        </row>
      </sheetData>
      <sheetData sheetId="5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/>
          <cell r="S175">
            <v>80141</v>
          </cell>
          <cell r="V175">
            <v>76410</v>
          </cell>
          <cell r="W175">
            <v>3731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/>
          <cell r="S176">
            <v>80141</v>
          </cell>
          <cell r="V176">
            <v>81000</v>
          </cell>
          <cell r="W176">
            <v>2872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/>
          <cell r="S177">
            <v>80141</v>
          </cell>
          <cell r="V177">
            <v>81000</v>
          </cell>
          <cell r="W177">
            <v>2013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/>
          <cell r="S178">
            <v>80141</v>
          </cell>
          <cell r="V178">
            <v>81000</v>
          </cell>
          <cell r="W178">
            <v>1154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/>
          <cell r="S179">
            <v>80141</v>
          </cell>
          <cell r="V179">
            <v>81000</v>
          </cell>
          <cell r="W179">
            <v>295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/>
          <cell r="S180">
            <v>80141</v>
          </cell>
          <cell r="V180">
            <v>81000</v>
          </cell>
          <cell r="W180">
            <v>-564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/>
          <cell r="S181">
            <v>80141</v>
          </cell>
          <cell r="V181">
            <v>81000</v>
          </cell>
          <cell r="W181">
            <v>-1423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/>
          <cell r="S182">
            <v>80141</v>
          </cell>
          <cell r="V182">
            <v>81000</v>
          </cell>
          <cell r="W182">
            <v>-2282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/>
          <cell r="S183">
            <v>80141</v>
          </cell>
          <cell r="V183">
            <v>81000</v>
          </cell>
          <cell r="W183">
            <v>-3141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/>
          <cell r="S184">
            <v>80141</v>
          </cell>
          <cell r="V184">
            <v>81000</v>
          </cell>
          <cell r="W184">
            <v>-4000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/>
          <cell r="S185">
            <v>80141</v>
          </cell>
          <cell r="V185">
            <v>81000</v>
          </cell>
          <cell r="W185">
            <v>-4859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R186"/>
          <cell r="S186">
            <v>80141</v>
          </cell>
          <cell r="V186">
            <v>81000</v>
          </cell>
          <cell r="W186">
            <v>-5718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/>
          <cell r="O187"/>
          <cell r="P187"/>
          <cell r="Q187">
            <v>78144</v>
          </cell>
          <cell r="R187"/>
          <cell r="S187">
            <v>81875</v>
          </cell>
          <cell r="V187">
            <v>81000</v>
          </cell>
          <cell r="W187">
            <v>-4843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/>
          <cell r="O188"/>
          <cell r="P188"/>
          <cell r="Q188">
            <v>78144</v>
          </cell>
          <cell r="R188"/>
          <cell r="S188">
            <v>81875</v>
          </cell>
          <cell r="V188">
            <v>81000</v>
          </cell>
          <cell r="W188">
            <v>-3968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/>
          <cell r="O189"/>
          <cell r="P189"/>
          <cell r="Q189">
            <v>78144</v>
          </cell>
          <cell r="R189"/>
          <cell r="S189">
            <v>81875</v>
          </cell>
          <cell r="V189">
            <v>81000</v>
          </cell>
          <cell r="W189">
            <v>-3093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/>
          <cell r="O190"/>
          <cell r="P190"/>
          <cell r="Q190">
            <v>78144</v>
          </cell>
          <cell r="R190"/>
          <cell r="S190">
            <v>81875</v>
          </cell>
          <cell r="V190">
            <v>81000</v>
          </cell>
          <cell r="W190">
            <v>-2218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/>
          <cell r="O191"/>
          <cell r="P191"/>
          <cell r="Q191">
            <v>78144</v>
          </cell>
          <cell r="R191"/>
          <cell r="S191">
            <v>81875</v>
          </cell>
          <cell r="V191">
            <v>81000</v>
          </cell>
          <cell r="W191">
            <v>-1343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/>
          <cell r="O192"/>
          <cell r="P192"/>
          <cell r="Q192">
            <v>78144</v>
          </cell>
          <cell r="R192"/>
          <cell r="S192">
            <v>81875</v>
          </cell>
          <cell r="V192">
            <v>81000</v>
          </cell>
          <cell r="W192">
            <v>-468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/>
          <cell r="O193"/>
          <cell r="P193"/>
          <cell r="Q193">
            <v>78144</v>
          </cell>
          <cell r="R193"/>
          <cell r="S193">
            <v>81875</v>
          </cell>
          <cell r="V193">
            <v>81000</v>
          </cell>
          <cell r="W193">
            <v>407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/>
          <cell r="O194"/>
          <cell r="P194"/>
          <cell r="Q194">
            <v>78144</v>
          </cell>
          <cell r="R194"/>
          <cell r="S194">
            <v>81875</v>
          </cell>
          <cell r="V194">
            <v>83000</v>
          </cell>
          <cell r="W194">
            <v>-718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/>
          <cell r="O195"/>
          <cell r="P195"/>
          <cell r="Q195">
            <v>78144</v>
          </cell>
          <cell r="R195"/>
          <cell r="S195">
            <v>81875</v>
          </cell>
          <cell r="V195">
            <v>83000</v>
          </cell>
          <cell r="W195">
            <v>-1843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/>
          <cell r="O196"/>
          <cell r="P196"/>
          <cell r="Q196">
            <v>78144</v>
          </cell>
          <cell r="R196"/>
          <cell r="S196">
            <v>81875</v>
          </cell>
          <cell r="V196">
            <v>70000</v>
          </cell>
          <cell r="W196">
            <v>10032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/>
          <cell r="O197"/>
          <cell r="P197"/>
          <cell r="Q197">
            <v>78144</v>
          </cell>
          <cell r="R197"/>
          <cell r="S197">
            <v>81875</v>
          </cell>
          <cell r="V197">
            <v>83000</v>
          </cell>
          <cell r="W197">
            <v>8907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/>
          <cell r="O198"/>
          <cell r="P198"/>
          <cell r="Q198">
            <v>78144</v>
          </cell>
          <cell r="R198"/>
          <cell r="S198">
            <v>81875</v>
          </cell>
          <cell r="V198">
            <v>30000</v>
          </cell>
          <cell r="W198">
            <v>60782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R199"/>
          <cell r="S199">
            <v>84004</v>
          </cell>
          <cell r="V199">
            <v>55000</v>
          </cell>
          <cell r="W199">
            <v>89786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84004</v>
          </cell>
          <cell r="V200">
            <v>30000</v>
          </cell>
          <cell r="W200">
            <v>143790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84004</v>
          </cell>
          <cell r="V201">
            <v>55000</v>
          </cell>
          <cell r="W201">
            <v>172794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84004</v>
          </cell>
          <cell r="V202">
            <v>85000</v>
          </cell>
          <cell r="W202">
            <v>171798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84004</v>
          </cell>
          <cell r="V203">
            <v>30000</v>
          </cell>
          <cell r="W203">
            <v>225802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309806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393810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477814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561818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645822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729826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813830</v>
          </cell>
        </row>
      </sheetData>
      <sheetData sheetId="5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/>
          <cell r="W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176260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88130</v>
          </cell>
          <cell r="W184">
            <v>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88130</v>
          </cell>
          <cell r="W185">
            <v>31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88211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89922</v>
          </cell>
          <cell r="W188">
            <v>30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89922</v>
          </cell>
          <cell r="W189">
            <v>73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90049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89950</v>
          </cell>
          <cell r="W192">
            <v>73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90000</v>
          </cell>
          <cell r="W193">
            <v>109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90000</v>
          </cell>
          <cell r="W194">
            <v>170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90000</v>
          </cell>
          <cell r="W195">
            <v>252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90000</v>
          </cell>
          <cell r="W196">
            <v>357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90000</v>
          </cell>
          <cell r="W197">
            <v>492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90000</v>
          </cell>
          <cell r="W198">
            <v>637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90000</v>
          </cell>
          <cell r="W199">
            <v>2905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90000</v>
          </cell>
          <cell r="W200">
            <v>5176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90000</v>
          </cell>
          <cell r="W201">
            <v>7450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90000</v>
          </cell>
          <cell r="W202">
            <v>9753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102086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186090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270094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354098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438102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522106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606110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690114</v>
          </cell>
        </row>
      </sheetData>
      <sheetData sheetId="53">
        <row r="175">
          <cell r="E175">
            <v>245</v>
          </cell>
          <cell r="G175">
            <v>35770</v>
          </cell>
          <cell r="J175">
            <v>85</v>
          </cell>
          <cell r="L175">
            <v>47515</v>
          </cell>
          <cell r="M175">
            <v>3731</v>
          </cell>
          <cell r="N175">
            <v>7000</v>
          </cell>
          <cell r="O175">
            <v>0</v>
          </cell>
          <cell r="P175">
            <v>15000</v>
          </cell>
          <cell r="Q175">
            <v>76410</v>
          </cell>
          <cell r="R175"/>
          <cell r="S175">
            <v>185426</v>
          </cell>
          <cell r="V175">
            <v>185426</v>
          </cell>
          <cell r="W175">
            <v>0</v>
          </cell>
        </row>
        <row r="176">
          <cell r="E176">
            <v>209</v>
          </cell>
          <cell r="G176">
            <v>30514</v>
          </cell>
          <cell r="J176">
            <v>101</v>
          </cell>
          <cell r="L176">
            <v>56459</v>
          </cell>
          <cell r="M176">
            <v>3731</v>
          </cell>
          <cell r="N176">
            <v>7000</v>
          </cell>
          <cell r="O176">
            <v>0</v>
          </cell>
          <cell r="P176">
            <v>15000</v>
          </cell>
          <cell r="Q176">
            <v>76410</v>
          </cell>
          <cell r="R176"/>
          <cell r="S176">
            <v>189114</v>
          </cell>
          <cell r="V176">
            <v>189114</v>
          </cell>
          <cell r="W176">
            <v>0</v>
          </cell>
        </row>
        <row r="177">
          <cell r="E177">
            <v>188</v>
          </cell>
          <cell r="G177">
            <v>27448</v>
          </cell>
          <cell r="J177">
            <v>98</v>
          </cell>
          <cell r="L177">
            <v>54782</v>
          </cell>
          <cell r="M177">
            <v>3731</v>
          </cell>
          <cell r="N177">
            <v>7000</v>
          </cell>
          <cell r="O177">
            <v>0</v>
          </cell>
          <cell r="P177">
            <v>15000</v>
          </cell>
          <cell r="Q177">
            <v>76410</v>
          </cell>
          <cell r="R177"/>
          <cell r="S177">
            <v>184371</v>
          </cell>
          <cell r="V177">
            <v>184371</v>
          </cell>
          <cell r="W177">
            <v>0</v>
          </cell>
        </row>
        <row r="178">
          <cell r="E178">
            <v>118</v>
          </cell>
          <cell r="G178">
            <v>17228</v>
          </cell>
          <cell r="J178">
            <v>46</v>
          </cell>
          <cell r="L178">
            <v>25714</v>
          </cell>
          <cell r="M178">
            <v>3731</v>
          </cell>
          <cell r="N178">
            <v>7000</v>
          </cell>
          <cell r="O178">
            <v>0</v>
          </cell>
          <cell r="P178">
            <v>15000</v>
          </cell>
          <cell r="Q178">
            <v>76410</v>
          </cell>
          <cell r="R178"/>
          <cell r="S178">
            <v>145083</v>
          </cell>
          <cell r="V178">
            <v>145083</v>
          </cell>
          <cell r="W178">
            <v>0</v>
          </cell>
        </row>
        <row r="179">
          <cell r="E179">
            <v>71</v>
          </cell>
          <cell r="G179">
            <v>10366</v>
          </cell>
          <cell r="J179">
            <v>31</v>
          </cell>
          <cell r="L179">
            <v>17329</v>
          </cell>
          <cell r="M179">
            <v>3731</v>
          </cell>
          <cell r="N179">
            <v>7000</v>
          </cell>
          <cell r="O179">
            <v>0</v>
          </cell>
          <cell r="P179">
            <v>15000</v>
          </cell>
          <cell r="Q179">
            <v>76410</v>
          </cell>
          <cell r="R179"/>
          <cell r="S179">
            <v>129836</v>
          </cell>
          <cell r="V179">
            <v>129836</v>
          </cell>
          <cell r="W179">
            <v>0</v>
          </cell>
        </row>
        <row r="180">
          <cell r="E180">
            <v>85</v>
          </cell>
          <cell r="G180">
            <v>12410</v>
          </cell>
          <cell r="J180">
            <v>7</v>
          </cell>
          <cell r="L180">
            <v>3913</v>
          </cell>
          <cell r="M180">
            <v>3731</v>
          </cell>
          <cell r="N180">
            <v>7000</v>
          </cell>
          <cell r="O180">
            <v>0</v>
          </cell>
          <cell r="P180">
            <v>15000</v>
          </cell>
          <cell r="Q180">
            <v>76410</v>
          </cell>
          <cell r="R180"/>
          <cell r="S180">
            <v>118464</v>
          </cell>
          <cell r="V180">
            <v>118464</v>
          </cell>
          <cell r="W180">
            <v>0</v>
          </cell>
        </row>
        <row r="181">
          <cell r="E181">
            <v>84</v>
          </cell>
          <cell r="G181">
            <v>12264</v>
          </cell>
          <cell r="J181">
            <v>7</v>
          </cell>
          <cell r="L181">
            <v>3913</v>
          </cell>
          <cell r="M181">
            <v>3731</v>
          </cell>
          <cell r="N181">
            <v>7000</v>
          </cell>
          <cell r="O181">
            <v>0</v>
          </cell>
          <cell r="P181">
            <v>15000</v>
          </cell>
          <cell r="Q181">
            <v>76410</v>
          </cell>
          <cell r="R181"/>
          <cell r="S181">
            <v>118318</v>
          </cell>
          <cell r="V181">
            <v>118318</v>
          </cell>
          <cell r="W181">
            <v>0</v>
          </cell>
        </row>
        <row r="182">
          <cell r="E182">
            <v>74</v>
          </cell>
          <cell r="G182">
            <v>10804</v>
          </cell>
          <cell r="J182">
            <v>10</v>
          </cell>
          <cell r="L182">
            <v>5590</v>
          </cell>
          <cell r="M182">
            <v>3731</v>
          </cell>
          <cell r="N182">
            <v>7981</v>
          </cell>
          <cell r="O182">
            <v>0</v>
          </cell>
          <cell r="P182">
            <v>15000</v>
          </cell>
          <cell r="Q182">
            <v>76410</v>
          </cell>
          <cell r="R182"/>
          <cell r="S182">
            <v>119516</v>
          </cell>
          <cell r="V182">
            <v>119516</v>
          </cell>
          <cell r="W182">
            <v>0</v>
          </cell>
        </row>
        <row r="183">
          <cell r="E183">
            <v>130</v>
          </cell>
          <cell r="G183">
            <v>18980</v>
          </cell>
          <cell r="J183">
            <v>15</v>
          </cell>
          <cell r="L183">
            <v>8385</v>
          </cell>
          <cell r="M183">
            <v>3731</v>
          </cell>
          <cell r="N183">
            <v>7997</v>
          </cell>
          <cell r="O183">
            <v>0</v>
          </cell>
          <cell r="P183">
            <v>15000</v>
          </cell>
          <cell r="Q183">
            <v>76410</v>
          </cell>
          <cell r="R183"/>
          <cell r="S183">
            <v>130503</v>
          </cell>
          <cell r="V183">
            <v>130503</v>
          </cell>
          <cell r="W183">
            <v>0</v>
          </cell>
        </row>
        <row r="184">
          <cell r="E184">
            <v>103</v>
          </cell>
          <cell r="G184">
            <v>15038</v>
          </cell>
          <cell r="J184">
            <v>20</v>
          </cell>
          <cell r="L184">
            <v>11180</v>
          </cell>
          <cell r="M184">
            <v>3731</v>
          </cell>
          <cell r="N184">
            <v>7990</v>
          </cell>
          <cell r="O184">
            <v>0</v>
          </cell>
          <cell r="P184">
            <v>15000</v>
          </cell>
          <cell r="Q184">
            <v>76410</v>
          </cell>
          <cell r="R184"/>
          <cell r="S184">
            <v>129349</v>
          </cell>
          <cell r="V184">
            <v>129349</v>
          </cell>
          <cell r="W184">
            <v>0</v>
          </cell>
        </row>
        <row r="185">
          <cell r="E185">
            <v>152</v>
          </cell>
          <cell r="G185">
            <v>22192</v>
          </cell>
          <cell r="J185">
            <v>79</v>
          </cell>
          <cell r="L185">
            <v>44161</v>
          </cell>
          <cell r="M185">
            <v>3731</v>
          </cell>
          <cell r="N185">
            <v>8019</v>
          </cell>
          <cell r="O185">
            <v>0</v>
          </cell>
          <cell r="P185">
            <v>15000</v>
          </cell>
          <cell r="Q185">
            <v>76410</v>
          </cell>
          <cell r="R185"/>
          <cell r="S185">
            <v>169513</v>
          </cell>
          <cell r="V185">
            <v>169513</v>
          </cell>
          <cell r="W185">
            <v>0</v>
          </cell>
        </row>
        <row r="186">
          <cell r="E186">
            <v>101</v>
          </cell>
          <cell r="G186">
            <v>14746</v>
          </cell>
          <cell r="J186">
            <v>76</v>
          </cell>
          <cell r="L186">
            <v>42484</v>
          </cell>
          <cell r="M186">
            <v>3731</v>
          </cell>
          <cell r="N186">
            <v>8039</v>
          </cell>
          <cell r="O186">
            <v>0</v>
          </cell>
          <cell r="P186">
            <v>15000</v>
          </cell>
          <cell r="Q186">
            <v>76410</v>
          </cell>
          <cell r="R186"/>
          <cell r="S186">
            <v>160410</v>
          </cell>
          <cell r="V186">
            <v>160410</v>
          </cell>
          <cell r="W186">
            <v>0</v>
          </cell>
        </row>
        <row r="187">
          <cell r="E187">
            <v>128</v>
          </cell>
          <cell r="G187">
            <v>18688</v>
          </cell>
          <cell r="J187">
            <v>117</v>
          </cell>
          <cell r="L187">
            <v>65403</v>
          </cell>
          <cell r="M187">
            <v>3731</v>
          </cell>
          <cell r="N187">
            <v>8047</v>
          </cell>
          <cell r="O187">
            <v>0</v>
          </cell>
          <cell r="P187">
            <v>15000</v>
          </cell>
          <cell r="Q187">
            <v>78144</v>
          </cell>
          <cell r="R187"/>
          <cell r="S187">
            <v>189013</v>
          </cell>
          <cell r="V187">
            <v>189013</v>
          </cell>
          <cell r="W187">
            <v>0</v>
          </cell>
        </row>
        <row r="188">
          <cell r="E188">
            <v>147</v>
          </cell>
          <cell r="G188">
            <v>21462</v>
          </cell>
          <cell r="J188">
            <v>99</v>
          </cell>
          <cell r="L188">
            <v>55341</v>
          </cell>
          <cell r="M188">
            <v>3731</v>
          </cell>
          <cell r="N188">
            <v>8077</v>
          </cell>
          <cell r="O188">
            <v>0</v>
          </cell>
          <cell r="P188">
            <v>15000</v>
          </cell>
          <cell r="Q188">
            <v>78144</v>
          </cell>
          <cell r="R188"/>
          <cell r="S188">
            <v>181755</v>
          </cell>
          <cell r="V188">
            <v>181755</v>
          </cell>
          <cell r="W188">
            <v>0</v>
          </cell>
        </row>
        <row r="189">
          <cell r="E189">
            <v>83</v>
          </cell>
          <cell r="G189">
            <v>12118</v>
          </cell>
          <cell r="J189">
            <v>62</v>
          </cell>
          <cell r="L189">
            <v>34658</v>
          </cell>
          <cell r="M189">
            <v>3731</v>
          </cell>
          <cell r="N189">
            <v>8090</v>
          </cell>
          <cell r="O189">
            <v>0</v>
          </cell>
          <cell r="P189">
            <v>15000</v>
          </cell>
          <cell r="Q189">
            <v>78144</v>
          </cell>
          <cell r="R189"/>
          <cell r="S189">
            <v>151741</v>
          </cell>
          <cell r="V189">
            <v>151741</v>
          </cell>
          <cell r="W189">
            <v>0</v>
          </cell>
        </row>
        <row r="190">
          <cell r="E190">
            <v>92</v>
          </cell>
          <cell r="G190">
            <v>13432</v>
          </cell>
          <cell r="J190">
            <v>89</v>
          </cell>
          <cell r="L190">
            <v>49751</v>
          </cell>
          <cell r="M190">
            <v>3731</v>
          </cell>
          <cell r="N190">
            <v>8101</v>
          </cell>
          <cell r="O190">
            <v>0</v>
          </cell>
          <cell r="P190">
            <v>15000</v>
          </cell>
          <cell r="Q190">
            <v>78144</v>
          </cell>
          <cell r="R190"/>
          <cell r="S190">
            <v>168159</v>
          </cell>
          <cell r="V190">
            <v>151741</v>
          </cell>
          <cell r="W190">
            <v>16418</v>
          </cell>
        </row>
        <row r="191">
          <cell r="E191">
            <v>110</v>
          </cell>
          <cell r="G191">
            <v>16060</v>
          </cell>
          <cell r="J191">
            <v>53</v>
          </cell>
          <cell r="L191">
            <v>29627</v>
          </cell>
          <cell r="M191">
            <v>3731</v>
          </cell>
          <cell r="N191">
            <v>8123</v>
          </cell>
          <cell r="O191">
            <v>0</v>
          </cell>
          <cell r="P191">
            <v>15000</v>
          </cell>
          <cell r="Q191">
            <v>78144</v>
          </cell>
          <cell r="R191"/>
          <cell r="S191">
            <v>150685</v>
          </cell>
          <cell r="V191">
            <v>167103</v>
          </cell>
          <cell r="W191">
            <v>0</v>
          </cell>
        </row>
        <row r="192">
          <cell r="E192">
            <v>93</v>
          </cell>
          <cell r="G192">
            <v>13578</v>
          </cell>
          <cell r="J192">
            <v>2</v>
          </cell>
          <cell r="L192">
            <v>1118</v>
          </cell>
          <cell r="M192">
            <v>3731</v>
          </cell>
          <cell r="N192">
            <v>8148</v>
          </cell>
          <cell r="O192">
            <v>0</v>
          </cell>
          <cell r="P192">
            <v>9000</v>
          </cell>
          <cell r="Q192">
            <v>78144</v>
          </cell>
          <cell r="R192"/>
          <cell r="S192">
            <v>113719</v>
          </cell>
          <cell r="V192">
            <v>113719</v>
          </cell>
          <cell r="W192">
            <v>0</v>
          </cell>
        </row>
        <row r="193">
          <cell r="E193">
            <v>83</v>
          </cell>
          <cell r="G193">
            <v>12118</v>
          </cell>
          <cell r="J193">
            <v>2</v>
          </cell>
          <cell r="L193">
            <v>1118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S193">
            <v>103272</v>
          </cell>
          <cell r="V193">
            <v>103272</v>
          </cell>
          <cell r="W193">
            <v>0</v>
          </cell>
        </row>
        <row r="194">
          <cell r="E194">
            <v>92</v>
          </cell>
          <cell r="G194">
            <v>13432</v>
          </cell>
          <cell r="J194">
            <v>4</v>
          </cell>
          <cell r="L194">
            <v>2236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S194">
            <v>105729</v>
          </cell>
          <cell r="V194">
            <v>105729</v>
          </cell>
          <cell r="W194">
            <v>0</v>
          </cell>
        </row>
        <row r="195">
          <cell r="E195">
            <v>99</v>
          </cell>
          <cell r="G195">
            <v>14454</v>
          </cell>
          <cell r="J195">
            <v>18</v>
          </cell>
          <cell r="L195">
            <v>10062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S195">
            <v>114598</v>
          </cell>
          <cell r="V195">
            <v>114598</v>
          </cell>
          <cell r="W195">
            <v>0</v>
          </cell>
        </row>
        <row r="196">
          <cell r="E196">
            <v>94</v>
          </cell>
          <cell r="G196">
            <v>13724</v>
          </cell>
          <cell r="J196">
            <v>25</v>
          </cell>
          <cell r="L196">
            <v>13975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S196">
            <v>117804</v>
          </cell>
          <cell r="V196">
            <v>117804</v>
          </cell>
          <cell r="W196">
            <v>0</v>
          </cell>
        </row>
        <row r="197">
          <cell r="E197">
            <v>153</v>
          </cell>
          <cell r="G197">
            <v>22338</v>
          </cell>
          <cell r="J197">
            <v>26</v>
          </cell>
          <cell r="L197">
            <v>14534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S197">
            <v>127007</v>
          </cell>
          <cell r="V197">
            <v>127007</v>
          </cell>
          <cell r="W197">
            <v>0</v>
          </cell>
        </row>
        <row r="198">
          <cell r="E198">
            <v>88</v>
          </cell>
          <cell r="G198">
            <v>12848</v>
          </cell>
          <cell r="J198">
            <v>36</v>
          </cell>
          <cell r="L198">
            <v>20124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S198">
            <v>123117</v>
          </cell>
          <cell r="V198">
            <v>123177</v>
          </cell>
          <cell r="W198">
            <v>-60</v>
          </cell>
        </row>
        <row r="199">
          <cell r="E199">
            <v>162</v>
          </cell>
          <cell r="G199">
            <v>23652</v>
          </cell>
          <cell r="J199">
            <v>43</v>
          </cell>
          <cell r="L199">
            <v>24037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139957</v>
          </cell>
          <cell r="V199">
            <v>139897</v>
          </cell>
          <cell r="W199">
            <v>0</v>
          </cell>
        </row>
        <row r="200">
          <cell r="E200">
            <v>161</v>
          </cell>
          <cell r="G200">
            <v>23506</v>
          </cell>
          <cell r="J200">
            <v>57</v>
          </cell>
          <cell r="L200">
            <v>31863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147640</v>
          </cell>
          <cell r="V200">
            <v>147640</v>
          </cell>
          <cell r="W200">
            <v>0</v>
          </cell>
        </row>
        <row r="201">
          <cell r="E201">
            <v>244</v>
          </cell>
          <cell r="G201">
            <v>35624</v>
          </cell>
          <cell r="J201">
            <v>59</v>
          </cell>
          <cell r="L201">
            <v>32981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160879</v>
          </cell>
          <cell r="V201">
            <v>160879</v>
          </cell>
          <cell r="W201">
            <v>0</v>
          </cell>
        </row>
        <row r="202">
          <cell r="E202">
            <v>85</v>
          </cell>
          <cell r="G202">
            <v>12410</v>
          </cell>
          <cell r="J202">
            <v>41</v>
          </cell>
          <cell r="L202">
            <v>22919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127632</v>
          </cell>
          <cell r="V202">
            <v>127632</v>
          </cell>
          <cell r="W202">
            <v>0</v>
          </cell>
        </row>
        <row r="203">
          <cell r="E203">
            <v>40</v>
          </cell>
          <cell r="G203">
            <v>5840</v>
          </cell>
          <cell r="J203">
            <v>22</v>
          </cell>
          <cell r="L203">
            <v>12298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110471</v>
          </cell>
          <cell r="V203"/>
          <cell r="W203">
            <v>110471</v>
          </cell>
        </row>
        <row r="204">
          <cell r="E204">
            <v>-9682</v>
          </cell>
          <cell r="G204">
            <v>-1413572</v>
          </cell>
          <cell r="J204">
            <v>-3140</v>
          </cell>
          <cell r="L204">
            <v>-1755260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-3084828</v>
          </cell>
          <cell r="V204"/>
          <cell r="W204">
            <v>-2974357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-2890353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-2806349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-2722345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-2638341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-2554337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-2470333</v>
          </cell>
        </row>
      </sheetData>
      <sheetData sheetId="5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/>
          <cell r="S175">
            <v>87141</v>
          </cell>
          <cell r="V175">
            <v>80000</v>
          </cell>
          <cell r="W175">
            <v>-3579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S176">
            <v>87141</v>
          </cell>
          <cell r="V176">
            <v>84000</v>
          </cell>
          <cell r="W176">
            <v>-438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S177">
            <v>87141</v>
          </cell>
          <cell r="V177">
            <v>85000</v>
          </cell>
          <cell r="W177">
            <v>1703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S178">
            <v>87141</v>
          </cell>
          <cell r="V178">
            <v>80000</v>
          </cell>
          <cell r="W178">
            <v>8844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S179">
            <v>87141</v>
          </cell>
          <cell r="V179">
            <v>85000</v>
          </cell>
          <cell r="W179">
            <v>10985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S180">
            <v>87141</v>
          </cell>
          <cell r="V180">
            <v>90000</v>
          </cell>
          <cell r="W180">
            <v>8126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S181">
            <v>87141</v>
          </cell>
          <cell r="V181">
            <v>95000</v>
          </cell>
          <cell r="W181">
            <v>267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S182">
            <v>88122</v>
          </cell>
          <cell r="V182">
            <v>90000</v>
          </cell>
          <cell r="W182">
            <v>-1611</v>
          </cell>
        </row>
        <row r="183">
          <cell r="E183">
            <v>2</v>
          </cell>
          <cell r="G183">
            <v>292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S183">
            <v>88430</v>
          </cell>
          <cell r="V183">
            <v>90000</v>
          </cell>
          <cell r="W183">
            <v>-3181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S184">
            <v>88131</v>
          </cell>
          <cell r="V184">
            <v>90000</v>
          </cell>
          <cell r="W184">
            <v>-5050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S185">
            <v>88160</v>
          </cell>
          <cell r="V185">
            <v>89000</v>
          </cell>
          <cell r="W185">
            <v>-5890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S186">
            <v>88180</v>
          </cell>
          <cell r="V186">
            <v>85000</v>
          </cell>
          <cell r="W186">
            <v>-2710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S187">
            <v>89922</v>
          </cell>
          <cell r="V187">
            <v>90000</v>
          </cell>
          <cell r="W187">
            <v>-2788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S188">
            <v>89952</v>
          </cell>
          <cell r="V188">
            <v>90000</v>
          </cell>
          <cell r="W188">
            <v>-2836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S189">
            <v>89965</v>
          </cell>
          <cell r="V189">
            <v>90000</v>
          </cell>
          <cell r="W189">
            <v>-2871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S190">
            <v>89976</v>
          </cell>
          <cell r="V190">
            <v>85000</v>
          </cell>
          <cell r="W190">
            <v>2105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S191">
            <v>89998</v>
          </cell>
          <cell r="V191">
            <v>90000</v>
          </cell>
          <cell r="W191">
            <v>2103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S192">
            <v>90023</v>
          </cell>
          <cell r="V192">
            <v>20000</v>
          </cell>
          <cell r="W192">
            <v>72126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S193">
            <v>90036</v>
          </cell>
          <cell r="V193">
            <v>60000</v>
          </cell>
          <cell r="W193">
            <v>102162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S194">
            <v>90061</v>
          </cell>
          <cell r="V194">
            <v>180000</v>
          </cell>
          <cell r="W194">
            <v>12223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/>
          <cell r="S195">
            <v>90082</v>
          </cell>
          <cell r="V195">
            <v>100000</v>
          </cell>
          <cell r="W195">
            <v>2305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/>
          <cell r="S196">
            <v>90105</v>
          </cell>
          <cell r="V196">
            <v>90000</v>
          </cell>
          <cell r="W196">
            <v>2410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/>
          <cell r="S197">
            <v>90135</v>
          </cell>
          <cell r="V197">
            <v>90000</v>
          </cell>
          <cell r="W197">
            <v>2545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/>
          <cell r="S198">
            <v>90145</v>
          </cell>
          <cell r="V198">
            <v>92000</v>
          </cell>
          <cell r="W198">
            <v>690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100000</v>
          </cell>
          <cell r="W199">
            <v>-7042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95000</v>
          </cell>
          <cell r="W200">
            <v>-9771</v>
          </cell>
        </row>
        <row r="201">
          <cell r="E201">
            <v>1</v>
          </cell>
          <cell r="G201">
            <v>146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92420</v>
          </cell>
          <cell r="V201">
            <v>90000</v>
          </cell>
          <cell r="W201">
            <v>-7351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95000</v>
          </cell>
          <cell r="W202">
            <v>-10048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82285</v>
          </cell>
        </row>
        <row r="204">
          <cell r="E204">
            <v>-3</v>
          </cell>
          <cell r="G204">
            <v>-438</v>
          </cell>
          <cell r="J204">
            <v>-7</v>
          </cell>
          <cell r="L204">
            <v>-3913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79653</v>
          </cell>
          <cell r="V204"/>
          <cell r="W204">
            <v>161938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245942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329946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413950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497954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581958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665962</v>
          </cell>
        </row>
      </sheetData>
      <sheetData sheetId="55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/>
          <cell r="W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174282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87141</v>
          </cell>
          <cell r="W182">
            <v>981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87141</v>
          </cell>
          <cell r="W183">
            <v>1978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90109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88180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89965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56">
        <row r="175">
          <cell r="E175">
            <v>489</v>
          </cell>
          <cell r="G175">
            <v>71394</v>
          </cell>
          <cell r="J175">
            <v>102</v>
          </cell>
          <cell r="L175">
            <v>57018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215553</v>
          </cell>
          <cell r="V175">
            <v>215553</v>
          </cell>
          <cell r="W175">
            <v>0</v>
          </cell>
        </row>
        <row r="176">
          <cell r="E176">
            <v>315</v>
          </cell>
          <cell r="G176">
            <v>45990</v>
          </cell>
          <cell r="J176">
            <v>111</v>
          </cell>
          <cell r="L176">
            <v>62049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195180</v>
          </cell>
          <cell r="V176">
            <v>195180</v>
          </cell>
          <cell r="W176">
            <v>0</v>
          </cell>
        </row>
        <row r="177">
          <cell r="E177">
            <v>440</v>
          </cell>
          <cell r="G177">
            <v>64240</v>
          </cell>
          <cell r="J177">
            <v>109</v>
          </cell>
          <cell r="L177">
            <v>60931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212312</v>
          </cell>
          <cell r="V177">
            <v>212312</v>
          </cell>
          <cell r="W177">
            <v>0</v>
          </cell>
        </row>
        <row r="178">
          <cell r="E178">
            <v>288</v>
          </cell>
          <cell r="G178">
            <v>42048</v>
          </cell>
          <cell r="J178">
            <v>109</v>
          </cell>
          <cell r="L178">
            <v>60931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190120</v>
          </cell>
          <cell r="V178">
            <v>190120</v>
          </cell>
          <cell r="W178">
            <v>0</v>
          </cell>
        </row>
        <row r="179">
          <cell r="E179">
            <v>348</v>
          </cell>
          <cell r="G179">
            <v>50808</v>
          </cell>
          <cell r="J179">
            <v>52</v>
          </cell>
          <cell r="L179">
            <v>29068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167017</v>
          </cell>
          <cell r="V179">
            <v>167017</v>
          </cell>
          <cell r="W179">
            <v>0</v>
          </cell>
        </row>
        <row r="180">
          <cell r="E180">
            <v>331</v>
          </cell>
          <cell r="G180">
            <v>48326</v>
          </cell>
          <cell r="J180">
            <v>51</v>
          </cell>
          <cell r="L180">
            <v>28509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163976</v>
          </cell>
          <cell r="V180">
            <v>163976</v>
          </cell>
          <cell r="W180">
            <v>0</v>
          </cell>
        </row>
        <row r="181">
          <cell r="E181">
            <v>273</v>
          </cell>
          <cell r="G181">
            <v>39858</v>
          </cell>
          <cell r="J181">
            <v>43</v>
          </cell>
          <cell r="L181">
            <v>24037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151036</v>
          </cell>
          <cell r="V181">
            <v>151036</v>
          </cell>
          <cell r="W181">
            <v>0</v>
          </cell>
        </row>
        <row r="182">
          <cell r="E182">
            <v>153</v>
          </cell>
          <cell r="G182">
            <v>22338</v>
          </cell>
          <cell r="J182">
            <v>76</v>
          </cell>
          <cell r="L182">
            <v>42484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152944</v>
          </cell>
          <cell r="V182">
            <v>152944</v>
          </cell>
          <cell r="W182">
            <v>0</v>
          </cell>
        </row>
        <row r="183">
          <cell r="E183">
            <v>302</v>
          </cell>
          <cell r="G183">
            <v>44092</v>
          </cell>
          <cell r="J183">
            <v>104</v>
          </cell>
          <cell r="L183">
            <v>58136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190366</v>
          </cell>
          <cell r="V183">
            <v>190366</v>
          </cell>
          <cell r="W183">
            <v>0</v>
          </cell>
        </row>
        <row r="184">
          <cell r="E184">
            <v>302</v>
          </cell>
          <cell r="G184">
            <v>44092</v>
          </cell>
          <cell r="J184">
            <v>73</v>
          </cell>
          <cell r="L184">
            <v>40807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173030</v>
          </cell>
          <cell r="V184">
            <v>173030</v>
          </cell>
          <cell r="W184">
            <v>0</v>
          </cell>
        </row>
        <row r="185">
          <cell r="E185">
            <v>331</v>
          </cell>
          <cell r="G185">
            <v>48326</v>
          </cell>
          <cell r="J185">
            <v>101</v>
          </cell>
          <cell r="L185">
            <v>56459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192945</v>
          </cell>
          <cell r="V185">
            <v>192945</v>
          </cell>
          <cell r="W185">
            <v>0</v>
          </cell>
        </row>
        <row r="186">
          <cell r="E186">
            <v>367</v>
          </cell>
          <cell r="G186">
            <v>53582</v>
          </cell>
          <cell r="J186">
            <v>52</v>
          </cell>
          <cell r="L186">
            <v>29068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170830</v>
          </cell>
          <cell r="V186">
            <v>170830</v>
          </cell>
          <cell r="W186">
            <v>0</v>
          </cell>
        </row>
        <row r="187">
          <cell r="E187">
            <v>326</v>
          </cell>
          <cell r="G187">
            <v>47596</v>
          </cell>
          <cell r="J187">
            <v>150</v>
          </cell>
          <cell r="L187">
            <v>89250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226768</v>
          </cell>
          <cell r="V187">
            <v>226768</v>
          </cell>
          <cell r="W187">
            <v>0</v>
          </cell>
        </row>
        <row r="188">
          <cell r="E188">
            <v>314</v>
          </cell>
          <cell r="G188">
            <v>45844</v>
          </cell>
          <cell r="J188">
            <v>116</v>
          </cell>
          <cell r="L188">
            <v>64844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200640</v>
          </cell>
          <cell r="V188">
            <v>200640</v>
          </cell>
          <cell r="W188">
            <v>0</v>
          </cell>
        </row>
        <row r="189">
          <cell r="E189">
            <v>299</v>
          </cell>
          <cell r="G189">
            <v>43654</v>
          </cell>
          <cell r="J189">
            <v>133</v>
          </cell>
          <cell r="L189">
            <v>76687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210306</v>
          </cell>
          <cell r="V189">
            <v>210306</v>
          </cell>
          <cell r="W189">
            <v>0</v>
          </cell>
        </row>
        <row r="190">
          <cell r="E190">
            <v>252</v>
          </cell>
          <cell r="G190">
            <v>36792</v>
          </cell>
          <cell r="J190">
            <v>119</v>
          </cell>
          <cell r="L190">
            <v>66521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193289</v>
          </cell>
          <cell r="V190">
            <v>193289</v>
          </cell>
          <cell r="W190">
            <v>0</v>
          </cell>
        </row>
        <row r="191">
          <cell r="E191">
            <v>413</v>
          </cell>
          <cell r="G191">
            <v>60298</v>
          </cell>
          <cell r="J191">
            <v>171</v>
          </cell>
          <cell r="L191">
            <v>95589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245885</v>
          </cell>
          <cell r="V191">
            <v>266405</v>
          </cell>
          <cell r="W191">
            <v>-20520</v>
          </cell>
        </row>
        <row r="192">
          <cell r="E192">
            <v>242</v>
          </cell>
          <cell r="G192">
            <v>35332</v>
          </cell>
          <cell r="J192">
            <v>5</v>
          </cell>
          <cell r="L192">
            <v>2795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128150</v>
          </cell>
          <cell r="V192">
            <v>107630</v>
          </cell>
          <cell r="W192">
            <v>0</v>
          </cell>
        </row>
        <row r="193">
          <cell r="E193">
            <v>171</v>
          </cell>
          <cell r="G193">
            <v>24966</v>
          </cell>
          <cell r="J193">
            <v>8</v>
          </cell>
          <cell r="L193">
            <v>4472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119474</v>
          </cell>
          <cell r="V193">
            <v>119474</v>
          </cell>
          <cell r="W193">
            <v>0</v>
          </cell>
        </row>
        <row r="194">
          <cell r="E194">
            <v>234</v>
          </cell>
          <cell r="G194">
            <v>34164</v>
          </cell>
          <cell r="J194">
            <v>45</v>
          </cell>
          <cell r="L194">
            <v>25155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149380</v>
          </cell>
          <cell r="V194">
            <v>149380</v>
          </cell>
          <cell r="W194">
            <v>0</v>
          </cell>
        </row>
        <row r="195">
          <cell r="E195">
            <v>432</v>
          </cell>
          <cell r="G195">
            <v>63072</v>
          </cell>
          <cell r="J195">
            <v>174</v>
          </cell>
          <cell r="L195">
            <v>119946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273100</v>
          </cell>
          <cell r="V195">
            <v>273100</v>
          </cell>
          <cell r="W195">
            <v>0</v>
          </cell>
        </row>
        <row r="196">
          <cell r="E196">
            <v>374</v>
          </cell>
          <cell r="G196">
            <v>54604</v>
          </cell>
          <cell r="J196">
            <v>178</v>
          </cell>
          <cell r="L196">
            <v>125062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269771</v>
          </cell>
          <cell r="V196">
            <v>269771</v>
          </cell>
          <cell r="W196">
            <v>0</v>
          </cell>
        </row>
        <row r="197">
          <cell r="E197">
            <v>428</v>
          </cell>
          <cell r="G197">
            <v>62488</v>
          </cell>
          <cell r="J197">
            <v>189</v>
          </cell>
          <cell r="L197">
            <v>139131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291754</v>
          </cell>
          <cell r="V197">
            <v>291754</v>
          </cell>
          <cell r="W197">
            <v>0</v>
          </cell>
        </row>
        <row r="198">
          <cell r="E198">
            <v>295</v>
          </cell>
          <cell r="G198">
            <v>43070</v>
          </cell>
          <cell r="J198">
            <v>101</v>
          </cell>
          <cell r="L198">
            <v>56459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189674</v>
          </cell>
          <cell r="V198">
            <v>189674</v>
          </cell>
          <cell r="W198">
            <v>0</v>
          </cell>
        </row>
        <row r="199">
          <cell r="E199">
            <v>411</v>
          </cell>
          <cell r="G199">
            <v>60006</v>
          </cell>
          <cell r="J199">
            <v>163</v>
          </cell>
          <cell r="L199">
            <v>105877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258151</v>
          </cell>
          <cell r="V199">
            <v>258151</v>
          </cell>
          <cell r="W199">
            <v>0</v>
          </cell>
        </row>
        <row r="200">
          <cell r="E200">
            <v>479</v>
          </cell>
          <cell r="G200">
            <v>69934</v>
          </cell>
          <cell r="J200">
            <v>149</v>
          </cell>
          <cell r="L200">
            <v>88511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250716</v>
          </cell>
          <cell r="V200">
            <v>250716</v>
          </cell>
          <cell r="W200">
            <v>0</v>
          </cell>
        </row>
        <row r="201">
          <cell r="E201">
            <v>356</v>
          </cell>
          <cell r="G201">
            <v>51976</v>
          </cell>
          <cell r="J201">
            <v>112</v>
          </cell>
          <cell r="L201">
            <v>62608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206858</v>
          </cell>
          <cell r="V201">
            <v>206858</v>
          </cell>
          <cell r="W201">
            <v>0</v>
          </cell>
        </row>
        <row r="202">
          <cell r="E202">
            <v>203</v>
          </cell>
          <cell r="G202">
            <v>29638</v>
          </cell>
          <cell r="J202">
            <v>45</v>
          </cell>
          <cell r="L202">
            <v>25155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147096</v>
          </cell>
          <cell r="V202">
            <v>147096</v>
          </cell>
          <cell r="W202">
            <v>0</v>
          </cell>
        </row>
        <row r="203">
          <cell r="E203">
            <v>299</v>
          </cell>
          <cell r="G203">
            <v>43654</v>
          </cell>
          <cell r="J203">
            <v>65</v>
          </cell>
          <cell r="L203">
            <v>36335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172322</v>
          </cell>
          <cell r="V203"/>
          <cell r="W203">
            <v>172322</v>
          </cell>
        </row>
        <row r="204">
          <cell r="E204">
            <v>-31115</v>
          </cell>
          <cell r="G204">
            <v>-4542790</v>
          </cell>
          <cell r="J204">
            <v>-1975</v>
          </cell>
          <cell r="L204">
            <v>-1104025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-5562811</v>
          </cell>
          <cell r="V204"/>
          <cell r="W204">
            <v>-5390489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-5306485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-5222481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-5138477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-5054473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-4970469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-4886465</v>
          </cell>
        </row>
      </sheetData>
      <sheetData sheetId="57">
        <row r="175">
          <cell r="E175">
            <v>3</v>
          </cell>
          <cell r="G175">
            <v>438</v>
          </cell>
          <cell r="J175">
            <v>4</v>
          </cell>
          <cell r="L175">
            <v>2236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89815</v>
          </cell>
          <cell r="V175">
            <v>89815</v>
          </cell>
          <cell r="W175">
            <v>0</v>
          </cell>
        </row>
        <row r="176">
          <cell r="E176">
            <v>14</v>
          </cell>
          <cell r="G176">
            <v>2044</v>
          </cell>
          <cell r="J176">
            <v>27</v>
          </cell>
          <cell r="L176">
            <v>15093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104278</v>
          </cell>
          <cell r="V176">
            <v>104278</v>
          </cell>
          <cell r="W176">
            <v>0</v>
          </cell>
        </row>
        <row r="177">
          <cell r="E177">
            <v>43</v>
          </cell>
          <cell r="G177">
            <v>6278</v>
          </cell>
          <cell r="J177">
            <v>18</v>
          </cell>
          <cell r="L177">
            <v>10062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103481</v>
          </cell>
          <cell r="V177">
            <v>103481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2</v>
          </cell>
          <cell r="G179">
            <v>292</v>
          </cell>
          <cell r="J179">
            <v>4</v>
          </cell>
          <cell r="L179">
            <v>2236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89669</v>
          </cell>
          <cell r="V179">
            <v>89669</v>
          </cell>
          <cell r="W179">
            <v>0</v>
          </cell>
        </row>
        <row r="180">
          <cell r="E180">
            <v>4</v>
          </cell>
          <cell r="G180">
            <v>584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87725</v>
          </cell>
          <cell r="V180">
            <v>87725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88138</v>
          </cell>
          <cell r="V183">
            <v>88138</v>
          </cell>
          <cell r="W183">
            <v>0</v>
          </cell>
        </row>
        <row r="184">
          <cell r="E184">
            <v>1</v>
          </cell>
          <cell r="G184">
            <v>146</v>
          </cell>
          <cell r="J184">
            <v>1</v>
          </cell>
          <cell r="L184">
            <v>559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88836</v>
          </cell>
          <cell r="V184">
            <v>88836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7</v>
          </cell>
          <cell r="L186">
            <v>3913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92093</v>
          </cell>
          <cell r="V186">
            <v>92093</v>
          </cell>
          <cell r="W186">
            <v>0</v>
          </cell>
        </row>
        <row r="187">
          <cell r="E187">
            <v>3</v>
          </cell>
          <cell r="G187">
            <v>438</v>
          </cell>
          <cell r="J187">
            <v>13</v>
          </cell>
          <cell r="L187">
            <v>7267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97627</v>
          </cell>
          <cell r="V187">
            <v>97627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13</v>
          </cell>
          <cell r="L188">
            <v>7267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97219</v>
          </cell>
          <cell r="V188">
            <v>97219</v>
          </cell>
          <cell r="W188">
            <v>0</v>
          </cell>
        </row>
        <row r="189">
          <cell r="E189">
            <v>4</v>
          </cell>
          <cell r="G189">
            <v>584</v>
          </cell>
          <cell r="J189">
            <v>11</v>
          </cell>
          <cell r="L189">
            <v>6149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96698</v>
          </cell>
          <cell r="V189">
            <v>96698</v>
          </cell>
          <cell r="W189">
            <v>0</v>
          </cell>
        </row>
        <row r="190">
          <cell r="E190">
            <v>3</v>
          </cell>
          <cell r="G190">
            <v>438</v>
          </cell>
          <cell r="J190">
            <v>10</v>
          </cell>
          <cell r="L190">
            <v>5590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96004</v>
          </cell>
          <cell r="V190">
            <v>96004</v>
          </cell>
          <cell r="W190">
            <v>0</v>
          </cell>
        </row>
        <row r="191">
          <cell r="E191">
            <v>6</v>
          </cell>
          <cell r="G191">
            <v>876</v>
          </cell>
          <cell r="J191">
            <v>8</v>
          </cell>
          <cell r="L191">
            <v>4472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95346</v>
          </cell>
          <cell r="V191">
            <v>95346</v>
          </cell>
          <cell r="W191">
            <v>0</v>
          </cell>
        </row>
        <row r="192">
          <cell r="E192">
            <v>13</v>
          </cell>
          <cell r="G192">
            <v>1898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92480</v>
          </cell>
          <cell r="V192">
            <v>92480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8</v>
          </cell>
          <cell r="G194">
            <v>1168</v>
          </cell>
          <cell r="J194">
            <v>1</v>
          </cell>
          <cell r="L194">
            <v>559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91788</v>
          </cell>
          <cell r="V194">
            <v>91788</v>
          </cell>
          <cell r="W194">
            <v>0</v>
          </cell>
        </row>
        <row r="195">
          <cell r="E195">
            <v>5</v>
          </cell>
          <cell r="G195">
            <v>730</v>
          </cell>
          <cell r="J195">
            <v>1</v>
          </cell>
          <cell r="L195">
            <v>559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91371</v>
          </cell>
          <cell r="V195">
            <v>91371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10</v>
          </cell>
          <cell r="G197">
            <v>1460</v>
          </cell>
          <cell r="J197">
            <v>25</v>
          </cell>
          <cell r="L197">
            <v>13975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105570</v>
          </cell>
          <cell r="V197">
            <v>105570</v>
          </cell>
          <cell r="W197">
            <v>0</v>
          </cell>
        </row>
        <row r="198">
          <cell r="E198">
            <v>4</v>
          </cell>
          <cell r="G198">
            <v>584</v>
          </cell>
          <cell r="J198">
            <v>13</v>
          </cell>
          <cell r="L198">
            <v>7267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97996</v>
          </cell>
          <cell r="V198">
            <v>97996</v>
          </cell>
          <cell r="W198">
            <v>0</v>
          </cell>
        </row>
        <row r="199">
          <cell r="E199">
            <v>1</v>
          </cell>
          <cell r="G199">
            <v>146</v>
          </cell>
          <cell r="J199">
            <v>8</v>
          </cell>
          <cell r="L199">
            <v>4472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96886</v>
          </cell>
          <cell r="V199">
            <v>96886</v>
          </cell>
          <cell r="W199">
            <v>0</v>
          </cell>
        </row>
        <row r="200">
          <cell r="E200">
            <v>4</v>
          </cell>
          <cell r="G200">
            <v>584</v>
          </cell>
          <cell r="J200">
            <v>5</v>
          </cell>
          <cell r="L200">
            <v>2795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95650</v>
          </cell>
          <cell r="V200"/>
          <cell r="W200">
            <v>95650</v>
          </cell>
        </row>
        <row r="201">
          <cell r="E201">
            <v>1</v>
          </cell>
          <cell r="G201">
            <v>146</v>
          </cell>
          <cell r="J201">
            <v>21</v>
          </cell>
          <cell r="L201">
            <v>11739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104159</v>
          </cell>
          <cell r="V201"/>
          <cell r="W201">
            <v>199809</v>
          </cell>
        </row>
        <row r="202">
          <cell r="E202">
            <v>5</v>
          </cell>
          <cell r="G202">
            <v>730</v>
          </cell>
          <cell r="J202">
            <v>11</v>
          </cell>
          <cell r="L202">
            <v>6149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99182</v>
          </cell>
          <cell r="V202">
            <v>310055</v>
          </cell>
          <cell r="W202">
            <v>-11064</v>
          </cell>
        </row>
        <row r="203">
          <cell r="E203">
            <v>2</v>
          </cell>
          <cell r="G203">
            <v>292</v>
          </cell>
          <cell r="J203">
            <v>9</v>
          </cell>
          <cell r="L203">
            <v>5031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97656</v>
          </cell>
          <cell r="V203"/>
          <cell r="W203">
            <v>86592</v>
          </cell>
        </row>
        <row r="204">
          <cell r="E204">
            <v>-9290</v>
          </cell>
          <cell r="G204">
            <v>-1356340</v>
          </cell>
          <cell r="J204">
            <v>-1805</v>
          </cell>
          <cell r="L204">
            <v>-1008995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-2281331</v>
          </cell>
          <cell r="V204"/>
          <cell r="W204">
            <v>-2194739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-2110735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-2026731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-1942727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-1858723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-1774719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-1690715</v>
          </cell>
        </row>
      </sheetData>
      <sheetData sheetId="58">
        <row r="175">
          <cell r="E175">
            <v>266</v>
          </cell>
          <cell r="G175">
            <v>38836</v>
          </cell>
          <cell r="J175">
            <v>125</v>
          </cell>
          <cell r="L175">
            <v>70775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196752</v>
          </cell>
          <cell r="V175">
            <v>196752</v>
          </cell>
          <cell r="W175">
            <v>0</v>
          </cell>
        </row>
        <row r="176">
          <cell r="E176">
            <v>299</v>
          </cell>
          <cell r="G176">
            <v>43654</v>
          </cell>
          <cell r="J176">
            <v>97</v>
          </cell>
          <cell r="L176">
            <v>55620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186415</v>
          </cell>
          <cell r="V176">
            <v>196752</v>
          </cell>
          <cell r="W176">
            <v>-10337</v>
          </cell>
        </row>
        <row r="177">
          <cell r="E177">
            <v>347</v>
          </cell>
          <cell r="G177">
            <v>50662</v>
          </cell>
          <cell r="J177">
            <v>103</v>
          </cell>
          <cell r="L177">
            <v>55620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193423</v>
          </cell>
          <cell r="V177">
            <v>183086</v>
          </cell>
          <cell r="W177">
            <v>0</v>
          </cell>
        </row>
        <row r="178">
          <cell r="E178">
            <v>236</v>
          </cell>
          <cell r="G178">
            <v>34456</v>
          </cell>
          <cell r="J178">
            <v>64</v>
          </cell>
          <cell r="L178">
            <v>55620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177217</v>
          </cell>
          <cell r="V178">
            <v>177217</v>
          </cell>
          <cell r="W178">
            <v>0</v>
          </cell>
        </row>
        <row r="179">
          <cell r="E179">
            <v>238</v>
          </cell>
          <cell r="G179">
            <v>34748</v>
          </cell>
          <cell r="J179">
            <v>32</v>
          </cell>
          <cell r="L179">
            <v>17888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139777</v>
          </cell>
          <cell r="V179">
            <v>139777</v>
          </cell>
          <cell r="W179">
            <v>0</v>
          </cell>
        </row>
        <row r="180">
          <cell r="E180">
            <v>185</v>
          </cell>
          <cell r="G180">
            <v>27010</v>
          </cell>
          <cell r="J180">
            <v>15</v>
          </cell>
          <cell r="L180">
            <v>8385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122536</v>
          </cell>
          <cell r="V180">
            <v>122536</v>
          </cell>
          <cell r="W180">
            <v>0</v>
          </cell>
        </row>
        <row r="181">
          <cell r="E181">
            <v>161</v>
          </cell>
          <cell r="G181">
            <v>23506</v>
          </cell>
          <cell r="J181">
            <v>29</v>
          </cell>
          <cell r="L181">
            <v>16211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126858</v>
          </cell>
          <cell r="V181"/>
          <cell r="W181">
            <v>126858</v>
          </cell>
        </row>
        <row r="182">
          <cell r="E182">
            <v>189</v>
          </cell>
          <cell r="G182">
            <v>27594</v>
          </cell>
          <cell r="J182">
            <v>32</v>
          </cell>
          <cell r="L182">
            <v>17888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133604</v>
          </cell>
          <cell r="V182">
            <v>260462</v>
          </cell>
          <cell r="W182">
            <v>0</v>
          </cell>
        </row>
        <row r="183">
          <cell r="E183">
            <v>185</v>
          </cell>
          <cell r="G183">
            <v>27010</v>
          </cell>
          <cell r="J183">
            <v>58</v>
          </cell>
          <cell r="L183">
            <v>32422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147570</v>
          </cell>
          <cell r="V183"/>
          <cell r="W183">
            <v>147570</v>
          </cell>
        </row>
        <row r="184">
          <cell r="E184">
            <v>192</v>
          </cell>
          <cell r="G184">
            <v>28032</v>
          </cell>
          <cell r="J184">
            <v>64</v>
          </cell>
          <cell r="L184">
            <v>35776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151939</v>
          </cell>
          <cell r="V184">
            <v>299509</v>
          </cell>
          <cell r="W184">
            <v>0</v>
          </cell>
        </row>
        <row r="185">
          <cell r="E185">
            <v>230</v>
          </cell>
          <cell r="G185">
            <v>33580</v>
          </cell>
          <cell r="J185">
            <v>95</v>
          </cell>
          <cell r="L185">
            <v>53105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174845</v>
          </cell>
          <cell r="V185"/>
          <cell r="W185">
            <v>174845</v>
          </cell>
        </row>
        <row r="186">
          <cell r="E186">
            <v>292</v>
          </cell>
          <cell r="G186">
            <v>42632</v>
          </cell>
          <cell r="J186">
            <v>79</v>
          </cell>
          <cell r="L186">
            <v>44161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174973</v>
          </cell>
          <cell r="V186">
            <v>349818</v>
          </cell>
          <cell r="W186">
            <v>0</v>
          </cell>
        </row>
        <row r="187">
          <cell r="E187">
            <v>304</v>
          </cell>
          <cell r="G187">
            <v>44384</v>
          </cell>
          <cell r="J187">
            <v>106</v>
          </cell>
          <cell r="L187">
            <v>59254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193560</v>
          </cell>
          <cell r="V187">
            <v>193560</v>
          </cell>
          <cell r="W187">
            <v>0</v>
          </cell>
        </row>
        <row r="188">
          <cell r="E188">
            <v>420</v>
          </cell>
          <cell r="G188">
            <v>61320</v>
          </cell>
          <cell r="J188">
            <v>87</v>
          </cell>
          <cell r="L188">
            <v>48633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199905</v>
          </cell>
          <cell r="V188">
            <v>199905</v>
          </cell>
          <cell r="W188">
            <v>0</v>
          </cell>
        </row>
        <row r="189">
          <cell r="E189">
            <v>280</v>
          </cell>
          <cell r="G189">
            <v>40880</v>
          </cell>
          <cell r="J189">
            <v>46</v>
          </cell>
          <cell r="L189">
            <v>25714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156559</v>
          </cell>
          <cell r="V189"/>
          <cell r="W189">
            <v>156559</v>
          </cell>
        </row>
        <row r="190">
          <cell r="E190">
            <v>217</v>
          </cell>
          <cell r="G190">
            <v>31682</v>
          </cell>
          <cell r="J190">
            <v>43</v>
          </cell>
          <cell r="L190">
            <v>24037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145695</v>
          </cell>
          <cell r="V190">
            <v>302254</v>
          </cell>
          <cell r="W190">
            <v>0</v>
          </cell>
        </row>
        <row r="191">
          <cell r="E191">
            <v>308</v>
          </cell>
          <cell r="G191">
            <v>44968</v>
          </cell>
          <cell r="J191">
            <v>70</v>
          </cell>
          <cell r="L191">
            <v>39130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174096</v>
          </cell>
          <cell r="V191"/>
          <cell r="W191">
            <v>174096</v>
          </cell>
        </row>
        <row r="192">
          <cell r="E192">
            <v>219</v>
          </cell>
          <cell r="G192">
            <v>31974</v>
          </cell>
          <cell r="J192">
            <v>27</v>
          </cell>
          <cell r="L192">
            <v>15093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137090</v>
          </cell>
          <cell r="V192">
            <v>311186</v>
          </cell>
          <cell r="W192">
            <v>0</v>
          </cell>
        </row>
        <row r="193">
          <cell r="E193">
            <v>193</v>
          </cell>
          <cell r="G193">
            <v>28178</v>
          </cell>
          <cell r="J193">
            <v>59</v>
          </cell>
          <cell r="L193">
            <v>32981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151195</v>
          </cell>
          <cell r="V193"/>
          <cell r="W193">
            <v>151195</v>
          </cell>
        </row>
        <row r="194">
          <cell r="E194">
            <v>228</v>
          </cell>
          <cell r="G194">
            <v>33288</v>
          </cell>
          <cell r="J194">
            <v>48</v>
          </cell>
          <cell r="L194">
            <v>26832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150181</v>
          </cell>
          <cell r="V194">
            <v>301376</v>
          </cell>
          <cell r="W194">
            <v>0</v>
          </cell>
        </row>
        <row r="195">
          <cell r="E195">
            <v>203</v>
          </cell>
          <cell r="G195">
            <v>29638</v>
          </cell>
          <cell r="J195">
            <v>69</v>
          </cell>
          <cell r="L195">
            <v>38571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158291</v>
          </cell>
          <cell r="V195">
            <v>158291</v>
          </cell>
          <cell r="W195">
            <v>0</v>
          </cell>
        </row>
        <row r="196">
          <cell r="E196">
            <v>228</v>
          </cell>
          <cell r="G196">
            <v>33288</v>
          </cell>
          <cell r="J196">
            <v>74</v>
          </cell>
          <cell r="L196">
            <v>41366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164759</v>
          </cell>
          <cell r="V196">
            <v>164759</v>
          </cell>
          <cell r="W196">
            <v>0</v>
          </cell>
        </row>
        <row r="197">
          <cell r="E197">
            <v>283</v>
          </cell>
          <cell r="G197">
            <v>41318</v>
          </cell>
          <cell r="J197">
            <v>109</v>
          </cell>
          <cell r="L197">
            <v>60931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192384</v>
          </cell>
          <cell r="V197">
            <v>192384</v>
          </cell>
          <cell r="W197">
            <v>0</v>
          </cell>
        </row>
        <row r="198">
          <cell r="E198">
            <v>273</v>
          </cell>
          <cell r="G198">
            <v>39858</v>
          </cell>
          <cell r="J198">
            <v>94</v>
          </cell>
          <cell r="L198">
            <v>52546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137829</v>
          </cell>
          <cell r="S198">
            <v>320378</v>
          </cell>
          <cell r="V198">
            <v>182549</v>
          </cell>
          <cell r="W198">
            <v>137829</v>
          </cell>
        </row>
        <row r="199">
          <cell r="E199">
            <v>346</v>
          </cell>
          <cell r="G199">
            <v>50516</v>
          </cell>
          <cell r="J199">
            <v>102</v>
          </cell>
          <cell r="L199">
            <v>57018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199802</v>
          </cell>
          <cell r="V199">
            <v>199802</v>
          </cell>
          <cell r="W199">
            <v>137829</v>
          </cell>
        </row>
        <row r="200">
          <cell r="E200">
            <v>395</v>
          </cell>
          <cell r="G200">
            <v>57670</v>
          </cell>
          <cell r="J200">
            <v>89</v>
          </cell>
          <cell r="L200">
            <v>49751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199692</v>
          </cell>
          <cell r="V200"/>
          <cell r="W200">
            <v>337521</v>
          </cell>
        </row>
        <row r="201">
          <cell r="E201">
            <v>322</v>
          </cell>
          <cell r="G201">
            <v>47012</v>
          </cell>
          <cell r="J201">
            <v>87</v>
          </cell>
          <cell r="L201">
            <v>48633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187919</v>
          </cell>
          <cell r="V201">
            <v>387611</v>
          </cell>
          <cell r="W201">
            <v>137829</v>
          </cell>
        </row>
        <row r="202">
          <cell r="E202">
            <v>222</v>
          </cell>
          <cell r="G202">
            <v>32412</v>
          </cell>
          <cell r="J202">
            <v>64</v>
          </cell>
          <cell r="L202">
            <v>35776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160491</v>
          </cell>
          <cell r="V202"/>
          <cell r="W202">
            <v>298320</v>
          </cell>
        </row>
        <row r="203">
          <cell r="E203">
            <v>238</v>
          </cell>
          <cell r="G203">
            <v>34748</v>
          </cell>
          <cell r="J203">
            <v>82</v>
          </cell>
          <cell r="L203">
            <v>45838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172919</v>
          </cell>
          <cell r="V203"/>
          <cell r="W203">
            <v>471239</v>
          </cell>
        </row>
        <row r="204">
          <cell r="E204">
            <v>-59349</v>
          </cell>
          <cell r="G204">
            <v>-8664954</v>
          </cell>
          <cell r="J204">
            <v>-10407</v>
          </cell>
          <cell r="L204">
            <v>-5817513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-14398463</v>
          </cell>
          <cell r="V204"/>
          <cell r="W204">
            <v>-13927224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-13843220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-13759216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-13675212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-13591208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-13507204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-13423200</v>
          </cell>
        </row>
      </sheetData>
      <sheetData sheetId="59">
        <row r="175">
          <cell r="E175">
            <v>336</v>
          </cell>
          <cell r="G175">
            <v>49056</v>
          </cell>
          <cell r="J175">
            <v>118</v>
          </cell>
          <cell r="L175">
            <v>65962</v>
          </cell>
          <cell r="M175">
            <v>3731</v>
          </cell>
          <cell r="N175">
            <v>7000</v>
          </cell>
          <cell r="O175"/>
          <cell r="P175">
            <v>10000</v>
          </cell>
          <cell r="Q175">
            <v>76410</v>
          </cell>
          <cell r="R175"/>
          <cell r="S175">
            <v>212159</v>
          </cell>
          <cell r="V175">
            <v>212159</v>
          </cell>
          <cell r="W175">
            <v>0</v>
          </cell>
        </row>
        <row r="176">
          <cell r="E176">
            <v>247</v>
          </cell>
          <cell r="G176">
            <v>36062</v>
          </cell>
          <cell r="J176">
            <v>110</v>
          </cell>
          <cell r="L176">
            <v>61490</v>
          </cell>
          <cell r="M176">
            <v>3731</v>
          </cell>
          <cell r="N176">
            <v>7000</v>
          </cell>
          <cell r="O176"/>
          <cell r="P176">
            <v>10000</v>
          </cell>
          <cell r="Q176">
            <v>76410</v>
          </cell>
          <cell r="R176"/>
          <cell r="S176">
            <v>194693</v>
          </cell>
          <cell r="V176">
            <v>194693</v>
          </cell>
          <cell r="W176">
            <v>0</v>
          </cell>
        </row>
        <row r="177">
          <cell r="E177">
            <v>214</v>
          </cell>
          <cell r="G177">
            <v>31244</v>
          </cell>
          <cell r="J177">
            <v>108</v>
          </cell>
          <cell r="L177">
            <v>60372</v>
          </cell>
          <cell r="M177">
            <v>3731</v>
          </cell>
          <cell r="N177">
            <v>7000</v>
          </cell>
          <cell r="O177"/>
          <cell r="P177">
            <v>10000</v>
          </cell>
          <cell r="Q177">
            <v>76410</v>
          </cell>
          <cell r="R177"/>
          <cell r="S177">
            <v>188757</v>
          </cell>
          <cell r="V177">
            <v>188757</v>
          </cell>
          <cell r="W177">
            <v>0</v>
          </cell>
        </row>
        <row r="178">
          <cell r="E178">
            <v>186</v>
          </cell>
          <cell r="G178">
            <v>27156</v>
          </cell>
          <cell r="J178">
            <v>79</v>
          </cell>
          <cell r="L178">
            <v>44161</v>
          </cell>
          <cell r="M178">
            <v>3731</v>
          </cell>
          <cell r="N178">
            <v>7000</v>
          </cell>
          <cell r="O178"/>
          <cell r="P178">
            <v>10000</v>
          </cell>
          <cell r="Q178">
            <v>76410</v>
          </cell>
          <cell r="R178"/>
          <cell r="S178">
            <v>168458</v>
          </cell>
          <cell r="V178">
            <v>168458</v>
          </cell>
          <cell r="W178">
            <v>0</v>
          </cell>
        </row>
        <row r="179">
          <cell r="E179">
            <v>128</v>
          </cell>
          <cell r="G179">
            <v>18688</v>
          </cell>
          <cell r="J179">
            <v>28</v>
          </cell>
          <cell r="L179">
            <v>15652</v>
          </cell>
          <cell r="M179">
            <v>3731</v>
          </cell>
          <cell r="N179">
            <v>7000</v>
          </cell>
          <cell r="O179"/>
          <cell r="P179">
            <v>10000</v>
          </cell>
          <cell r="Q179">
            <v>76410</v>
          </cell>
          <cell r="R179"/>
          <cell r="S179">
            <v>131481</v>
          </cell>
          <cell r="V179">
            <v>131481</v>
          </cell>
          <cell r="W179">
            <v>0</v>
          </cell>
        </row>
        <row r="180">
          <cell r="E180">
            <v>107</v>
          </cell>
          <cell r="G180">
            <v>15622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>
            <v>10000</v>
          </cell>
          <cell r="Q180">
            <v>76410</v>
          </cell>
          <cell r="R180"/>
          <cell r="S180">
            <v>112763</v>
          </cell>
          <cell r="V180">
            <v>112763</v>
          </cell>
          <cell r="W180">
            <v>0</v>
          </cell>
        </row>
        <row r="181">
          <cell r="E181">
            <v>113</v>
          </cell>
          <cell r="G181">
            <v>16498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/>
          <cell r="P181">
            <v>10000</v>
          </cell>
          <cell r="Q181">
            <v>76410</v>
          </cell>
          <cell r="R181"/>
          <cell r="S181">
            <v>114757</v>
          </cell>
          <cell r="V181">
            <v>114757</v>
          </cell>
          <cell r="W181">
            <v>0</v>
          </cell>
        </row>
        <row r="182">
          <cell r="E182">
            <v>123</v>
          </cell>
          <cell r="G182">
            <v>17958</v>
          </cell>
          <cell r="J182">
            <v>2</v>
          </cell>
          <cell r="L182">
            <v>1118</v>
          </cell>
          <cell r="M182">
            <v>3731</v>
          </cell>
          <cell r="N182">
            <v>7981</v>
          </cell>
          <cell r="O182"/>
          <cell r="P182">
            <v>10000</v>
          </cell>
          <cell r="Q182">
            <v>76410</v>
          </cell>
          <cell r="R182"/>
          <cell r="S182">
            <v>117198</v>
          </cell>
          <cell r="V182">
            <v>117198</v>
          </cell>
          <cell r="W182">
            <v>0</v>
          </cell>
        </row>
        <row r="183">
          <cell r="E183">
            <v>142</v>
          </cell>
          <cell r="G183">
            <v>20732</v>
          </cell>
          <cell r="J183">
            <v>7</v>
          </cell>
          <cell r="L183">
            <v>3913</v>
          </cell>
          <cell r="M183">
            <v>3731</v>
          </cell>
          <cell r="N183">
            <v>7997</v>
          </cell>
          <cell r="O183"/>
          <cell r="P183">
            <v>10000</v>
          </cell>
          <cell r="Q183">
            <v>76410</v>
          </cell>
          <cell r="R183"/>
          <cell r="S183">
            <v>122783</v>
          </cell>
          <cell r="V183">
            <v>122783</v>
          </cell>
          <cell r="W183">
            <v>0</v>
          </cell>
        </row>
        <row r="184">
          <cell r="E184">
            <v>156</v>
          </cell>
          <cell r="G184">
            <v>22776</v>
          </cell>
          <cell r="J184">
            <v>18</v>
          </cell>
          <cell r="L184">
            <v>10062</v>
          </cell>
          <cell r="M184">
            <v>3731</v>
          </cell>
          <cell r="N184">
            <v>7990</v>
          </cell>
          <cell r="O184"/>
          <cell r="P184">
            <v>10000</v>
          </cell>
          <cell r="Q184">
            <v>76410</v>
          </cell>
          <cell r="R184"/>
          <cell r="S184">
            <v>130969</v>
          </cell>
          <cell r="V184">
            <v>130969</v>
          </cell>
          <cell r="W184">
            <v>0</v>
          </cell>
        </row>
        <row r="185">
          <cell r="E185">
            <v>205</v>
          </cell>
          <cell r="G185">
            <v>29930</v>
          </cell>
          <cell r="J185">
            <v>107</v>
          </cell>
          <cell r="L185">
            <v>59813</v>
          </cell>
          <cell r="M185">
            <v>3731</v>
          </cell>
          <cell r="N185">
            <v>8019</v>
          </cell>
          <cell r="O185"/>
          <cell r="P185">
            <v>10000</v>
          </cell>
          <cell r="Q185">
            <v>76410</v>
          </cell>
          <cell r="R185"/>
          <cell r="S185">
            <v>187903</v>
          </cell>
          <cell r="V185">
            <v>187903</v>
          </cell>
          <cell r="W185">
            <v>0</v>
          </cell>
        </row>
        <row r="186">
          <cell r="E186">
            <v>195</v>
          </cell>
          <cell r="G186">
            <v>28470</v>
          </cell>
          <cell r="J186">
            <v>182</v>
          </cell>
          <cell r="L186">
            <v>130178</v>
          </cell>
          <cell r="M186">
            <v>3731</v>
          </cell>
          <cell r="N186">
            <v>8039</v>
          </cell>
          <cell r="O186"/>
          <cell r="P186">
            <v>10000</v>
          </cell>
          <cell r="Q186">
            <v>76410</v>
          </cell>
          <cell r="R186"/>
          <cell r="S186">
            <v>256828</v>
          </cell>
          <cell r="V186">
            <v>256828</v>
          </cell>
          <cell r="W186">
            <v>0</v>
          </cell>
        </row>
        <row r="187">
          <cell r="E187">
            <v>209</v>
          </cell>
          <cell r="G187">
            <v>30514</v>
          </cell>
          <cell r="J187">
            <v>100</v>
          </cell>
          <cell r="L187">
            <v>55900</v>
          </cell>
          <cell r="M187">
            <v>3731</v>
          </cell>
          <cell r="N187">
            <v>8047</v>
          </cell>
          <cell r="O187"/>
          <cell r="P187">
            <v>10000</v>
          </cell>
          <cell r="Q187">
            <v>78144</v>
          </cell>
          <cell r="R187"/>
          <cell r="S187">
            <v>186336</v>
          </cell>
          <cell r="V187">
            <v>186336</v>
          </cell>
          <cell r="W187">
            <v>0</v>
          </cell>
        </row>
        <row r="188">
          <cell r="E188">
            <v>193</v>
          </cell>
          <cell r="G188">
            <v>28178</v>
          </cell>
          <cell r="J188">
            <v>72</v>
          </cell>
          <cell r="L188">
            <v>40248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158378</v>
          </cell>
          <cell r="V188">
            <v>158378</v>
          </cell>
          <cell r="W188">
            <v>0</v>
          </cell>
        </row>
        <row r="189">
          <cell r="E189">
            <v>143</v>
          </cell>
          <cell r="G189">
            <v>20878</v>
          </cell>
          <cell r="J189">
            <v>76</v>
          </cell>
          <cell r="L189">
            <v>42484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153327</v>
          </cell>
          <cell r="V189">
            <v>153327</v>
          </cell>
          <cell r="W189">
            <v>0</v>
          </cell>
        </row>
        <row r="190">
          <cell r="E190">
            <v>154</v>
          </cell>
          <cell r="G190">
            <v>22484</v>
          </cell>
          <cell r="J190">
            <v>76</v>
          </cell>
          <cell r="L190">
            <v>42484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154944</v>
          </cell>
          <cell r="V190">
            <v>154994</v>
          </cell>
          <cell r="W190">
            <v>-50</v>
          </cell>
        </row>
        <row r="191">
          <cell r="E191">
            <v>157</v>
          </cell>
          <cell r="G191">
            <v>22922</v>
          </cell>
          <cell r="J191">
            <v>80</v>
          </cell>
          <cell r="L191">
            <v>44720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157640</v>
          </cell>
          <cell r="V191">
            <v>157590</v>
          </cell>
          <cell r="W191">
            <v>0</v>
          </cell>
        </row>
        <row r="192">
          <cell r="E192">
            <v>82</v>
          </cell>
          <cell r="G192">
            <v>11972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102554</v>
          </cell>
          <cell r="V192">
            <v>102554</v>
          </cell>
          <cell r="W192">
            <v>0</v>
          </cell>
        </row>
        <row r="193">
          <cell r="E193">
            <v>41</v>
          </cell>
          <cell r="G193">
            <v>5986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96581</v>
          </cell>
          <cell r="V193">
            <v>96581</v>
          </cell>
          <cell r="W193">
            <v>0</v>
          </cell>
        </row>
        <row r="194">
          <cell r="E194">
            <v>58</v>
          </cell>
          <cell r="G194">
            <v>8468</v>
          </cell>
          <cell r="J194">
            <v>3</v>
          </cell>
          <cell r="L194">
            <v>1677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100206</v>
          </cell>
          <cell r="V194">
            <v>100206</v>
          </cell>
          <cell r="W194">
            <v>0</v>
          </cell>
        </row>
        <row r="195">
          <cell r="E195">
            <v>119</v>
          </cell>
          <cell r="G195">
            <v>17374</v>
          </cell>
          <cell r="J195">
            <v>19</v>
          </cell>
          <cell r="L195">
            <v>10621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118077</v>
          </cell>
          <cell r="V195">
            <v>118077</v>
          </cell>
          <cell r="W195">
            <v>0</v>
          </cell>
        </row>
        <row r="196">
          <cell r="E196">
            <v>115</v>
          </cell>
          <cell r="G196">
            <v>16790</v>
          </cell>
          <cell r="J196">
            <v>41</v>
          </cell>
          <cell r="L196">
            <v>22919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129814</v>
          </cell>
          <cell r="V196">
            <v>129814</v>
          </cell>
          <cell r="W196">
            <v>0</v>
          </cell>
        </row>
        <row r="197">
          <cell r="E197">
            <v>161</v>
          </cell>
          <cell r="G197">
            <v>23506</v>
          </cell>
          <cell r="J197">
            <v>63</v>
          </cell>
          <cell r="L197">
            <v>35217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148858</v>
          </cell>
          <cell r="V197">
            <v>148858</v>
          </cell>
          <cell r="W197">
            <v>0</v>
          </cell>
        </row>
        <row r="198">
          <cell r="E198">
            <v>102</v>
          </cell>
          <cell r="G198">
            <v>14892</v>
          </cell>
          <cell r="J198">
            <v>63</v>
          </cell>
          <cell r="L198">
            <v>35217</v>
          </cell>
          <cell r="M198">
            <v>3731</v>
          </cell>
          <cell r="N198">
            <v>8270</v>
          </cell>
          <cell r="O198">
            <v>115000</v>
          </cell>
          <cell r="P198"/>
          <cell r="Q198">
            <v>78144</v>
          </cell>
          <cell r="R198"/>
          <cell r="S198">
            <v>255254</v>
          </cell>
          <cell r="V198">
            <v>255254</v>
          </cell>
          <cell r="W198">
            <v>0</v>
          </cell>
        </row>
        <row r="199">
          <cell r="E199">
            <v>100</v>
          </cell>
          <cell r="G199">
            <v>14600</v>
          </cell>
          <cell r="J199">
            <v>113</v>
          </cell>
          <cell r="L199">
            <v>63167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170035</v>
          </cell>
          <cell r="V199">
            <v>170035</v>
          </cell>
          <cell r="W199">
            <v>0</v>
          </cell>
        </row>
        <row r="200">
          <cell r="E200">
            <v>232</v>
          </cell>
          <cell r="G200">
            <v>33872</v>
          </cell>
          <cell r="J200">
            <v>80</v>
          </cell>
          <cell r="L200">
            <v>44720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170863</v>
          </cell>
          <cell r="V200">
            <v>170863</v>
          </cell>
          <cell r="W200">
            <v>0</v>
          </cell>
        </row>
        <row r="201">
          <cell r="E201">
            <v>173</v>
          </cell>
          <cell r="G201">
            <v>25258</v>
          </cell>
          <cell r="J201">
            <v>72</v>
          </cell>
          <cell r="L201">
            <v>40248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157780</v>
          </cell>
          <cell r="V201">
            <v>157780</v>
          </cell>
          <cell r="W201">
            <v>0</v>
          </cell>
        </row>
        <row r="202">
          <cell r="E202">
            <v>133</v>
          </cell>
          <cell r="G202">
            <v>19418</v>
          </cell>
          <cell r="J202">
            <v>84</v>
          </cell>
          <cell r="L202">
            <v>46956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158677</v>
          </cell>
          <cell r="V202">
            <v>158677</v>
          </cell>
          <cell r="W202">
            <v>0</v>
          </cell>
        </row>
        <row r="203">
          <cell r="E203">
            <v>133</v>
          </cell>
          <cell r="G203">
            <v>19418</v>
          </cell>
          <cell r="J203">
            <v>80</v>
          </cell>
          <cell r="L203">
            <v>44720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156471</v>
          </cell>
          <cell r="V203">
            <v>156471</v>
          </cell>
          <cell r="W203">
            <v>0</v>
          </cell>
        </row>
        <row r="204">
          <cell r="E204">
            <v>-15813</v>
          </cell>
          <cell r="G204">
            <v>-2308698</v>
          </cell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-2224694</v>
          </cell>
          <cell r="V204"/>
          <cell r="W204">
            <v>-2224694</v>
          </cell>
        </row>
        <row r="205">
          <cell r="E205">
            <v>0</v>
          </cell>
          <cell r="G205">
            <v>0</v>
          </cell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-2140690</v>
          </cell>
        </row>
        <row r="206">
          <cell r="E206">
            <v>0</v>
          </cell>
          <cell r="G206">
            <v>0</v>
          </cell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-2056686</v>
          </cell>
        </row>
        <row r="207">
          <cell r="E207">
            <v>0</v>
          </cell>
          <cell r="G207">
            <v>0</v>
          </cell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-1972682</v>
          </cell>
        </row>
        <row r="208">
          <cell r="E208">
            <v>0</v>
          </cell>
          <cell r="G208">
            <v>0</v>
          </cell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-1888678</v>
          </cell>
        </row>
        <row r="209">
          <cell r="E209">
            <v>0</v>
          </cell>
          <cell r="G209">
            <v>0</v>
          </cell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-1804674</v>
          </cell>
        </row>
        <row r="210">
          <cell r="E210">
            <v>0</v>
          </cell>
          <cell r="G210">
            <v>0</v>
          </cell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-1720670</v>
          </cell>
        </row>
      </sheetData>
      <sheetData sheetId="60">
        <row r="175">
          <cell r="E175">
            <v>282</v>
          </cell>
          <cell r="G175">
            <v>41172</v>
          </cell>
          <cell r="J175">
            <v>126</v>
          </cell>
          <cell r="L175">
            <v>71514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199827</v>
          </cell>
          <cell r="V175"/>
          <cell r="W175">
            <v>235019</v>
          </cell>
        </row>
        <row r="176">
          <cell r="E176">
            <v>238</v>
          </cell>
          <cell r="G176">
            <v>34748</v>
          </cell>
          <cell r="J176">
            <v>124</v>
          </cell>
          <cell r="L176">
            <v>70036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191925</v>
          </cell>
          <cell r="V176">
            <v>426944</v>
          </cell>
          <cell r="W176">
            <v>0</v>
          </cell>
        </row>
        <row r="177">
          <cell r="E177">
            <v>182</v>
          </cell>
          <cell r="G177">
            <v>26572</v>
          </cell>
          <cell r="J177">
            <v>73</v>
          </cell>
          <cell r="L177">
            <v>75600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189313</v>
          </cell>
          <cell r="V177">
            <v>189313</v>
          </cell>
          <cell r="W177">
            <v>0</v>
          </cell>
        </row>
        <row r="178">
          <cell r="E178">
            <v>146</v>
          </cell>
          <cell r="G178">
            <v>21316</v>
          </cell>
          <cell r="J178">
            <v>39</v>
          </cell>
          <cell r="L178">
            <v>75600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184057</v>
          </cell>
          <cell r="V178"/>
          <cell r="W178">
            <v>184057</v>
          </cell>
        </row>
        <row r="179">
          <cell r="E179">
            <v>154</v>
          </cell>
          <cell r="G179">
            <v>22484</v>
          </cell>
          <cell r="J179">
            <v>23</v>
          </cell>
          <cell r="L179">
            <v>75600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185225</v>
          </cell>
          <cell r="V179">
            <v>369882</v>
          </cell>
          <cell r="W179">
            <v>-600</v>
          </cell>
        </row>
        <row r="180">
          <cell r="E180">
            <v>134</v>
          </cell>
          <cell r="G180">
            <v>19564</v>
          </cell>
          <cell r="J180">
            <v>8</v>
          </cell>
          <cell r="L180">
            <v>4472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111177</v>
          </cell>
          <cell r="V180"/>
          <cell r="W180">
            <v>110577</v>
          </cell>
        </row>
        <row r="181">
          <cell r="E181">
            <v>131</v>
          </cell>
          <cell r="G181">
            <v>19126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107385</v>
          </cell>
          <cell r="V181">
            <v>217962</v>
          </cell>
          <cell r="W181">
            <v>0</v>
          </cell>
        </row>
        <row r="182">
          <cell r="E182">
            <v>127</v>
          </cell>
          <cell r="G182">
            <v>18542</v>
          </cell>
          <cell r="J182">
            <v>7</v>
          </cell>
          <cell r="L182">
            <v>3913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110577</v>
          </cell>
          <cell r="V182">
            <v>110577</v>
          </cell>
          <cell r="W182">
            <v>0</v>
          </cell>
        </row>
        <row r="183">
          <cell r="E183">
            <v>139</v>
          </cell>
          <cell r="G183">
            <v>20294</v>
          </cell>
          <cell r="J183">
            <v>37</v>
          </cell>
          <cell r="L183">
            <v>20683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129115</v>
          </cell>
          <cell r="V183">
            <v>129115</v>
          </cell>
          <cell r="W183">
            <v>0</v>
          </cell>
        </row>
        <row r="184">
          <cell r="E184">
            <v>124</v>
          </cell>
          <cell r="G184">
            <v>18104</v>
          </cell>
          <cell r="J184">
            <v>38</v>
          </cell>
          <cell r="L184">
            <v>21242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127477</v>
          </cell>
          <cell r="V184">
            <v>127477</v>
          </cell>
          <cell r="W184">
            <v>0</v>
          </cell>
        </row>
        <row r="185">
          <cell r="E185">
            <v>157</v>
          </cell>
          <cell r="G185">
            <v>22922</v>
          </cell>
          <cell r="J185">
            <v>78</v>
          </cell>
          <cell r="L185">
            <v>43602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154684</v>
          </cell>
          <cell r="V185">
            <v>154684</v>
          </cell>
          <cell r="W185">
            <v>0</v>
          </cell>
        </row>
        <row r="186">
          <cell r="E186">
            <v>142</v>
          </cell>
          <cell r="G186">
            <v>20732</v>
          </cell>
          <cell r="J186">
            <v>95</v>
          </cell>
          <cell r="L186">
            <v>53105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162017</v>
          </cell>
          <cell r="V186"/>
          <cell r="W186">
            <v>162017</v>
          </cell>
        </row>
        <row r="187">
          <cell r="E187">
            <v>304</v>
          </cell>
          <cell r="G187">
            <v>44384</v>
          </cell>
          <cell r="J187">
            <v>128</v>
          </cell>
          <cell r="L187">
            <v>72992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207298</v>
          </cell>
          <cell r="V187">
            <v>300000</v>
          </cell>
          <cell r="W187">
            <v>69315</v>
          </cell>
        </row>
        <row r="188">
          <cell r="E188">
            <v>234</v>
          </cell>
          <cell r="G188">
            <v>34164</v>
          </cell>
          <cell r="J188">
            <v>87</v>
          </cell>
          <cell r="L188">
            <v>48633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172749</v>
          </cell>
          <cell r="V188">
            <v>250000</v>
          </cell>
          <cell r="W188">
            <v>-7936</v>
          </cell>
        </row>
        <row r="189">
          <cell r="E189">
            <v>173</v>
          </cell>
          <cell r="G189">
            <v>25258</v>
          </cell>
          <cell r="J189">
            <v>90</v>
          </cell>
          <cell r="L189">
            <v>50310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165533</v>
          </cell>
          <cell r="V189">
            <v>157597</v>
          </cell>
          <cell r="W189">
            <v>0</v>
          </cell>
        </row>
        <row r="190">
          <cell r="E190">
            <v>185</v>
          </cell>
          <cell r="G190">
            <v>27010</v>
          </cell>
          <cell r="J190">
            <v>67</v>
          </cell>
          <cell r="L190">
            <v>37453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154439</v>
          </cell>
          <cell r="V190">
            <v>155000</v>
          </cell>
          <cell r="W190">
            <v>-561</v>
          </cell>
        </row>
        <row r="191">
          <cell r="E191">
            <v>194</v>
          </cell>
          <cell r="G191">
            <v>28324</v>
          </cell>
          <cell r="J191">
            <v>60</v>
          </cell>
          <cell r="L191">
            <v>33540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151862</v>
          </cell>
          <cell r="V191">
            <v>152000</v>
          </cell>
          <cell r="W191">
            <v>-699</v>
          </cell>
        </row>
        <row r="192">
          <cell r="E192">
            <v>159</v>
          </cell>
          <cell r="G192">
            <v>23214</v>
          </cell>
          <cell r="J192">
            <v>5</v>
          </cell>
          <cell r="L192">
            <v>2795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116032</v>
          </cell>
          <cell r="V192">
            <v>115333</v>
          </cell>
          <cell r="W192">
            <v>0</v>
          </cell>
        </row>
        <row r="193">
          <cell r="E193">
            <v>140</v>
          </cell>
          <cell r="G193">
            <v>20440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111035</v>
          </cell>
          <cell r="V193">
            <v>111035</v>
          </cell>
          <cell r="W193">
            <v>0</v>
          </cell>
        </row>
        <row r="194">
          <cell r="E194">
            <v>134</v>
          </cell>
          <cell r="G194">
            <v>19564</v>
          </cell>
          <cell r="J194">
            <v>3</v>
          </cell>
          <cell r="L194">
            <v>1677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111302</v>
          </cell>
          <cell r="V194">
            <v>111302</v>
          </cell>
          <cell r="W194">
            <v>0</v>
          </cell>
        </row>
        <row r="195">
          <cell r="E195">
            <v>164</v>
          </cell>
          <cell r="G195">
            <v>23944</v>
          </cell>
          <cell r="J195">
            <v>22</v>
          </cell>
          <cell r="L195">
            <v>12298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126324</v>
          </cell>
          <cell r="V195"/>
          <cell r="W195">
            <v>126324</v>
          </cell>
        </row>
        <row r="196">
          <cell r="E196">
            <v>140</v>
          </cell>
          <cell r="G196">
            <v>20440</v>
          </cell>
          <cell r="J196">
            <v>24</v>
          </cell>
          <cell r="L196">
            <v>13416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123961</v>
          </cell>
          <cell r="V196">
            <v>250285</v>
          </cell>
          <cell r="W196">
            <v>0</v>
          </cell>
        </row>
        <row r="197">
          <cell r="E197">
            <v>163</v>
          </cell>
          <cell r="G197">
            <v>23798</v>
          </cell>
          <cell r="J197">
            <v>48</v>
          </cell>
          <cell r="L197">
            <v>26832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140765</v>
          </cell>
          <cell r="V197">
            <v>140765</v>
          </cell>
          <cell r="W197">
            <v>0</v>
          </cell>
        </row>
        <row r="198">
          <cell r="E198">
            <v>163</v>
          </cell>
          <cell r="G198">
            <v>23798</v>
          </cell>
          <cell r="J198">
            <v>69</v>
          </cell>
          <cell r="L198">
            <v>38571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152514</v>
          </cell>
          <cell r="V198">
            <v>152514</v>
          </cell>
          <cell r="W198">
            <v>0</v>
          </cell>
        </row>
        <row r="199">
          <cell r="E199">
            <v>312</v>
          </cell>
          <cell r="G199">
            <v>45552</v>
          </cell>
          <cell r="J199">
            <v>103</v>
          </cell>
          <cell r="L199">
            <v>57577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195397</v>
          </cell>
          <cell r="V199">
            <v>195397</v>
          </cell>
          <cell r="W199">
            <v>0</v>
          </cell>
        </row>
        <row r="200">
          <cell r="E200">
            <v>280</v>
          </cell>
          <cell r="G200">
            <v>40880</v>
          </cell>
          <cell r="J200">
            <v>41</v>
          </cell>
          <cell r="L200">
            <v>22919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156070</v>
          </cell>
          <cell r="V200">
            <v>157000</v>
          </cell>
          <cell r="W200">
            <v>-930</v>
          </cell>
        </row>
        <row r="201">
          <cell r="E201">
            <v>182</v>
          </cell>
          <cell r="G201">
            <v>26572</v>
          </cell>
          <cell r="J201">
            <v>56</v>
          </cell>
          <cell r="L201">
            <v>31304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150150</v>
          </cell>
          <cell r="V201">
            <v>80176</v>
          </cell>
          <cell r="W201">
            <v>69044</v>
          </cell>
        </row>
        <row r="202">
          <cell r="E202">
            <v>167</v>
          </cell>
          <cell r="G202">
            <v>24382</v>
          </cell>
          <cell r="J202">
            <v>807</v>
          </cell>
          <cell r="L202">
            <v>112778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229463</v>
          </cell>
          <cell r="V202">
            <v>298507</v>
          </cell>
          <cell r="W202">
            <v>0</v>
          </cell>
        </row>
        <row r="203">
          <cell r="E203">
            <v>156</v>
          </cell>
          <cell r="G203">
            <v>22776</v>
          </cell>
          <cell r="J203">
            <v>24</v>
          </cell>
          <cell r="L203">
            <v>13416</v>
          </cell>
          <cell r="M203">
            <v>3828</v>
          </cell>
          <cell r="N203">
            <v>8329</v>
          </cell>
          <cell r="O203">
            <v>112778</v>
          </cell>
          <cell r="P203"/>
          <cell r="Q203">
            <v>80176</v>
          </cell>
          <cell r="R203"/>
          <cell r="S203">
            <v>241303</v>
          </cell>
          <cell r="V203"/>
          <cell r="W203">
            <v>241303</v>
          </cell>
        </row>
        <row r="204">
          <cell r="E204">
            <v>-22081</v>
          </cell>
          <cell r="G204">
            <v>-3223826</v>
          </cell>
          <cell r="J204">
            <v>-13908</v>
          </cell>
          <cell r="L204">
            <v>-7774572</v>
          </cell>
          <cell r="M204">
            <v>3828</v>
          </cell>
          <cell r="N204"/>
          <cell r="O204">
            <v>112778</v>
          </cell>
          <cell r="P204"/>
          <cell r="Q204">
            <v>80176</v>
          </cell>
          <cell r="R204"/>
          <cell r="S204">
            <v>-10801616</v>
          </cell>
          <cell r="V204"/>
          <cell r="W204">
            <v>-10560313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112779</v>
          </cell>
          <cell r="P205"/>
          <cell r="Q205">
            <v>80176</v>
          </cell>
          <cell r="R205"/>
          <cell r="S205">
            <v>196783</v>
          </cell>
          <cell r="V205"/>
          <cell r="W205">
            <v>-10363530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-10279526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-10195522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-10111518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-10027514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-9943510</v>
          </cell>
        </row>
      </sheetData>
      <sheetData sheetId="6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52636</v>
          </cell>
          <cell r="S175">
            <v>139777</v>
          </cell>
          <cell r="V175"/>
          <cell r="W175">
            <v>407890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52784</v>
          </cell>
          <cell r="S176">
            <v>139925</v>
          </cell>
          <cell r="V176"/>
          <cell r="W176">
            <v>547815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52944</v>
          </cell>
          <cell r="S177">
            <v>140085</v>
          </cell>
          <cell r="V177"/>
          <cell r="W177">
            <v>687900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53123</v>
          </cell>
          <cell r="S178">
            <v>140264</v>
          </cell>
          <cell r="V178"/>
          <cell r="W178">
            <v>828164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/>
          <cell r="W179">
            <v>915305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>
            <v>877141</v>
          </cell>
          <cell r="W180">
            <v>125305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53195</v>
          </cell>
          <cell r="S181">
            <v>140336</v>
          </cell>
          <cell r="V181"/>
          <cell r="W181">
            <v>265641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53208</v>
          </cell>
          <cell r="S182">
            <v>141330</v>
          </cell>
          <cell r="V182"/>
          <cell r="W182">
            <v>406971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53314</v>
          </cell>
          <cell r="S183">
            <v>141452</v>
          </cell>
          <cell r="V183"/>
          <cell r="W183">
            <v>548423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53270</v>
          </cell>
          <cell r="S184">
            <v>141401</v>
          </cell>
          <cell r="V184"/>
          <cell r="W184">
            <v>689824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S185">
            <v>141622</v>
          </cell>
          <cell r="V185"/>
          <cell r="W185">
            <v>831446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S186">
            <v>141830</v>
          </cell>
          <cell r="V186"/>
          <cell r="W186">
            <v>973276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53847</v>
          </cell>
          <cell r="S187">
            <v>143769</v>
          </cell>
          <cell r="V187"/>
          <cell r="W187">
            <v>1117045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53934</v>
          </cell>
          <cell r="S188">
            <v>143886</v>
          </cell>
          <cell r="V188"/>
          <cell r="W188">
            <v>1260931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54009</v>
          </cell>
          <cell r="S189">
            <v>143974</v>
          </cell>
          <cell r="V189"/>
          <cell r="W189">
            <v>1404905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54157</v>
          </cell>
          <cell r="S190">
            <v>144133</v>
          </cell>
          <cell r="V190"/>
          <cell r="W190">
            <v>1549038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1639040</v>
          </cell>
          <cell r="W191">
            <v>-4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54405</v>
          </cell>
          <cell r="S192">
            <v>144428</v>
          </cell>
          <cell r="V192">
            <v>200000</v>
          </cell>
          <cell r="W192">
            <v>-55576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>
            <v>54575</v>
          </cell>
          <cell r="S193">
            <v>144611</v>
          </cell>
          <cell r="V193"/>
          <cell r="W193">
            <v>89035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>
            <v>54715</v>
          </cell>
          <cell r="S194">
            <v>144776</v>
          </cell>
          <cell r="V194"/>
          <cell r="W194">
            <v>233811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>
            <v>54864</v>
          </cell>
          <cell r="S195">
            <v>144946</v>
          </cell>
          <cell r="V195"/>
          <cell r="W195">
            <v>378757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55066</v>
          </cell>
          <cell r="S196">
            <v>145171</v>
          </cell>
          <cell r="V196"/>
          <cell r="W196">
            <v>523928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S197">
            <v>145267</v>
          </cell>
          <cell r="V197"/>
          <cell r="W197">
            <v>669195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S198">
            <v>145237</v>
          </cell>
          <cell r="V198"/>
          <cell r="W198">
            <v>814432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>
            <v>55092</v>
          </cell>
          <cell r="S199">
            <v>147360</v>
          </cell>
          <cell r="V199"/>
          <cell r="W199">
            <v>961792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1109177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1256583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1348886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6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87141</v>
          </cell>
          <cell r="V175"/>
          <cell r="W175">
            <v>89696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87141</v>
          </cell>
          <cell r="V176"/>
          <cell r="W176">
            <v>176837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87141</v>
          </cell>
          <cell r="V177"/>
          <cell r="W177">
            <v>263978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87141</v>
          </cell>
          <cell r="V178"/>
          <cell r="W178">
            <v>351119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87141</v>
          </cell>
          <cell r="V179"/>
          <cell r="W179">
            <v>438260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87141</v>
          </cell>
          <cell r="V180"/>
          <cell r="W180">
            <v>525401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87141</v>
          </cell>
          <cell r="V181"/>
          <cell r="W181">
            <v>612542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88122</v>
          </cell>
          <cell r="V182">
            <v>700000</v>
          </cell>
          <cell r="W182">
            <v>664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53314</v>
          </cell>
          <cell r="S183">
            <v>141452</v>
          </cell>
          <cell r="V183"/>
          <cell r="W183">
            <v>142116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53270</v>
          </cell>
          <cell r="S184">
            <v>141401</v>
          </cell>
          <cell r="V184"/>
          <cell r="W184">
            <v>283517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S185">
            <v>141622</v>
          </cell>
          <cell r="V185"/>
          <cell r="W185">
            <v>425139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514000</v>
          </cell>
          <cell r="W186">
            <v>-681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85500</v>
          </cell>
          <cell r="W187">
            <v>3741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89952</v>
          </cell>
          <cell r="V188">
            <v>93700</v>
          </cell>
          <cell r="W188">
            <v>-7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89965</v>
          </cell>
          <cell r="V189">
            <v>89958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1</v>
          </cell>
          <cell r="G198">
            <v>146</v>
          </cell>
          <cell r="J198">
            <v>7</v>
          </cell>
          <cell r="L198">
            <v>3913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94204</v>
          </cell>
          <cell r="V198">
            <v>94204</v>
          </cell>
          <cell r="W198">
            <v>0</v>
          </cell>
        </row>
        <row r="199">
          <cell r="E199">
            <v>1</v>
          </cell>
          <cell r="G199">
            <v>146</v>
          </cell>
          <cell r="J199">
            <v>10</v>
          </cell>
          <cell r="L199">
            <v>5590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98004</v>
          </cell>
          <cell r="V199">
            <v>98004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8</v>
          </cell>
          <cell r="L200">
            <v>4472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96743</v>
          </cell>
          <cell r="V200">
            <v>96743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13</v>
          </cell>
          <cell r="L201">
            <v>7267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99541</v>
          </cell>
          <cell r="V201">
            <v>99541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4</v>
          </cell>
          <cell r="L202">
            <v>2236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94539</v>
          </cell>
          <cell r="V202">
            <v>94539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3</v>
          </cell>
          <cell r="L203">
            <v>1677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94010</v>
          </cell>
          <cell r="V203"/>
          <cell r="W203">
            <v>94010</v>
          </cell>
        </row>
        <row r="204">
          <cell r="E204">
            <v>-2</v>
          </cell>
          <cell r="G204">
            <v>-292</v>
          </cell>
          <cell r="J204">
            <v>-45</v>
          </cell>
          <cell r="L204">
            <v>-25155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58557</v>
          </cell>
          <cell r="V204"/>
          <cell r="W204">
            <v>152567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236571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320575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404579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488583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572587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656591</v>
          </cell>
        </row>
      </sheetData>
      <sheetData sheetId="63">
        <row r="175">
          <cell r="E175">
            <v>266</v>
          </cell>
          <cell r="G175">
            <v>38836</v>
          </cell>
          <cell r="J175">
            <v>114</v>
          </cell>
          <cell r="L175">
            <v>63726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189703</v>
          </cell>
          <cell r="V175">
            <v>190000</v>
          </cell>
          <cell r="W175">
            <v>-2951</v>
          </cell>
        </row>
        <row r="176">
          <cell r="E176">
            <v>384</v>
          </cell>
          <cell r="G176">
            <v>56064</v>
          </cell>
          <cell r="J176">
            <v>105</v>
          </cell>
          <cell r="L176">
            <v>58695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201900</v>
          </cell>
          <cell r="V176">
            <v>200000</v>
          </cell>
          <cell r="W176">
            <v>-1051</v>
          </cell>
        </row>
        <row r="177">
          <cell r="E177">
            <v>452</v>
          </cell>
          <cell r="G177">
            <v>65992</v>
          </cell>
          <cell r="J177">
            <v>109</v>
          </cell>
          <cell r="L177">
            <v>60931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214064</v>
          </cell>
          <cell r="V177">
            <v>220000</v>
          </cell>
          <cell r="W177">
            <v>-6987</v>
          </cell>
        </row>
        <row r="178">
          <cell r="E178">
            <v>338</v>
          </cell>
          <cell r="G178">
            <v>49348</v>
          </cell>
          <cell r="J178">
            <v>76</v>
          </cell>
          <cell r="L178">
            <v>42484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178973</v>
          </cell>
          <cell r="V178">
            <v>175000</v>
          </cell>
          <cell r="W178">
            <v>-3014</v>
          </cell>
        </row>
        <row r="179">
          <cell r="E179">
            <v>260</v>
          </cell>
          <cell r="G179">
            <v>37960</v>
          </cell>
          <cell r="J179">
            <v>49</v>
          </cell>
          <cell r="L179">
            <v>27391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152492</v>
          </cell>
          <cell r="V179">
            <v>150000</v>
          </cell>
          <cell r="W179">
            <v>-522</v>
          </cell>
        </row>
        <row r="180">
          <cell r="E180">
            <v>230</v>
          </cell>
          <cell r="G180">
            <v>33580</v>
          </cell>
          <cell r="J180">
            <v>41</v>
          </cell>
          <cell r="L180">
            <v>22919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143640</v>
          </cell>
          <cell r="V180">
            <v>145000</v>
          </cell>
          <cell r="W180">
            <v>-1882</v>
          </cell>
        </row>
        <row r="181">
          <cell r="E181">
            <v>194</v>
          </cell>
          <cell r="G181">
            <v>28324</v>
          </cell>
          <cell r="J181">
            <v>30</v>
          </cell>
          <cell r="L181">
            <v>16770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132235</v>
          </cell>
          <cell r="V181">
            <v>135000</v>
          </cell>
          <cell r="W181">
            <v>-4647</v>
          </cell>
        </row>
        <row r="182">
          <cell r="E182">
            <v>225</v>
          </cell>
          <cell r="G182">
            <v>32850</v>
          </cell>
          <cell r="J182">
            <v>30</v>
          </cell>
          <cell r="L182">
            <v>16770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137742</v>
          </cell>
          <cell r="V182">
            <v>135000</v>
          </cell>
          <cell r="W182">
            <v>-1905</v>
          </cell>
        </row>
        <row r="183">
          <cell r="E183">
            <v>250</v>
          </cell>
          <cell r="G183">
            <v>36500</v>
          </cell>
          <cell r="J183">
            <v>51</v>
          </cell>
          <cell r="L183">
            <v>28509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153147</v>
          </cell>
          <cell r="V183">
            <v>152000</v>
          </cell>
          <cell r="W183">
            <v>-758</v>
          </cell>
        </row>
        <row r="184">
          <cell r="E184">
            <v>271</v>
          </cell>
          <cell r="G184">
            <v>39566</v>
          </cell>
          <cell r="J184">
            <v>42</v>
          </cell>
          <cell r="L184">
            <v>23478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151175</v>
          </cell>
          <cell r="V184">
            <v>151000</v>
          </cell>
          <cell r="W184">
            <v>-583</v>
          </cell>
        </row>
        <row r="185">
          <cell r="E185">
            <v>330</v>
          </cell>
          <cell r="G185">
            <v>48180</v>
          </cell>
          <cell r="J185">
            <v>89</v>
          </cell>
          <cell r="L185">
            <v>49751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186091</v>
          </cell>
          <cell r="V185">
            <v>186000</v>
          </cell>
          <cell r="W185">
            <v>-492</v>
          </cell>
        </row>
        <row r="186">
          <cell r="E186">
            <v>411</v>
          </cell>
          <cell r="G186">
            <v>60006</v>
          </cell>
          <cell r="J186">
            <v>114</v>
          </cell>
          <cell r="L186">
            <v>63726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211912</v>
          </cell>
          <cell r="V186">
            <v>212000</v>
          </cell>
          <cell r="W186">
            <v>-580</v>
          </cell>
        </row>
        <row r="187">
          <cell r="E187">
            <v>659</v>
          </cell>
          <cell r="G187">
            <v>96214</v>
          </cell>
          <cell r="J187">
            <v>164</v>
          </cell>
          <cell r="L187">
            <v>107156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293292</v>
          </cell>
          <cell r="V187">
            <v>293000</v>
          </cell>
          <cell r="W187">
            <v>-288</v>
          </cell>
        </row>
        <row r="188">
          <cell r="E188">
            <v>739</v>
          </cell>
          <cell r="G188">
            <v>107894</v>
          </cell>
          <cell r="J188">
            <v>115</v>
          </cell>
          <cell r="L188">
            <v>64285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262131</v>
          </cell>
          <cell r="V188">
            <v>262000</v>
          </cell>
          <cell r="W188">
            <v>-157</v>
          </cell>
        </row>
        <row r="189">
          <cell r="E189">
            <v>229</v>
          </cell>
          <cell r="G189">
            <v>33434</v>
          </cell>
          <cell r="J189">
            <v>59</v>
          </cell>
          <cell r="L189">
            <v>32981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156380</v>
          </cell>
          <cell r="V189">
            <v>157000</v>
          </cell>
          <cell r="W189">
            <v>-777</v>
          </cell>
        </row>
        <row r="190">
          <cell r="E190">
            <v>155</v>
          </cell>
          <cell r="G190">
            <v>22630</v>
          </cell>
          <cell r="J190">
            <v>64</v>
          </cell>
          <cell r="L190">
            <v>35776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148382</v>
          </cell>
          <cell r="V190">
            <v>148000</v>
          </cell>
          <cell r="W190">
            <v>-395</v>
          </cell>
        </row>
        <row r="191">
          <cell r="E191">
            <v>172</v>
          </cell>
          <cell r="G191">
            <v>25112</v>
          </cell>
          <cell r="J191">
            <v>92</v>
          </cell>
          <cell r="L191">
            <v>51428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166538</v>
          </cell>
          <cell r="V191">
            <v>167000</v>
          </cell>
          <cell r="W191">
            <v>-857</v>
          </cell>
        </row>
        <row r="192">
          <cell r="E192">
            <v>167</v>
          </cell>
          <cell r="G192">
            <v>24382</v>
          </cell>
          <cell r="J192">
            <v>178</v>
          </cell>
          <cell r="L192">
            <v>125062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239467</v>
          </cell>
          <cell r="V192">
            <v>240000</v>
          </cell>
          <cell r="W192">
            <v>-1390</v>
          </cell>
        </row>
        <row r="193">
          <cell r="E193">
            <v>338</v>
          </cell>
          <cell r="G193">
            <v>49348</v>
          </cell>
          <cell r="J193">
            <v>104</v>
          </cell>
          <cell r="L193">
            <v>58136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197520</v>
          </cell>
          <cell r="V193">
            <v>197000</v>
          </cell>
          <cell r="W193">
            <v>-870</v>
          </cell>
        </row>
        <row r="194">
          <cell r="E194">
            <v>403</v>
          </cell>
          <cell r="G194">
            <v>58838</v>
          </cell>
          <cell r="J194">
            <v>85</v>
          </cell>
          <cell r="L194">
            <v>47515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196414</v>
          </cell>
          <cell r="V194">
            <v>200000</v>
          </cell>
          <cell r="W194">
            <v>-4456</v>
          </cell>
        </row>
        <row r="195">
          <cell r="E195">
            <v>371</v>
          </cell>
          <cell r="G195">
            <v>54166</v>
          </cell>
          <cell r="J195">
            <v>81</v>
          </cell>
          <cell r="L195">
            <v>45279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189527</v>
          </cell>
          <cell r="V195">
            <v>190000</v>
          </cell>
          <cell r="W195">
            <v>-4929</v>
          </cell>
        </row>
        <row r="196">
          <cell r="E196">
            <v>386</v>
          </cell>
          <cell r="G196">
            <v>56356</v>
          </cell>
          <cell r="J196">
            <v>87</v>
          </cell>
          <cell r="L196">
            <v>48633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195094</v>
          </cell>
          <cell r="V196">
            <v>191000</v>
          </cell>
          <cell r="W196">
            <v>-835</v>
          </cell>
        </row>
        <row r="197">
          <cell r="E197">
            <v>443</v>
          </cell>
          <cell r="G197">
            <v>64678</v>
          </cell>
          <cell r="J197">
            <v>104</v>
          </cell>
          <cell r="L197">
            <v>58136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212949</v>
          </cell>
          <cell r="V197">
            <v>213000</v>
          </cell>
          <cell r="W197">
            <v>-886</v>
          </cell>
        </row>
        <row r="198">
          <cell r="E198">
            <v>423</v>
          </cell>
          <cell r="G198">
            <v>61758</v>
          </cell>
          <cell r="J198">
            <v>93</v>
          </cell>
          <cell r="L198">
            <v>51987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275658</v>
          </cell>
          <cell r="S198">
            <v>479548</v>
          </cell>
          <cell r="V198">
            <v>205000</v>
          </cell>
          <cell r="W198">
            <v>273662</v>
          </cell>
        </row>
        <row r="199">
          <cell r="E199">
            <v>527</v>
          </cell>
          <cell r="G199">
            <v>76942</v>
          </cell>
          <cell r="J199">
            <v>103</v>
          </cell>
          <cell r="L199">
            <v>57577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226787</v>
          </cell>
          <cell r="V199">
            <v>225000</v>
          </cell>
          <cell r="W199">
            <v>275449</v>
          </cell>
        </row>
        <row r="200">
          <cell r="E200">
            <v>450</v>
          </cell>
          <cell r="G200">
            <v>65700</v>
          </cell>
          <cell r="J200">
            <v>108</v>
          </cell>
          <cell r="L200">
            <v>60372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218343</v>
          </cell>
          <cell r="V200">
            <v>218500</v>
          </cell>
          <cell r="W200">
            <v>275292</v>
          </cell>
        </row>
        <row r="201">
          <cell r="E201">
            <v>532</v>
          </cell>
          <cell r="G201">
            <v>77672</v>
          </cell>
          <cell r="J201">
            <v>112</v>
          </cell>
          <cell r="L201">
            <v>62608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232554</v>
          </cell>
          <cell r="V201">
            <v>232188</v>
          </cell>
          <cell r="W201">
            <v>275658</v>
          </cell>
        </row>
        <row r="202">
          <cell r="E202">
            <v>457</v>
          </cell>
          <cell r="G202">
            <v>66722</v>
          </cell>
          <cell r="J202">
            <v>124</v>
          </cell>
          <cell r="L202">
            <v>70036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229061</v>
          </cell>
          <cell r="V202">
            <v>229061</v>
          </cell>
          <cell r="W202">
            <v>275658</v>
          </cell>
        </row>
        <row r="203">
          <cell r="E203">
            <v>444</v>
          </cell>
          <cell r="G203">
            <v>64824</v>
          </cell>
          <cell r="J203">
            <v>171</v>
          </cell>
          <cell r="L203">
            <v>116109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273266</v>
          </cell>
          <cell r="V203"/>
          <cell r="W203">
            <v>548924</v>
          </cell>
        </row>
        <row r="204">
          <cell r="E204">
            <v>-52295</v>
          </cell>
          <cell r="G204">
            <v>-7635070</v>
          </cell>
          <cell r="J204">
            <v>-8526</v>
          </cell>
          <cell r="L204">
            <v>-4766034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-12317100</v>
          </cell>
          <cell r="V204"/>
          <cell r="W204">
            <v>-11768176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-11684172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-11600168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-11516164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-11432160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-11348156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-11264152</v>
          </cell>
        </row>
      </sheetData>
      <sheetData sheetId="64">
        <row r="175">
          <cell r="E175">
            <v>77</v>
          </cell>
          <cell r="G175">
            <v>11242</v>
          </cell>
          <cell r="J175">
            <v>13</v>
          </cell>
          <cell r="L175">
            <v>7267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>
            <v>0</v>
          </cell>
          <cell r="S175">
            <v>105650</v>
          </cell>
          <cell r="V175">
            <v>105650</v>
          </cell>
          <cell r="W175">
            <v>0</v>
          </cell>
        </row>
        <row r="176">
          <cell r="E176">
            <v>104</v>
          </cell>
          <cell r="G176">
            <v>15184</v>
          </cell>
          <cell r="J176">
            <v>15</v>
          </cell>
          <cell r="L176">
            <v>8385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>
            <v>0</v>
          </cell>
          <cell r="S176">
            <v>110710</v>
          </cell>
          <cell r="V176">
            <v>110710</v>
          </cell>
          <cell r="W176">
            <v>0</v>
          </cell>
        </row>
        <row r="177">
          <cell r="E177">
            <v>187</v>
          </cell>
          <cell r="G177">
            <v>27302</v>
          </cell>
          <cell r="J177">
            <v>6</v>
          </cell>
          <cell r="L177">
            <v>3354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0</v>
          </cell>
          <cell r="S177">
            <v>117797</v>
          </cell>
          <cell r="V177">
            <v>117797</v>
          </cell>
          <cell r="W177">
            <v>0</v>
          </cell>
        </row>
        <row r="178">
          <cell r="E178">
            <v>144</v>
          </cell>
          <cell r="G178">
            <v>21024</v>
          </cell>
          <cell r="J178">
            <v>22</v>
          </cell>
          <cell r="L178">
            <v>12298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0</v>
          </cell>
          <cell r="S178">
            <v>120463</v>
          </cell>
          <cell r="V178">
            <v>120463</v>
          </cell>
          <cell r="W178">
            <v>0</v>
          </cell>
        </row>
        <row r="179">
          <cell r="E179">
            <v>156</v>
          </cell>
          <cell r="G179">
            <v>22776</v>
          </cell>
          <cell r="J179">
            <v>15</v>
          </cell>
          <cell r="L179">
            <v>8385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0</v>
          </cell>
          <cell r="S179">
            <v>118302</v>
          </cell>
          <cell r="V179">
            <v>118302</v>
          </cell>
          <cell r="W179">
            <v>0</v>
          </cell>
        </row>
        <row r="180">
          <cell r="E180">
            <v>61</v>
          </cell>
          <cell r="G180">
            <v>8906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0</v>
          </cell>
          <cell r="S180">
            <v>96606</v>
          </cell>
          <cell r="V180">
            <v>96606</v>
          </cell>
          <cell r="W180">
            <v>0</v>
          </cell>
        </row>
        <row r="181">
          <cell r="E181">
            <v>182</v>
          </cell>
          <cell r="G181">
            <v>26572</v>
          </cell>
          <cell r="J181">
            <v>6</v>
          </cell>
          <cell r="L181">
            <v>3354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>
            <v>0</v>
          </cell>
          <cell r="S181">
            <v>117067</v>
          </cell>
          <cell r="V181">
            <v>117067</v>
          </cell>
          <cell r="W181">
            <v>0</v>
          </cell>
        </row>
        <row r="182">
          <cell r="E182">
            <v>136</v>
          </cell>
          <cell r="G182">
            <v>19856</v>
          </cell>
          <cell r="J182">
            <v>5</v>
          </cell>
          <cell r="L182">
            <v>2795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>
            <v>0</v>
          </cell>
          <cell r="S182">
            <v>110773</v>
          </cell>
          <cell r="V182">
            <v>110773</v>
          </cell>
          <cell r="W182">
            <v>0</v>
          </cell>
        </row>
        <row r="183">
          <cell r="E183">
            <v>97</v>
          </cell>
          <cell r="G183">
            <v>14162</v>
          </cell>
          <cell r="J183">
            <v>15</v>
          </cell>
          <cell r="L183">
            <v>8385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>
            <v>0</v>
          </cell>
          <cell r="S183">
            <v>110685</v>
          </cell>
          <cell r="V183">
            <v>110685</v>
          </cell>
          <cell r="W183">
            <v>0</v>
          </cell>
        </row>
        <row r="184">
          <cell r="E184">
            <v>121</v>
          </cell>
          <cell r="G184">
            <v>17666</v>
          </cell>
          <cell r="J184">
            <v>12</v>
          </cell>
          <cell r="L184">
            <v>6708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>
            <v>0</v>
          </cell>
          <cell r="S184">
            <v>112505</v>
          </cell>
          <cell r="V184">
            <v>112505</v>
          </cell>
          <cell r="W184">
            <v>0</v>
          </cell>
        </row>
        <row r="185">
          <cell r="E185">
            <v>149</v>
          </cell>
          <cell r="G185">
            <v>21754</v>
          </cell>
          <cell r="J185">
            <v>25</v>
          </cell>
          <cell r="L185">
            <v>13975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0</v>
          </cell>
          <cell r="S185">
            <v>123889</v>
          </cell>
          <cell r="V185">
            <v>123889</v>
          </cell>
          <cell r="W185">
            <v>0</v>
          </cell>
        </row>
        <row r="186">
          <cell r="E186">
            <v>150</v>
          </cell>
          <cell r="G186">
            <v>21900</v>
          </cell>
          <cell r="J186">
            <v>22</v>
          </cell>
          <cell r="L186">
            <v>12298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122378</v>
          </cell>
          <cell r="V186">
            <v>122378</v>
          </cell>
          <cell r="W186">
            <v>0</v>
          </cell>
        </row>
        <row r="187">
          <cell r="E187">
            <v>85</v>
          </cell>
          <cell r="G187">
            <v>12410</v>
          </cell>
          <cell r="J187">
            <v>16</v>
          </cell>
          <cell r="L187">
            <v>8944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111276</v>
          </cell>
          <cell r="V187">
            <v>111276</v>
          </cell>
          <cell r="W187">
            <v>0</v>
          </cell>
        </row>
        <row r="188">
          <cell r="E188">
            <v>114</v>
          </cell>
          <cell r="G188">
            <v>16644</v>
          </cell>
          <cell r="J188">
            <v>8</v>
          </cell>
          <cell r="L188">
            <v>4472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111068</v>
          </cell>
          <cell r="V188">
            <v>111068</v>
          </cell>
          <cell r="W188">
            <v>0</v>
          </cell>
        </row>
        <row r="189">
          <cell r="E189">
            <v>70</v>
          </cell>
          <cell r="G189">
            <v>10220</v>
          </cell>
          <cell r="J189">
            <v>8</v>
          </cell>
          <cell r="L189">
            <v>4472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104657</v>
          </cell>
          <cell r="V189">
            <v>104657</v>
          </cell>
          <cell r="W189">
            <v>0</v>
          </cell>
        </row>
        <row r="190">
          <cell r="E190">
            <v>127</v>
          </cell>
          <cell r="G190">
            <v>18542</v>
          </cell>
          <cell r="J190">
            <v>17</v>
          </cell>
          <cell r="L190">
            <v>9503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118021</v>
          </cell>
          <cell r="V190">
            <v>118021</v>
          </cell>
          <cell r="W190">
            <v>0</v>
          </cell>
        </row>
        <row r="191">
          <cell r="E191">
            <v>173</v>
          </cell>
          <cell r="G191">
            <v>25258</v>
          </cell>
          <cell r="J191">
            <v>22</v>
          </cell>
          <cell r="L191">
            <v>12298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127554</v>
          </cell>
          <cell r="V191">
            <v>127554</v>
          </cell>
          <cell r="W191">
            <v>0</v>
          </cell>
        </row>
        <row r="192">
          <cell r="E192">
            <v>253</v>
          </cell>
          <cell r="G192">
            <v>36938</v>
          </cell>
          <cell r="J192">
            <v>8</v>
          </cell>
          <cell r="L192">
            <v>4472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131433</v>
          </cell>
          <cell r="V192">
            <v>131433</v>
          </cell>
          <cell r="W192">
            <v>0</v>
          </cell>
        </row>
        <row r="193">
          <cell r="E193">
            <v>199</v>
          </cell>
          <cell r="G193">
            <v>29054</v>
          </cell>
          <cell r="J193">
            <v>3</v>
          </cell>
          <cell r="L193">
            <v>1677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120767</v>
          </cell>
          <cell r="V193">
            <v>120767</v>
          </cell>
          <cell r="W193">
            <v>0</v>
          </cell>
        </row>
        <row r="194">
          <cell r="E194">
            <v>184</v>
          </cell>
          <cell r="G194">
            <v>26864</v>
          </cell>
          <cell r="J194">
            <v>10</v>
          </cell>
          <cell r="L194">
            <v>5590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122515</v>
          </cell>
          <cell r="V194">
            <v>122515</v>
          </cell>
          <cell r="W194">
            <v>0</v>
          </cell>
        </row>
        <row r="195">
          <cell r="E195">
            <v>212</v>
          </cell>
          <cell r="G195">
            <v>30952</v>
          </cell>
          <cell r="J195">
            <v>14</v>
          </cell>
          <cell r="L195">
            <v>7826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128860</v>
          </cell>
          <cell r="V195">
            <v>128860</v>
          </cell>
          <cell r="W195">
            <v>0</v>
          </cell>
        </row>
        <row r="196">
          <cell r="E196">
            <v>129</v>
          </cell>
          <cell r="G196">
            <v>18834</v>
          </cell>
          <cell r="J196">
            <v>12</v>
          </cell>
          <cell r="L196">
            <v>6708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115647</v>
          </cell>
          <cell r="V196">
            <v>115647</v>
          </cell>
          <cell r="W196">
            <v>0</v>
          </cell>
        </row>
        <row r="197">
          <cell r="E197">
            <v>136</v>
          </cell>
          <cell r="G197">
            <v>19856</v>
          </cell>
          <cell r="J197">
            <v>33</v>
          </cell>
          <cell r="L197">
            <v>18447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S197">
            <v>128438</v>
          </cell>
          <cell r="V197">
            <v>128438</v>
          </cell>
          <cell r="W197">
            <v>0</v>
          </cell>
        </row>
        <row r="198">
          <cell r="E198">
            <v>183</v>
          </cell>
          <cell r="G198">
            <v>26718</v>
          </cell>
          <cell r="J198">
            <v>31</v>
          </cell>
          <cell r="L198">
            <v>17329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134192</v>
          </cell>
          <cell r="V198">
            <v>134192</v>
          </cell>
          <cell r="W198">
            <v>0</v>
          </cell>
        </row>
        <row r="199">
          <cell r="E199">
            <v>105</v>
          </cell>
          <cell r="G199">
            <v>15330</v>
          </cell>
          <cell r="J199">
            <v>15</v>
          </cell>
          <cell r="L199">
            <v>8385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115983</v>
          </cell>
          <cell r="V199">
            <v>115983</v>
          </cell>
          <cell r="W199">
            <v>0</v>
          </cell>
        </row>
        <row r="200">
          <cell r="E200">
            <v>119</v>
          </cell>
          <cell r="G200">
            <v>17374</v>
          </cell>
          <cell r="J200">
            <v>20</v>
          </cell>
          <cell r="L200">
            <v>11180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120825</v>
          </cell>
          <cell r="V200">
            <v>120825</v>
          </cell>
          <cell r="W200">
            <v>0</v>
          </cell>
        </row>
        <row r="201">
          <cell r="E201">
            <v>145</v>
          </cell>
          <cell r="G201">
            <v>21170</v>
          </cell>
          <cell r="J201">
            <v>63</v>
          </cell>
          <cell r="L201">
            <v>35217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148661</v>
          </cell>
          <cell r="V201">
            <v>148661</v>
          </cell>
          <cell r="W201">
            <v>0</v>
          </cell>
        </row>
        <row r="202">
          <cell r="E202">
            <v>87</v>
          </cell>
          <cell r="G202">
            <v>12702</v>
          </cell>
          <cell r="J202">
            <v>15</v>
          </cell>
          <cell r="L202">
            <v>8385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113390</v>
          </cell>
          <cell r="V202">
            <v>113390</v>
          </cell>
          <cell r="W202">
            <v>0</v>
          </cell>
        </row>
        <row r="203">
          <cell r="E203">
            <v>183</v>
          </cell>
          <cell r="G203">
            <v>26718</v>
          </cell>
          <cell r="J203">
            <v>17</v>
          </cell>
          <cell r="L203">
            <v>9503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128554</v>
          </cell>
          <cell r="V203"/>
          <cell r="W203">
            <v>128554</v>
          </cell>
        </row>
        <row r="204">
          <cell r="E204">
            <v>-12346</v>
          </cell>
          <cell r="G204">
            <v>-1802516</v>
          </cell>
          <cell r="J204">
            <v>-1844</v>
          </cell>
          <cell r="L204">
            <v>-1030796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-2749308</v>
          </cell>
          <cell r="V204"/>
          <cell r="W204">
            <v>-2620754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-2536750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-2452746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-2368742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-2284738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-2200734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-2116730</v>
          </cell>
        </row>
      </sheetData>
      <sheetData sheetId="65">
        <row r="175">
          <cell r="E175">
            <v>82</v>
          </cell>
          <cell r="G175">
            <v>11972</v>
          </cell>
          <cell r="J175">
            <v>2</v>
          </cell>
          <cell r="L175">
            <v>1118</v>
          </cell>
          <cell r="M175">
            <v>3731</v>
          </cell>
          <cell r="N175">
            <v>7000</v>
          </cell>
          <cell r="O175"/>
          <cell r="P175"/>
          <cell r="Q175">
            <v>76410</v>
          </cell>
          <cell r="R175"/>
          <cell r="S175">
            <v>100231</v>
          </cell>
          <cell r="V175"/>
          <cell r="W175">
            <v>100093.54900000012</v>
          </cell>
        </row>
        <row r="176">
          <cell r="E176">
            <v>85</v>
          </cell>
          <cell r="G176">
            <v>12410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S176">
            <v>99551</v>
          </cell>
          <cell r="V176">
            <v>200000</v>
          </cell>
          <cell r="W176">
            <v>-355.45099999988452</v>
          </cell>
        </row>
        <row r="177">
          <cell r="E177">
            <v>82</v>
          </cell>
          <cell r="G177">
            <v>11972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S177">
            <v>99113</v>
          </cell>
          <cell r="V177"/>
          <cell r="W177">
            <v>98757.549000000115</v>
          </cell>
        </row>
        <row r="178">
          <cell r="E178">
            <v>51</v>
          </cell>
          <cell r="G178">
            <v>7446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S178">
            <v>94587</v>
          </cell>
          <cell r="V178">
            <v>193345</v>
          </cell>
          <cell r="W178">
            <v>-0.450999999884516</v>
          </cell>
        </row>
        <row r="179">
          <cell r="E179">
            <v>41</v>
          </cell>
          <cell r="G179">
            <v>5986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S179">
            <v>93127</v>
          </cell>
          <cell r="V179">
            <v>93127</v>
          </cell>
          <cell r="W179">
            <v>-0.450999999884516</v>
          </cell>
        </row>
        <row r="180">
          <cell r="E180">
            <v>31</v>
          </cell>
          <cell r="G180">
            <v>4526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S180">
            <v>91667</v>
          </cell>
          <cell r="V180"/>
          <cell r="W180">
            <v>91666.549000000115</v>
          </cell>
        </row>
        <row r="181">
          <cell r="E181">
            <v>30</v>
          </cell>
          <cell r="G181">
            <v>4380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S181">
            <v>91521</v>
          </cell>
          <cell r="V181">
            <v>183188</v>
          </cell>
          <cell r="W181">
            <v>-0.450999999884516</v>
          </cell>
        </row>
        <row r="182">
          <cell r="E182">
            <v>34</v>
          </cell>
          <cell r="G182">
            <v>4964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S182">
            <v>93086</v>
          </cell>
          <cell r="V182">
            <v>93086</v>
          </cell>
          <cell r="W182">
            <v>-0.450999999884516</v>
          </cell>
        </row>
        <row r="183">
          <cell r="E183">
            <v>23</v>
          </cell>
          <cell r="G183">
            <v>3358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S183">
            <v>91496</v>
          </cell>
          <cell r="V183">
            <v>76410</v>
          </cell>
          <cell r="W183">
            <v>15085.549000000115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S184">
            <v>88131</v>
          </cell>
          <cell r="V184">
            <v>103300</v>
          </cell>
          <cell r="W184">
            <v>-83.450999999884516</v>
          </cell>
        </row>
        <row r="185">
          <cell r="E185">
            <v>1</v>
          </cell>
          <cell r="G185">
            <v>146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S185">
            <v>88306</v>
          </cell>
          <cell r="V185"/>
          <cell r="W185">
            <v>88222.549000000115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S186">
            <v>88180</v>
          </cell>
          <cell r="V186">
            <v>176403</v>
          </cell>
          <cell r="W186">
            <v>-0.450999999884516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S187">
            <v>89922</v>
          </cell>
          <cell r="V187">
            <v>89922</v>
          </cell>
          <cell r="W187">
            <v>-0.450999999884516</v>
          </cell>
        </row>
        <row r="188">
          <cell r="E188">
            <v>64</v>
          </cell>
          <cell r="G188">
            <v>9344</v>
          </cell>
          <cell r="J188">
            <v>3</v>
          </cell>
          <cell r="L188">
            <v>1677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S188">
            <v>100973</v>
          </cell>
          <cell r="V188"/>
          <cell r="W188">
            <v>100972.54900000012</v>
          </cell>
        </row>
        <row r="189">
          <cell r="E189">
            <v>35</v>
          </cell>
          <cell r="G189">
            <v>5110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S189">
            <v>95075</v>
          </cell>
          <cell r="V189">
            <v>196048</v>
          </cell>
          <cell r="W189">
            <v>-0.450999999884516</v>
          </cell>
        </row>
        <row r="190">
          <cell r="E190">
            <v>32</v>
          </cell>
          <cell r="G190">
            <v>4672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S190">
            <v>94648</v>
          </cell>
          <cell r="V190">
            <v>94648</v>
          </cell>
          <cell r="W190">
            <v>-0.450999999884516</v>
          </cell>
        </row>
        <row r="191">
          <cell r="E191">
            <v>35</v>
          </cell>
          <cell r="G191">
            <v>5110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S191">
            <v>95108</v>
          </cell>
          <cell r="V191">
            <v>95108</v>
          </cell>
          <cell r="W191">
            <v>-0.450999999884516</v>
          </cell>
        </row>
        <row r="192">
          <cell r="E192">
            <v>83</v>
          </cell>
          <cell r="G192">
            <v>12118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S192">
            <v>102141</v>
          </cell>
          <cell r="V192"/>
          <cell r="W192">
            <v>102140.54900000012</v>
          </cell>
        </row>
        <row r="193">
          <cell r="E193">
            <v>26</v>
          </cell>
          <cell r="G193">
            <v>3796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S193">
            <v>93832</v>
          </cell>
          <cell r="V193">
            <v>195973</v>
          </cell>
          <cell r="W193">
            <v>-0.450999999884516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S194">
            <v>90061</v>
          </cell>
          <cell r="V194">
            <v>90061</v>
          </cell>
          <cell r="W194">
            <v>-0.450999999884516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S195">
            <v>90082</v>
          </cell>
          <cell r="V195">
            <v>90082</v>
          </cell>
          <cell r="W195">
            <v>-0.450999999884516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S196">
            <v>90105</v>
          </cell>
          <cell r="V196">
            <v>90105</v>
          </cell>
          <cell r="W196">
            <v>-0.450999999884516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38080</v>
          </cell>
          <cell r="P197"/>
          <cell r="Q197">
            <v>78144</v>
          </cell>
          <cell r="R197"/>
          <cell r="S197">
            <v>128215</v>
          </cell>
          <cell r="V197"/>
          <cell r="W197">
            <v>128214.54900000012</v>
          </cell>
        </row>
        <row r="198">
          <cell r="E198">
            <v>37</v>
          </cell>
          <cell r="G198">
            <v>5402</v>
          </cell>
          <cell r="J198">
            <v>1</v>
          </cell>
          <cell r="L198">
            <v>559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S198">
            <v>96106</v>
          </cell>
          <cell r="V198"/>
          <cell r="W198">
            <v>224320.54900000012</v>
          </cell>
        </row>
        <row r="199">
          <cell r="E199">
            <v>60</v>
          </cell>
          <cell r="G199">
            <v>8760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S199">
            <v>101028</v>
          </cell>
          <cell r="V199"/>
          <cell r="W199">
            <v>325348.54900000012</v>
          </cell>
        </row>
        <row r="200">
          <cell r="E200">
            <v>57</v>
          </cell>
          <cell r="G200">
            <v>8322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100593</v>
          </cell>
          <cell r="V200">
            <v>425942</v>
          </cell>
          <cell r="W200">
            <v>-0.450999999884516</v>
          </cell>
        </row>
        <row r="201">
          <cell r="E201">
            <v>58</v>
          </cell>
          <cell r="G201">
            <v>8468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100742</v>
          </cell>
          <cell r="V201"/>
          <cell r="W201">
            <v>100741.54900000012</v>
          </cell>
        </row>
        <row r="202">
          <cell r="E202">
            <v>57</v>
          </cell>
          <cell r="G202">
            <v>8322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100625</v>
          </cell>
          <cell r="V202">
            <v>201367</v>
          </cell>
          <cell r="W202">
            <v>-0.450999999884516</v>
          </cell>
        </row>
        <row r="203">
          <cell r="E203">
            <v>62</v>
          </cell>
          <cell r="G203">
            <v>9052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101385</v>
          </cell>
          <cell r="V203"/>
          <cell r="W203">
            <v>101384.54900000012</v>
          </cell>
        </row>
        <row r="204">
          <cell r="E204">
            <v>-5866</v>
          </cell>
          <cell r="G204">
            <v>-856436</v>
          </cell>
          <cell r="J204">
            <v>-673</v>
          </cell>
          <cell r="L204">
            <v>-376207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-1148639</v>
          </cell>
          <cell r="V204"/>
          <cell r="W204">
            <v>-1047254.4509999999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-963250.45099999988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-879246.45099999988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-795242.45099999988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-711238.45099999988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-627234.45099999988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-543230.45099999988</v>
          </cell>
        </row>
      </sheetData>
      <sheetData sheetId="66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/>
          <cell r="O175"/>
          <cell r="P175"/>
          <cell r="Q175">
            <v>76410</v>
          </cell>
          <cell r="R175">
            <v>52636</v>
          </cell>
          <cell r="S175">
            <v>132777</v>
          </cell>
          <cell r="V175"/>
          <cell r="W175">
            <v>6766171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R176">
            <v>52784</v>
          </cell>
          <cell r="S176">
            <v>132925</v>
          </cell>
          <cell r="V176"/>
          <cell r="W176">
            <v>6899096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R177">
            <v>52944</v>
          </cell>
          <cell r="S177">
            <v>133085</v>
          </cell>
          <cell r="V177"/>
          <cell r="W177">
            <v>7032181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R178">
            <v>53123</v>
          </cell>
          <cell r="S178">
            <v>133264</v>
          </cell>
          <cell r="V178"/>
          <cell r="W178">
            <v>7165445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R179">
            <v>53262</v>
          </cell>
          <cell r="S179">
            <v>133403</v>
          </cell>
          <cell r="V179"/>
          <cell r="W179">
            <v>7298848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R180">
            <v>53330</v>
          </cell>
          <cell r="S180">
            <v>133471</v>
          </cell>
          <cell r="V180"/>
          <cell r="W180">
            <v>7432319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R181">
            <v>53195</v>
          </cell>
          <cell r="S181">
            <v>133336</v>
          </cell>
          <cell r="V181"/>
          <cell r="W181">
            <v>7565655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R182">
            <v>53208</v>
          </cell>
          <cell r="S182">
            <v>133349</v>
          </cell>
          <cell r="V182"/>
          <cell r="W182">
            <v>7699004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R183">
            <v>53314</v>
          </cell>
          <cell r="S183">
            <v>133455</v>
          </cell>
          <cell r="V183"/>
          <cell r="W183">
            <v>7832459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R184">
            <v>53270</v>
          </cell>
          <cell r="S184">
            <v>133411</v>
          </cell>
          <cell r="V184"/>
          <cell r="W184">
            <v>7965870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R185">
            <v>53462</v>
          </cell>
          <cell r="S185">
            <v>133603</v>
          </cell>
          <cell r="V185"/>
          <cell r="W185">
            <v>8099473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R186">
            <v>53650</v>
          </cell>
          <cell r="S186">
            <v>133791</v>
          </cell>
          <cell r="V186"/>
          <cell r="W186">
            <v>8233264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/>
          <cell r="O187"/>
          <cell r="P187"/>
          <cell r="Q187">
            <v>78144</v>
          </cell>
          <cell r="R187">
            <v>63847</v>
          </cell>
          <cell r="S187">
            <v>145722</v>
          </cell>
          <cell r="V187"/>
          <cell r="W187">
            <v>8378986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/>
          <cell r="O188"/>
          <cell r="P188"/>
          <cell r="Q188">
            <v>78144</v>
          </cell>
          <cell r="R188">
            <v>53934</v>
          </cell>
          <cell r="S188">
            <v>135809</v>
          </cell>
          <cell r="V188"/>
          <cell r="W188">
            <v>8514795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/>
          <cell r="O189"/>
          <cell r="P189"/>
          <cell r="Q189">
            <v>78144</v>
          </cell>
          <cell r="R189">
            <v>54009</v>
          </cell>
          <cell r="S189">
            <v>135884</v>
          </cell>
          <cell r="V189"/>
          <cell r="W189">
            <v>8650679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/>
          <cell r="O190"/>
          <cell r="P190"/>
          <cell r="Q190">
            <v>78144</v>
          </cell>
          <cell r="R190">
            <v>54157</v>
          </cell>
          <cell r="S190">
            <v>136032</v>
          </cell>
          <cell r="V190"/>
          <cell r="W190">
            <v>8786711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/>
          <cell r="O191"/>
          <cell r="P191"/>
          <cell r="Q191">
            <v>78144</v>
          </cell>
          <cell r="R191">
            <v>54318</v>
          </cell>
          <cell r="S191">
            <v>136193</v>
          </cell>
          <cell r="V191"/>
          <cell r="W191">
            <v>8922904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/>
          <cell r="O192"/>
          <cell r="P192">
            <v>0</v>
          </cell>
          <cell r="Q192">
            <v>78144</v>
          </cell>
          <cell r="R192">
            <v>54405</v>
          </cell>
          <cell r="S192">
            <v>136280</v>
          </cell>
          <cell r="V192"/>
          <cell r="W192">
            <v>9059184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/>
          <cell r="O193"/>
          <cell r="P193">
            <v>0</v>
          </cell>
          <cell r="Q193">
            <v>78144</v>
          </cell>
          <cell r="R193">
            <v>54575</v>
          </cell>
          <cell r="S193">
            <v>136450</v>
          </cell>
          <cell r="V193"/>
          <cell r="W193">
            <v>9195634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/>
          <cell r="O194"/>
          <cell r="P194">
            <v>0</v>
          </cell>
          <cell r="Q194">
            <v>78144</v>
          </cell>
          <cell r="R194">
            <v>54715</v>
          </cell>
          <cell r="S194">
            <v>136590</v>
          </cell>
          <cell r="V194"/>
          <cell r="W194">
            <v>9332224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/>
          <cell r="O195"/>
          <cell r="P195">
            <v>0</v>
          </cell>
          <cell r="Q195">
            <v>78144</v>
          </cell>
          <cell r="R195">
            <v>54864</v>
          </cell>
          <cell r="S195">
            <v>136739</v>
          </cell>
          <cell r="V195"/>
          <cell r="W195">
            <v>9468963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/>
          <cell r="O196"/>
          <cell r="P196">
            <v>0</v>
          </cell>
          <cell r="Q196">
            <v>78144</v>
          </cell>
          <cell r="R196">
            <v>55066</v>
          </cell>
          <cell r="S196">
            <v>136941</v>
          </cell>
          <cell r="V196"/>
          <cell r="W196">
            <v>9605904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/>
          <cell r="O197"/>
          <cell r="P197">
            <v>0</v>
          </cell>
          <cell r="Q197">
            <v>78144</v>
          </cell>
          <cell r="R197">
            <v>55132</v>
          </cell>
          <cell r="S197">
            <v>137007</v>
          </cell>
          <cell r="V197"/>
          <cell r="W197">
            <v>9742911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/>
          <cell r="O198"/>
          <cell r="P198">
            <v>0</v>
          </cell>
          <cell r="Q198">
            <v>78144</v>
          </cell>
          <cell r="R198">
            <v>55092</v>
          </cell>
          <cell r="S198">
            <v>136967</v>
          </cell>
          <cell r="V198"/>
          <cell r="W198">
            <v>9879878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R199">
            <v>55092</v>
          </cell>
          <cell r="S199">
            <v>139096</v>
          </cell>
          <cell r="V199"/>
          <cell r="W199">
            <v>10018974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S200">
            <v>139118</v>
          </cell>
          <cell r="V200"/>
          <cell r="W200">
            <v>10158092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>
            <v>55132</v>
          </cell>
          <cell r="S201">
            <v>139136</v>
          </cell>
          <cell r="V201"/>
          <cell r="W201">
            <v>10297228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>
            <v>55324</v>
          </cell>
          <cell r="S202">
            <v>139328</v>
          </cell>
          <cell r="V202"/>
          <cell r="W202">
            <v>10436556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84004</v>
          </cell>
          <cell r="V203"/>
          <cell r="W203">
            <v>10520560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10604564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10688568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10772572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10856576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10940580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11024584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11108588</v>
          </cell>
        </row>
      </sheetData>
      <sheetData sheetId="6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V175">
            <v>0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V176">
            <v>0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V177">
            <v>0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V178">
            <v>0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V179">
            <v>0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V180">
            <v>0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V181">
            <v>0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V182">
            <v>0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V183">
            <v>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V184">
            <v>0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V185">
            <v>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V186"/>
          <cell r="W186">
            <v>0</v>
          </cell>
        </row>
        <row r="187">
          <cell r="M187"/>
        </row>
      </sheetData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Q 11A-11-1"/>
      <sheetName val="LQ 11A-11-2 "/>
      <sheetName val="LQ-A (1)"/>
      <sheetName val="LQ-A (2)"/>
      <sheetName val="LQ-A(3)"/>
      <sheetName val="LQ-A(4)"/>
      <sheetName val="LQ-A(5)"/>
      <sheetName val="LQ-A(6)"/>
      <sheetName val="LQ-A(7)"/>
      <sheetName val="LQ-A(8)"/>
      <sheetName val="LQ-A(9)"/>
      <sheetName val="LQ-A(10)"/>
      <sheetName val="LQ-A (11)"/>
      <sheetName val="LQ-A(12)"/>
      <sheetName val="LQ-A(13)"/>
      <sheetName val="LQ-A(14)"/>
      <sheetName val="LQ-A(16)"/>
      <sheetName val="LQ-A (17)"/>
      <sheetName val="LQ-A (19)"/>
      <sheetName val="LQ-A (20)"/>
      <sheetName val="LQ-A (21)"/>
      <sheetName val="LQ-A(22)"/>
      <sheetName val="LQ-A (23)"/>
      <sheetName val="LQ-A(24)"/>
      <sheetName val="LQ-A (25)"/>
      <sheetName val="LQ-A(26)"/>
      <sheetName val="LQ-A (27)"/>
      <sheetName val="LQ-A (28)"/>
      <sheetName val="LQ-A(29)"/>
      <sheetName val="LQ-A (30)"/>
      <sheetName val="LQ-A (31)"/>
      <sheetName val="LQ-A (32)"/>
      <sheetName val="LQ-A(33)"/>
      <sheetName val="LQ-A(34)"/>
      <sheetName val="LQ-A (35)"/>
      <sheetName val="LQ-A (36)"/>
      <sheetName val="LQ-A(37)"/>
      <sheetName val="LQ-A(38)"/>
      <sheetName val="LQ-A(42)"/>
      <sheetName val="LQ-A(43)"/>
      <sheetName val="LQ-A(44)"/>
      <sheetName val="LQ-A(45)"/>
      <sheetName val="LQ-A(46)"/>
      <sheetName val="LQ-A(47)"/>
      <sheetName val="LQ-A (48)"/>
      <sheetName val="LQ-A(49)"/>
      <sheetName val="LQ-A(50)"/>
      <sheetName val="LQ-A(51)"/>
      <sheetName val="LQ-A(52)"/>
      <sheetName val="LQ-A(53)"/>
      <sheetName val="LQ-A(54)"/>
      <sheetName val="LQ-A(55)"/>
      <sheetName val="LQ-A(56)"/>
      <sheetName val="LQ-A(57)"/>
      <sheetName val="LQ-A(58)"/>
      <sheetName val="LQ-A (59)"/>
      <sheetName val="LQ-A(60)"/>
      <sheetName val="LQ (Juvenal Gallardo) "/>
      <sheetName val="final"/>
      <sheetName val="LQ (Carlos Gallardo)"/>
    </sheetNames>
    <sheetDataSet>
      <sheetData sheetId="0">
        <row r="245">
          <cell r="C245">
            <v>6601140</v>
          </cell>
          <cell r="D245">
            <v>6907680</v>
          </cell>
        </row>
        <row r="246">
          <cell r="C246">
            <v>6897420</v>
          </cell>
          <cell r="D246">
            <v>5545317</v>
          </cell>
        </row>
        <row r="247">
          <cell r="C247">
            <v>6984964</v>
          </cell>
          <cell r="D247">
            <v>7445340</v>
          </cell>
        </row>
        <row r="248">
          <cell r="C248">
            <v>7822102</v>
          </cell>
          <cell r="D248">
            <v>6460217</v>
          </cell>
        </row>
        <row r="249">
          <cell r="C249">
            <v>8391657</v>
          </cell>
          <cell r="D249">
            <v>8006457</v>
          </cell>
        </row>
      </sheetData>
      <sheetData sheetId="1"/>
      <sheetData sheetId="2"/>
      <sheetData sheetId="3">
        <row r="175">
          <cell r="E175">
            <v>564</v>
          </cell>
          <cell r="G175">
            <v>82344</v>
          </cell>
          <cell r="J175">
            <v>73</v>
          </cell>
          <cell r="L175">
            <v>40807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210292</v>
          </cell>
          <cell r="V175">
            <v>210292</v>
          </cell>
          <cell r="W175">
            <v>-0.40000000002328306</v>
          </cell>
        </row>
        <row r="176">
          <cell r="E176">
            <v>470</v>
          </cell>
          <cell r="G176">
            <v>68620</v>
          </cell>
          <cell r="J176">
            <v>48</v>
          </cell>
          <cell r="L176">
            <v>26832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182593</v>
          </cell>
          <cell r="V176">
            <v>182593</v>
          </cell>
          <cell r="W176">
            <v>-0.40000000002328306</v>
          </cell>
        </row>
        <row r="177">
          <cell r="E177">
            <v>400</v>
          </cell>
          <cell r="G177">
            <v>58400</v>
          </cell>
          <cell r="J177">
            <v>48</v>
          </cell>
          <cell r="L177">
            <v>26832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172373</v>
          </cell>
          <cell r="V177">
            <v>172373</v>
          </cell>
          <cell r="W177">
            <v>-0.40000000002328306</v>
          </cell>
        </row>
        <row r="178">
          <cell r="E178">
            <v>262</v>
          </cell>
          <cell r="G178">
            <v>38252</v>
          </cell>
          <cell r="J178">
            <v>31</v>
          </cell>
          <cell r="L178">
            <v>17329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142722</v>
          </cell>
          <cell r="V178">
            <v>142722</v>
          </cell>
          <cell r="W178">
            <v>-0.40000000002328306</v>
          </cell>
        </row>
        <row r="179">
          <cell r="E179">
            <v>170</v>
          </cell>
          <cell r="G179">
            <v>24820</v>
          </cell>
          <cell r="J179">
            <v>8</v>
          </cell>
          <cell r="L179">
            <v>4472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116433</v>
          </cell>
          <cell r="V179">
            <v>116433</v>
          </cell>
          <cell r="W179">
            <v>-0.40000000002328306</v>
          </cell>
        </row>
        <row r="180">
          <cell r="E180">
            <v>196</v>
          </cell>
          <cell r="G180">
            <v>28616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116875</v>
          </cell>
          <cell r="V180">
            <v>116875</v>
          </cell>
          <cell r="W180">
            <v>-0.40000000002328306</v>
          </cell>
        </row>
        <row r="181">
          <cell r="E181">
            <v>224</v>
          </cell>
          <cell r="G181">
            <v>32704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121522</v>
          </cell>
          <cell r="V181">
            <v>121522</v>
          </cell>
          <cell r="W181">
            <v>-0.40000000002328306</v>
          </cell>
        </row>
        <row r="182">
          <cell r="E182">
            <v>193</v>
          </cell>
          <cell r="G182">
            <v>28178</v>
          </cell>
          <cell r="J182">
            <v>3</v>
          </cell>
          <cell r="L182">
            <v>1677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117977</v>
          </cell>
          <cell r="V182">
            <v>117977</v>
          </cell>
          <cell r="W182">
            <v>-0.40000000002328306</v>
          </cell>
        </row>
        <row r="183">
          <cell r="E183">
            <v>216</v>
          </cell>
          <cell r="G183">
            <v>31536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124146</v>
          </cell>
          <cell r="V183">
            <v>124146</v>
          </cell>
          <cell r="W183">
            <v>-0.40000000002328306</v>
          </cell>
        </row>
        <row r="184">
          <cell r="E184">
            <v>184</v>
          </cell>
          <cell r="G184">
            <v>26864</v>
          </cell>
          <cell r="J184">
            <v>12</v>
          </cell>
          <cell r="L184">
            <v>6708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121703</v>
          </cell>
          <cell r="V184">
            <v>121703</v>
          </cell>
          <cell r="W184">
            <v>-0.40000000002328306</v>
          </cell>
        </row>
        <row r="185">
          <cell r="E185">
            <v>230</v>
          </cell>
          <cell r="G185">
            <v>33580</v>
          </cell>
          <cell r="J185">
            <v>31</v>
          </cell>
          <cell r="L185">
            <v>17329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139069</v>
          </cell>
          <cell r="V185">
            <v>139069</v>
          </cell>
          <cell r="W185">
            <v>-0.40000000002328306</v>
          </cell>
        </row>
        <row r="186">
          <cell r="E186">
            <v>143</v>
          </cell>
          <cell r="G186">
            <v>20878</v>
          </cell>
          <cell r="J186">
            <v>25</v>
          </cell>
          <cell r="L186">
            <v>13975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123033</v>
          </cell>
          <cell r="V186">
            <v>123033</v>
          </cell>
          <cell r="W186">
            <v>-0.40000000002328306</v>
          </cell>
        </row>
        <row r="187">
          <cell r="E187">
            <v>405</v>
          </cell>
          <cell r="G187">
            <v>59130</v>
          </cell>
          <cell r="J187">
            <v>57</v>
          </cell>
          <cell r="L187">
            <v>31863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180915</v>
          </cell>
          <cell r="V187">
            <v>180915</v>
          </cell>
          <cell r="W187">
            <v>-0.40000000002328306</v>
          </cell>
        </row>
        <row r="188">
          <cell r="E188">
            <v>508</v>
          </cell>
          <cell r="G188">
            <v>74168</v>
          </cell>
          <cell r="J188">
            <v>83</v>
          </cell>
          <cell r="L188">
            <v>46397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210517</v>
          </cell>
          <cell r="V188">
            <v>210517</v>
          </cell>
          <cell r="W188">
            <v>-0.40000000002328306</v>
          </cell>
        </row>
        <row r="189">
          <cell r="E189">
            <v>389</v>
          </cell>
          <cell r="G189">
            <v>56794</v>
          </cell>
          <cell r="J189">
            <v>58</v>
          </cell>
          <cell r="L189">
            <v>32422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179181</v>
          </cell>
          <cell r="V189">
            <v>179181</v>
          </cell>
          <cell r="W189">
            <v>-0.40000000002328306</v>
          </cell>
        </row>
        <row r="190">
          <cell r="E190">
            <v>347</v>
          </cell>
          <cell r="G190">
            <v>50662</v>
          </cell>
          <cell r="J190">
            <v>31</v>
          </cell>
          <cell r="L190">
            <v>17329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157967</v>
          </cell>
          <cell r="V190">
            <v>157967</v>
          </cell>
          <cell r="W190">
            <v>-0.40000000002328306</v>
          </cell>
        </row>
        <row r="191">
          <cell r="E191">
            <v>338</v>
          </cell>
          <cell r="G191">
            <v>49348</v>
          </cell>
          <cell r="J191">
            <v>27</v>
          </cell>
          <cell r="L191">
            <v>15093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154439</v>
          </cell>
          <cell r="V191">
            <v>154439</v>
          </cell>
          <cell r="W191">
            <v>-0.40000000002328306</v>
          </cell>
        </row>
        <row r="192">
          <cell r="E192">
            <v>357</v>
          </cell>
          <cell r="G192">
            <v>52122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142704</v>
          </cell>
          <cell r="V192">
            <v>142704</v>
          </cell>
          <cell r="W192">
            <v>-0.40000000002328306</v>
          </cell>
        </row>
        <row r="193">
          <cell r="E193">
            <v>403</v>
          </cell>
          <cell r="G193">
            <v>58838</v>
          </cell>
          <cell r="J193">
            <v>8</v>
          </cell>
          <cell r="L193">
            <v>4472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153346</v>
          </cell>
          <cell r="V193">
            <v>153346</v>
          </cell>
          <cell r="W193">
            <v>-0.40000000002328306</v>
          </cell>
        </row>
        <row r="194">
          <cell r="E194">
            <v>401</v>
          </cell>
          <cell r="G194">
            <v>58546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149725</v>
          </cell>
          <cell r="V194">
            <v>149725</v>
          </cell>
          <cell r="W194">
            <v>-0.40000000002328306</v>
          </cell>
        </row>
        <row r="195">
          <cell r="E195">
            <v>388</v>
          </cell>
          <cell r="G195">
            <v>56648</v>
          </cell>
          <cell r="J195">
            <v>17</v>
          </cell>
          <cell r="L195">
            <v>9503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156233</v>
          </cell>
          <cell r="V195">
            <v>156233</v>
          </cell>
          <cell r="W195">
            <v>-0.40000000002328306</v>
          </cell>
        </row>
        <row r="196">
          <cell r="E196">
            <v>359</v>
          </cell>
          <cell r="G196">
            <v>52414</v>
          </cell>
          <cell r="J196">
            <v>16</v>
          </cell>
          <cell r="L196">
            <v>8944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S196">
            <v>206529</v>
          </cell>
          <cell r="V196">
            <v>206529</v>
          </cell>
          <cell r="W196">
            <v>-0.40000000002328306</v>
          </cell>
        </row>
        <row r="197">
          <cell r="E197">
            <v>418</v>
          </cell>
          <cell r="G197">
            <v>61028</v>
          </cell>
          <cell r="J197">
            <v>58</v>
          </cell>
          <cell r="L197">
            <v>32422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S197">
            <v>238717</v>
          </cell>
          <cell r="V197">
            <v>238717</v>
          </cell>
          <cell r="W197">
            <v>-0.40000000002328306</v>
          </cell>
        </row>
        <row r="198">
          <cell r="E198">
            <v>387</v>
          </cell>
          <cell r="G198">
            <v>56502</v>
          </cell>
          <cell r="J198">
            <v>70</v>
          </cell>
          <cell r="L198">
            <v>39130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185777</v>
          </cell>
          <cell r="V198">
            <v>187777</v>
          </cell>
          <cell r="W198">
            <v>-2000.4000000000233</v>
          </cell>
        </row>
        <row r="199">
          <cell r="E199">
            <v>455</v>
          </cell>
          <cell r="G199">
            <v>66430</v>
          </cell>
          <cell r="J199">
            <v>93</v>
          </cell>
          <cell r="L199">
            <v>51987</v>
          </cell>
          <cell r="M199">
            <v>3828</v>
          </cell>
          <cell r="N199">
            <v>8264</v>
          </cell>
          <cell r="Q199">
            <v>80176</v>
          </cell>
          <cell r="S199">
            <v>210685</v>
          </cell>
          <cell r="V199">
            <v>208685</v>
          </cell>
          <cell r="W199">
            <v>-0.40000000002328306</v>
          </cell>
        </row>
        <row r="200">
          <cell r="E200">
            <v>452</v>
          </cell>
          <cell r="G200">
            <v>65992</v>
          </cell>
          <cell r="J200">
            <v>69</v>
          </cell>
          <cell r="L200">
            <v>38571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196834</v>
          </cell>
          <cell r="V200">
            <v>196834</v>
          </cell>
          <cell r="W200">
            <v>-0.40000000002328306</v>
          </cell>
        </row>
        <row r="201">
          <cell r="E201">
            <v>425</v>
          </cell>
          <cell r="G201">
            <v>62050</v>
          </cell>
          <cell r="J201">
            <v>72</v>
          </cell>
          <cell r="L201">
            <v>40248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194572</v>
          </cell>
          <cell r="V201">
            <v>194572</v>
          </cell>
          <cell r="W201">
            <v>-0.40000000002328306</v>
          </cell>
        </row>
        <row r="202">
          <cell r="E202">
            <v>340</v>
          </cell>
          <cell r="G202">
            <v>49640</v>
          </cell>
          <cell r="J202">
            <v>34</v>
          </cell>
          <cell r="L202">
            <v>19006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160949</v>
          </cell>
          <cell r="V202"/>
          <cell r="W202">
            <v>160948.59999999998</v>
          </cell>
        </row>
        <row r="203">
          <cell r="E203">
            <v>334</v>
          </cell>
          <cell r="G203">
            <v>48764</v>
          </cell>
          <cell r="J203">
            <v>22</v>
          </cell>
          <cell r="L203">
            <v>12298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153395</v>
          </cell>
          <cell r="V203"/>
          <cell r="W203">
            <v>314343.59999999998</v>
          </cell>
        </row>
        <row r="204">
          <cell r="E204">
            <v>-15180</v>
          </cell>
          <cell r="G204">
            <v>-2216280</v>
          </cell>
          <cell r="J204">
            <v>-3311</v>
          </cell>
          <cell r="L204">
            <v>-1850849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-3983125</v>
          </cell>
          <cell r="V204"/>
          <cell r="W204">
            <v>-3668781.4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-3584777.4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-3500773.4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-3416769.4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-3332765.4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-3248761.4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-3164757.4</v>
          </cell>
        </row>
      </sheetData>
      <sheetData sheetId="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Q175">
            <v>76410</v>
          </cell>
          <cell r="S175">
            <v>80141</v>
          </cell>
          <cell r="V175">
            <v>49597</v>
          </cell>
          <cell r="W175">
            <v>30544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Q176">
            <v>76410</v>
          </cell>
          <cell r="S176">
            <v>80141</v>
          </cell>
          <cell r="V176">
            <v>110685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Q177">
            <v>76410</v>
          </cell>
          <cell r="S177">
            <v>80141</v>
          </cell>
          <cell r="V177">
            <v>76410</v>
          </cell>
          <cell r="W177">
            <v>3731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Q178">
            <v>76410</v>
          </cell>
          <cell r="S178">
            <v>80141</v>
          </cell>
          <cell r="W178">
            <v>83872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Q179">
            <v>76410</v>
          </cell>
          <cell r="S179">
            <v>80141</v>
          </cell>
          <cell r="V179">
            <v>164013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Q180">
            <v>76410</v>
          </cell>
          <cell r="S180">
            <v>80141</v>
          </cell>
          <cell r="W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Q181">
            <v>76410</v>
          </cell>
          <cell r="S181">
            <v>80141</v>
          </cell>
          <cell r="V181">
            <v>160282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Q182">
            <v>76410</v>
          </cell>
          <cell r="S182">
            <v>80141</v>
          </cell>
          <cell r="V182">
            <v>80141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Q183">
            <v>76410</v>
          </cell>
          <cell r="S183">
            <v>80141</v>
          </cell>
          <cell r="W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Q184">
            <v>76410</v>
          </cell>
          <cell r="S184">
            <v>80141</v>
          </cell>
          <cell r="V184">
            <v>160282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Q185">
            <v>76410</v>
          </cell>
          <cell r="S185">
            <v>80141</v>
          </cell>
          <cell r="W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Q186">
            <v>76410</v>
          </cell>
          <cell r="S186">
            <v>80141</v>
          </cell>
          <cell r="V186">
            <v>160282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Q187">
            <v>78144</v>
          </cell>
          <cell r="S187">
            <v>81875</v>
          </cell>
          <cell r="W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Q188">
            <v>78144</v>
          </cell>
          <cell r="S188">
            <v>81875</v>
          </cell>
          <cell r="V188">
            <v>163750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Q189">
            <v>78144</v>
          </cell>
          <cell r="S189">
            <v>81875</v>
          </cell>
          <cell r="W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Q190">
            <v>78144</v>
          </cell>
          <cell r="S190">
            <v>81875</v>
          </cell>
          <cell r="W190">
            <v>163750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Q191">
            <v>78144</v>
          </cell>
          <cell r="S191">
            <v>81875</v>
          </cell>
          <cell r="V191">
            <v>245625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Q192">
            <v>78144</v>
          </cell>
          <cell r="S192">
            <v>81875</v>
          </cell>
          <cell r="V192">
            <v>81875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Q193">
            <v>78144</v>
          </cell>
          <cell r="S193">
            <v>81875</v>
          </cell>
          <cell r="V193">
            <v>81875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Q194">
            <v>78144</v>
          </cell>
          <cell r="S194">
            <v>81875</v>
          </cell>
          <cell r="V194">
            <v>81875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Q195">
            <v>78144</v>
          </cell>
          <cell r="S195">
            <v>81875</v>
          </cell>
          <cell r="V195">
            <v>81875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Q196">
            <v>78144</v>
          </cell>
          <cell r="R196">
            <v>0</v>
          </cell>
          <cell r="S196">
            <v>81875</v>
          </cell>
          <cell r="V196">
            <v>81875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Q197">
            <v>78144</v>
          </cell>
          <cell r="S197">
            <v>81875</v>
          </cell>
          <cell r="W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Q198">
            <v>78144</v>
          </cell>
          <cell r="S198">
            <v>81875</v>
          </cell>
          <cell r="W198">
            <v>163750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Q199">
            <v>80176</v>
          </cell>
          <cell r="R199">
            <v>0</v>
          </cell>
          <cell r="S199">
            <v>84004</v>
          </cell>
          <cell r="V199">
            <v>247754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R200">
            <v>0</v>
          </cell>
          <cell r="S200">
            <v>84004</v>
          </cell>
          <cell r="V200">
            <v>84004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>
            <v>0</v>
          </cell>
          <cell r="S201">
            <v>84004</v>
          </cell>
          <cell r="V201">
            <v>84004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>
            <v>0</v>
          </cell>
          <cell r="S202">
            <v>84004</v>
          </cell>
          <cell r="V202">
            <v>84004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>
            <v>0</v>
          </cell>
          <cell r="S203">
            <v>84004</v>
          </cell>
          <cell r="V203"/>
          <cell r="W203">
            <v>84004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84004</v>
          </cell>
          <cell r="V204"/>
          <cell r="W204">
            <v>168008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252012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336016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420020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504024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588028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672032</v>
          </cell>
        </row>
      </sheetData>
      <sheetData sheetId="5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87141</v>
          </cell>
          <cell r="W175">
            <v>0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88138</v>
          </cell>
          <cell r="W183">
            <v>0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88131</v>
          </cell>
          <cell r="W184">
            <v>0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88160</v>
          </cell>
          <cell r="W185">
            <v>0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88180</v>
          </cell>
          <cell r="W186">
            <v>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89952</v>
          </cell>
          <cell r="W188">
            <v>0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89965</v>
          </cell>
          <cell r="W189">
            <v>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89976</v>
          </cell>
          <cell r="W190">
            <v>0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90135</v>
          </cell>
          <cell r="W197">
            <v>0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92268</v>
          </cell>
          <cell r="W199">
            <v>0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92268</v>
          </cell>
          <cell r="W200">
            <v>3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92277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92303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184636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268640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352644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436648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520652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604656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688660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772664</v>
          </cell>
        </row>
      </sheetData>
      <sheetData sheetId="6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R175">
            <v>52636</v>
          </cell>
          <cell r="S175">
            <v>139777</v>
          </cell>
          <cell r="W175">
            <v>541808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628950</v>
          </cell>
          <cell r="W176">
            <v>-1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W177">
            <v>87140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W178">
            <v>174281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261423</v>
          </cell>
          <cell r="W179">
            <v>-1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R180">
            <v>53330</v>
          </cell>
          <cell r="S180">
            <v>140471</v>
          </cell>
          <cell r="W180">
            <v>140470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R181">
            <v>53195</v>
          </cell>
          <cell r="S181">
            <v>140336</v>
          </cell>
          <cell r="W181">
            <v>280806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R182">
            <v>53208</v>
          </cell>
          <cell r="S182">
            <v>141330</v>
          </cell>
          <cell r="W182">
            <v>422136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R183">
            <v>53314</v>
          </cell>
          <cell r="S183">
            <v>141452</v>
          </cell>
          <cell r="W183">
            <v>563588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R184">
            <v>53270</v>
          </cell>
          <cell r="S184">
            <v>141401</v>
          </cell>
          <cell r="W184">
            <v>704989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R185">
            <v>53462</v>
          </cell>
          <cell r="S185">
            <v>141622</v>
          </cell>
          <cell r="W185">
            <v>846611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R186">
            <v>53650</v>
          </cell>
          <cell r="S186">
            <v>141830</v>
          </cell>
          <cell r="W186">
            <v>988441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R187">
            <v>53847</v>
          </cell>
          <cell r="S187">
            <v>143769</v>
          </cell>
          <cell r="W187">
            <v>1132210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R188">
            <v>63934</v>
          </cell>
          <cell r="S188">
            <v>153886</v>
          </cell>
          <cell r="W188">
            <v>1286096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R189">
            <v>54009</v>
          </cell>
          <cell r="S189">
            <v>143974</v>
          </cell>
          <cell r="W189">
            <v>1430070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R190">
            <v>54157</v>
          </cell>
          <cell r="S190">
            <v>144133</v>
          </cell>
          <cell r="W190">
            <v>1574203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R191">
            <v>54318</v>
          </cell>
          <cell r="S191">
            <v>144316</v>
          </cell>
          <cell r="W191">
            <v>1718519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R192">
            <v>54405</v>
          </cell>
          <cell r="S192">
            <v>144428</v>
          </cell>
          <cell r="W192">
            <v>1862947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R193">
            <v>54575</v>
          </cell>
          <cell r="S193">
            <v>144611</v>
          </cell>
          <cell r="W193">
            <v>2007558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R194">
            <v>54715</v>
          </cell>
          <cell r="S194">
            <v>144776</v>
          </cell>
          <cell r="W194">
            <v>2152334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R195">
            <v>54864</v>
          </cell>
          <cell r="S195">
            <v>144946</v>
          </cell>
          <cell r="W195">
            <v>2297280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R196">
            <v>55066</v>
          </cell>
          <cell r="S196">
            <v>145171</v>
          </cell>
          <cell r="W196">
            <v>2442451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R197">
            <v>55132</v>
          </cell>
          <cell r="S197">
            <v>145267</v>
          </cell>
          <cell r="W197">
            <v>2587718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R198">
            <v>55092</v>
          </cell>
          <cell r="S198">
            <v>145237</v>
          </cell>
          <cell r="W198">
            <v>2732955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W199">
            <v>2880315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/>
        </row>
        <row r="201">
          <cell r="E201"/>
          <cell r="G201"/>
          <cell r="J201"/>
          <cell r="L201">
            <v>0</v>
          </cell>
          <cell r="M201">
            <v>2716.6451612903224</v>
          </cell>
          <cell r="N201">
            <v>5869.0322580645152</v>
          </cell>
          <cell r="O201"/>
          <cell r="P201"/>
          <cell r="Q201">
            <v>56899.096774193553</v>
          </cell>
          <cell r="R201"/>
          <cell r="S201">
            <v>65484.774193548394</v>
          </cell>
          <cell r="V201"/>
          <cell r="W201">
            <v>65484.774193548394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157788</v>
          </cell>
          <cell r="W202">
            <v>-0.22580645160633139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92332.774193548394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176336.77419354839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260340.77419354839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344344.77419354836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428348.77419354836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512352.77419354836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596356.77419354836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680360.77419354836</v>
          </cell>
        </row>
      </sheetData>
      <sheetData sheetId="7">
        <row r="175">
          <cell r="E175">
            <v>311</v>
          </cell>
          <cell r="G175">
            <v>45406</v>
          </cell>
          <cell r="J175">
            <v>61</v>
          </cell>
          <cell r="L175">
            <v>34099</v>
          </cell>
          <cell r="M175">
            <v>3731</v>
          </cell>
          <cell r="N175">
            <v>7000</v>
          </cell>
          <cell r="Q175">
            <v>76410</v>
          </cell>
          <cell r="S175">
            <v>166646</v>
          </cell>
          <cell r="V175">
            <v>166646</v>
          </cell>
          <cell r="W175">
            <v>0</v>
          </cell>
        </row>
        <row r="176">
          <cell r="E176">
            <v>194</v>
          </cell>
          <cell r="G176">
            <v>28324</v>
          </cell>
          <cell r="J176">
            <v>34</v>
          </cell>
          <cell r="L176">
            <v>19006</v>
          </cell>
          <cell r="M176">
            <v>3731</v>
          </cell>
          <cell r="N176">
            <v>7000</v>
          </cell>
          <cell r="Q176">
            <v>76410</v>
          </cell>
          <cell r="S176">
            <v>134471</v>
          </cell>
          <cell r="V176">
            <v>134471</v>
          </cell>
          <cell r="W176">
            <v>0</v>
          </cell>
        </row>
        <row r="177">
          <cell r="E177">
            <v>230</v>
          </cell>
          <cell r="G177">
            <v>33580</v>
          </cell>
          <cell r="J177">
            <v>26</v>
          </cell>
          <cell r="L177">
            <v>14534</v>
          </cell>
          <cell r="M177">
            <v>3731</v>
          </cell>
          <cell r="N177">
            <v>7000</v>
          </cell>
          <cell r="Q177">
            <v>76410</v>
          </cell>
          <cell r="S177">
            <v>135255</v>
          </cell>
          <cell r="V177">
            <v>135525</v>
          </cell>
          <cell r="W177">
            <v>-270</v>
          </cell>
        </row>
        <row r="178">
          <cell r="E178">
            <v>196</v>
          </cell>
          <cell r="G178">
            <v>28616</v>
          </cell>
          <cell r="J178">
            <v>16</v>
          </cell>
          <cell r="L178">
            <v>8944</v>
          </cell>
          <cell r="M178">
            <v>3731</v>
          </cell>
          <cell r="N178">
            <v>7000</v>
          </cell>
          <cell r="Q178">
            <v>76410</v>
          </cell>
          <cell r="S178">
            <v>124701</v>
          </cell>
          <cell r="V178">
            <v>124431</v>
          </cell>
          <cell r="W178">
            <v>0</v>
          </cell>
        </row>
        <row r="179">
          <cell r="E179">
            <v>185</v>
          </cell>
          <cell r="G179">
            <v>27010</v>
          </cell>
          <cell r="J179">
            <v>6</v>
          </cell>
          <cell r="L179">
            <v>3354</v>
          </cell>
          <cell r="M179">
            <v>3731</v>
          </cell>
          <cell r="N179">
            <v>7000</v>
          </cell>
          <cell r="Q179">
            <v>76410</v>
          </cell>
          <cell r="S179">
            <v>117505</v>
          </cell>
          <cell r="V179">
            <v>117505</v>
          </cell>
          <cell r="W179">
            <v>0</v>
          </cell>
        </row>
        <row r="180">
          <cell r="E180">
            <v>186</v>
          </cell>
          <cell r="G180">
            <v>27156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114297</v>
          </cell>
          <cell r="V180">
            <v>114297</v>
          </cell>
          <cell r="W180">
            <v>0</v>
          </cell>
        </row>
        <row r="181">
          <cell r="E181">
            <v>213</v>
          </cell>
          <cell r="G181">
            <v>31098</v>
          </cell>
          <cell r="J181">
            <v>1</v>
          </cell>
          <cell r="L181">
            <v>559</v>
          </cell>
          <cell r="M181">
            <v>3731</v>
          </cell>
          <cell r="N181">
            <v>7000</v>
          </cell>
          <cell r="Q181">
            <v>76410</v>
          </cell>
          <cell r="S181">
            <v>118798</v>
          </cell>
          <cell r="V181">
            <v>118798</v>
          </cell>
          <cell r="W181">
            <v>0</v>
          </cell>
        </row>
        <row r="182">
          <cell r="E182">
            <v>264</v>
          </cell>
          <cell r="G182">
            <v>38544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Q182">
            <v>76410</v>
          </cell>
          <cell r="S182">
            <v>128902</v>
          </cell>
          <cell r="V182">
            <v>128902</v>
          </cell>
          <cell r="W182">
            <v>0</v>
          </cell>
        </row>
        <row r="183">
          <cell r="E183">
            <v>221</v>
          </cell>
          <cell r="G183">
            <v>32266</v>
          </cell>
          <cell r="J183">
            <v>6</v>
          </cell>
          <cell r="L183">
            <v>3354</v>
          </cell>
          <cell r="M183">
            <v>3731</v>
          </cell>
          <cell r="N183">
            <v>7997</v>
          </cell>
          <cell r="Q183">
            <v>76410</v>
          </cell>
          <cell r="R183">
            <v>0</v>
          </cell>
          <cell r="S183">
            <v>123758</v>
          </cell>
          <cell r="V183">
            <v>123758</v>
          </cell>
          <cell r="W183">
            <v>0</v>
          </cell>
        </row>
        <row r="184">
          <cell r="E184">
            <v>169</v>
          </cell>
          <cell r="G184">
            <v>24674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R184">
            <v>0</v>
          </cell>
          <cell r="S184">
            <v>112805</v>
          </cell>
          <cell r="V184">
            <v>112805</v>
          </cell>
          <cell r="W184">
            <v>0</v>
          </cell>
        </row>
        <row r="185">
          <cell r="E185">
            <v>194</v>
          </cell>
          <cell r="G185">
            <v>28324</v>
          </cell>
          <cell r="J185">
            <v>2</v>
          </cell>
          <cell r="L185">
            <v>1118</v>
          </cell>
          <cell r="M185">
            <v>3731</v>
          </cell>
          <cell r="N185">
            <v>8019</v>
          </cell>
          <cell r="Q185">
            <v>76410</v>
          </cell>
          <cell r="R185">
            <v>0</v>
          </cell>
          <cell r="S185">
            <v>117602</v>
          </cell>
          <cell r="W185">
            <v>117602</v>
          </cell>
        </row>
        <row r="186">
          <cell r="E186">
            <v>125</v>
          </cell>
          <cell r="G186">
            <v>18250</v>
          </cell>
          <cell r="J186">
            <v>117</v>
          </cell>
          <cell r="L186">
            <v>65403</v>
          </cell>
          <cell r="M186">
            <v>3731</v>
          </cell>
          <cell r="N186">
            <v>8039</v>
          </cell>
          <cell r="Q186">
            <v>76410</v>
          </cell>
          <cell r="R186">
            <v>0</v>
          </cell>
          <cell r="S186">
            <v>171833</v>
          </cell>
          <cell r="V186">
            <v>289435</v>
          </cell>
          <cell r="W186">
            <v>0</v>
          </cell>
        </row>
        <row r="187">
          <cell r="E187">
            <v>143</v>
          </cell>
          <cell r="G187">
            <v>20878</v>
          </cell>
          <cell r="J187">
            <v>102</v>
          </cell>
          <cell r="L187">
            <v>57018</v>
          </cell>
          <cell r="M187">
            <v>3731</v>
          </cell>
          <cell r="N187">
            <v>8047</v>
          </cell>
          <cell r="Q187">
            <v>78144</v>
          </cell>
          <cell r="R187">
            <v>0</v>
          </cell>
          <cell r="S187">
            <v>167818</v>
          </cell>
          <cell r="V187">
            <v>167818</v>
          </cell>
          <cell r="W187">
            <v>0</v>
          </cell>
        </row>
        <row r="188">
          <cell r="E188">
            <v>190</v>
          </cell>
          <cell r="G188">
            <v>27740</v>
          </cell>
          <cell r="J188">
            <v>58</v>
          </cell>
          <cell r="L188">
            <v>32422</v>
          </cell>
          <cell r="M188">
            <v>3731</v>
          </cell>
          <cell r="N188">
            <v>8077</v>
          </cell>
          <cell r="Q188">
            <v>78144</v>
          </cell>
          <cell r="R188">
            <v>0</v>
          </cell>
          <cell r="S188">
            <v>150114</v>
          </cell>
          <cell r="V188">
            <v>296114</v>
          </cell>
          <cell r="W188">
            <v>-146000</v>
          </cell>
        </row>
        <row r="189">
          <cell r="E189">
            <v>159</v>
          </cell>
          <cell r="G189">
            <v>23214</v>
          </cell>
          <cell r="J189">
            <v>44</v>
          </cell>
          <cell r="L189">
            <v>24596</v>
          </cell>
          <cell r="M189">
            <v>3731</v>
          </cell>
          <cell r="N189">
            <v>8090</v>
          </cell>
          <cell r="Q189">
            <v>78144</v>
          </cell>
          <cell r="R189">
            <v>0</v>
          </cell>
          <cell r="S189">
            <v>137775</v>
          </cell>
          <cell r="V189">
            <v>119155</v>
          </cell>
          <cell r="W189">
            <v>-127380</v>
          </cell>
        </row>
        <row r="190">
          <cell r="E190">
            <v>175</v>
          </cell>
          <cell r="G190">
            <v>25550</v>
          </cell>
          <cell r="J190">
            <v>54</v>
          </cell>
          <cell r="L190">
            <v>30186</v>
          </cell>
          <cell r="M190">
            <v>3731</v>
          </cell>
          <cell r="N190">
            <v>8101</v>
          </cell>
          <cell r="Q190">
            <v>78144</v>
          </cell>
          <cell r="R190">
            <v>0</v>
          </cell>
          <cell r="S190">
            <v>145712</v>
          </cell>
          <cell r="V190">
            <v>18332</v>
          </cell>
          <cell r="W190">
            <v>0</v>
          </cell>
        </row>
        <row r="191">
          <cell r="E191">
            <v>161</v>
          </cell>
          <cell r="G191">
            <v>23506</v>
          </cell>
          <cell r="J191">
            <v>38</v>
          </cell>
          <cell r="L191">
            <v>21242</v>
          </cell>
          <cell r="M191">
            <v>3731</v>
          </cell>
          <cell r="N191">
            <v>8123</v>
          </cell>
          <cell r="Q191">
            <v>78144</v>
          </cell>
          <cell r="R191">
            <v>0</v>
          </cell>
          <cell r="S191">
            <v>134746</v>
          </cell>
          <cell r="V191">
            <v>134746</v>
          </cell>
          <cell r="W191">
            <v>0</v>
          </cell>
        </row>
        <row r="192">
          <cell r="E192">
            <v>214</v>
          </cell>
          <cell r="G192">
            <v>31244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Q192">
            <v>78144</v>
          </cell>
          <cell r="R192">
            <v>0</v>
          </cell>
          <cell r="S192">
            <v>126298</v>
          </cell>
          <cell r="V192">
            <v>126298</v>
          </cell>
          <cell r="W192">
            <v>0</v>
          </cell>
        </row>
        <row r="193">
          <cell r="E193">
            <v>151</v>
          </cell>
          <cell r="G193">
            <v>22046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R193">
            <v>0</v>
          </cell>
          <cell r="S193">
            <v>112082</v>
          </cell>
          <cell r="V193">
            <v>112082</v>
          </cell>
          <cell r="W193">
            <v>0</v>
          </cell>
        </row>
        <row r="194">
          <cell r="E194">
            <v>156</v>
          </cell>
          <cell r="G194">
            <v>22776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R194">
            <v>0</v>
          </cell>
          <cell r="S194">
            <v>112837</v>
          </cell>
          <cell r="V194">
            <v>112837</v>
          </cell>
          <cell r="W194">
            <v>0</v>
          </cell>
        </row>
        <row r="195">
          <cell r="E195">
            <v>176</v>
          </cell>
          <cell r="G195">
            <v>25696</v>
          </cell>
          <cell r="J195">
            <v>8</v>
          </cell>
          <cell r="L195">
            <v>4472</v>
          </cell>
          <cell r="M195">
            <v>3731</v>
          </cell>
          <cell r="N195">
            <v>8207</v>
          </cell>
          <cell r="Q195">
            <v>78144</v>
          </cell>
          <cell r="R195">
            <v>0</v>
          </cell>
          <cell r="S195">
            <v>120250</v>
          </cell>
          <cell r="V195">
            <v>120250</v>
          </cell>
          <cell r="W195">
            <v>0</v>
          </cell>
        </row>
        <row r="196">
          <cell r="E196">
            <v>164</v>
          </cell>
          <cell r="G196">
            <v>23944</v>
          </cell>
          <cell r="J196">
            <v>7</v>
          </cell>
          <cell r="L196">
            <v>3913</v>
          </cell>
          <cell r="M196">
            <v>3731</v>
          </cell>
          <cell r="N196">
            <v>8230</v>
          </cell>
          <cell r="Q196">
            <v>78144</v>
          </cell>
          <cell r="R196">
            <v>0</v>
          </cell>
          <cell r="S196">
            <v>117962</v>
          </cell>
          <cell r="V196">
            <v>117962</v>
          </cell>
          <cell r="W196">
            <v>0</v>
          </cell>
        </row>
        <row r="197">
          <cell r="E197">
            <v>174</v>
          </cell>
          <cell r="G197">
            <v>25404</v>
          </cell>
          <cell r="J197">
            <v>38</v>
          </cell>
          <cell r="L197">
            <v>21242</v>
          </cell>
          <cell r="M197">
            <v>3731</v>
          </cell>
          <cell r="N197">
            <v>8260</v>
          </cell>
          <cell r="Q197">
            <v>78144</v>
          </cell>
          <cell r="R197">
            <v>0</v>
          </cell>
          <cell r="S197">
            <v>136781</v>
          </cell>
          <cell r="V197">
            <v>136781</v>
          </cell>
          <cell r="W197">
            <v>0</v>
          </cell>
        </row>
        <row r="198">
          <cell r="E198">
            <v>164</v>
          </cell>
          <cell r="G198">
            <v>23944</v>
          </cell>
          <cell r="J198">
            <v>42</v>
          </cell>
          <cell r="L198">
            <v>23478</v>
          </cell>
          <cell r="M198">
            <v>3731</v>
          </cell>
          <cell r="N198">
            <v>8270</v>
          </cell>
          <cell r="Q198">
            <v>78144</v>
          </cell>
          <cell r="R198">
            <v>0</v>
          </cell>
          <cell r="S198">
            <v>137567</v>
          </cell>
          <cell r="V198">
            <v>137567</v>
          </cell>
          <cell r="W198">
            <v>0</v>
          </cell>
        </row>
        <row r="199">
          <cell r="E199">
            <v>167</v>
          </cell>
          <cell r="G199">
            <v>24382</v>
          </cell>
          <cell r="J199">
            <v>62</v>
          </cell>
          <cell r="L199">
            <v>34658</v>
          </cell>
          <cell r="M199">
            <v>3828</v>
          </cell>
          <cell r="N199">
            <v>8264</v>
          </cell>
          <cell r="Q199">
            <v>80176</v>
          </cell>
          <cell r="R199">
            <v>0</v>
          </cell>
          <cell r="S199">
            <v>151308</v>
          </cell>
          <cell r="V199">
            <v>151308</v>
          </cell>
          <cell r="W199">
            <v>0</v>
          </cell>
        </row>
        <row r="200">
          <cell r="E200">
            <v>160</v>
          </cell>
          <cell r="G200">
            <v>23360</v>
          </cell>
          <cell r="J200">
            <v>44</v>
          </cell>
          <cell r="L200">
            <v>24596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140227</v>
          </cell>
          <cell r="V200">
            <v>140227</v>
          </cell>
          <cell r="W200">
            <v>0</v>
          </cell>
        </row>
        <row r="201">
          <cell r="E201">
            <v>196</v>
          </cell>
          <cell r="G201">
            <v>28616</v>
          </cell>
          <cell r="J201">
            <v>41</v>
          </cell>
          <cell r="L201">
            <v>22919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143809</v>
          </cell>
          <cell r="V201">
            <v>143809</v>
          </cell>
          <cell r="W201">
            <v>0</v>
          </cell>
        </row>
        <row r="202">
          <cell r="E202">
            <v>141</v>
          </cell>
          <cell r="G202">
            <v>20586</v>
          </cell>
          <cell r="J202">
            <v>23</v>
          </cell>
          <cell r="L202">
            <v>12857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125746</v>
          </cell>
          <cell r="V202">
            <v>125746</v>
          </cell>
          <cell r="W202">
            <v>0</v>
          </cell>
        </row>
        <row r="203">
          <cell r="E203">
            <v>153</v>
          </cell>
          <cell r="G203">
            <v>22338</v>
          </cell>
          <cell r="J203">
            <v>21</v>
          </cell>
          <cell r="L203">
            <v>11739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126410</v>
          </cell>
          <cell r="V203"/>
          <cell r="W203">
            <v>126410</v>
          </cell>
        </row>
        <row r="204">
          <cell r="E204">
            <v>-11203</v>
          </cell>
          <cell r="G204">
            <v>-1635638</v>
          </cell>
          <cell r="J204">
            <v>-1274</v>
          </cell>
          <cell r="L204">
            <v>-712166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-2263800</v>
          </cell>
          <cell r="V204"/>
          <cell r="W204">
            <v>-2137390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-2053386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-1969382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-1885378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-1801374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-1717370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-1633366</v>
          </cell>
        </row>
      </sheetData>
      <sheetData sheetId="8">
        <row r="175">
          <cell r="E175">
            <v>9</v>
          </cell>
          <cell r="G175">
            <v>1314</v>
          </cell>
          <cell r="J175">
            <v>30</v>
          </cell>
          <cell r="L175">
            <v>16770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105225</v>
          </cell>
          <cell r="V175">
            <v>105225</v>
          </cell>
          <cell r="W175">
            <v>0</v>
          </cell>
        </row>
        <row r="176">
          <cell r="E176">
            <v>1</v>
          </cell>
          <cell r="G176">
            <v>146</v>
          </cell>
          <cell r="J176">
            <v>1</v>
          </cell>
          <cell r="L176">
            <v>559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87846</v>
          </cell>
          <cell r="V176">
            <v>87846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13</v>
          </cell>
          <cell r="G179">
            <v>1898</v>
          </cell>
          <cell r="J179">
            <v>7</v>
          </cell>
          <cell r="L179">
            <v>3913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92952</v>
          </cell>
          <cell r="V179">
            <v>92952</v>
          </cell>
          <cell r="W179">
            <v>0</v>
          </cell>
        </row>
        <row r="180">
          <cell r="E180">
            <v>44</v>
          </cell>
          <cell r="G180">
            <v>6424</v>
          </cell>
          <cell r="J180">
            <v>47</v>
          </cell>
          <cell r="L180">
            <v>26273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119838</v>
          </cell>
          <cell r="V180">
            <v>119838</v>
          </cell>
          <cell r="W180">
            <v>0</v>
          </cell>
        </row>
        <row r="181">
          <cell r="E181">
            <v>20</v>
          </cell>
          <cell r="G181">
            <v>2920</v>
          </cell>
          <cell r="J181">
            <v>13</v>
          </cell>
          <cell r="L181">
            <v>7267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97328</v>
          </cell>
          <cell r="W181">
            <v>97328</v>
          </cell>
        </row>
        <row r="182">
          <cell r="E182">
            <v>5</v>
          </cell>
          <cell r="G182">
            <v>730</v>
          </cell>
          <cell r="J182">
            <v>2</v>
          </cell>
          <cell r="L182">
            <v>1118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89970</v>
          </cell>
          <cell r="V182">
            <v>187298</v>
          </cell>
          <cell r="W182">
            <v>0</v>
          </cell>
        </row>
        <row r="183">
          <cell r="E183">
            <v>6</v>
          </cell>
          <cell r="G183">
            <v>876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93486</v>
          </cell>
          <cell r="V183">
            <v>93486</v>
          </cell>
          <cell r="W183">
            <v>0</v>
          </cell>
        </row>
        <row r="184">
          <cell r="E184">
            <v>15</v>
          </cell>
          <cell r="G184">
            <v>2190</v>
          </cell>
          <cell r="J184">
            <v>3</v>
          </cell>
          <cell r="L184">
            <v>1677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91998</v>
          </cell>
          <cell r="V184">
            <v>91998</v>
          </cell>
          <cell r="W184">
            <v>0</v>
          </cell>
        </row>
        <row r="185">
          <cell r="E185">
            <v>20</v>
          </cell>
          <cell r="G185">
            <v>2920</v>
          </cell>
          <cell r="J185">
            <v>4</v>
          </cell>
          <cell r="L185">
            <v>2236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93316</v>
          </cell>
          <cell r="V185">
            <v>93316</v>
          </cell>
          <cell r="W185">
            <v>0</v>
          </cell>
        </row>
        <row r="186">
          <cell r="E186">
            <v>131</v>
          </cell>
          <cell r="G186">
            <v>19126</v>
          </cell>
          <cell r="J186">
            <v>13</v>
          </cell>
          <cell r="L186">
            <v>7267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114573</v>
          </cell>
          <cell r="W186">
            <v>114573</v>
          </cell>
        </row>
        <row r="187">
          <cell r="E187">
            <v>108</v>
          </cell>
          <cell r="G187">
            <v>15768</v>
          </cell>
          <cell r="J187">
            <v>33</v>
          </cell>
          <cell r="L187">
            <v>18447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124137</v>
          </cell>
          <cell r="V187">
            <v>238710</v>
          </cell>
          <cell r="W187">
            <v>0</v>
          </cell>
        </row>
        <row r="188">
          <cell r="E188">
            <v>110</v>
          </cell>
          <cell r="G188">
            <v>16060</v>
          </cell>
          <cell r="J188">
            <v>11</v>
          </cell>
          <cell r="L188">
            <v>6149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112161</v>
          </cell>
          <cell r="V188">
            <v>112161</v>
          </cell>
          <cell r="W188">
            <v>0</v>
          </cell>
        </row>
        <row r="189">
          <cell r="E189">
            <v>103</v>
          </cell>
          <cell r="G189">
            <v>15038</v>
          </cell>
          <cell r="J189">
            <v>9</v>
          </cell>
          <cell r="L189">
            <v>5031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110034</v>
          </cell>
          <cell r="W189">
            <v>110034</v>
          </cell>
        </row>
        <row r="190">
          <cell r="E190">
            <v>112</v>
          </cell>
          <cell r="G190">
            <v>16352</v>
          </cell>
          <cell r="J190">
            <v>19</v>
          </cell>
          <cell r="L190">
            <v>10621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116949</v>
          </cell>
          <cell r="V190">
            <v>226983</v>
          </cell>
          <cell r="W190">
            <v>0</v>
          </cell>
        </row>
        <row r="191">
          <cell r="E191">
            <v>235</v>
          </cell>
          <cell r="G191">
            <v>34310</v>
          </cell>
          <cell r="J191">
            <v>18</v>
          </cell>
          <cell r="L191">
            <v>10062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134370</v>
          </cell>
          <cell r="W191">
            <v>134370</v>
          </cell>
        </row>
        <row r="192">
          <cell r="E192">
            <v>475</v>
          </cell>
          <cell r="G192">
            <v>69350</v>
          </cell>
          <cell r="J192">
            <v>20</v>
          </cell>
          <cell r="L192">
            <v>11180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170553</v>
          </cell>
          <cell r="V192">
            <v>304923</v>
          </cell>
          <cell r="W192">
            <v>0</v>
          </cell>
        </row>
        <row r="193">
          <cell r="E193">
            <v>273</v>
          </cell>
          <cell r="G193">
            <v>39858</v>
          </cell>
          <cell r="J193">
            <v>12</v>
          </cell>
          <cell r="L193">
            <v>6708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136602</v>
          </cell>
          <cell r="W193">
            <v>136602</v>
          </cell>
        </row>
        <row r="194">
          <cell r="E194">
            <v>338</v>
          </cell>
          <cell r="G194">
            <v>49348</v>
          </cell>
          <cell r="J194">
            <v>15</v>
          </cell>
          <cell r="L194">
            <v>8385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147794</v>
          </cell>
          <cell r="V194">
            <v>384396</v>
          </cell>
          <cell r="W194">
            <v>-100000</v>
          </cell>
        </row>
        <row r="195">
          <cell r="E195">
            <v>213</v>
          </cell>
          <cell r="G195">
            <v>31098</v>
          </cell>
          <cell r="J195">
            <v>13</v>
          </cell>
          <cell r="L195">
            <v>7267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128447</v>
          </cell>
          <cell r="W195">
            <v>28447</v>
          </cell>
        </row>
        <row r="196">
          <cell r="E196">
            <v>238</v>
          </cell>
          <cell r="G196">
            <v>34748</v>
          </cell>
          <cell r="J196">
            <v>17</v>
          </cell>
          <cell r="L196">
            <v>9503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134356</v>
          </cell>
          <cell r="V196">
            <v>162803</v>
          </cell>
          <cell r="W196">
            <v>0</v>
          </cell>
        </row>
        <row r="197">
          <cell r="E197">
            <v>253</v>
          </cell>
          <cell r="G197">
            <v>36938</v>
          </cell>
          <cell r="J197">
            <v>44</v>
          </cell>
          <cell r="L197">
            <v>24596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151669</v>
          </cell>
          <cell r="W197">
            <v>151669</v>
          </cell>
        </row>
        <row r="198">
          <cell r="E198">
            <v>198</v>
          </cell>
          <cell r="G198">
            <v>28908</v>
          </cell>
          <cell r="J198">
            <v>37</v>
          </cell>
          <cell r="L198">
            <v>20683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139736</v>
          </cell>
          <cell r="V198">
            <v>291405</v>
          </cell>
          <cell r="W198">
            <v>0</v>
          </cell>
        </row>
        <row r="199">
          <cell r="E199">
            <v>221</v>
          </cell>
          <cell r="G199">
            <v>32266</v>
          </cell>
          <cell r="J199">
            <v>28</v>
          </cell>
          <cell r="L199">
            <v>15652</v>
          </cell>
          <cell r="M199">
            <v>3828</v>
          </cell>
          <cell r="N199">
            <v>8264</v>
          </cell>
          <cell r="Q199">
            <v>80176</v>
          </cell>
          <cell r="R199">
            <v>0</v>
          </cell>
          <cell r="S199">
            <v>140186</v>
          </cell>
          <cell r="V199">
            <v>140186</v>
          </cell>
          <cell r="W199">
            <v>0</v>
          </cell>
        </row>
        <row r="200">
          <cell r="E200">
            <v>228</v>
          </cell>
          <cell r="G200">
            <v>33288</v>
          </cell>
          <cell r="J200">
            <v>46</v>
          </cell>
          <cell r="L200">
            <v>25714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151273</v>
          </cell>
          <cell r="V200">
            <v>151273</v>
          </cell>
          <cell r="W200">
            <v>0</v>
          </cell>
        </row>
        <row r="201">
          <cell r="E201">
            <v>203</v>
          </cell>
          <cell r="G201">
            <v>29638</v>
          </cell>
          <cell r="J201">
            <v>23</v>
          </cell>
          <cell r="L201">
            <v>12857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134769</v>
          </cell>
          <cell r="V201">
            <v>134769</v>
          </cell>
          <cell r="W201">
            <v>0</v>
          </cell>
        </row>
        <row r="202">
          <cell r="E202">
            <v>211</v>
          </cell>
          <cell r="G202">
            <v>30806</v>
          </cell>
          <cell r="J202">
            <v>12</v>
          </cell>
          <cell r="L202">
            <v>6708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129817</v>
          </cell>
          <cell r="V202"/>
          <cell r="W202">
            <v>129817</v>
          </cell>
        </row>
        <row r="203">
          <cell r="E203">
            <v>223</v>
          </cell>
          <cell r="G203">
            <v>32558</v>
          </cell>
          <cell r="J203">
            <v>10</v>
          </cell>
          <cell r="L203">
            <v>5590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130481</v>
          </cell>
          <cell r="V203"/>
          <cell r="W203">
            <v>260298</v>
          </cell>
        </row>
        <row r="204">
          <cell r="E204">
            <v>-4014</v>
          </cell>
          <cell r="G204">
            <v>-586044</v>
          </cell>
          <cell r="J204">
            <v>-516</v>
          </cell>
          <cell r="L204">
            <v>-288444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-790484</v>
          </cell>
          <cell r="V204"/>
          <cell r="W204">
            <v>-530186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-446182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-362178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-278174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-194170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-110166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-26162</v>
          </cell>
        </row>
      </sheetData>
      <sheetData sheetId="9">
        <row r="175">
          <cell r="E175">
            <v>459</v>
          </cell>
          <cell r="G175">
            <v>67014</v>
          </cell>
          <cell r="J175">
            <v>109</v>
          </cell>
          <cell r="L175">
            <v>60931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215086</v>
          </cell>
          <cell r="V175">
            <v>215086</v>
          </cell>
          <cell r="W175">
            <v>-0.34000000002561137</v>
          </cell>
        </row>
        <row r="176">
          <cell r="E176">
            <v>363</v>
          </cell>
          <cell r="G176">
            <v>52998</v>
          </cell>
          <cell r="J176">
            <v>80</v>
          </cell>
          <cell r="L176">
            <v>44720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184859</v>
          </cell>
          <cell r="V176">
            <v>184859</v>
          </cell>
          <cell r="W176">
            <v>-0.34000000002561137</v>
          </cell>
        </row>
        <row r="177">
          <cell r="E177">
            <v>398</v>
          </cell>
          <cell r="G177">
            <v>58108</v>
          </cell>
          <cell r="J177">
            <v>90</v>
          </cell>
          <cell r="L177">
            <v>50310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195559</v>
          </cell>
          <cell r="V177">
            <v>195559</v>
          </cell>
          <cell r="W177">
            <v>-0.34000000002561137</v>
          </cell>
        </row>
        <row r="178">
          <cell r="E178">
            <v>295</v>
          </cell>
          <cell r="G178">
            <v>43070</v>
          </cell>
          <cell r="J178">
            <v>55</v>
          </cell>
          <cell r="L178">
            <v>30745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160956</v>
          </cell>
          <cell r="V178">
            <v>160956</v>
          </cell>
          <cell r="W178">
            <v>-0.34000000002561137</v>
          </cell>
        </row>
        <row r="179">
          <cell r="E179">
            <v>146</v>
          </cell>
          <cell r="G179">
            <v>21316</v>
          </cell>
          <cell r="J179">
            <v>19</v>
          </cell>
          <cell r="L179">
            <v>10621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119078</v>
          </cell>
          <cell r="V179">
            <v>119078</v>
          </cell>
          <cell r="W179">
            <v>-0.34000000002561137</v>
          </cell>
        </row>
        <row r="180">
          <cell r="E180">
            <v>168</v>
          </cell>
          <cell r="G180">
            <v>24528</v>
          </cell>
          <cell r="J180">
            <v>14</v>
          </cell>
          <cell r="L180">
            <v>7826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119495</v>
          </cell>
          <cell r="V180">
            <v>119495</v>
          </cell>
          <cell r="W180">
            <v>-0.34000000002561137</v>
          </cell>
        </row>
        <row r="181">
          <cell r="E181">
            <v>186</v>
          </cell>
          <cell r="G181">
            <v>27156</v>
          </cell>
          <cell r="J181">
            <v>8</v>
          </cell>
          <cell r="L181">
            <v>4472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118769</v>
          </cell>
          <cell r="V181">
            <v>118769</v>
          </cell>
          <cell r="W181">
            <v>-0.34000000002561137</v>
          </cell>
        </row>
        <row r="182">
          <cell r="E182">
            <v>171</v>
          </cell>
          <cell r="G182">
            <v>24966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115324</v>
          </cell>
          <cell r="V182">
            <v>115324</v>
          </cell>
          <cell r="W182">
            <v>-0.34000000002561137</v>
          </cell>
        </row>
        <row r="183">
          <cell r="E183">
            <v>181</v>
          </cell>
          <cell r="G183">
            <v>26426</v>
          </cell>
          <cell r="J183">
            <v>24</v>
          </cell>
          <cell r="L183">
            <v>13416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127980</v>
          </cell>
          <cell r="V183">
            <v>127980</v>
          </cell>
          <cell r="W183">
            <v>-0.34000000002561137</v>
          </cell>
        </row>
        <row r="184">
          <cell r="E184">
            <v>180</v>
          </cell>
          <cell r="G184">
            <v>26280</v>
          </cell>
          <cell r="J184">
            <v>12</v>
          </cell>
          <cell r="L184">
            <v>6708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0</v>
          </cell>
          <cell r="S184">
            <v>121119</v>
          </cell>
          <cell r="V184">
            <v>121119</v>
          </cell>
          <cell r="W184">
            <v>-0.34000000002561137</v>
          </cell>
        </row>
        <row r="185">
          <cell r="E185">
            <v>360</v>
          </cell>
          <cell r="G185">
            <v>52560</v>
          </cell>
          <cell r="J185">
            <v>74</v>
          </cell>
          <cell r="L185">
            <v>41366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182086</v>
          </cell>
          <cell r="V185">
            <v>182086</v>
          </cell>
          <cell r="W185">
            <v>-0.34000000002561137</v>
          </cell>
        </row>
        <row r="186">
          <cell r="E186">
            <v>399</v>
          </cell>
          <cell r="G186">
            <v>58254</v>
          </cell>
          <cell r="J186">
            <v>84</v>
          </cell>
          <cell r="L186">
            <v>46956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193390</v>
          </cell>
          <cell r="V186">
            <v>193390</v>
          </cell>
          <cell r="W186">
            <v>-0.34000000002561137</v>
          </cell>
        </row>
        <row r="187">
          <cell r="E187">
            <v>369</v>
          </cell>
          <cell r="G187">
            <v>53874</v>
          </cell>
          <cell r="J187">
            <v>108</v>
          </cell>
          <cell r="L187">
            <v>60372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204168</v>
          </cell>
          <cell r="V187">
            <v>204168</v>
          </cell>
          <cell r="W187">
            <v>-0.34000000002561137</v>
          </cell>
        </row>
        <row r="188">
          <cell r="E188">
            <v>434</v>
          </cell>
          <cell r="G188">
            <v>63364</v>
          </cell>
          <cell r="J188">
            <v>74</v>
          </cell>
          <cell r="L188">
            <v>41366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194682</v>
          </cell>
          <cell r="V188">
            <v>194682</v>
          </cell>
          <cell r="W188">
            <v>-0.34000000002561137</v>
          </cell>
        </row>
        <row r="189">
          <cell r="E189">
            <v>250</v>
          </cell>
          <cell r="G189">
            <v>36500</v>
          </cell>
          <cell r="J189">
            <v>55</v>
          </cell>
          <cell r="L189">
            <v>30745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157210</v>
          </cell>
          <cell r="V189">
            <v>157210</v>
          </cell>
          <cell r="W189">
            <v>-0.34000000002561137</v>
          </cell>
        </row>
        <row r="190">
          <cell r="E190">
            <v>214</v>
          </cell>
          <cell r="G190">
            <v>31244</v>
          </cell>
          <cell r="J190">
            <v>58</v>
          </cell>
          <cell r="L190">
            <v>32422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153642</v>
          </cell>
          <cell r="V190">
            <v>153642</v>
          </cell>
          <cell r="W190">
            <v>-0.34000000002561137</v>
          </cell>
        </row>
        <row r="191">
          <cell r="E191">
            <v>172</v>
          </cell>
          <cell r="G191">
            <v>25112</v>
          </cell>
          <cell r="J191">
            <v>60</v>
          </cell>
          <cell r="L191">
            <v>33540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148650</v>
          </cell>
          <cell r="V191">
            <v>148650</v>
          </cell>
          <cell r="W191">
            <v>-0.34000000002561137</v>
          </cell>
        </row>
        <row r="192">
          <cell r="E192">
            <v>199</v>
          </cell>
          <cell r="G192">
            <v>29054</v>
          </cell>
          <cell r="J192">
            <v>4</v>
          </cell>
          <cell r="L192">
            <v>2236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121313</v>
          </cell>
          <cell r="V192">
            <v>121313</v>
          </cell>
          <cell r="W192">
            <v>-0.34000000002561137</v>
          </cell>
        </row>
        <row r="193">
          <cell r="E193">
            <v>161</v>
          </cell>
          <cell r="G193">
            <v>23506</v>
          </cell>
          <cell r="J193">
            <v>7</v>
          </cell>
          <cell r="L193">
            <v>3913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117455</v>
          </cell>
          <cell r="V193">
            <v>117455</v>
          </cell>
          <cell r="W193">
            <v>-0.34000000002561137</v>
          </cell>
        </row>
        <row r="194">
          <cell r="E194">
            <v>261</v>
          </cell>
          <cell r="G194">
            <v>38106</v>
          </cell>
          <cell r="J194">
            <v>28</v>
          </cell>
          <cell r="L194">
            <v>15652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143819</v>
          </cell>
          <cell r="V194">
            <v>143819</v>
          </cell>
          <cell r="W194">
            <v>-0.34000000002561137</v>
          </cell>
        </row>
        <row r="195">
          <cell r="E195">
            <v>313</v>
          </cell>
          <cell r="G195">
            <v>45698</v>
          </cell>
          <cell r="J195">
            <v>35</v>
          </cell>
          <cell r="L195">
            <v>19565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155345</v>
          </cell>
          <cell r="V195">
            <v>155345</v>
          </cell>
          <cell r="W195">
            <v>-0.34000000002561137</v>
          </cell>
        </row>
        <row r="196">
          <cell r="E196">
            <v>196</v>
          </cell>
          <cell r="G196">
            <v>28616</v>
          </cell>
          <cell r="J196">
            <v>45</v>
          </cell>
          <cell r="L196">
            <v>25155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143876</v>
          </cell>
          <cell r="V196">
            <v>143876</v>
          </cell>
          <cell r="W196">
            <v>-0.34000000002561137</v>
          </cell>
        </row>
        <row r="197">
          <cell r="E197">
            <v>293</v>
          </cell>
          <cell r="G197">
            <v>42778</v>
          </cell>
          <cell r="J197">
            <v>78</v>
          </cell>
          <cell r="L197">
            <v>43602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176515</v>
          </cell>
          <cell r="V197">
            <v>176515</v>
          </cell>
          <cell r="W197">
            <v>-0.34000000002561137</v>
          </cell>
        </row>
        <row r="198">
          <cell r="E198">
            <v>363</v>
          </cell>
          <cell r="G198">
            <v>52998</v>
          </cell>
          <cell r="J198">
            <v>80</v>
          </cell>
          <cell r="L198">
            <v>44720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187863</v>
          </cell>
          <cell r="V198">
            <v>187863</v>
          </cell>
          <cell r="W198">
            <v>-0.34000000002561137</v>
          </cell>
        </row>
        <row r="199">
          <cell r="E199">
            <v>407</v>
          </cell>
          <cell r="G199">
            <v>59422</v>
          </cell>
          <cell r="J199">
            <v>85</v>
          </cell>
          <cell r="L199">
            <v>47515</v>
          </cell>
          <cell r="M199">
            <v>3828</v>
          </cell>
          <cell r="N199">
            <v>8264</v>
          </cell>
          <cell r="Q199">
            <v>80176</v>
          </cell>
          <cell r="R199">
            <v>0</v>
          </cell>
          <cell r="S199">
            <v>199205</v>
          </cell>
          <cell r="V199">
            <v>199205</v>
          </cell>
          <cell r="W199">
            <v>-0.34000000002561137</v>
          </cell>
        </row>
        <row r="200">
          <cell r="E200">
            <v>447</v>
          </cell>
          <cell r="G200">
            <v>65262</v>
          </cell>
          <cell r="J200">
            <v>72</v>
          </cell>
          <cell r="L200">
            <v>40248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197781</v>
          </cell>
          <cell r="V200">
            <v>197781</v>
          </cell>
          <cell r="W200">
            <v>-0.34000000002561137</v>
          </cell>
        </row>
        <row r="201">
          <cell r="E201">
            <v>383</v>
          </cell>
          <cell r="G201">
            <v>55918</v>
          </cell>
          <cell r="J201">
            <v>48</v>
          </cell>
          <cell r="L201">
            <v>26832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137829</v>
          </cell>
          <cell r="S201">
            <v>312853</v>
          </cell>
          <cell r="V201">
            <v>312853</v>
          </cell>
          <cell r="W201">
            <v>-0.34000000002561137</v>
          </cell>
        </row>
        <row r="202">
          <cell r="E202">
            <v>214</v>
          </cell>
          <cell r="G202">
            <v>31244</v>
          </cell>
          <cell r="J202">
            <v>34</v>
          </cell>
          <cell r="L202">
            <v>19006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142553</v>
          </cell>
          <cell r="V202">
            <v>142553</v>
          </cell>
          <cell r="W202">
            <v>-0.34000000002561137</v>
          </cell>
        </row>
        <row r="203">
          <cell r="E203">
            <v>193</v>
          </cell>
          <cell r="G203">
            <v>28178</v>
          </cell>
          <cell r="J203">
            <v>34</v>
          </cell>
          <cell r="L203">
            <v>19006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139517</v>
          </cell>
          <cell r="V203"/>
          <cell r="W203">
            <v>139516.65999999997</v>
          </cell>
        </row>
        <row r="204">
          <cell r="E204">
            <v>-35485</v>
          </cell>
          <cell r="G204">
            <v>-5180810</v>
          </cell>
          <cell r="J204">
            <v>-8966</v>
          </cell>
          <cell r="L204">
            <v>-5011994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-10108800</v>
          </cell>
          <cell r="V204"/>
          <cell r="W204">
            <v>-9969283.3399999999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-9885279.3399999999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-9801275.3399999999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-9717271.3399999999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-9633267.3399999999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-9549263.3399999999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-9465259.3399999999</v>
          </cell>
        </row>
      </sheetData>
      <sheetData sheetId="10">
        <row r="175">
          <cell r="E175">
            <v>345</v>
          </cell>
          <cell r="G175">
            <v>50370</v>
          </cell>
          <cell r="J175">
            <v>148</v>
          </cell>
          <cell r="L175">
            <v>87772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0</v>
          </cell>
          <cell r="S175">
            <v>225283</v>
          </cell>
          <cell r="V175">
            <v>221552</v>
          </cell>
          <cell r="W175">
            <v>3731</v>
          </cell>
        </row>
        <row r="176">
          <cell r="E176">
            <v>314</v>
          </cell>
          <cell r="G176">
            <v>45844</v>
          </cell>
          <cell r="J176">
            <v>106</v>
          </cell>
          <cell r="L176">
            <v>59254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0</v>
          </cell>
          <cell r="S176">
            <v>192239</v>
          </cell>
          <cell r="V176">
            <v>195970</v>
          </cell>
          <cell r="W176">
            <v>0</v>
          </cell>
        </row>
        <row r="177">
          <cell r="E177">
            <v>341</v>
          </cell>
          <cell r="G177">
            <v>49786</v>
          </cell>
          <cell r="J177">
            <v>120</v>
          </cell>
          <cell r="L177">
            <v>67080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0</v>
          </cell>
          <cell r="S177">
            <v>204007</v>
          </cell>
          <cell r="V177">
            <v>204007</v>
          </cell>
          <cell r="W177">
            <v>0</v>
          </cell>
        </row>
        <row r="178">
          <cell r="E178">
            <v>244</v>
          </cell>
          <cell r="G178">
            <v>35624</v>
          </cell>
          <cell r="J178">
            <v>81</v>
          </cell>
          <cell r="L178">
            <v>45279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0</v>
          </cell>
          <cell r="S178">
            <v>168044</v>
          </cell>
          <cell r="V178">
            <v>168044</v>
          </cell>
          <cell r="W178">
            <v>0</v>
          </cell>
        </row>
        <row r="179">
          <cell r="E179">
            <v>228</v>
          </cell>
          <cell r="G179">
            <v>33288</v>
          </cell>
          <cell r="J179">
            <v>26</v>
          </cell>
          <cell r="L179">
            <v>14534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0</v>
          </cell>
          <cell r="S179">
            <v>134963</v>
          </cell>
          <cell r="V179">
            <v>134963</v>
          </cell>
          <cell r="W179">
            <v>0</v>
          </cell>
        </row>
        <row r="180">
          <cell r="E180">
            <v>332</v>
          </cell>
          <cell r="G180">
            <v>48472</v>
          </cell>
          <cell r="J180">
            <v>4</v>
          </cell>
          <cell r="L180">
            <v>2236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0</v>
          </cell>
          <cell r="S180">
            <v>137849</v>
          </cell>
          <cell r="V180">
            <v>137849</v>
          </cell>
          <cell r="W180">
            <v>0</v>
          </cell>
        </row>
        <row r="181">
          <cell r="E181">
            <v>242</v>
          </cell>
          <cell r="G181">
            <v>35332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0</v>
          </cell>
          <cell r="S181">
            <v>124150</v>
          </cell>
          <cell r="V181">
            <v>124150</v>
          </cell>
          <cell r="W181">
            <v>0</v>
          </cell>
        </row>
        <row r="182">
          <cell r="E182">
            <v>296</v>
          </cell>
          <cell r="G182">
            <v>43216</v>
          </cell>
          <cell r="J182">
            <v>3</v>
          </cell>
          <cell r="L182">
            <v>1677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>
            <v>0</v>
          </cell>
          <cell r="S182">
            <v>133015</v>
          </cell>
          <cell r="V182">
            <v>133015</v>
          </cell>
          <cell r="W182">
            <v>0</v>
          </cell>
        </row>
        <row r="183">
          <cell r="E183">
            <v>290</v>
          </cell>
          <cell r="G183">
            <v>42340</v>
          </cell>
          <cell r="J183">
            <v>18</v>
          </cell>
          <cell r="L183">
            <v>10062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0</v>
          </cell>
          <cell r="S183">
            <v>140540</v>
          </cell>
          <cell r="V183">
            <v>140540</v>
          </cell>
          <cell r="W183">
            <v>0</v>
          </cell>
        </row>
        <row r="184">
          <cell r="E184">
            <v>183</v>
          </cell>
          <cell r="G184">
            <v>26718</v>
          </cell>
          <cell r="J184">
            <v>86</v>
          </cell>
          <cell r="L184">
            <v>48074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0</v>
          </cell>
          <cell r="S184">
            <v>162923</v>
          </cell>
          <cell r="V184">
            <v>162923</v>
          </cell>
          <cell r="W184">
            <v>0</v>
          </cell>
        </row>
        <row r="185">
          <cell r="E185">
            <v>272</v>
          </cell>
          <cell r="G185">
            <v>39712</v>
          </cell>
          <cell r="J185">
            <v>139</v>
          </cell>
          <cell r="L185">
            <v>81121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208993</v>
          </cell>
          <cell r="V185">
            <v>208993</v>
          </cell>
          <cell r="W185">
            <v>0</v>
          </cell>
        </row>
        <row r="186">
          <cell r="E186">
            <v>249</v>
          </cell>
          <cell r="G186">
            <v>36354</v>
          </cell>
          <cell r="J186">
            <v>154</v>
          </cell>
          <cell r="L186">
            <v>94366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218900</v>
          </cell>
          <cell r="V186">
            <v>218900</v>
          </cell>
          <cell r="W186">
            <v>0</v>
          </cell>
        </row>
        <row r="187">
          <cell r="E187">
            <v>273</v>
          </cell>
          <cell r="G187">
            <v>39858</v>
          </cell>
          <cell r="J187">
            <v>150</v>
          </cell>
          <cell r="L187">
            <v>89250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219030</v>
          </cell>
          <cell r="V187">
            <v>219030</v>
          </cell>
          <cell r="W187">
            <v>0</v>
          </cell>
        </row>
        <row r="188">
          <cell r="E188">
            <v>386</v>
          </cell>
          <cell r="G188">
            <v>56356</v>
          </cell>
          <cell r="J188">
            <v>124</v>
          </cell>
          <cell r="L188">
            <v>70036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216344</v>
          </cell>
          <cell r="V188">
            <v>216344</v>
          </cell>
          <cell r="W188">
            <v>0</v>
          </cell>
        </row>
        <row r="189">
          <cell r="E189">
            <v>283</v>
          </cell>
          <cell r="G189">
            <v>41318</v>
          </cell>
          <cell r="J189">
            <v>71</v>
          </cell>
          <cell r="L189">
            <v>39689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170972</v>
          </cell>
          <cell r="V189">
            <v>170972</v>
          </cell>
          <cell r="W189">
            <v>0</v>
          </cell>
        </row>
        <row r="190">
          <cell r="E190">
            <v>277</v>
          </cell>
          <cell r="G190">
            <v>40442</v>
          </cell>
          <cell r="J190">
            <v>117</v>
          </cell>
          <cell r="L190">
            <v>65403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195821</v>
          </cell>
          <cell r="V190">
            <v>195821</v>
          </cell>
          <cell r="W190">
            <v>0</v>
          </cell>
        </row>
        <row r="191">
          <cell r="E191">
            <v>163</v>
          </cell>
          <cell r="G191">
            <v>23798</v>
          </cell>
          <cell r="J191">
            <v>53</v>
          </cell>
          <cell r="L191">
            <v>29627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143423</v>
          </cell>
          <cell r="V191">
            <v>143423</v>
          </cell>
          <cell r="W191">
            <v>0</v>
          </cell>
        </row>
        <row r="192">
          <cell r="E192">
            <v>297</v>
          </cell>
          <cell r="G192">
            <v>43362</v>
          </cell>
          <cell r="J192">
            <v>10</v>
          </cell>
          <cell r="L192">
            <v>5590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138975</v>
          </cell>
          <cell r="V192">
            <v>138975</v>
          </cell>
          <cell r="W192">
            <v>0</v>
          </cell>
        </row>
        <row r="193">
          <cell r="E193">
            <v>299</v>
          </cell>
          <cell r="G193">
            <v>43654</v>
          </cell>
          <cell r="J193">
            <v>5</v>
          </cell>
          <cell r="L193">
            <v>2795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136485</v>
          </cell>
          <cell r="V193">
            <v>136485</v>
          </cell>
          <cell r="W193">
            <v>0</v>
          </cell>
        </row>
        <row r="194">
          <cell r="E194">
            <v>350</v>
          </cell>
          <cell r="G194">
            <v>51100</v>
          </cell>
          <cell r="J194">
            <v>18</v>
          </cell>
          <cell r="L194">
            <v>10062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151223</v>
          </cell>
          <cell r="V194">
            <v>151223</v>
          </cell>
          <cell r="W194">
            <v>0</v>
          </cell>
        </row>
        <row r="195">
          <cell r="E195">
            <v>277</v>
          </cell>
          <cell r="G195">
            <v>40442</v>
          </cell>
          <cell r="J195">
            <v>18</v>
          </cell>
          <cell r="L195">
            <v>10062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140586</v>
          </cell>
          <cell r="V195">
            <v>140586</v>
          </cell>
          <cell r="W195">
            <v>0</v>
          </cell>
        </row>
        <row r="196">
          <cell r="E196">
            <v>269</v>
          </cell>
          <cell r="G196">
            <v>39274</v>
          </cell>
          <cell r="J196">
            <v>101</v>
          </cell>
          <cell r="L196">
            <v>56459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185838</v>
          </cell>
          <cell r="V196">
            <v>185838</v>
          </cell>
          <cell r="W196">
            <v>0</v>
          </cell>
        </row>
        <row r="197">
          <cell r="E197">
            <v>256</v>
          </cell>
          <cell r="G197">
            <v>37376</v>
          </cell>
          <cell r="J197">
            <v>79</v>
          </cell>
          <cell r="L197">
            <v>44161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171672</v>
          </cell>
          <cell r="V197">
            <v>171672</v>
          </cell>
          <cell r="W197">
            <v>0</v>
          </cell>
        </row>
        <row r="198">
          <cell r="E198">
            <v>372</v>
          </cell>
          <cell r="G198">
            <v>54312</v>
          </cell>
          <cell r="J198">
            <v>120</v>
          </cell>
          <cell r="L198">
            <v>67080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137829</v>
          </cell>
          <cell r="S198">
            <v>349366</v>
          </cell>
          <cell r="V198">
            <v>211537</v>
          </cell>
          <cell r="W198">
            <v>137829</v>
          </cell>
        </row>
        <row r="199">
          <cell r="E199">
            <v>403</v>
          </cell>
          <cell r="G199">
            <v>58838</v>
          </cell>
          <cell r="J199">
            <v>100</v>
          </cell>
          <cell r="L199">
            <v>55900</v>
          </cell>
          <cell r="M199">
            <v>3828</v>
          </cell>
          <cell r="N199">
            <v>8264</v>
          </cell>
          <cell r="Q199">
            <v>80176</v>
          </cell>
          <cell r="S199">
            <v>207006</v>
          </cell>
          <cell r="V199">
            <v>207006</v>
          </cell>
          <cell r="W199">
            <v>137829</v>
          </cell>
        </row>
        <row r="200">
          <cell r="E200">
            <v>465</v>
          </cell>
          <cell r="G200">
            <v>67890</v>
          </cell>
          <cell r="J200">
            <v>98</v>
          </cell>
          <cell r="L200">
            <v>54782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214943</v>
          </cell>
          <cell r="V200">
            <v>352772</v>
          </cell>
          <cell r="W200">
            <v>0</v>
          </cell>
        </row>
        <row r="201">
          <cell r="E201">
            <v>256</v>
          </cell>
          <cell r="G201">
            <v>37376</v>
          </cell>
          <cell r="J201">
            <v>81</v>
          </cell>
          <cell r="L201">
            <v>45279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174929</v>
          </cell>
          <cell r="V201">
            <v>174929</v>
          </cell>
          <cell r="W201">
            <v>0</v>
          </cell>
        </row>
        <row r="202">
          <cell r="E202">
            <v>288</v>
          </cell>
          <cell r="G202">
            <v>42048</v>
          </cell>
          <cell r="J202">
            <v>75</v>
          </cell>
          <cell r="L202">
            <v>41925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176276</v>
          </cell>
          <cell r="V202">
            <v>176276</v>
          </cell>
          <cell r="W202">
            <v>0</v>
          </cell>
        </row>
        <row r="203">
          <cell r="E203">
            <v>240</v>
          </cell>
          <cell r="G203">
            <v>35040</v>
          </cell>
          <cell r="J203">
            <v>55</v>
          </cell>
          <cell r="L203">
            <v>30745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158118</v>
          </cell>
          <cell r="V203"/>
          <cell r="W203">
            <v>158118</v>
          </cell>
        </row>
        <row r="204">
          <cell r="E204">
            <v>-39465</v>
          </cell>
          <cell r="G204">
            <v>-5761890</v>
          </cell>
          <cell r="J204">
            <v>-9149</v>
          </cell>
          <cell r="L204">
            <v>-5114291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-10792177</v>
          </cell>
          <cell r="V204"/>
          <cell r="W204">
            <v>-10634059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-10550055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-10466051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-10382047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-10298043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-10214039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-10130035</v>
          </cell>
        </row>
      </sheetData>
      <sheetData sheetId="11">
        <row r="175">
          <cell r="E175">
            <v>590</v>
          </cell>
          <cell r="G175">
            <v>86140</v>
          </cell>
          <cell r="J175">
            <v>134</v>
          </cell>
          <cell r="L175">
            <v>77426</v>
          </cell>
          <cell r="M175">
            <v>3731</v>
          </cell>
          <cell r="N175">
            <v>7000</v>
          </cell>
          <cell r="P175">
            <v>0</v>
          </cell>
          <cell r="Q175">
            <v>76410</v>
          </cell>
          <cell r="S175">
            <v>250707</v>
          </cell>
          <cell r="V175">
            <v>250707</v>
          </cell>
          <cell r="W175">
            <v>0</v>
          </cell>
        </row>
        <row r="176">
          <cell r="E176">
            <v>642</v>
          </cell>
          <cell r="G176">
            <v>93732</v>
          </cell>
          <cell r="J176">
            <v>171</v>
          </cell>
          <cell r="L176">
            <v>116109</v>
          </cell>
          <cell r="M176">
            <v>3731</v>
          </cell>
          <cell r="N176">
            <v>7000</v>
          </cell>
          <cell r="P176">
            <v>0</v>
          </cell>
          <cell r="Q176">
            <v>76410</v>
          </cell>
          <cell r="S176">
            <v>296982</v>
          </cell>
          <cell r="V176">
            <v>296982</v>
          </cell>
          <cell r="W176">
            <v>0</v>
          </cell>
        </row>
        <row r="177">
          <cell r="E177">
            <v>561</v>
          </cell>
          <cell r="G177">
            <v>81906</v>
          </cell>
          <cell r="J177">
            <v>149</v>
          </cell>
          <cell r="L177">
            <v>88511</v>
          </cell>
          <cell r="M177">
            <v>3731</v>
          </cell>
          <cell r="N177">
            <v>7000</v>
          </cell>
          <cell r="P177">
            <v>0</v>
          </cell>
          <cell r="Q177">
            <v>76410</v>
          </cell>
          <cell r="R177">
            <v>132334</v>
          </cell>
          <cell r="S177">
            <v>389892</v>
          </cell>
          <cell r="V177">
            <v>389892</v>
          </cell>
          <cell r="W177">
            <v>0</v>
          </cell>
        </row>
        <row r="178">
          <cell r="E178">
            <v>108</v>
          </cell>
          <cell r="G178">
            <v>15768</v>
          </cell>
          <cell r="J178">
            <v>7</v>
          </cell>
          <cell r="L178">
            <v>3913</v>
          </cell>
          <cell r="M178">
            <v>3731</v>
          </cell>
          <cell r="N178">
            <v>7000</v>
          </cell>
          <cell r="P178">
            <v>0</v>
          </cell>
          <cell r="Q178">
            <v>76410</v>
          </cell>
          <cell r="S178">
            <v>106822</v>
          </cell>
          <cell r="V178">
            <v>106822</v>
          </cell>
          <cell r="W178">
            <v>0</v>
          </cell>
        </row>
        <row r="179">
          <cell r="E179">
            <v>21</v>
          </cell>
          <cell r="G179">
            <v>3066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P179">
            <v>0</v>
          </cell>
          <cell r="Q179">
            <v>76410</v>
          </cell>
          <cell r="S179">
            <v>90207</v>
          </cell>
          <cell r="V179">
            <v>90207</v>
          </cell>
          <cell r="W179">
            <v>0</v>
          </cell>
        </row>
        <row r="180">
          <cell r="E180">
            <v>50</v>
          </cell>
          <cell r="G180">
            <v>7300</v>
          </cell>
          <cell r="J180">
            <v>3</v>
          </cell>
          <cell r="L180">
            <v>1677</v>
          </cell>
          <cell r="M180">
            <v>3731</v>
          </cell>
          <cell r="N180">
            <v>7000</v>
          </cell>
          <cell r="P180">
            <v>0</v>
          </cell>
          <cell r="Q180">
            <v>76410</v>
          </cell>
          <cell r="S180">
            <v>96118</v>
          </cell>
          <cell r="V180">
            <v>96118</v>
          </cell>
          <cell r="W180">
            <v>0</v>
          </cell>
        </row>
        <row r="181">
          <cell r="E181">
            <v>20</v>
          </cell>
          <cell r="G181">
            <v>2920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P181">
            <v>0</v>
          </cell>
          <cell r="Q181">
            <v>76410</v>
          </cell>
          <cell r="S181">
            <v>90061</v>
          </cell>
          <cell r="V181">
            <v>90061</v>
          </cell>
          <cell r="W181">
            <v>0</v>
          </cell>
        </row>
        <row r="182">
          <cell r="E182">
            <v>30</v>
          </cell>
          <cell r="G182">
            <v>4380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P182">
            <v>0</v>
          </cell>
          <cell r="Q182">
            <v>76410</v>
          </cell>
          <cell r="R182">
            <v>0</v>
          </cell>
          <cell r="S182">
            <v>92502</v>
          </cell>
          <cell r="V182">
            <v>92502</v>
          </cell>
          <cell r="W182">
            <v>0</v>
          </cell>
        </row>
        <row r="183">
          <cell r="E183">
            <v>27</v>
          </cell>
          <cell r="G183">
            <v>3942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P183">
            <v>0</v>
          </cell>
          <cell r="Q183">
            <v>76410</v>
          </cell>
          <cell r="R183">
            <v>0</v>
          </cell>
          <cell r="S183">
            <v>92080</v>
          </cell>
          <cell r="V183">
            <v>92080</v>
          </cell>
          <cell r="W183">
            <v>0</v>
          </cell>
        </row>
        <row r="184">
          <cell r="E184">
            <v>45</v>
          </cell>
          <cell r="G184">
            <v>6570</v>
          </cell>
          <cell r="J184">
            <v>109</v>
          </cell>
          <cell r="L184">
            <v>60931</v>
          </cell>
          <cell r="M184">
            <v>3731</v>
          </cell>
          <cell r="N184">
            <v>7990</v>
          </cell>
          <cell r="P184">
            <v>0</v>
          </cell>
          <cell r="Q184">
            <v>76410</v>
          </cell>
          <cell r="R184">
            <v>0</v>
          </cell>
          <cell r="S184">
            <v>155632</v>
          </cell>
          <cell r="V184">
            <v>155632</v>
          </cell>
          <cell r="W184">
            <v>0</v>
          </cell>
        </row>
        <row r="185">
          <cell r="E185">
            <v>32</v>
          </cell>
          <cell r="G185">
            <v>4672</v>
          </cell>
          <cell r="J185">
            <v>0</v>
          </cell>
          <cell r="M185">
            <v>3731</v>
          </cell>
          <cell r="N185">
            <v>8019</v>
          </cell>
          <cell r="P185">
            <v>0</v>
          </cell>
          <cell r="Q185">
            <v>76410</v>
          </cell>
          <cell r="R185">
            <v>0</v>
          </cell>
          <cell r="S185">
            <v>92832</v>
          </cell>
          <cell r="V185">
            <v>92832</v>
          </cell>
          <cell r="W185">
            <v>0</v>
          </cell>
        </row>
        <row r="186">
          <cell r="E186">
            <v>34</v>
          </cell>
          <cell r="G186">
            <v>4964</v>
          </cell>
          <cell r="J186">
            <v>1</v>
          </cell>
          <cell r="L186">
            <v>559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93703</v>
          </cell>
          <cell r="V186">
            <v>93703</v>
          </cell>
          <cell r="W186">
            <v>0</v>
          </cell>
        </row>
        <row r="187">
          <cell r="E187">
            <v>56</v>
          </cell>
          <cell r="G187">
            <v>8176</v>
          </cell>
          <cell r="J187">
            <v>3</v>
          </cell>
          <cell r="L187">
            <v>1677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99775</v>
          </cell>
          <cell r="V187">
            <v>99775</v>
          </cell>
          <cell r="W187">
            <v>0</v>
          </cell>
        </row>
        <row r="188">
          <cell r="E188">
            <v>41</v>
          </cell>
          <cell r="G188">
            <v>5986</v>
          </cell>
          <cell r="J188">
            <v>1</v>
          </cell>
          <cell r="L188">
            <v>559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96497</v>
          </cell>
          <cell r="V188">
            <v>99775</v>
          </cell>
          <cell r="W188">
            <v>-3278</v>
          </cell>
        </row>
        <row r="189">
          <cell r="E189">
            <v>49</v>
          </cell>
          <cell r="G189">
            <v>7154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97119</v>
          </cell>
          <cell r="V189">
            <v>93841</v>
          </cell>
          <cell r="W189">
            <v>0</v>
          </cell>
        </row>
        <row r="190">
          <cell r="E190">
            <v>43</v>
          </cell>
          <cell r="G190">
            <v>6278</v>
          </cell>
          <cell r="J190">
            <v>1</v>
          </cell>
          <cell r="L190">
            <v>559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96813</v>
          </cell>
          <cell r="V190">
            <v>96813</v>
          </cell>
          <cell r="W190">
            <v>0</v>
          </cell>
        </row>
        <row r="191">
          <cell r="E191">
            <v>25</v>
          </cell>
          <cell r="G191">
            <v>3650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93648</v>
          </cell>
          <cell r="V191">
            <v>93648</v>
          </cell>
          <cell r="W191">
            <v>0</v>
          </cell>
        </row>
        <row r="192">
          <cell r="E192">
            <v>17</v>
          </cell>
          <cell r="G192">
            <v>2482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93064</v>
          </cell>
          <cell r="V192">
            <v>93064</v>
          </cell>
          <cell r="W192">
            <v>0</v>
          </cell>
        </row>
        <row r="193">
          <cell r="E193">
            <v>18</v>
          </cell>
          <cell r="G193">
            <v>2628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92664</v>
          </cell>
          <cell r="V193">
            <v>92664</v>
          </cell>
          <cell r="W193">
            <v>0</v>
          </cell>
        </row>
        <row r="194">
          <cell r="E194">
            <v>28</v>
          </cell>
          <cell r="G194">
            <v>4088</v>
          </cell>
          <cell r="J194">
            <v>1</v>
          </cell>
          <cell r="L194">
            <v>559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94708</v>
          </cell>
          <cell r="V194">
            <v>94708</v>
          </cell>
          <cell r="W194">
            <v>0</v>
          </cell>
        </row>
        <row r="195">
          <cell r="E195">
            <v>43</v>
          </cell>
          <cell r="G195">
            <v>6278</v>
          </cell>
          <cell r="J195">
            <v>3</v>
          </cell>
          <cell r="L195">
            <v>1677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98037</v>
          </cell>
          <cell r="V195">
            <v>98037</v>
          </cell>
          <cell r="W195">
            <v>0</v>
          </cell>
        </row>
        <row r="196">
          <cell r="E196">
            <v>76</v>
          </cell>
          <cell r="G196">
            <v>11096</v>
          </cell>
          <cell r="J196">
            <v>1</v>
          </cell>
          <cell r="L196">
            <v>559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101760</v>
          </cell>
          <cell r="V196">
            <v>101760</v>
          </cell>
          <cell r="W196">
            <v>0</v>
          </cell>
        </row>
        <row r="197">
          <cell r="E197">
            <v>277</v>
          </cell>
          <cell r="G197">
            <v>40442</v>
          </cell>
          <cell r="J197">
            <v>113</v>
          </cell>
          <cell r="L197">
            <v>63167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193744</v>
          </cell>
          <cell r="V197">
            <v>193744</v>
          </cell>
          <cell r="W197">
            <v>0</v>
          </cell>
        </row>
        <row r="198">
          <cell r="E198">
            <v>425</v>
          </cell>
          <cell r="G198">
            <v>62050</v>
          </cell>
          <cell r="J198">
            <v>62</v>
          </cell>
          <cell r="L198">
            <v>34658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186853</v>
          </cell>
          <cell r="V198">
            <v>186853</v>
          </cell>
          <cell r="W198">
            <v>0</v>
          </cell>
        </row>
        <row r="199">
          <cell r="E199">
            <v>310</v>
          </cell>
          <cell r="G199">
            <v>45260</v>
          </cell>
          <cell r="J199">
            <v>79</v>
          </cell>
          <cell r="L199">
            <v>44161</v>
          </cell>
          <cell r="M199">
            <v>3828</v>
          </cell>
          <cell r="N199">
            <v>8264</v>
          </cell>
          <cell r="Q199">
            <v>80176</v>
          </cell>
          <cell r="R199">
            <v>0</v>
          </cell>
          <cell r="S199">
            <v>181689</v>
          </cell>
          <cell r="V199">
            <v>181689</v>
          </cell>
          <cell r="W199">
            <v>0</v>
          </cell>
        </row>
        <row r="200">
          <cell r="E200">
            <v>324</v>
          </cell>
          <cell r="G200">
            <v>47304</v>
          </cell>
          <cell r="J200">
            <v>55</v>
          </cell>
          <cell r="L200">
            <v>30745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170320</v>
          </cell>
          <cell r="V200">
            <v>170320</v>
          </cell>
          <cell r="W200">
            <v>0</v>
          </cell>
        </row>
        <row r="201">
          <cell r="E201">
            <v>302</v>
          </cell>
          <cell r="G201">
            <v>44092</v>
          </cell>
          <cell r="J201">
            <v>42</v>
          </cell>
          <cell r="L201">
            <v>23478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159844</v>
          </cell>
          <cell r="V201">
            <v>159844</v>
          </cell>
          <cell r="W201">
            <v>0</v>
          </cell>
        </row>
        <row r="202">
          <cell r="E202">
            <v>326</v>
          </cell>
          <cell r="G202">
            <v>47596</v>
          </cell>
          <cell r="J202">
            <v>43</v>
          </cell>
          <cell r="L202">
            <v>24037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163936</v>
          </cell>
          <cell r="V202">
            <v>163936</v>
          </cell>
          <cell r="W202">
            <v>0</v>
          </cell>
        </row>
        <row r="203">
          <cell r="E203">
            <v>456</v>
          </cell>
          <cell r="G203">
            <v>66576</v>
          </cell>
          <cell r="J203">
            <v>42</v>
          </cell>
          <cell r="L203">
            <v>23478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182387</v>
          </cell>
          <cell r="V203"/>
          <cell r="W203">
            <v>182387</v>
          </cell>
        </row>
        <row r="204">
          <cell r="E204">
            <v>-42396</v>
          </cell>
          <cell r="G204">
            <v>-6189816</v>
          </cell>
          <cell r="J204">
            <v>-11924</v>
          </cell>
          <cell r="L204">
            <v>-6665516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-12771328</v>
          </cell>
          <cell r="V204"/>
          <cell r="W204">
            <v>-12588941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-12504937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-12420933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-12336929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-12252925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-12168921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-12084917</v>
          </cell>
        </row>
      </sheetData>
      <sheetData sheetId="1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52636</v>
          </cell>
          <cell r="S175">
            <v>139777</v>
          </cell>
          <cell r="W175">
            <v>541808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52784</v>
          </cell>
          <cell r="S176">
            <v>139925</v>
          </cell>
          <cell r="W176">
            <v>681733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52944</v>
          </cell>
          <cell r="S177">
            <v>140085</v>
          </cell>
          <cell r="W177">
            <v>821818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53123</v>
          </cell>
          <cell r="S178">
            <v>140264</v>
          </cell>
          <cell r="W178">
            <v>962082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53262</v>
          </cell>
          <cell r="S179">
            <v>140403</v>
          </cell>
          <cell r="W179">
            <v>1102485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53330</v>
          </cell>
          <cell r="S180">
            <v>140471</v>
          </cell>
          <cell r="W180">
            <v>1242956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53195</v>
          </cell>
          <cell r="S181">
            <v>140336</v>
          </cell>
          <cell r="W181">
            <v>1383292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>
            <v>53208</v>
          </cell>
          <cell r="S182">
            <v>141330</v>
          </cell>
          <cell r="W182">
            <v>1524622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53314</v>
          </cell>
          <cell r="S183">
            <v>141452</v>
          </cell>
          <cell r="W183">
            <v>1666074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53270</v>
          </cell>
          <cell r="S184">
            <v>141401</v>
          </cell>
          <cell r="W184">
            <v>1807475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53462</v>
          </cell>
          <cell r="S185">
            <v>141622</v>
          </cell>
          <cell r="W185">
            <v>1949097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53650</v>
          </cell>
          <cell r="S186">
            <v>141830</v>
          </cell>
          <cell r="W186">
            <v>2090927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53847</v>
          </cell>
          <cell r="S187">
            <v>143769</v>
          </cell>
          <cell r="W187">
            <v>2234696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53934</v>
          </cell>
          <cell r="S188">
            <v>143886</v>
          </cell>
          <cell r="W188">
            <v>2378582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54009</v>
          </cell>
          <cell r="S189">
            <v>143974</v>
          </cell>
          <cell r="W189">
            <v>2522556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54157</v>
          </cell>
          <cell r="S190">
            <v>144133</v>
          </cell>
          <cell r="W190">
            <v>2666689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54318</v>
          </cell>
          <cell r="S191">
            <v>144316</v>
          </cell>
          <cell r="W191">
            <v>2811005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54405</v>
          </cell>
          <cell r="S192">
            <v>144428</v>
          </cell>
          <cell r="W192">
            <v>2955433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54575</v>
          </cell>
          <cell r="S193">
            <v>144611</v>
          </cell>
          <cell r="W193">
            <v>3100044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54715</v>
          </cell>
          <cell r="S194">
            <v>144776</v>
          </cell>
          <cell r="W194">
            <v>3244820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54864</v>
          </cell>
          <cell r="S195">
            <v>144946</v>
          </cell>
          <cell r="W195">
            <v>3389766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S196">
            <v>145171</v>
          </cell>
          <cell r="W196">
            <v>3534937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S197">
            <v>145267</v>
          </cell>
          <cell r="W197">
            <v>3680204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55092</v>
          </cell>
          <cell r="S198">
            <v>145237</v>
          </cell>
          <cell r="W198">
            <v>3825441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W199">
            <v>3972801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4120186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4267592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4415219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92333</v>
          </cell>
          <cell r="V203"/>
          <cell r="W203">
            <v>4507552</v>
          </cell>
        </row>
        <row r="204">
          <cell r="E204">
            <v>-324</v>
          </cell>
          <cell r="G204">
            <v>-47304</v>
          </cell>
          <cell r="J204">
            <v>-20</v>
          </cell>
          <cell r="L204">
            <v>-11180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25520</v>
          </cell>
          <cell r="V204"/>
          <cell r="W204">
            <v>4533072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4617076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4701080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4785084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4869088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4953092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5037096</v>
          </cell>
        </row>
      </sheetData>
      <sheetData sheetId="1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160000</v>
          </cell>
          <cell r="W175">
            <v>-8227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W176">
            <v>78914</v>
          </cell>
        </row>
        <row r="177">
          <cell r="E177">
            <v>1</v>
          </cell>
          <cell r="G177">
            <v>146</v>
          </cell>
          <cell r="J177">
            <v>4</v>
          </cell>
          <cell r="L177">
            <v>2236</v>
          </cell>
          <cell r="M177">
            <v>3731</v>
          </cell>
          <cell r="N177">
            <v>7000</v>
          </cell>
          <cell r="Q177">
            <v>76410</v>
          </cell>
          <cell r="S177">
            <v>89523</v>
          </cell>
          <cell r="V177">
            <v>180000</v>
          </cell>
          <cell r="W177">
            <v>-11563</v>
          </cell>
        </row>
        <row r="178">
          <cell r="E178">
            <v>1</v>
          </cell>
          <cell r="G178">
            <v>146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87287</v>
          </cell>
          <cell r="V178">
            <v>100000</v>
          </cell>
          <cell r="W178">
            <v>-24276</v>
          </cell>
        </row>
        <row r="179">
          <cell r="E179">
            <v>0</v>
          </cell>
          <cell r="G179">
            <v>0</v>
          </cell>
          <cell r="J179">
            <v>1</v>
          </cell>
          <cell r="L179">
            <v>559</v>
          </cell>
          <cell r="M179">
            <v>3731</v>
          </cell>
          <cell r="N179">
            <v>7000</v>
          </cell>
          <cell r="Q179">
            <v>76410</v>
          </cell>
          <cell r="S179">
            <v>87700</v>
          </cell>
          <cell r="V179">
            <v>90000</v>
          </cell>
          <cell r="W179">
            <v>-26576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W180">
            <v>60565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200000</v>
          </cell>
          <cell r="W181">
            <v>-52294</v>
          </cell>
        </row>
        <row r="182">
          <cell r="E182">
            <v>2</v>
          </cell>
          <cell r="G182">
            <v>292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Q182">
            <v>76410</v>
          </cell>
          <cell r="S182">
            <v>88973</v>
          </cell>
          <cell r="W182">
            <v>36679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130000</v>
          </cell>
          <cell r="W183">
            <v>-5183</v>
          </cell>
        </row>
        <row r="184">
          <cell r="E184">
            <v>1</v>
          </cell>
          <cell r="G184">
            <v>146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88277</v>
          </cell>
          <cell r="V184">
            <v>85000</v>
          </cell>
          <cell r="W184">
            <v>-1906</v>
          </cell>
        </row>
        <row r="185">
          <cell r="E185">
            <v>2</v>
          </cell>
          <cell r="G185">
            <v>292</v>
          </cell>
          <cell r="J185">
            <v>2</v>
          </cell>
          <cell r="L185">
            <v>1118</v>
          </cell>
          <cell r="M185">
            <v>3731</v>
          </cell>
          <cell r="N185">
            <v>8019</v>
          </cell>
          <cell r="Q185">
            <v>76410</v>
          </cell>
          <cell r="S185">
            <v>89570</v>
          </cell>
          <cell r="V185">
            <v>190000</v>
          </cell>
          <cell r="W185">
            <v>-102336</v>
          </cell>
        </row>
        <row r="186">
          <cell r="E186">
            <v>1</v>
          </cell>
          <cell r="G186">
            <v>146</v>
          </cell>
          <cell r="J186">
            <v>1</v>
          </cell>
          <cell r="L186">
            <v>559</v>
          </cell>
          <cell r="M186">
            <v>3731</v>
          </cell>
          <cell r="N186">
            <v>8039</v>
          </cell>
          <cell r="Q186">
            <v>76410</v>
          </cell>
          <cell r="S186">
            <v>88885</v>
          </cell>
          <cell r="W186">
            <v>-13451</v>
          </cell>
        </row>
        <row r="187">
          <cell r="E187">
            <v>2</v>
          </cell>
          <cell r="G187">
            <v>292</v>
          </cell>
          <cell r="J187">
            <v>7</v>
          </cell>
          <cell r="L187">
            <v>3913</v>
          </cell>
          <cell r="M187">
            <v>3731</v>
          </cell>
          <cell r="N187">
            <v>8047</v>
          </cell>
          <cell r="Q187">
            <v>78144</v>
          </cell>
          <cell r="S187">
            <v>94127</v>
          </cell>
          <cell r="W187">
            <v>80676</v>
          </cell>
        </row>
        <row r="188">
          <cell r="E188">
            <v>6</v>
          </cell>
          <cell r="G188">
            <v>876</v>
          </cell>
          <cell r="J188">
            <v>6</v>
          </cell>
          <cell r="L188">
            <v>3354</v>
          </cell>
          <cell r="M188">
            <v>3731</v>
          </cell>
          <cell r="N188">
            <v>8077</v>
          </cell>
          <cell r="Q188">
            <v>78144</v>
          </cell>
          <cell r="S188">
            <v>94182</v>
          </cell>
          <cell r="V188">
            <v>200000</v>
          </cell>
          <cell r="W188">
            <v>-25142</v>
          </cell>
        </row>
        <row r="189">
          <cell r="E189">
            <v>6</v>
          </cell>
          <cell r="G189">
            <v>876</v>
          </cell>
          <cell r="J189">
            <v>3</v>
          </cell>
          <cell r="L189">
            <v>1677</v>
          </cell>
          <cell r="M189">
            <v>3731</v>
          </cell>
          <cell r="N189">
            <v>8090</v>
          </cell>
          <cell r="Q189">
            <v>78144</v>
          </cell>
          <cell r="S189">
            <v>92518</v>
          </cell>
          <cell r="V189">
            <v>70000</v>
          </cell>
          <cell r="W189">
            <v>-2624</v>
          </cell>
        </row>
        <row r="190">
          <cell r="E190">
            <v>4</v>
          </cell>
          <cell r="G190">
            <v>584</v>
          </cell>
          <cell r="J190">
            <v>2</v>
          </cell>
          <cell r="L190">
            <v>1118</v>
          </cell>
          <cell r="M190">
            <v>3731</v>
          </cell>
          <cell r="N190">
            <v>8101</v>
          </cell>
          <cell r="Q190">
            <v>78144</v>
          </cell>
          <cell r="S190">
            <v>91678</v>
          </cell>
          <cell r="V190">
            <v>100000</v>
          </cell>
          <cell r="W190">
            <v>-10946</v>
          </cell>
        </row>
        <row r="191">
          <cell r="E191">
            <v>4</v>
          </cell>
          <cell r="G191">
            <v>584</v>
          </cell>
          <cell r="J191">
            <v>2</v>
          </cell>
          <cell r="L191">
            <v>1118</v>
          </cell>
          <cell r="M191">
            <v>3731</v>
          </cell>
          <cell r="N191">
            <v>8123</v>
          </cell>
          <cell r="Q191">
            <v>78144</v>
          </cell>
          <cell r="S191">
            <v>91700</v>
          </cell>
          <cell r="V191">
            <v>100000</v>
          </cell>
          <cell r="W191">
            <v>-19246</v>
          </cell>
        </row>
        <row r="192">
          <cell r="E192">
            <v>1</v>
          </cell>
          <cell r="G192">
            <v>146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90169</v>
          </cell>
          <cell r="V192">
            <v>70923</v>
          </cell>
          <cell r="W192">
            <v>0</v>
          </cell>
        </row>
        <row r="193">
          <cell r="E193">
            <v>1</v>
          </cell>
          <cell r="G193">
            <v>146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Q193">
            <v>78144</v>
          </cell>
          <cell r="S193">
            <v>90741</v>
          </cell>
          <cell r="V193">
            <v>100000</v>
          </cell>
          <cell r="W193">
            <v>-9259</v>
          </cell>
        </row>
        <row r="194">
          <cell r="E194">
            <v>1</v>
          </cell>
          <cell r="G194">
            <v>146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90207</v>
          </cell>
          <cell r="V194">
            <v>100000</v>
          </cell>
          <cell r="W194">
            <v>-19052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W195">
            <v>71030</v>
          </cell>
        </row>
        <row r="196">
          <cell r="E196">
            <v>1</v>
          </cell>
          <cell r="G196">
            <v>146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90251</v>
          </cell>
          <cell r="V196">
            <v>200000</v>
          </cell>
          <cell r="W196">
            <v>-38719</v>
          </cell>
        </row>
        <row r="197">
          <cell r="E197">
            <v>1</v>
          </cell>
          <cell r="G197">
            <v>146</v>
          </cell>
          <cell r="J197">
            <v>2</v>
          </cell>
          <cell r="L197">
            <v>1118</v>
          </cell>
          <cell r="M197">
            <v>3731</v>
          </cell>
          <cell r="N197">
            <v>8260</v>
          </cell>
          <cell r="Q197">
            <v>78144</v>
          </cell>
          <cell r="S197">
            <v>91399</v>
          </cell>
          <cell r="V197">
            <v>100000</v>
          </cell>
          <cell r="W197">
            <v>-47320</v>
          </cell>
        </row>
        <row r="198">
          <cell r="E198">
            <v>1</v>
          </cell>
          <cell r="G198">
            <v>146</v>
          </cell>
          <cell r="J198">
            <v>8</v>
          </cell>
          <cell r="L198">
            <v>4472</v>
          </cell>
          <cell r="M198">
            <v>3731</v>
          </cell>
          <cell r="N198">
            <v>8270</v>
          </cell>
          <cell r="Q198">
            <v>78144</v>
          </cell>
          <cell r="S198">
            <v>94763</v>
          </cell>
          <cell r="V198">
            <v>50000</v>
          </cell>
          <cell r="W198">
            <v>-2557</v>
          </cell>
        </row>
        <row r="199">
          <cell r="E199">
            <v>1</v>
          </cell>
          <cell r="G199">
            <v>146</v>
          </cell>
          <cell r="J199">
            <v>3</v>
          </cell>
          <cell r="L199">
            <v>1677</v>
          </cell>
          <cell r="M199">
            <v>3828</v>
          </cell>
          <cell r="N199">
            <v>8264</v>
          </cell>
          <cell r="Q199">
            <v>80176</v>
          </cell>
          <cell r="S199">
            <v>94091</v>
          </cell>
          <cell r="V199">
            <v>100000</v>
          </cell>
          <cell r="W199">
            <v>-8466</v>
          </cell>
        </row>
        <row r="200">
          <cell r="E200">
            <v>2</v>
          </cell>
          <cell r="G200">
            <v>292</v>
          </cell>
          <cell r="J200">
            <v>5</v>
          </cell>
          <cell r="L200">
            <v>2795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95358</v>
          </cell>
          <cell r="V200">
            <v>100000</v>
          </cell>
          <cell r="W200">
            <v>-13108</v>
          </cell>
        </row>
        <row r="201">
          <cell r="E201">
            <v>2</v>
          </cell>
          <cell r="G201">
            <v>292</v>
          </cell>
          <cell r="J201">
            <v>7</v>
          </cell>
          <cell r="L201">
            <v>3913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96479</v>
          </cell>
          <cell r="V201">
            <v>100000</v>
          </cell>
          <cell r="W201">
            <v>-16629</v>
          </cell>
        </row>
        <row r="202">
          <cell r="E202">
            <v>4</v>
          </cell>
          <cell r="G202">
            <v>584</v>
          </cell>
          <cell r="J202">
            <v>3</v>
          </cell>
          <cell r="L202">
            <v>1677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94564</v>
          </cell>
          <cell r="V202">
            <v>100000</v>
          </cell>
          <cell r="W202">
            <v>-22065</v>
          </cell>
        </row>
        <row r="203">
          <cell r="E203">
            <v>7</v>
          </cell>
          <cell r="G203">
            <v>1022</v>
          </cell>
          <cell r="J203">
            <v>2</v>
          </cell>
          <cell r="L203">
            <v>1118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94473</v>
          </cell>
          <cell r="V203"/>
          <cell r="W203">
            <v>72408</v>
          </cell>
        </row>
        <row r="204">
          <cell r="E204">
            <v>-78</v>
          </cell>
          <cell r="G204">
            <v>-11388</v>
          </cell>
          <cell r="J204">
            <v>-131</v>
          </cell>
          <cell r="L204">
            <v>-73229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-613</v>
          </cell>
          <cell r="V204"/>
          <cell r="W204">
            <v>71795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155799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239803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323807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407811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491815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575819</v>
          </cell>
        </row>
      </sheetData>
      <sheetData sheetId="14">
        <row r="175">
          <cell r="E175">
            <v>184</v>
          </cell>
          <cell r="G175">
            <v>26864</v>
          </cell>
          <cell r="J175">
            <v>151</v>
          </cell>
          <cell r="L175">
            <v>90529</v>
          </cell>
          <cell r="M175">
            <v>3731</v>
          </cell>
          <cell r="Q175">
            <v>74395</v>
          </cell>
          <cell r="S175">
            <v>195519</v>
          </cell>
          <cell r="V175">
            <v>195519</v>
          </cell>
          <cell r="W175">
            <v>0</v>
          </cell>
        </row>
        <row r="176">
          <cell r="E176">
            <v>228</v>
          </cell>
          <cell r="G176">
            <v>33288</v>
          </cell>
          <cell r="J176">
            <v>170</v>
          </cell>
          <cell r="L176">
            <v>114830</v>
          </cell>
          <cell r="M176">
            <v>3731</v>
          </cell>
          <cell r="Q176">
            <v>76410</v>
          </cell>
          <cell r="S176">
            <v>228259</v>
          </cell>
          <cell r="V176">
            <v>228259</v>
          </cell>
          <cell r="W176">
            <v>0</v>
          </cell>
        </row>
        <row r="177">
          <cell r="E177">
            <v>202</v>
          </cell>
          <cell r="G177">
            <v>29492</v>
          </cell>
          <cell r="J177">
            <v>145</v>
          </cell>
          <cell r="L177">
            <v>85555</v>
          </cell>
          <cell r="M177">
            <v>3731</v>
          </cell>
          <cell r="Q177">
            <v>76410</v>
          </cell>
          <cell r="S177">
            <v>195188</v>
          </cell>
          <cell r="V177">
            <v>195188</v>
          </cell>
          <cell r="W177">
            <v>0</v>
          </cell>
        </row>
        <row r="178">
          <cell r="E178">
            <v>191</v>
          </cell>
          <cell r="G178">
            <v>27886</v>
          </cell>
          <cell r="J178">
            <v>60</v>
          </cell>
          <cell r="L178">
            <v>33540</v>
          </cell>
          <cell r="M178">
            <v>3731</v>
          </cell>
          <cell r="Q178">
            <v>76410</v>
          </cell>
          <cell r="S178">
            <v>141567</v>
          </cell>
          <cell r="V178">
            <v>141567</v>
          </cell>
          <cell r="W178">
            <v>0</v>
          </cell>
        </row>
        <row r="179">
          <cell r="E179">
            <v>142</v>
          </cell>
          <cell r="G179">
            <v>20732</v>
          </cell>
          <cell r="J179">
            <v>19</v>
          </cell>
          <cell r="L179">
            <v>10621</v>
          </cell>
          <cell r="M179">
            <v>3731</v>
          </cell>
          <cell r="Q179">
            <v>76410</v>
          </cell>
          <cell r="S179">
            <v>111494</v>
          </cell>
          <cell r="V179">
            <v>111494</v>
          </cell>
          <cell r="W179">
            <v>0</v>
          </cell>
        </row>
        <row r="180">
          <cell r="E180">
            <v>131</v>
          </cell>
          <cell r="G180">
            <v>19126</v>
          </cell>
          <cell r="J180">
            <v>7</v>
          </cell>
          <cell r="L180">
            <v>3913</v>
          </cell>
          <cell r="M180">
            <v>3731</v>
          </cell>
          <cell r="Q180">
            <v>76410</v>
          </cell>
          <cell r="S180">
            <v>103180</v>
          </cell>
          <cell r="V180">
            <v>103180</v>
          </cell>
          <cell r="W180">
            <v>0</v>
          </cell>
        </row>
        <row r="181">
          <cell r="E181">
            <v>140</v>
          </cell>
          <cell r="G181">
            <v>20440</v>
          </cell>
          <cell r="J181">
            <v>1</v>
          </cell>
          <cell r="L181">
            <v>559</v>
          </cell>
          <cell r="M181">
            <v>3731</v>
          </cell>
          <cell r="Q181">
            <v>76410</v>
          </cell>
          <cell r="S181">
            <v>101140</v>
          </cell>
          <cell r="V181">
            <v>101140</v>
          </cell>
          <cell r="W181">
            <v>0</v>
          </cell>
        </row>
        <row r="182">
          <cell r="E182">
            <v>174</v>
          </cell>
          <cell r="G182">
            <v>25404</v>
          </cell>
          <cell r="J182">
            <v>5</v>
          </cell>
          <cell r="L182">
            <v>2795</v>
          </cell>
          <cell r="M182">
            <v>3731</v>
          </cell>
          <cell r="Q182">
            <v>76410</v>
          </cell>
          <cell r="S182">
            <v>108340</v>
          </cell>
          <cell r="V182">
            <v>108340</v>
          </cell>
          <cell r="W182">
            <v>0</v>
          </cell>
        </row>
        <row r="183">
          <cell r="E183">
            <v>301</v>
          </cell>
          <cell r="G183">
            <v>43946</v>
          </cell>
          <cell r="J183">
            <v>41</v>
          </cell>
          <cell r="L183">
            <v>22919</v>
          </cell>
          <cell r="M183">
            <v>3731</v>
          </cell>
          <cell r="Q183">
            <v>76410</v>
          </cell>
          <cell r="R183">
            <v>53314</v>
          </cell>
          <cell r="S183">
            <v>200320</v>
          </cell>
          <cell r="W183">
            <v>200320</v>
          </cell>
        </row>
        <row r="184">
          <cell r="E184">
            <v>235</v>
          </cell>
          <cell r="G184">
            <v>34310</v>
          </cell>
          <cell r="J184">
            <v>8</v>
          </cell>
          <cell r="L184">
            <v>4472</v>
          </cell>
          <cell r="M184">
            <v>3731</v>
          </cell>
          <cell r="Q184">
            <v>76410</v>
          </cell>
          <cell r="R184">
            <v>53270</v>
          </cell>
          <cell r="S184">
            <v>172193</v>
          </cell>
          <cell r="V184">
            <v>372513</v>
          </cell>
          <cell r="W184">
            <v>0</v>
          </cell>
        </row>
        <row r="185">
          <cell r="E185">
            <v>284</v>
          </cell>
          <cell r="G185">
            <v>41464</v>
          </cell>
          <cell r="J185">
            <v>32</v>
          </cell>
          <cell r="L185">
            <v>17888</v>
          </cell>
          <cell r="M185">
            <v>3731</v>
          </cell>
          <cell r="Q185">
            <v>76410</v>
          </cell>
          <cell r="S185">
            <v>139493</v>
          </cell>
          <cell r="W185">
            <v>139493</v>
          </cell>
        </row>
        <row r="186">
          <cell r="E186">
            <v>198</v>
          </cell>
          <cell r="G186">
            <v>28908</v>
          </cell>
          <cell r="J186">
            <v>63</v>
          </cell>
          <cell r="L186">
            <v>35217</v>
          </cell>
          <cell r="M186">
            <v>3731</v>
          </cell>
          <cell r="Q186">
            <v>76410</v>
          </cell>
          <cell r="S186">
            <v>144266</v>
          </cell>
          <cell r="V186">
            <v>283759</v>
          </cell>
          <cell r="W186">
            <v>0</v>
          </cell>
        </row>
        <row r="187">
          <cell r="E187">
            <v>231</v>
          </cell>
          <cell r="G187">
            <v>33726</v>
          </cell>
          <cell r="J187">
            <v>103</v>
          </cell>
          <cell r="L187">
            <v>57577</v>
          </cell>
          <cell r="M187">
            <v>3731</v>
          </cell>
          <cell r="Q187">
            <v>78144</v>
          </cell>
          <cell r="S187">
            <v>173178</v>
          </cell>
          <cell r="V187">
            <v>173178</v>
          </cell>
          <cell r="W187">
            <v>0</v>
          </cell>
        </row>
        <row r="188">
          <cell r="E188">
            <v>358</v>
          </cell>
          <cell r="G188">
            <v>52268</v>
          </cell>
          <cell r="J188">
            <v>90</v>
          </cell>
          <cell r="L188">
            <v>50310</v>
          </cell>
          <cell r="M188">
            <v>3731</v>
          </cell>
          <cell r="Q188">
            <v>78144</v>
          </cell>
          <cell r="R188">
            <v>53934</v>
          </cell>
          <cell r="S188">
            <v>238387</v>
          </cell>
          <cell r="W188">
            <v>238387</v>
          </cell>
        </row>
        <row r="189">
          <cell r="E189">
            <v>210</v>
          </cell>
          <cell r="G189">
            <v>30660</v>
          </cell>
          <cell r="J189">
            <v>79</v>
          </cell>
          <cell r="L189">
            <v>44161</v>
          </cell>
          <cell r="M189">
            <v>3731</v>
          </cell>
          <cell r="Q189">
            <v>78144</v>
          </cell>
          <cell r="R189">
            <v>54009</v>
          </cell>
          <cell r="S189">
            <v>210705</v>
          </cell>
          <cell r="V189">
            <v>449092</v>
          </cell>
          <cell r="W189">
            <v>0</v>
          </cell>
        </row>
        <row r="190">
          <cell r="E190">
            <v>217</v>
          </cell>
          <cell r="G190">
            <v>31682</v>
          </cell>
          <cell r="J190">
            <v>90</v>
          </cell>
          <cell r="L190">
            <v>50310</v>
          </cell>
          <cell r="M190">
            <v>3731</v>
          </cell>
          <cell r="Q190">
            <v>78144</v>
          </cell>
          <cell r="S190">
            <v>163867</v>
          </cell>
          <cell r="V190">
            <v>163867</v>
          </cell>
          <cell r="W190">
            <v>0</v>
          </cell>
        </row>
        <row r="191">
          <cell r="E191">
            <v>163</v>
          </cell>
          <cell r="G191">
            <v>23798</v>
          </cell>
          <cell r="J191">
            <v>84</v>
          </cell>
          <cell r="L191">
            <v>46956</v>
          </cell>
          <cell r="M191">
            <v>3731</v>
          </cell>
          <cell r="Q191">
            <v>78144</v>
          </cell>
          <cell r="S191">
            <v>152629</v>
          </cell>
          <cell r="V191">
            <v>152629</v>
          </cell>
          <cell r="W191">
            <v>0</v>
          </cell>
        </row>
        <row r="192">
          <cell r="E192">
            <v>164</v>
          </cell>
          <cell r="G192">
            <v>23944</v>
          </cell>
          <cell r="J192">
            <v>18</v>
          </cell>
          <cell r="L192">
            <v>10062</v>
          </cell>
          <cell r="M192">
            <v>3731</v>
          </cell>
          <cell r="Q192">
            <v>78144</v>
          </cell>
          <cell r="S192">
            <v>115881</v>
          </cell>
          <cell r="V192">
            <v>115881</v>
          </cell>
          <cell r="W192">
            <v>0</v>
          </cell>
        </row>
        <row r="193">
          <cell r="E193">
            <v>229</v>
          </cell>
          <cell r="G193">
            <v>33434</v>
          </cell>
          <cell r="J193">
            <v>0</v>
          </cell>
          <cell r="L193">
            <v>0</v>
          </cell>
          <cell r="M193">
            <v>3731</v>
          </cell>
          <cell r="Q193">
            <v>78144</v>
          </cell>
          <cell r="S193">
            <v>115309</v>
          </cell>
          <cell r="V193">
            <v>115309</v>
          </cell>
          <cell r="W193">
            <v>0</v>
          </cell>
        </row>
        <row r="194">
          <cell r="E194">
            <v>151</v>
          </cell>
          <cell r="G194">
            <v>22046</v>
          </cell>
          <cell r="J194">
            <v>6</v>
          </cell>
          <cell r="L194">
            <v>3354</v>
          </cell>
          <cell r="M194">
            <v>3731</v>
          </cell>
          <cell r="Q194">
            <v>78144</v>
          </cell>
          <cell r="S194">
            <v>107275</v>
          </cell>
          <cell r="V194">
            <v>107275</v>
          </cell>
          <cell r="W194">
            <v>0</v>
          </cell>
        </row>
        <row r="195">
          <cell r="E195">
            <v>140</v>
          </cell>
          <cell r="G195">
            <v>20440</v>
          </cell>
          <cell r="J195">
            <v>5</v>
          </cell>
          <cell r="L195">
            <v>2795</v>
          </cell>
          <cell r="M195">
            <v>3731</v>
          </cell>
          <cell r="Q195">
            <v>78144</v>
          </cell>
          <cell r="S195">
            <v>105110</v>
          </cell>
          <cell r="V195">
            <v>105110</v>
          </cell>
          <cell r="W195">
            <v>0</v>
          </cell>
        </row>
        <row r="196">
          <cell r="E196">
            <v>125</v>
          </cell>
          <cell r="G196">
            <v>18250</v>
          </cell>
          <cell r="J196">
            <v>6</v>
          </cell>
          <cell r="L196">
            <v>3354</v>
          </cell>
          <cell r="M196">
            <v>3731</v>
          </cell>
          <cell r="Q196">
            <v>78144</v>
          </cell>
          <cell r="S196">
            <v>103479</v>
          </cell>
          <cell r="W196">
            <v>103479</v>
          </cell>
        </row>
        <row r="197">
          <cell r="E197">
            <v>211</v>
          </cell>
          <cell r="G197">
            <v>30806</v>
          </cell>
          <cell r="J197">
            <v>22</v>
          </cell>
          <cell r="L197">
            <v>12298</v>
          </cell>
          <cell r="M197">
            <v>3731</v>
          </cell>
          <cell r="Q197">
            <v>78144</v>
          </cell>
          <cell r="S197">
            <v>124979</v>
          </cell>
          <cell r="V197">
            <v>228458</v>
          </cell>
          <cell r="W197">
            <v>0</v>
          </cell>
        </row>
        <row r="198">
          <cell r="E198">
            <v>276</v>
          </cell>
          <cell r="G198">
            <v>40296</v>
          </cell>
          <cell r="J198">
            <v>42</v>
          </cell>
          <cell r="L198">
            <v>23478</v>
          </cell>
          <cell r="M198">
            <v>3731</v>
          </cell>
          <cell r="Q198">
            <v>78144</v>
          </cell>
          <cell r="S198">
            <v>145649</v>
          </cell>
          <cell r="V198">
            <v>145644</v>
          </cell>
          <cell r="W198">
            <v>5</v>
          </cell>
        </row>
        <row r="199">
          <cell r="E199">
            <v>243</v>
          </cell>
          <cell r="G199">
            <v>35478</v>
          </cell>
          <cell r="J199">
            <v>57</v>
          </cell>
          <cell r="L199">
            <v>31863</v>
          </cell>
          <cell r="M199">
            <v>3828</v>
          </cell>
          <cell r="Q199">
            <v>80176</v>
          </cell>
          <cell r="S199">
            <v>151345</v>
          </cell>
          <cell r="V199">
            <v>151350</v>
          </cell>
          <cell r="W199">
            <v>0</v>
          </cell>
        </row>
        <row r="200">
          <cell r="E200">
            <v>276</v>
          </cell>
          <cell r="G200">
            <v>40296</v>
          </cell>
          <cell r="J200">
            <v>53</v>
          </cell>
          <cell r="L200">
            <v>29627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153927</v>
          </cell>
          <cell r="V200">
            <v>153927</v>
          </cell>
          <cell r="W200">
            <v>0</v>
          </cell>
        </row>
        <row r="201">
          <cell r="E201">
            <v>192</v>
          </cell>
          <cell r="G201">
            <v>28032</v>
          </cell>
          <cell r="J201">
            <v>49</v>
          </cell>
          <cell r="L201">
            <v>27391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139427</v>
          </cell>
          <cell r="V201">
            <v>139427</v>
          </cell>
          <cell r="W201">
            <v>0</v>
          </cell>
        </row>
        <row r="202">
          <cell r="E202">
            <v>176</v>
          </cell>
          <cell r="G202">
            <v>25696</v>
          </cell>
          <cell r="J202">
            <v>34</v>
          </cell>
          <cell r="L202">
            <v>19006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128706</v>
          </cell>
          <cell r="V202"/>
          <cell r="W202">
            <v>128706</v>
          </cell>
        </row>
        <row r="203">
          <cell r="E203">
            <v>216</v>
          </cell>
          <cell r="G203">
            <v>31536</v>
          </cell>
          <cell r="J203">
            <v>35</v>
          </cell>
          <cell r="L203">
            <v>19565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135105</v>
          </cell>
          <cell r="V203"/>
          <cell r="W203">
            <v>263811</v>
          </cell>
        </row>
        <row r="204">
          <cell r="E204">
            <v>-25098</v>
          </cell>
          <cell r="G204">
            <v>-3664308</v>
          </cell>
          <cell r="J204">
            <v>-9237</v>
          </cell>
          <cell r="L204">
            <v>-5163483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-8743787</v>
          </cell>
          <cell r="V204"/>
          <cell r="W204">
            <v>-8479976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-8395972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-8311968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-8227964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-8143960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-8059956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-7975952</v>
          </cell>
        </row>
      </sheetData>
      <sheetData sheetId="15">
        <row r="175">
          <cell r="E175">
            <v>0</v>
          </cell>
          <cell r="G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W175">
            <v>94516</v>
          </cell>
        </row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100000</v>
          </cell>
          <cell r="W176">
            <v>81657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W177">
            <v>168798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200000</v>
          </cell>
          <cell r="W178">
            <v>55939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50000</v>
          </cell>
          <cell r="W179">
            <v>93080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100000</v>
          </cell>
          <cell r="W180">
            <v>80221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50000</v>
          </cell>
          <cell r="W181">
            <v>117362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100000</v>
          </cell>
          <cell r="W182">
            <v>105484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100000</v>
          </cell>
          <cell r="W183">
            <v>93622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100000</v>
          </cell>
          <cell r="W184">
            <v>81753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150000</v>
          </cell>
          <cell r="W185">
            <v>19913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100000</v>
          </cell>
          <cell r="W186">
            <v>8093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100000</v>
          </cell>
          <cell r="W187">
            <v>-1985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100000</v>
          </cell>
          <cell r="W188">
            <v>-12033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50000</v>
          </cell>
          <cell r="W189">
            <v>27932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50000</v>
          </cell>
          <cell r="W190">
            <v>67908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50000</v>
          </cell>
          <cell r="W191">
            <v>107906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50000</v>
          </cell>
          <cell r="W192">
            <v>147929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50000</v>
          </cell>
          <cell r="W193">
            <v>187965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80000</v>
          </cell>
          <cell r="W194">
            <v>198026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50000</v>
          </cell>
          <cell r="W195">
            <v>238108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50000</v>
          </cell>
          <cell r="W196">
            <v>278213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100000</v>
          </cell>
          <cell r="W197">
            <v>268348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R198">
            <v>55092</v>
          </cell>
          <cell r="S198">
            <v>145237</v>
          </cell>
          <cell r="V198">
            <v>50000</v>
          </cell>
          <cell r="W198">
            <v>363585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V199">
            <v>100000</v>
          </cell>
          <cell r="W199">
            <v>410945</v>
          </cell>
        </row>
        <row r="200">
          <cell r="E200">
            <v>0</v>
          </cell>
          <cell r="G200">
            <v>0</v>
          </cell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50000</v>
          </cell>
          <cell r="W200">
            <v>453216</v>
          </cell>
        </row>
        <row r="201">
          <cell r="E201">
            <v>0</v>
          </cell>
          <cell r="G201">
            <v>0</v>
          </cell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50000</v>
          </cell>
          <cell r="W201">
            <v>495490</v>
          </cell>
        </row>
        <row r="202">
          <cell r="E202">
            <v>0</v>
          </cell>
          <cell r="G202">
            <v>0</v>
          </cell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100000</v>
          </cell>
          <cell r="W202">
            <v>487793</v>
          </cell>
        </row>
        <row r="203">
          <cell r="E203">
            <v>0</v>
          </cell>
          <cell r="G203">
            <v>0</v>
          </cell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580126</v>
          </cell>
        </row>
        <row r="204">
          <cell r="E204">
            <v>0</v>
          </cell>
          <cell r="G204">
            <v>0</v>
          </cell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664130</v>
          </cell>
        </row>
        <row r="205">
          <cell r="E205">
            <v>0</v>
          </cell>
          <cell r="G205">
            <v>0</v>
          </cell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748134</v>
          </cell>
        </row>
        <row r="206">
          <cell r="E206">
            <v>0</v>
          </cell>
          <cell r="G206">
            <v>0</v>
          </cell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832138</v>
          </cell>
        </row>
        <row r="207">
          <cell r="E207">
            <v>0</v>
          </cell>
          <cell r="G207">
            <v>0</v>
          </cell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916142</v>
          </cell>
        </row>
        <row r="208">
          <cell r="E208">
            <v>0</v>
          </cell>
          <cell r="G208">
            <v>0</v>
          </cell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1000146</v>
          </cell>
        </row>
        <row r="209">
          <cell r="E209">
            <v>0</v>
          </cell>
          <cell r="G209">
            <v>0</v>
          </cell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1084150</v>
          </cell>
        </row>
        <row r="210">
          <cell r="E210">
            <v>0</v>
          </cell>
          <cell r="G210">
            <v>0</v>
          </cell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1168154</v>
          </cell>
        </row>
      </sheetData>
      <sheetData sheetId="16">
        <row r="175">
          <cell r="E175">
            <v>345</v>
          </cell>
          <cell r="G175">
            <v>50370</v>
          </cell>
          <cell r="J175">
            <v>159</v>
          </cell>
          <cell r="L175">
            <v>100761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238272</v>
          </cell>
          <cell r="V175">
            <v>399291</v>
          </cell>
          <cell r="W175">
            <v>0</v>
          </cell>
        </row>
        <row r="176">
          <cell r="E176">
            <v>463</v>
          </cell>
          <cell r="G176">
            <v>67598</v>
          </cell>
          <cell r="J176">
            <v>81</v>
          </cell>
          <cell r="L176">
            <v>45279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200018</v>
          </cell>
          <cell r="W176">
            <v>200018</v>
          </cell>
        </row>
        <row r="177">
          <cell r="E177">
            <v>480</v>
          </cell>
          <cell r="G177">
            <v>70080</v>
          </cell>
          <cell r="J177">
            <v>81</v>
          </cell>
          <cell r="L177">
            <v>45279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202500</v>
          </cell>
          <cell r="V177">
            <v>402518</v>
          </cell>
          <cell r="W177">
            <v>0</v>
          </cell>
        </row>
        <row r="178">
          <cell r="E178">
            <v>352</v>
          </cell>
          <cell r="G178">
            <v>51392</v>
          </cell>
          <cell r="J178">
            <v>50</v>
          </cell>
          <cell r="L178">
            <v>27950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166483</v>
          </cell>
          <cell r="W178">
            <v>166483</v>
          </cell>
        </row>
        <row r="179">
          <cell r="E179">
            <v>551</v>
          </cell>
          <cell r="G179">
            <v>80446</v>
          </cell>
          <cell r="J179">
            <v>22</v>
          </cell>
          <cell r="L179">
            <v>12298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179885</v>
          </cell>
          <cell r="V179">
            <v>346368</v>
          </cell>
          <cell r="W179">
            <v>0</v>
          </cell>
        </row>
        <row r="180">
          <cell r="E180">
            <v>652</v>
          </cell>
          <cell r="G180">
            <v>95192</v>
          </cell>
          <cell r="J180">
            <v>7</v>
          </cell>
          <cell r="L180">
            <v>3913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53330</v>
          </cell>
          <cell r="S180">
            <v>239576</v>
          </cell>
          <cell r="W180">
            <v>239576</v>
          </cell>
        </row>
        <row r="181">
          <cell r="E181">
            <v>496</v>
          </cell>
          <cell r="G181">
            <v>72416</v>
          </cell>
          <cell r="J181">
            <v>5</v>
          </cell>
          <cell r="L181">
            <v>2795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53195</v>
          </cell>
          <cell r="S181">
            <v>215547</v>
          </cell>
          <cell r="W181">
            <v>455123</v>
          </cell>
        </row>
        <row r="182">
          <cell r="E182">
            <v>556</v>
          </cell>
          <cell r="G182">
            <v>81176</v>
          </cell>
          <cell r="J182">
            <v>6</v>
          </cell>
          <cell r="L182">
            <v>3354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172652</v>
          </cell>
          <cell r="V182">
            <v>627775</v>
          </cell>
          <cell r="W182">
            <v>0</v>
          </cell>
        </row>
        <row r="183">
          <cell r="E183">
            <v>568</v>
          </cell>
          <cell r="G183">
            <v>82928</v>
          </cell>
          <cell r="J183">
            <v>30</v>
          </cell>
          <cell r="L183">
            <v>16770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53314</v>
          </cell>
          <cell r="S183">
            <v>241150</v>
          </cell>
          <cell r="W183">
            <v>241150</v>
          </cell>
        </row>
        <row r="184">
          <cell r="E184">
            <v>407</v>
          </cell>
          <cell r="G184">
            <v>59422</v>
          </cell>
          <cell r="J184">
            <v>33</v>
          </cell>
          <cell r="L184">
            <v>18447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53270</v>
          </cell>
          <cell r="S184">
            <v>219270</v>
          </cell>
          <cell r="V184">
            <v>460420</v>
          </cell>
          <cell r="W184">
            <v>0</v>
          </cell>
        </row>
        <row r="185">
          <cell r="E185">
            <v>451</v>
          </cell>
          <cell r="G185">
            <v>65846</v>
          </cell>
          <cell r="J185">
            <v>135</v>
          </cell>
          <cell r="L185">
            <v>78165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232171</v>
          </cell>
          <cell r="W185">
            <v>232171</v>
          </cell>
        </row>
        <row r="186">
          <cell r="E186">
            <v>397</v>
          </cell>
          <cell r="G186">
            <v>57962</v>
          </cell>
          <cell r="J186">
            <v>135</v>
          </cell>
          <cell r="L186">
            <v>78165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224307</v>
          </cell>
          <cell r="V186">
            <v>456478</v>
          </cell>
          <cell r="W186">
            <v>0</v>
          </cell>
        </row>
        <row r="187">
          <cell r="E187">
            <v>457</v>
          </cell>
          <cell r="G187">
            <v>66722</v>
          </cell>
          <cell r="J187">
            <v>128</v>
          </cell>
          <cell r="L187">
            <v>72992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229636</v>
          </cell>
          <cell r="V187">
            <v>229636</v>
          </cell>
          <cell r="W187">
            <v>0</v>
          </cell>
        </row>
        <row r="188">
          <cell r="E188">
            <v>504</v>
          </cell>
          <cell r="G188">
            <v>73584</v>
          </cell>
          <cell r="J188">
            <v>82</v>
          </cell>
          <cell r="L188">
            <v>45838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209374</v>
          </cell>
          <cell r="W188">
            <v>209374</v>
          </cell>
        </row>
        <row r="189">
          <cell r="E189">
            <v>281</v>
          </cell>
          <cell r="G189">
            <v>41026</v>
          </cell>
          <cell r="J189">
            <v>69</v>
          </cell>
          <cell r="L189">
            <v>38571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169562</v>
          </cell>
          <cell r="V189">
            <v>378936</v>
          </cell>
          <cell r="W189">
            <v>0</v>
          </cell>
        </row>
        <row r="190">
          <cell r="E190">
            <v>422</v>
          </cell>
          <cell r="G190">
            <v>61612</v>
          </cell>
          <cell r="J190">
            <v>72</v>
          </cell>
          <cell r="L190">
            <v>40248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191836</v>
          </cell>
          <cell r="W190">
            <v>191836</v>
          </cell>
        </row>
        <row r="191">
          <cell r="E191">
            <v>350</v>
          </cell>
          <cell r="G191">
            <v>51100</v>
          </cell>
          <cell r="J191">
            <v>39</v>
          </cell>
          <cell r="L191">
            <v>21801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162899</v>
          </cell>
          <cell r="V191">
            <v>354735</v>
          </cell>
          <cell r="W191">
            <v>0</v>
          </cell>
        </row>
        <row r="192">
          <cell r="E192">
            <v>316</v>
          </cell>
          <cell r="G192">
            <v>46136</v>
          </cell>
          <cell r="J192">
            <v>13</v>
          </cell>
          <cell r="L192">
            <v>7267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143426</v>
          </cell>
          <cell r="W192">
            <v>143426</v>
          </cell>
        </row>
        <row r="193">
          <cell r="E193">
            <v>277</v>
          </cell>
          <cell r="G193">
            <v>40442</v>
          </cell>
          <cell r="J193">
            <v>2</v>
          </cell>
          <cell r="L193">
            <v>1118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131596</v>
          </cell>
          <cell r="V193">
            <v>275022</v>
          </cell>
          <cell r="W193">
            <v>0</v>
          </cell>
        </row>
        <row r="194">
          <cell r="E194">
            <v>364</v>
          </cell>
          <cell r="G194">
            <v>53144</v>
          </cell>
          <cell r="J194">
            <v>38</v>
          </cell>
          <cell r="L194">
            <v>21242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164447</v>
          </cell>
          <cell r="V194">
            <v>164447</v>
          </cell>
          <cell r="W194">
            <v>0</v>
          </cell>
        </row>
        <row r="195">
          <cell r="E195">
            <v>276</v>
          </cell>
          <cell r="G195">
            <v>40296</v>
          </cell>
          <cell r="J195">
            <v>33</v>
          </cell>
          <cell r="L195">
            <v>18447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148825</v>
          </cell>
          <cell r="V195">
            <v>148825</v>
          </cell>
          <cell r="W195">
            <v>0</v>
          </cell>
        </row>
        <row r="196">
          <cell r="E196">
            <v>302</v>
          </cell>
          <cell r="G196">
            <v>44092</v>
          </cell>
          <cell r="J196">
            <v>67</v>
          </cell>
          <cell r="L196">
            <v>37453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171650</v>
          </cell>
          <cell r="V196">
            <v>171650</v>
          </cell>
          <cell r="W196">
            <v>0</v>
          </cell>
        </row>
        <row r="197">
          <cell r="E197">
            <v>71</v>
          </cell>
          <cell r="G197">
            <v>10366</v>
          </cell>
          <cell r="J197">
            <v>47</v>
          </cell>
          <cell r="L197">
            <v>26273</v>
          </cell>
          <cell r="M197">
            <v>3731</v>
          </cell>
          <cell r="N197">
            <v>8260</v>
          </cell>
          <cell r="O197">
            <v>38080</v>
          </cell>
          <cell r="P197">
            <v>0</v>
          </cell>
          <cell r="Q197">
            <v>78144</v>
          </cell>
          <cell r="R197">
            <v>0</v>
          </cell>
          <cell r="S197">
            <v>164854</v>
          </cell>
          <cell r="W197">
            <v>164854</v>
          </cell>
        </row>
        <row r="198">
          <cell r="E198">
            <v>142</v>
          </cell>
          <cell r="G198">
            <v>20732</v>
          </cell>
          <cell r="J198">
            <v>127</v>
          </cell>
          <cell r="L198">
            <v>72253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183130</v>
          </cell>
          <cell r="V198">
            <v>347984</v>
          </cell>
          <cell r="W198">
            <v>0</v>
          </cell>
        </row>
        <row r="199">
          <cell r="E199">
            <v>385</v>
          </cell>
          <cell r="G199">
            <v>56210</v>
          </cell>
          <cell r="J199">
            <v>60</v>
          </cell>
          <cell r="L199">
            <v>33540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R199">
            <v>0</v>
          </cell>
          <cell r="S199">
            <v>182018</v>
          </cell>
          <cell r="W199">
            <v>182018</v>
          </cell>
        </row>
        <row r="200">
          <cell r="E200">
            <v>610</v>
          </cell>
          <cell r="G200">
            <v>89060</v>
          </cell>
          <cell r="J200">
            <v>72</v>
          </cell>
          <cell r="L200">
            <v>40248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>
            <v>0</v>
          </cell>
          <cell r="S200">
            <v>221579</v>
          </cell>
          <cell r="V200">
            <v>403597</v>
          </cell>
          <cell r="W200">
            <v>0</v>
          </cell>
        </row>
        <row r="201">
          <cell r="E201">
            <v>800</v>
          </cell>
          <cell r="G201">
            <v>116800</v>
          </cell>
          <cell r="J201">
            <v>80</v>
          </cell>
          <cell r="L201">
            <v>44720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>
            <v>0</v>
          </cell>
          <cell r="S201">
            <v>253794</v>
          </cell>
          <cell r="V201">
            <v>253794</v>
          </cell>
          <cell r="W201">
            <v>0</v>
          </cell>
        </row>
        <row r="202">
          <cell r="E202">
            <v>721</v>
          </cell>
          <cell r="G202">
            <v>105266</v>
          </cell>
          <cell r="J202">
            <v>40</v>
          </cell>
          <cell r="L202">
            <v>22360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>
            <v>0</v>
          </cell>
          <cell r="S202">
            <v>219929</v>
          </cell>
          <cell r="V202">
            <v>219929</v>
          </cell>
          <cell r="W202">
            <v>0</v>
          </cell>
        </row>
        <row r="203">
          <cell r="E203">
            <v>516</v>
          </cell>
          <cell r="G203">
            <v>75336</v>
          </cell>
          <cell r="J203">
            <v>46</v>
          </cell>
          <cell r="L203">
            <v>25714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>
            <v>0</v>
          </cell>
          <cell r="S203">
            <v>193383</v>
          </cell>
          <cell r="V203"/>
          <cell r="W203">
            <v>193383</v>
          </cell>
        </row>
        <row r="204">
          <cell r="E204">
            <v>-39930</v>
          </cell>
          <cell r="G204">
            <v>-5829780</v>
          </cell>
          <cell r="J204">
            <v>-11398</v>
          </cell>
          <cell r="L204">
            <v>-6371482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>
            <v>0</v>
          </cell>
          <cell r="S204">
            <v>-12117258</v>
          </cell>
          <cell r="V204"/>
          <cell r="W204">
            <v>-11923875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>
            <v>0</v>
          </cell>
          <cell r="S205">
            <v>84004</v>
          </cell>
          <cell r="V205"/>
          <cell r="W205">
            <v>-11839871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>
            <v>0</v>
          </cell>
          <cell r="S206">
            <v>84004</v>
          </cell>
          <cell r="V206"/>
          <cell r="W206">
            <v>-11755867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>
            <v>0</v>
          </cell>
          <cell r="S207">
            <v>84004</v>
          </cell>
          <cell r="V207"/>
          <cell r="W207">
            <v>-11671863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>
            <v>0</v>
          </cell>
          <cell r="S208">
            <v>84004</v>
          </cell>
          <cell r="V208"/>
          <cell r="W208">
            <v>-11587859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>
            <v>0</v>
          </cell>
          <cell r="S209">
            <v>84004</v>
          </cell>
          <cell r="V209"/>
          <cell r="W209">
            <v>-11503855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>
            <v>0</v>
          </cell>
          <cell r="S210">
            <v>84004</v>
          </cell>
          <cell r="V210"/>
          <cell r="W210">
            <v>-11419851</v>
          </cell>
        </row>
      </sheetData>
      <sheetData sheetId="17">
        <row r="175">
          <cell r="E175">
            <v>354</v>
          </cell>
          <cell r="G175">
            <v>51684</v>
          </cell>
          <cell r="J175">
            <v>117</v>
          </cell>
          <cell r="L175">
            <v>65403</v>
          </cell>
          <cell r="M175">
            <v>3731</v>
          </cell>
          <cell r="N175">
            <v>7000</v>
          </cell>
          <cell r="O175">
            <v>0</v>
          </cell>
          <cell r="P175">
            <v>5000</v>
          </cell>
          <cell r="Q175">
            <v>76410</v>
          </cell>
          <cell r="S175">
            <v>209228</v>
          </cell>
          <cell r="V175">
            <v>205497</v>
          </cell>
          <cell r="W175">
            <v>3731.2999999999884</v>
          </cell>
        </row>
        <row r="176">
          <cell r="E176">
            <v>388</v>
          </cell>
          <cell r="G176">
            <v>56648</v>
          </cell>
          <cell r="J176">
            <v>105</v>
          </cell>
          <cell r="L176">
            <v>58695</v>
          </cell>
          <cell r="M176">
            <v>3731</v>
          </cell>
          <cell r="N176">
            <v>7000</v>
          </cell>
          <cell r="O176">
            <v>0</v>
          </cell>
          <cell r="P176">
            <v>5000</v>
          </cell>
          <cell r="Q176">
            <v>76410</v>
          </cell>
          <cell r="S176">
            <v>207484</v>
          </cell>
          <cell r="V176">
            <v>207484</v>
          </cell>
          <cell r="W176">
            <v>3731.2999999999884</v>
          </cell>
        </row>
        <row r="177">
          <cell r="E177">
            <v>408</v>
          </cell>
          <cell r="G177">
            <v>59568</v>
          </cell>
          <cell r="J177">
            <v>100</v>
          </cell>
          <cell r="L177">
            <v>55900</v>
          </cell>
          <cell r="M177">
            <v>3731</v>
          </cell>
          <cell r="N177">
            <v>7000</v>
          </cell>
          <cell r="O177">
            <v>0</v>
          </cell>
          <cell r="P177">
            <v>5000</v>
          </cell>
          <cell r="Q177">
            <v>76410</v>
          </cell>
          <cell r="S177">
            <v>207609</v>
          </cell>
          <cell r="V177">
            <v>211340</v>
          </cell>
          <cell r="W177">
            <v>0.29999999998835847</v>
          </cell>
        </row>
        <row r="178">
          <cell r="E178">
            <v>350</v>
          </cell>
          <cell r="G178">
            <v>51100</v>
          </cell>
          <cell r="J178">
            <v>39</v>
          </cell>
          <cell r="L178">
            <v>21801</v>
          </cell>
          <cell r="M178">
            <v>3731</v>
          </cell>
          <cell r="N178">
            <v>7000</v>
          </cell>
          <cell r="O178">
            <v>0</v>
          </cell>
          <cell r="P178">
            <v>5000</v>
          </cell>
          <cell r="Q178">
            <v>76410</v>
          </cell>
          <cell r="S178">
            <v>165042</v>
          </cell>
          <cell r="V178">
            <v>165042</v>
          </cell>
          <cell r="W178">
            <v>0.29999999998835847</v>
          </cell>
        </row>
        <row r="179">
          <cell r="E179">
            <v>294</v>
          </cell>
          <cell r="G179">
            <v>42924</v>
          </cell>
          <cell r="J179">
            <v>5</v>
          </cell>
          <cell r="L179">
            <v>2795</v>
          </cell>
          <cell r="M179">
            <v>3731</v>
          </cell>
          <cell r="N179">
            <v>7000</v>
          </cell>
          <cell r="O179">
            <v>0</v>
          </cell>
          <cell r="P179">
            <v>5000</v>
          </cell>
          <cell r="Q179">
            <v>76410</v>
          </cell>
          <cell r="S179">
            <v>137860</v>
          </cell>
          <cell r="V179">
            <v>137860</v>
          </cell>
          <cell r="W179">
            <v>0.29999999998835847</v>
          </cell>
        </row>
        <row r="180">
          <cell r="E180">
            <v>348</v>
          </cell>
          <cell r="G180">
            <v>50808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5000</v>
          </cell>
          <cell r="Q180">
            <v>76410</v>
          </cell>
          <cell r="S180">
            <v>143508</v>
          </cell>
          <cell r="V180">
            <v>139777</v>
          </cell>
          <cell r="W180">
            <v>3731.2999999999884</v>
          </cell>
        </row>
        <row r="181">
          <cell r="E181">
            <v>272</v>
          </cell>
          <cell r="G181">
            <v>39712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5000</v>
          </cell>
          <cell r="Q181">
            <v>76410</v>
          </cell>
          <cell r="S181">
            <v>131853</v>
          </cell>
          <cell r="V181">
            <v>135584</v>
          </cell>
          <cell r="W181">
            <v>0.29999999998835847</v>
          </cell>
        </row>
        <row r="182">
          <cell r="E182">
            <v>354</v>
          </cell>
          <cell r="G182">
            <v>51684</v>
          </cell>
          <cell r="J182">
            <v>2</v>
          </cell>
          <cell r="L182">
            <v>1118</v>
          </cell>
          <cell r="M182">
            <v>3731</v>
          </cell>
          <cell r="N182">
            <v>7981</v>
          </cell>
          <cell r="O182">
            <v>0</v>
          </cell>
          <cell r="P182">
            <v>5000</v>
          </cell>
          <cell r="Q182">
            <v>76410</v>
          </cell>
          <cell r="S182">
            <v>145924</v>
          </cell>
          <cell r="V182">
            <v>145924</v>
          </cell>
          <cell r="W182">
            <v>0.29999999998835847</v>
          </cell>
        </row>
        <row r="183">
          <cell r="E183">
            <v>340</v>
          </cell>
          <cell r="G183">
            <v>49640</v>
          </cell>
          <cell r="J183">
            <v>5</v>
          </cell>
          <cell r="L183">
            <v>2795</v>
          </cell>
          <cell r="M183">
            <v>3731</v>
          </cell>
          <cell r="N183">
            <v>7997</v>
          </cell>
          <cell r="O183">
            <v>0</v>
          </cell>
          <cell r="P183">
            <v>5000</v>
          </cell>
          <cell r="Q183">
            <v>76410</v>
          </cell>
          <cell r="S183">
            <v>145573</v>
          </cell>
          <cell r="V183">
            <v>145573</v>
          </cell>
          <cell r="W183">
            <v>0.29999999998835847</v>
          </cell>
        </row>
        <row r="184">
          <cell r="E184">
            <v>305</v>
          </cell>
          <cell r="G184">
            <v>44530</v>
          </cell>
          <cell r="J184">
            <v>13</v>
          </cell>
          <cell r="L184">
            <v>7267</v>
          </cell>
          <cell r="M184">
            <v>3731</v>
          </cell>
          <cell r="N184">
            <v>7990</v>
          </cell>
          <cell r="O184">
            <v>0</v>
          </cell>
          <cell r="P184">
            <v>5000</v>
          </cell>
          <cell r="Q184">
            <v>76410</v>
          </cell>
          <cell r="S184">
            <v>144928</v>
          </cell>
          <cell r="V184">
            <v>144928</v>
          </cell>
          <cell r="W184">
            <v>0.29999999998835847</v>
          </cell>
        </row>
        <row r="185">
          <cell r="E185">
            <v>356</v>
          </cell>
          <cell r="G185">
            <v>51976</v>
          </cell>
          <cell r="J185">
            <v>31</v>
          </cell>
          <cell r="L185">
            <v>17329</v>
          </cell>
          <cell r="M185">
            <v>3731</v>
          </cell>
          <cell r="N185">
            <v>8019</v>
          </cell>
          <cell r="O185">
            <v>0</v>
          </cell>
          <cell r="P185">
            <v>5000</v>
          </cell>
          <cell r="Q185">
            <v>76410</v>
          </cell>
          <cell r="S185">
            <v>162465</v>
          </cell>
          <cell r="V185">
            <v>162465</v>
          </cell>
          <cell r="W185">
            <v>0.29999999998835847</v>
          </cell>
        </row>
        <row r="186">
          <cell r="E186">
            <v>327</v>
          </cell>
          <cell r="G186">
            <v>47742</v>
          </cell>
          <cell r="J186">
            <v>83</v>
          </cell>
          <cell r="L186">
            <v>46397</v>
          </cell>
          <cell r="M186">
            <v>3731</v>
          </cell>
          <cell r="N186">
            <v>8039</v>
          </cell>
          <cell r="O186">
            <v>0</v>
          </cell>
          <cell r="P186">
            <v>5000</v>
          </cell>
          <cell r="Q186">
            <v>76410</v>
          </cell>
          <cell r="S186">
            <v>187319</v>
          </cell>
          <cell r="V186">
            <v>187319</v>
          </cell>
          <cell r="W186">
            <v>0.29999999998835847</v>
          </cell>
        </row>
        <row r="187">
          <cell r="E187">
            <v>351</v>
          </cell>
          <cell r="G187">
            <v>51246</v>
          </cell>
          <cell r="J187">
            <v>82</v>
          </cell>
          <cell r="L187">
            <v>45838</v>
          </cell>
          <cell r="M187">
            <v>3731</v>
          </cell>
          <cell r="N187">
            <v>8047</v>
          </cell>
          <cell r="O187">
            <v>122464</v>
          </cell>
          <cell r="P187">
            <v>5000</v>
          </cell>
          <cell r="Q187">
            <v>78144</v>
          </cell>
          <cell r="S187">
            <v>314470</v>
          </cell>
          <cell r="V187">
            <v>314470</v>
          </cell>
          <cell r="W187">
            <v>0.29999999998835847</v>
          </cell>
        </row>
        <row r="188">
          <cell r="E188">
            <v>339</v>
          </cell>
          <cell r="G188">
            <v>49494</v>
          </cell>
          <cell r="J188">
            <v>92</v>
          </cell>
          <cell r="L188">
            <v>51428</v>
          </cell>
          <cell r="M188">
            <v>3731</v>
          </cell>
          <cell r="N188">
            <v>8077</v>
          </cell>
          <cell r="O188">
            <v>0</v>
          </cell>
          <cell r="P188">
            <v>5000</v>
          </cell>
          <cell r="Q188">
            <v>78144</v>
          </cell>
          <cell r="S188">
            <v>195874</v>
          </cell>
          <cell r="V188">
            <v>195874</v>
          </cell>
          <cell r="W188">
            <v>0.29999999998835847</v>
          </cell>
        </row>
        <row r="189">
          <cell r="E189">
            <v>357</v>
          </cell>
          <cell r="G189">
            <v>52122</v>
          </cell>
          <cell r="J189">
            <v>76</v>
          </cell>
          <cell r="L189">
            <v>42484</v>
          </cell>
          <cell r="M189">
            <v>3731</v>
          </cell>
          <cell r="N189">
            <v>8090</v>
          </cell>
          <cell r="O189">
            <v>0</v>
          </cell>
          <cell r="P189">
            <v>5000</v>
          </cell>
          <cell r="Q189">
            <v>78144</v>
          </cell>
          <cell r="S189">
            <v>189571</v>
          </cell>
          <cell r="V189">
            <v>189571</v>
          </cell>
          <cell r="W189">
            <v>0.29999999998835847</v>
          </cell>
        </row>
        <row r="190">
          <cell r="E190">
            <v>375</v>
          </cell>
          <cell r="G190">
            <v>54750</v>
          </cell>
          <cell r="J190">
            <v>70</v>
          </cell>
          <cell r="L190">
            <v>39130</v>
          </cell>
          <cell r="M190">
            <v>3731</v>
          </cell>
          <cell r="N190">
            <v>8101</v>
          </cell>
          <cell r="O190">
            <v>0</v>
          </cell>
          <cell r="P190">
            <v>5000</v>
          </cell>
          <cell r="Q190">
            <v>78144</v>
          </cell>
          <cell r="S190">
            <v>188856</v>
          </cell>
          <cell r="V190">
            <v>188856</v>
          </cell>
          <cell r="W190">
            <v>0.29999999998835847</v>
          </cell>
        </row>
        <row r="191">
          <cell r="E191">
            <v>368</v>
          </cell>
          <cell r="G191">
            <v>53728</v>
          </cell>
          <cell r="J191">
            <v>46</v>
          </cell>
          <cell r="L191">
            <v>25714</v>
          </cell>
          <cell r="M191">
            <v>3731</v>
          </cell>
          <cell r="N191">
            <v>8123</v>
          </cell>
          <cell r="O191">
            <v>0</v>
          </cell>
          <cell r="P191">
            <v>5000</v>
          </cell>
          <cell r="Q191">
            <v>78144</v>
          </cell>
          <cell r="S191">
            <v>174440</v>
          </cell>
          <cell r="V191">
            <v>174440</v>
          </cell>
          <cell r="W191">
            <v>0.29999999998835847</v>
          </cell>
        </row>
        <row r="192">
          <cell r="E192">
            <v>399</v>
          </cell>
          <cell r="G192">
            <v>58254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O192">
            <v>0</v>
          </cell>
          <cell r="P192">
            <v>3000</v>
          </cell>
          <cell r="Q192">
            <v>78144</v>
          </cell>
          <cell r="S192">
            <v>156308</v>
          </cell>
          <cell r="V192">
            <v>156308</v>
          </cell>
          <cell r="W192">
            <v>0.29999999998835847</v>
          </cell>
        </row>
        <row r="193">
          <cell r="E193">
            <v>397</v>
          </cell>
          <cell r="G193">
            <v>57962</v>
          </cell>
          <cell r="J193">
            <v>7</v>
          </cell>
          <cell r="L193">
            <v>3913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151911</v>
          </cell>
          <cell r="V193">
            <v>151911</v>
          </cell>
          <cell r="W193">
            <v>0.29999999998835847</v>
          </cell>
        </row>
        <row r="194">
          <cell r="E194">
            <v>378</v>
          </cell>
          <cell r="G194">
            <v>55188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146367</v>
          </cell>
          <cell r="V194">
            <v>146367</v>
          </cell>
          <cell r="W194">
            <v>0.29999999998835847</v>
          </cell>
        </row>
        <row r="195">
          <cell r="E195">
            <v>431</v>
          </cell>
          <cell r="G195">
            <v>62926</v>
          </cell>
          <cell r="J195">
            <v>15</v>
          </cell>
          <cell r="L195">
            <v>8385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161393</v>
          </cell>
          <cell r="V195">
            <v>161393</v>
          </cell>
          <cell r="W195">
            <v>0.29999999998835847</v>
          </cell>
        </row>
        <row r="196">
          <cell r="E196">
            <v>401</v>
          </cell>
          <cell r="G196">
            <v>58546</v>
          </cell>
          <cell r="J196">
            <v>31</v>
          </cell>
          <cell r="L196">
            <v>17329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165980</v>
          </cell>
          <cell r="V196">
            <v>165980</v>
          </cell>
          <cell r="W196">
            <v>0.29999999998835847</v>
          </cell>
        </row>
        <row r="197">
          <cell r="E197">
            <v>497</v>
          </cell>
          <cell r="G197">
            <v>72562</v>
          </cell>
          <cell r="J197">
            <v>77</v>
          </cell>
          <cell r="L197">
            <v>43043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205740</v>
          </cell>
          <cell r="V197">
            <v>205740</v>
          </cell>
          <cell r="W197">
            <v>0.29999999998835847</v>
          </cell>
        </row>
        <row r="198">
          <cell r="E198">
            <v>470</v>
          </cell>
          <cell r="G198">
            <v>68620</v>
          </cell>
          <cell r="J198">
            <v>93</v>
          </cell>
          <cell r="L198">
            <v>51987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210752</v>
          </cell>
          <cell r="V198">
            <v>210752</v>
          </cell>
          <cell r="W198">
            <v>0.29999999998835847</v>
          </cell>
        </row>
        <row r="199">
          <cell r="E199">
            <v>492</v>
          </cell>
          <cell r="G199">
            <v>71832</v>
          </cell>
          <cell r="J199">
            <v>95</v>
          </cell>
          <cell r="L199">
            <v>53105</v>
          </cell>
          <cell r="M199">
            <v>3828</v>
          </cell>
          <cell r="N199">
            <v>8264</v>
          </cell>
          <cell r="O199">
            <v>0</v>
          </cell>
          <cell r="Q199">
            <v>80176</v>
          </cell>
          <cell r="S199">
            <v>217205</v>
          </cell>
          <cell r="V199">
            <v>217205</v>
          </cell>
          <cell r="W199">
            <v>0.29999999998835847</v>
          </cell>
        </row>
        <row r="200">
          <cell r="E200">
            <v>518</v>
          </cell>
          <cell r="G200">
            <v>75628</v>
          </cell>
          <cell r="J200">
            <v>100</v>
          </cell>
          <cell r="L200">
            <v>55900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S200">
            <v>223799</v>
          </cell>
          <cell r="V200">
            <v>223799</v>
          </cell>
          <cell r="W200">
            <v>0.29999999998835847</v>
          </cell>
        </row>
        <row r="201">
          <cell r="E201">
            <v>438</v>
          </cell>
          <cell r="G201">
            <v>63948</v>
          </cell>
          <cell r="J201">
            <v>99</v>
          </cell>
          <cell r="L201">
            <v>55341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S201">
            <v>211563</v>
          </cell>
          <cell r="V201">
            <v>211563</v>
          </cell>
          <cell r="W201">
            <v>0.29999999998835847</v>
          </cell>
        </row>
        <row r="202">
          <cell r="E202">
            <v>446</v>
          </cell>
          <cell r="G202">
            <v>65116</v>
          </cell>
          <cell r="J202">
            <v>89</v>
          </cell>
          <cell r="L202">
            <v>49751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S202">
            <v>207170</v>
          </cell>
          <cell r="V202">
            <v>207170</v>
          </cell>
          <cell r="W202">
            <v>0.29999999998835847</v>
          </cell>
        </row>
        <row r="203">
          <cell r="E203">
            <v>511</v>
          </cell>
          <cell r="G203">
            <v>74606</v>
          </cell>
          <cell r="J203">
            <v>63</v>
          </cell>
          <cell r="L203">
            <v>35217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S203">
            <v>202156</v>
          </cell>
          <cell r="V203"/>
          <cell r="W203">
            <v>202156.3</v>
          </cell>
        </row>
        <row r="204">
          <cell r="E204">
            <v>-51122</v>
          </cell>
          <cell r="G204">
            <v>-7463812</v>
          </cell>
          <cell r="J204">
            <v>-964</v>
          </cell>
          <cell r="L204">
            <v>-538876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S204">
            <v>-7918684</v>
          </cell>
          <cell r="V204"/>
          <cell r="W204">
            <v>-7716527.7000000002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S205">
            <v>84004</v>
          </cell>
          <cell r="V205"/>
          <cell r="W205">
            <v>-7632523.7000000002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S206">
            <v>84004</v>
          </cell>
          <cell r="V206"/>
          <cell r="W206">
            <v>-7548519.7000000002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S207">
            <v>84004</v>
          </cell>
          <cell r="V207"/>
          <cell r="W207">
            <v>-7464515.7000000002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S208">
            <v>84004</v>
          </cell>
          <cell r="V208"/>
          <cell r="W208">
            <v>-7380511.7000000002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S209">
            <v>84004</v>
          </cell>
          <cell r="V209"/>
          <cell r="W209">
            <v>-7296507.7000000002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S210">
            <v>84004</v>
          </cell>
          <cell r="V210"/>
          <cell r="W210">
            <v>-7212503.7000000002</v>
          </cell>
        </row>
      </sheetData>
      <sheetData sheetId="18">
        <row r="175">
          <cell r="E175">
            <v>233</v>
          </cell>
          <cell r="G175">
            <v>34018</v>
          </cell>
          <cell r="J175">
            <v>123</v>
          </cell>
          <cell r="L175">
            <v>69297</v>
          </cell>
          <cell r="M175">
            <v>3731</v>
          </cell>
          <cell r="N175">
            <v>7000</v>
          </cell>
          <cell r="Q175">
            <v>76410</v>
          </cell>
          <cell r="S175">
            <v>190456</v>
          </cell>
          <cell r="V175">
            <v>190456</v>
          </cell>
          <cell r="W175">
            <v>0</v>
          </cell>
        </row>
        <row r="176">
          <cell r="E176">
            <v>147</v>
          </cell>
          <cell r="G176">
            <v>21462</v>
          </cell>
          <cell r="J176">
            <v>94</v>
          </cell>
          <cell r="L176">
            <v>52546</v>
          </cell>
          <cell r="M176">
            <v>3731</v>
          </cell>
          <cell r="N176">
            <v>7000</v>
          </cell>
          <cell r="Q176">
            <v>76410</v>
          </cell>
          <cell r="S176">
            <v>161149</v>
          </cell>
          <cell r="V176">
            <v>161149</v>
          </cell>
          <cell r="W176">
            <v>0</v>
          </cell>
        </row>
        <row r="177">
          <cell r="E177">
            <v>147</v>
          </cell>
          <cell r="G177">
            <v>21462</v>
          </cell>
          <cell r="J177">
            <v>70</v>
          </cell>
          <cell r="L177">
            <v>39130</v>
          </cell>
          <cell r="M177">
            <v>3731</v>
          </cell>
          <cell r="N177">
            <v>7000</v>
          </cell>
          <cell r="Q177">
            <v>76410</v>
          </cell>
          <cell r="S177">
            <v>147733</v>
          </cell>
          <cell r="V177">
            <v>147733</v>
          </cell>
          <cell r="W177">
            <v>0</v>
          </cell>
        </row>
        <row r="178">
          <cell r="E178">
            <v>131</v>
          </cell>
          <cell r="G178">
            <v>19126</v>
          </cell>
          <cell r="J178">
            <v>52</v>
          </cell>
          <cell r="L178">
            <v>29068</v>
          </cell>
          <cell r="M178">
            <v>3731</v>
          </cell>
          <cell r="N178">
            <v>7000</v>
          </cell>
          <cell r="Q178">
            <v>76410</v>
          </cell>
          <cell r="S178">
            <v>135335</v>
          </cell>
          <cell r="V178">
            <v>135335</v>
          </cell>
          <cell r="W178">
            <v>0</v>
          </cell>
        </row>
        <row r="179">
          <cell r="E179">
            <v>117</v>
          </cell>
          <cell r="G179">
            <v>17082</v>
          </cell>
          <cell r="J179">
            <v>14</v>
          </cell>
          <cell r="L179">
            <v>7826</v>
          </cell>
          <cell r="M179">
            <v>3731</v>
          </cell>
          <cell r="N179">
            <v>7000</v>
          </cell>
          <cell r="Q179">
            <v>76410</v>
          </cell>
          <cell r="S179">
            <v>112049</v>
          </cell>
          <cell r="V179">
            <v>112049</v>
          </cell>
          <cell r="W179">
            <v>0</v>
          </cell>
        </row>
        <row r="180">
          <cell r="E180">
            <v>140</v>
          </cell>
          <cell r="G180">
            <v>20440</v>
          </cell>
          <cell r="J180">
            <v>11</v>
          </cell>
          <cell r="L180">
            <v>6149</v>
          </cell>
          <cell r="M180">
            <v>3731</v>
          </cell>
          <cell r="N180">
            <v>7000</v>
          </cell>
          <cell r="Q180">
            <v>76410</v>
          </cell>
          <cell r="S180">
            <v>113730</v>
          </cell>
          <cell r="W180">
            <v>113730</v>
          </cell>
        </row>
        <row r="181">
          <cell r="E181">
            <v>133</v>
          </cell>
          <cell r="G181">
            <v>19418</v>
          </cell>
          <cell r="J181">
            <v>7</v>
          </cell>
          <cell r="L181">
            <v>3913</v>
          </cell>
          <cell r="M181">
            <v>3731</v>
          </cell>
          <cell r="N181">
            <v>7000</v>
          </cell>
          <cell r="Q181">
            <v>76410</v>
          </cell>
          <cell r="S181">
            <v>110472</v>
          </cell>
          <cell r="V181">
            <v>224202</v>
          </cell>
          <cell r="W181">
            <v>0</v>
          </cell>
        </row>
        <row r="182">
          <cell r="E182">
            <v>196</v>
          </cell>
          <cell r="G182">
            <v>28616</v>
          </cell>
          <cell r="J182">
            <v>7</v>
          </cell>
          <cell r="L182">
            <v>3913</v>
          </cell>
          <cell r="M182">
            <v>3731</v>
          </cell>
          <cell r="N182">
            <v>7981</v>
          </cell>
          <cell r="Q182">
            <v>76410</v>
          </cell>
          <cell r="S182">
            <v>120651</v>
          </cell>
          <cell r="W182">
            <v>120651</v>
          </cell>
        </row>
        <row r="183">
          <cell r="E183">
            <v>142</v>
          </cell>
          <cell r="G183">
            <v>20732</v>
          </cell>
          <cell r="J183">
            <v>25</v>
          </cell>
          <cell r="L183">
            <v>13975</v>
          </cell>
          <cell r="M183">
            <v>3731</v>
          </cell>
          <cell r="N183">
            <v>7997</v>
          </cell>
          <cell r="Q183">
            <v>76410</v>
          </cell>
          <cell r="S183">
            <v>122845</v>
          </cell>
          <cell r="V183">
            <v>243496</v>
          </cell>
          <cell r="W183">
            <v>0</v>
          </cell>
        </row>
        <row r="184">
          <cell r="E184">
            <v>115</v>
          </cell>
          <cell r="G184">
            <v>16790</v>
          </cell>
          <cell r="J184">
            <v>23</v>
          </cell>
          <cell r="L184">
            <v>12857</v>
          </cell>
          <cell r="M184">
            <v>3731</v>
          </cell>
          <cell r="N184">
            <v>7990</v>
          </cell>
          <cell r="Q184">
            <v>76410</v>
          </cell>
          <cell r="S184">
            <v>117778</v>
          </cell>
          <cell r="W184">
            <v>117778</v>
          </cell>
        </row>
        <row r="185">
          <cell r="E185">
            <v>327</v>
          </cell>
          <cell r="G185">
            <v>47742</v>
          </cell>
          <cell r="J185">
            <v>34</v>
          </cell>
          <cell r="L185">
            <v>19006</v>
          </cell>
          <cell r="M185">
            <v>3731</v>
          </cell>
          <cell r="N185">
            <v>8019</v>
          </cell>
          <cell r="Q185">
            <v>76410</v>
          </cell>
          <cell r="S185">
            <v>154908</v>
          </cell>
          <cell r="V185">
            <v>272686</v>
          </cell>
          <cell r="W185">
            <v>0</v>
          </cell>
        </row>
        <row r="186">
          <cell r="E186">
            <v>-81</v>
          </cell>
          <cell r="G186">
            <v>-11826</v>
          </cell>
          <cell r="J186">
            <v>71</v>
          </cell>
          <cell r="L186">
            <v>39689</v>
          </cell>
          <cell r="M186">
            <v>3731</v>
          </cell>
          <cell r="N186">
            <v>8039</v>
          </cell>
          <cell r="Q186">
            <v>76410</v>
          </cell>
          <cell r="S186">
            <v>116043</v>
          </cell>
          <cell r="V186">
            <v>116043</v>
          </cell>
          <cell r="W186">
            <v>0</v>
          </cell>
        </row>
        <row r="187">
          <cell r="E187">
            <v>160</v>
          </cell>
          <cell r="G187">
            <v>23360</v>
          </cell>
          <cell r="J187">
            <v>52</v>
          </cell>
          <cell r="L187">
            <v>29068</v>
          </cell>
          <cell r="M187">
            <v>3731</v>
          </cell>
          <cell r="N187">
            <v>8047</v>
          </cell>
          <cell r="Q187">
            <v>78144</v>
          </cell>
          <cell r="S187">
            <v>142350</v>
          </cell>
          <cell r="V187">
            <v>142350</v>
          </cell>
          <cell r="W187">
            <v>0</v>
          </cell>
        </row>
        <row r="188">
          <cell r="E188">
            <v>152</v>
          </cell>
          <cell r="G188">
            <v>22192</v>
          </cell>
          <cell r="J188">
            <v>51</v>
          </cell>
          <cell r="L188">
            <v>28509</v>
          </cell>
          <cell r="M188">
            <v>3731</v>
          </cell>
          <cell r="N188">
            <v>8077</v>
          </cell>
          <cell r="Q188">
            <v>78144</v>
          </cell>
          <cell r="S188">
            <v>140653</v>
          </cell>
          <cell r="V188">
            <v>140653</v>
          </cell>
          <cell r="W188">
            <v>0</v>
          </cell>
        </row>
        <row r="189">
          <cell r="E189">
            <v>138</v>
          </cell>
          <cell r="G189">
            <v>20148</v>
          </cell>
          <cell r="J189">
            <v>27</v>
          </cell>
          <cell r="L189">
            <v>15093</v>
          </cell>
          <cell r="M189">
            <v>3731</v>
          </cell>
          <cell r="N189">
            <v>8090</v>
          </cell>
          <cell r="Q189">
            <v>78144</v>
          </cell>
          <cell r="S189">
            <v>125206</v>
          </cell>
          <cell r="V189">
            <v>125206</v>
          </cell>
          <cell r="W189">
            <v>0</v>
          </cell>
        </row>
        <row r="190">
          <cell r="E190">
            <v>144</v>
          </cell>
          <cell r="G190">
            <v>21024</v>
          </cell>
          <cell r="J190">
            <v>36</v>
          </cell>
          <cell r="L190">
            <v>20124</v>
          </cell>
          <cell r="M190">
            <v>3731</v>
          </cell>
          <cell r="N190">
            <v>8101</v>
          </cell>
          <cell r="Q190">
            <v>78144</v>
          </cell>
          <cell r="S190">
            <v>131124</v>
          </cell>
          <cell r="V190">
            <v>131124</v>
          </cell>
          <cell r="W190">
            <v>0</v>
          </cell>
        </row>
        <row r="191">
          <cell r="E191">
            <v>73</v>
          </cell>
          <cell r="G191">
            <v>10658</v>
          </cell>
          <cell r="J191">
            <v>16</v>
          </cell>
          <cell r="L191">
            <v>8944</v>
          </cell>
          <cell r="M191">
            <v>3731</v>
          </cell>
          <cell r="N191">
            <v>8123</v>
          </cell>
          <cell r="Q191">
            <v>78144</v>
          </cell>
          <cell r="S191">
            <v>109600</v>
          </cell>
          <cell r="W191">
            <v>109600</v>
          </cell>
        </row>
        <row r="192">
          <cell r="E192">
            <v>87</v>
          </cell>
          <cell r="G192">
            <v>12702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Q192">
            <v>78144</v>
          </cell>
          <cell r="S192">
            <v>107756</v>
          </cell>
          <cell r="V192">
            <v>217356</v>
          </cell>
          <cell r="W192">
            <v>0</v>
          </cell>
        </row>
        <row r="193">
          <cell r="E193">
            <v>79</v>
          </cell>
          <cell r="G193">
            <v>11534</v>
          </cell>
          <cell r="J193">
            <v>3</v>
          </cell>
          <cell r="L193">
            <v>1677</v>
          </cell>
          <cell r="M193">
            <v>3731</v>
          </cell>
          <cell r="N193">
            <v>8161</v>
          </cell>
          <cell r="Q193">
            <v>78144</v>
          </cell>
          <cell r="S193">
            <v>103247</v>
          </cell>
          <cell r="W193">
            <v>103247</v>
          </cell>
        </row>
        <row r="194">
          <cell r="E194">
            <v>82</v>
          </cell>
          <cell r="G194">
            <v>11972</v>
          </cell>
          <cell r="J194">
            <v>1</v>
          </cell>
          <cell r="L194">
            <v>559</v>
          </cell>
          <cell r="M194">
            <v>3731</v>
          </cell>
          <cell r="N194">
            <v>8186</v>
          </cell>
          <cell r="Q194">
            <v>78144</v>
          </cell>
          <cell r="S194">
            <v>102592</v>
          </cell>
          <cell r="V194">
            <v>205839</v>
          </cell>
          <cell r="W194">
            <v>0</v>
          </cell>
        </row>
        <row r="195">
          <cell r="E195">
            <v>71</v>
          </cell>
          <cell r="G195">
            <v>10366</v>
          </cell>
          <cell r="J195">
            <v>3</v>
          </cell>
          <cell r="L195">
            <v>1677</v>
          </cell>
          <cell r="M195">
            <v>3731</v>
          </cell>
          <cell r="N195">
            <v>8207</v>
          </cell>
          <cell r="Q195">
            <v>78144</v>
          </cell>
          <cell r="S195">
            <v>102125</v>
          </cell>
          <cell r="W195">
            <v>102125</v>
          </cell>
        </row>
        <row r="196">
          <cell r="E196">
            <v>85</v>
          </cell>
          <cell r="G196">
            <v>12410</v>
          </cell>
          <cell r="J196">
            <v>2</v>
          </cell>
          <cell r="L196">
            <v>1118</v>
          </cell>
          <cell r="M196">
            <v>3731</v>
          </cell>
          <cell r="N196">
            <v>8230</v>
          </cell>
          <cell r="Q196">
            <v>78144</v>
          </cell>
          <cell r="S196">
            <v>103633</v>
          </cell>
          <cell r="V196">
            <v>205758</v>
          </cell>
          <cell r="W196">
            <v>0</v>
          </cell>
        </row>
        <row r="197">
          <cell r="E197">
            <v>58</v>
          </cell>
          <cell r="G197">
            <v>8468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98603</v>
          </cell>
          <cell r="V197">
            <v>98603</v>
          </cell>
          <cell r="W197">
            <v>0</v>
          </cell>
        </row>
        <row r="198">
          <cell r="E198">
            <v>57</v>
          </cell>
          <cell r="G198">
            <v>8322</v>
          </cell>
          <cell r="J198">
            <v>19</v>
          </cell>
          <cell r="L198">
            <v>10621</v>
          </cell>
          <cell r="M198">
            <v>3731</v>
          </cell>
          <cell r="N198">
            <v>8270</v>
          </cell>
          <cell r="Q198">
            <v>78144</v>
          </cell>
          <cell r="S198">
            <v>109088</v>
          </cell>
          <cell r="V198">
            <v>109088</v>
          </cell>
          <cell r="W198">
            <v>0</v>
          </cell>
        </row>
        <row r="199">
          <cell r="E199">
            <v>77</v>
          </cell>
          <cell r="G199">
            <v>11242</v>
          </cell>
          <cell r="J199">
            <v>22</v>
          </cell>
          <cell r="L199">
            <v>12298</v>
          </cell>
          <cell r="M199">
            <v>3828</v>
          </cell>
          <cell r="N199">
            <v>8264</v>
          </cell>
          <cell r="Q199">
            <v>80176</v>
          </cell>
          <cell r="S199">
            <v>115808</v>
          </cell>
          <cell r="V199">
            <v>115808</v>
          </cell>
          <cell r="W199">
            <v>0</v>
          </cell>
        </row>
        <row r="200">
          <cell r="E200">
            <v>84</v>
          </cell>
          <cell r="G200">
            <v>12264</v>
          </cell>
          <cell r="J200">
            <v>23</v>
          </cell>
          <cell r="L200">
            <v>12857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117392</v>
          </cell>
          <cell r="V200">
            <v>117392</v>
          </cell>
          <cell r="W200">
            <v>0</v>
          </cell>
        </row>
        <row r="201">
          <cell r="E201">
            <v>78</v>
          </cell>
          <cell r="G201">
            <v>11388</v>
          </cell>
          <cell r="J201">
            <v>22</v>
          </cell>
          <cell r="L201">
            <v>12298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115960</v>
          </cell>
          <cell r="V201">
            <v>115960</v>
          </cell>
          <cell r="W201">
            <v>0</v>
          </cell>
        </row>
        <row r="202">
          <cell r="E202">
            <v>119</v>
          </cell>
          <cell r="G202">
            <v>17374</v>
          </cell>
          <cell r="J202">
            <v>23</v>
          </cell>
          <cell r="L202">
            <v>12857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122534</v>
          </cell>
          <cell r="V202">
            <v>122534</v>
          </cell>
          <cell r="W202">
            <v>0</v>
          </cell>
        </row>
        <row r="203">
          <cell r="E203">
            <v>253</v>
          </cell>
          <cell r="G203">
            <v>36938</v>
          </cell>
          <cell r="J203">
            <v>19</v>
          </cell>
          <cell r="L203">
            <v>10621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139892</v>
          </cell>
          <cell r="V203"/>
          <cell r="W203">
            <v>139892</v>
          </cell>
        </row>
        <row r="204">
          <cell r="E204">
            <v>-26531</v>
          </cell>
          <cell r="G204">
            <v>-3873526</v>
          </cell>
          <cell r="J204">
            <v>-9318</v>
          </cell>
          <cell r="L204">
            <v>-5208762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-8998284</v>
          </cell>
          <cell r="V204"/>
          <cell r="W204">
            <v>-8858392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-8774388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-8690384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-8606380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-8522376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-8438372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-8354368</v>
          </cell>
        </row>
      </sheetData>
      <sheetData sheetId="19">
        <row r="175">
          <cell r="E175">
            <v>183</v>
          </cell>
          <cell r="G175">
            <v>26718</v>
          </cell>
          <cell r="J175">
            <v>134</v>
          </cell>
          <cell r="L175">
            <v>77426</v>
          </cell>
          <cell r="M175">
            <v>3731</v>
          </cell>
          <cell r="N175">
            <v>7000</v>
          </cell>
          <cell r="O175">
            <v>0</v>
          </cell>
          <cell r="P175">
            <v>15000</v>
          </cell>
          <cell r="Q175">
            <v>76410</v>
          </cell>
          <cell r="S175">
            <v>206285</v>
          </cell>
          <cell r="V175">
            <v>206285</v>
          </cell>
          <cell r="W175">
            <v>1.0000000125728548E-2</v>
          </cell>
        </row>
        <row r="176">
          <cell r="E176">
            <v>187</v>
          </cell>
          <cell r="G176">
            <v>27302</v>
          </cell>
          <cell r="J176">
            <v>130</v>
          </cell>
          <cell r="L176">
            <v>74470</v>
          </cell>
          <cell r="M176">
            <v>3731</v>
          </cell>
          <cell r="N176">
            <v>7000</v>
          </cell>
          <cell r="O176">
            <v>0</v>
          </cell>
          <cell r="P176">
            <v>15000</v>
          </cell>
          <cell r="Q176">
            <v>76410</v>
          </cell>
          <cell r="S176">
            <v>203913</v>
          </cell>
          <cell r="V176">
            <v>203913</v>
          </cell>
          <cell r="W176">
            <v>1.0000000125728548E-2</v>
          </cell>
        </row>
        <row r="177">
          <cell r="E177">
            <v>310</v>
          </cell>
          <cell r="G177">
            <v>45260</v>
          </cell>
          <cell r="J177">
            <v>115</v>
          </cell>
          <cell r="L177">
            <v>64285</v>
          </cell>
          <cell r="M177">
            <v>3731</v>
          </cell>
          <cell r="N177">
            <v>7000</v>
          </cell>
          <cell r="O177">
            <v>0</v>
          </cell>
          <cell r="P177">
            <v>15000</v>
          </cell>
          <cell r="Q177">
            <v>76410</v>
          </cell>
          <cell r="S177">
            <v>211686</v>
          </cell>
          <cell r="V177">
            <v>211686</v>
          </cell>
          <cell r="W177">
            <v>1.0000000125728548E-2</v>
          </cell>
        </row>
        <row r="178">
          <cell r="E178">
            <v>209</v>
          </cell>
          <cell r="G178">
            <v>30514</v>
          </cell>
          <cell r="J178">
            <v>70</v>
          </cell>
          <cell r="L178">
            <v>39130</v>
          </cell>
          <cell r="M178">
            <v>3731</v>
          </cell>
          <cell r="N178">
            <v>7000</v>
          </cell>
          <cell r="O178">
            <v>0</v>
          </cell>
          <cell r="P178">
            <v>15000</v>
          </cell>
          <cell r="Q178">
            <v>76410</v>
          </cell>
          <cell r="S178">
            <v>171785</v>
          </cell>
          <cell r="V178">
            <v>171785</v>
          </cell>
          <cell r="W178">
            <v>1.0000000125728548E-2</v>
          </cell>
        </row>
        <row r="179">
          <cell r="E179">
            <v>179</v>
          </cell>
          <cell r="G179">
            <v>26134</v>
          </cell>
          <cell r="J179">
            <v>25</v>
          </cell>
          <cell r="L179">
            <v>13975</v>
          </cell>
          <cell r="M179">
            <v>3731</v>
          </cell>
          <cell r="N179">
            <v>7000</v>
          </cell>
          <cell r="O179">
            <v>0</v>
          </cell>
          <cell r="P179">
            <v>15000</v>
          </cell>
          <cell r="Q179">
            <v>76410</v>
          </cell>
          <cell r="S179">
            <v>142250</v>
          </cell>
          <cell r="V179">
            <v>142250</v>
          </cell>
          <cell r="W179">
            <v>1.0000000125728548E-2</v>
          </cell>
        </row>
        <row r="180">
          <cell r="E180">
            <v>96</v>
          </cell>
          <cell r="G180">
            <v>14016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15000</v>
          </cell>
          <cell r="Q180">
            <v>76410</v>
          </cell>
          <cell r="S180">
            <v>116157</v>
          </cell>
          <cell r="V180">
            <v>116157</v>
          </cell>
          <cell r="W180">
            <v>1.0000000125728548E-2</v>
          </cell>
        </row>
        <row r="181">
          <cell r="E181">
            <v>26</v>
          </cell>
          <cell r="G181">
            <v>3796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15000</v>
          </cell>
          <cell r="Q181">
            <v>76410</v>
          </cell>
          <cell r="S181">
            <v>105937</v>
          </cell>
          <cell r="V181">
            <v>105937</v>
          </cell>
          <cell r="W181">
            <v>1.0000000125728548E-2</v>
          </cell>
        </row>
        <row r="182">
          <cell r="E182">
            <v>35</v>
          </cell>
          <cell r="G182">
            <v>5110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15000</v>
          </cell>
          <cell r="Q182">
            <v>76410</v>
          </cell>
          <cell r="S182">
            <v>108232</v>
          </cell>
          <cell r="V182">
            <v>108232</v>
          </cell>
          <cell r="W182">
            <v>1.0000000125728548E-2</v>
          </cell>
        </row>
        <row r="183">
          <cell r="E183">
            <v>104</v>
          </cell>
          <cell r="G183">
            <v>15184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15000</v>
          </cell>
          <cell r="Q183">
            <v>76410</v>
          </cell>
          <cell r="S183">
            <v>118322</v>
          </cell>
          <cell r="V183">
            <v>118322</v>
          </cell>
          <cell r="W183">
            <v>1.0000000125728548E-2</v>
          </cell>
        </row>
        <row r="184">
          <cell r="E184">
            <v>109</v>
          </cell>
          <cell r="G184">
            <v>15914</v>
          </cell>
          <cell r="J184">
            <v>1</v>
          </cell>
          <cell r="L184">
            <v>559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114604</v>
          </cell>
          <cell r="V184">
            <v>114604</v>
          </cell>
          <cell r="W184">
            <v>1.0000000125728548E-2</v>
          </cell>
        </row>
        <row r="185">
          <cell r="E185">
            <v>253</v>
          </cell>
          <cell r="G185">
            <v>36938</v>
          </cell>
          <cell r="J185">
            <v>26</v>
          </cell>
          <cell r="L185">
            <v>14534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S185">
            <v>149632</v>
          </cell>
          <cell r="V185">
            <v>149632</v>
          </cell>
          <cell r="W185">
            <v>1.0000000125728548E-2</v>
          </cell>
        </row>
        <row r="186">
          <cell r="E186">
            <v>163</v>
          </cell>
          <cell r="G186">
            <v>23798</v>
          </cell>
          <cell r="J186">
            <v>59</v>
          </cell>
          <cell r="L186">
            <v>32981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S186">
            <v>154959</v>
          </cell>
          <cell r="V186">
            <v>154959</v>
          </cell>
          <cell r="W186">
            <v>1.0000000125728548E-2</v>
          </cell>
        </row>
        <row r="187">
          <cell r="E187">
            <v>187</v>
          </cell>
          <cell r="G187">
            <v>27302</v>
          </cell>
          <cell r="J187">
            <v>88</v>
          </cell>
          <cell r="L187">
            <v>49192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S187">
            <v>176416</v>
          </cell>
          <cell r="V187">
            <v>176416</v>
          </cell>
          <cell r="W187">
            <v>1.0000000125728548E-2</v>
          </cell>
        </row>
        <row r="188">
          <cell r="E188">
            <v>244</v>
          </cell>
          <cell r="G188">
            <v>35624</v>
          </cell>
          <cell r="J188">
            <v>84</v>
          </cell>
          <cell r="L188">
            <v>46956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S188">
            <v>182532</v>
          </cell>
          <cell r="V188">
            <v>182532</v>
          </cell>
          <cell r="W188">
            <v>1.0000000125728548E-2</v>
          </cell>
        </row>
        <row r="189">
          <cell r="E189">
            <v>221</v>
          </cell>
          <cell r="G189">
            <v>32266</v>
          </cell>
          <cell r="J189">
            <v>52</v>
          </cell>
          <cell r="L189">
            <v>29068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S189">
            <v>161299</v>
          </cell>
          <cell r="V189">
            <v>161299</v>
          </cell>
          <cell r="W189">
            <v>1.0000000125728548E-2</v>
          </cell>
        </row>
        <row r="190">
          <cell r="E190">
            <v>248</v>
          </cell>
          <cell r="G190">
            <v>36208</v>
          </cell>
          <cell r="J190">
            <v>55</v>
          </cell>
          <cell r="L190">
            <v>30745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S190">
            <v>166929</v>
          </cell>
          <cell r="V190">
            <v>166929</v>
          </cell>
          <cell r="W190">
            <v>1.0000000125728548E-2</v>
          </cell>
        </row>
        <row r="191">
          <cell r="E191">
            <v>242</v>
          </cell>
          <cell r="G191">
            <v>35332</v>
          </cell>
          <cell r="J191">
            <v>39</v>
          </cell>
          <cell r="L191">
            <v>21801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S191">
            <v>157131</v>
          </cell>
          <cell r="V191">
            <v>157131</v>
          </cell>
          <cell r="W191">
            <v>1.0000000125728548E-2</v>
          </cell>
        </row>
        <row r="192">
          <cell r="E192">
            <v>213</v>
          </cell>
          <cell r="G192">
            <v>31098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121680</v>
          </cell>
          <cell r="V192">
            <v>121680</v>
          </cell>
          <cell r="W192">
            <v>1.0000000125728548E-2</v>
          </cell>
        </row>
        <row r="193">
          <cell r="E193">
            <v>220</v>
          </cell>
          <cell r="G193">
            <v>32120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122156</v>
          </cell>
          <cell r="V193">
            <v>122156</v>
          </cell>
          <cell r="W193">
            <v>1.0000000125728548E-2</v>
          </cell>
        </row>
        <row r="194">
          <cell r="E194">
            <v>261</v>
          </cell>
          <cell r="G194">
            <v>38106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128167</v>
          </cell>
          <cell r="V194">
            <v>128167</v>
          </cell>
          <cell r="W194">
            <v>1.0000000125728548E-2</v>
          </cell>
        </row>
        <row r="195">
          <cell r="E195">
            <v>213</v>
          </cell>
          <cell r="G195">
            <v>31098</v>
          </cell>
          <cell r="J195">
            <v>16</v>
          </cell>
          <cell r="L195">
            <v>8944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130124</v>
          </cell>
          <cell r="V195">
            <v>130124</v>
          </cell>
          <cell r="W195">
            <v>1.0000000125728548E-2</v>
          </cell>
        </row>
        <row r="196">
          <cell r="E196">
            <v>218</v>
          </cell>
          <cell r="G196">
            <v>31828</v>
          </cell>
          <cell r="J196">
            <v>19</v>
          </cell>
          <cell r="L196">
            <v>10621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132554</v>
          </cell>
          <cell r="V196">
            <v>132554</v>
          </cell>
          <cell r="W196">
            <v>1.0000000125728548E-2</v>
          </cell>
        </row>
        <row r="197">
          <cell r="E197">
            <v>267</v>
          </cell>
          <cell r="G197">
            <v>38982</v>
          </cell>
          <cell r="J197">
            <v>38</v>
          </cell>
          <cell r="L197">
            <v>21242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150359</v>
          </cell>
          <cell r="V197">
            <v>150359</v>
          </cell>
          <cell r="W197">
            <v>1.0000000125728548E-2</v>
          </cell>
        </row>
        <row r="198">
          <cell r="E198">
            <v>214</v>
          </cell>
          <cell r="G198">
            <v>31244</v>
          </cell>
          <cell r="J198">
            <v>72</v>
          </cell>
          <cell r="L198">
            <v>40248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161637</v>
          </cell>
          <cell r="V198">
            <v>161637</v>
          </cell>
          <cell r="W198">
            <v>1.0000000125728548E-2</v>
          </cell>
        </row>
        <row r="199">
          <cell r="E199">
            <v>244</v>
          </cell>
          <cell r="G199">
            <v>35624</v>
          </cell>
          <cell r="J199">
            <v>72</v>
          </cell>
          <cell r="L199">
            <v>40248</v>
          </cell>
          <cell r="M199">
            <v>3828</v>
          </cell>
          <cell r="N199">
            <v>8264</v>
          </cell>
          <cell r="Q199">
            <v>80176</v>
          </cell>
          <cell r="S199">
            <v>168140</v>
          </cell>
          <cell r="V199">
            <v>168140</v>
          </cell>
          <cell r="W199">
            <v>1.0000000125728548E-2</v>
          </cell>
        </row>
        <row r="200">
          <cell r="E200">
            <v>260</v>
          </cell>
          <cell r="G200">
            <v>37960</v>
          </cell>
          <cell r="J200">
            <v>65</v>
          </cell>
          <cell r="L200">
            <v>36335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166566</v>
          </cell>
          <cell r="V200">
            <v>166566</v>
          </cell>
          <cell r="W200">
            <v>1.0000000125728548E-2</v>
          </cell>
        </row>
        <row r="201">
          <cell r="E201">
            <v>252</v>
          </cell>
          <cell r="G201">
            <v>36792</v>
          </cell>
          <cell r="J201">
            <v>59</v>
          </cell>
          <cell r="L201">
            <v>32981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162047</v>
          </cell>
          <cell r="V201">
            <v>162047</v>
          </cell>
          <cell r="W201">
            <v>1.0000000125728548E-2</v>
          </cell>
        </row>
        <row r="202">
          <cell r="E202">
            <v>255</v>
          </cell>
          <cell r="G202">
            <v>37230</v>
          </cell>
          <cell r="J202">
            <v>63</v>
          </cell>
          <cell r="L202">
            <v>35217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164750</v>
          </cell>
          <cell r="V202">
            <v>164750</v>
          </cell>
          <cell r="W202">
            <v>1.0000000125728548E-2</v>
          </cell>
        </row>
        <row r="203">
          <cell r="E203">
            <v>273</v>
          </cell>
          <cell r="G203">
            <v>39858</v>
          </cell>
          <cell r="J203">
            <v>40</v>
          </cell>
          <cell r="L203">
            <v>22360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154551</v>
          </cell>
          <cell r="V203"/>
          <cell r="W203">
            <v>154551.01000000013</v>
          </cell>
        </row>
        <row r="204">
          <cell r="E204">
            <v>-39088</v>
          </cell>
          <cell r="G204">
            <v>-5706848</v>
          </cell>
          <cell r="J204">
            <v>-3850</v>
          </cell>
          <cell r="L204">
            <v>-2152150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-7774994</v>
          </cell>
          <cell r="V204"/>
          <cell r="W204">
            <v>-7620442.9900000002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-7536438.9900000002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-7452434.9900000002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-7368430.9900000002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-7284426.9900000002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-7200422.9900000002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-7116418.9900000002</v>
          </cell>
        </row>
      </sheetData>
      <sheetData sheetId="2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87141</v>
          </cell>
          <cell r="W175">
            <v>-0.12999999988824129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87141</v>
          </cell>
          <cell r="W176">
            <v>-0.12999999988824129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-0.12999999988824129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87141</v>
          </cell>
          <cell r="W178">
            <v>-0.12999999988824129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87741</v>
          </cell>
          <cell r="W179">
            <v>-600.12999999988824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86540</v>
          </cell>
          <cell r="W180">
            <v>0.87000000011175871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87142</v>
          </cell>
          <cell r="W181">
            <v>-0.12999999988824129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-0.12999999988824129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88138</v>
          </cell>
          <cell r="W183">
            <v>-0.12999999988824129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88131</v>
          </cell>
          <cell r="W184">
            <v>-0.12999999988824129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88160</v>
          </cell>
          <cell r="W185">
            <v>-0.12999999988824129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88180</v>
          </cell>
          <cell r="W186">
            <v>-0.12999999988824129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89922</v>
          </cell>
          <cell r="W187">
            <v>-0.12999999988824129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89952</v>
          </cell>
          <cell r="W188">
            <v>-0.12999999988824129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89965</v>
          </cell>
          <cell r="W189">
            <v>-0.12999999988824129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89976</v>
          </cell>
          <cell r="W190">
            <v>-0.12999999988824129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89980</v>
          </cell>
          <cell r="W191">
            <v>17.870000000111759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90041</v>
          </cell>
          <cell r="W192">
            <v>-0.12999999988824129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90036</v>
          </cell>
          <cell r="W193">
            <v>-0.12999999988824129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90061</v>
          </cell>
          <cell r="W194">
            <v>-0.12999999988824129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-0.12999999988824129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-0.12999999988824129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90135</v>
          </cell>
          <cell r="W197">
            <v>-0.12999999988824129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90150</v>
          </cell>
          <cell r="W198">
            <v>-5.1299999998882413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90150</v>
          </cell>
          <cell r="W199">
            <v>2112.8700000001118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94384</v>
          </cell>
          <cell r="W200">
            <v>-0.12999999988824129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-0.12999999988824129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-0.12999999988824129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92332.870000000112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176336.87000000011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260340.87000000011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344344.87000000011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428348.87000000011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512352.87000000011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596356.87000000011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680360.87000000011</v>
          </cell>
        </row>
      </sheetData>
      <sheetData sheetId="2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W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174282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W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174282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R183">
            <v>53314</v>
          </cell>
          <cell r="S183">
            <v>141452</v>
          </cell>
          <cell r="V183">
            <v>353099</v>
          </cell>
          <cell r="W183">
            <v>-211647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R184">
            <v>53270</v>
          </cell>
          <cell r="S184">
            <v>141401</v>
          </cell>
          <cell r="W184">
            <v>-70246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R185">
            <v>53462</v>
          </cell>
          <cell r="S185">
            <v>141622</v>
          </cell>
          <cell r="V185">
            <v>78144</v>
          </cell>
          <cell r="W185">
            <v>-6768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R186">
            <v>53650</v>
          </cell>
          <cell r="S186">
            <v>141830</v>
          </cell>
          <cell r="V186">
            <v>101773</v>
          </cell>
          <cell r="W186">
            <v>33289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R187">
            <v>53847</v>
          </cell>
          <cell r="S187">
            <v>143769</v>
          </cell>
          <cell r="V187">
            <v>89965</v>
          </cell>
          <cell r="W187">
            <v>87093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179952</v>
          </cell>
          <cell r="W188">
            <v>-2907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W189">
            <v>87058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177034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R191">
            <v>54318</v>
          </cell>
          <cell r="S191">
            <v>144316</v>
          </cell>
          <cell r="V191">
            <v>192300</v>
          </cell>
          <cell r="W191">
            <v>-47984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R192">
            <v>54405</v>
          </cell>
          <cell r="S192">
            <v>144428</v>
          </cell>
          <cell r="W192">
            <v>96444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R193">
            <v>54575</v>
          </cell>
          <cell r="S193">
            <v>144611</v>
          </cell>
          <cell r="W193">
            <v>241055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331116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2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W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174282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W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174282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87141</v>
          </cell>
          <cell r="W182">
            <v>981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R183">
            <v>53314</v>
          </cell>
          <cell r="S183">
            <v>141452</v>
          </cell>
          <cell r="V183">
            <v>353100</v>
          </cell>
          <cell r="W183">
            <v>-210667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R184">
            <v>53270</v>
          </cell>
          <cell r="S184">
            <v>141401</v>
          </cell>
          <cell r="W184">
            <v>-69266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R185">
            <v>53462</v>
          </cell>
          <cell r="S185">
            <v>141622</v>
          </cell>
          <cell r="V185">
            <v>78144</v>
          </cell>
          <cell r="W185">
            <v>-5788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R186">
            <v>53650</v>
          </cell>
          <cell r="S186">
            <v>141830</v>
          </cell>
          <cell r="V186">
            <v>101773</v>
          </cell>
          <cell r="W186">
            <v>34269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R187">
            <v>53847</v>
          </cell>
          <cell r="S187">
            <v>143769</v>
          </cell>
          <cell r="V187">
            <v>89965</v>
          </cell>
          <cell r="W187">
            <v>88073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179952</v>
          </cell>
          <cell r="W188">
            <v>-1927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W189">
            <v>88038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177034</v>
          </cell>
          <cell r="W190">
            <v>980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R191">
            <v>54318</v>
          </cell>
          <cell r="S191">
            <v>144316</v>
          </cell>
          <cell r="V191">
            <v>192301</v>
          </cell>
          <cell r="W191">
            <v>-47005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R192">
            <v>54405</v>
          </cell>
          <cell r="S192">
            <v>144428</v>
          </cell>
          <cell r="W192">
            <v>97423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R193">
            <v>54575</v>
          </cell>
          <cell r="S193">
            <v>144611</v>
          </cell>
          <cell r="W193">
            <v>242034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332095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90106</v>
          </cell>
          <cell r="W196">
            <v>-1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90134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2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52636</v>
          </cell>
          <cell r="S175">
            <v>139777</v>
          </cell>
          <cell r="W175">
            <v>3264697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52784</v>
          </cell>
          <cell r="S176">
            <v>139925</v>
          </cell>
          <cell r="W176">
            <v>3404622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>
            <v>52944</v>
          </cell>
          <cell r="S177">
            <v>140085</v>
          </cell>
          <cell r="W177">
            <v>3544707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53123</v>
          </cell>
          <cell r="S178">
            <v>140264</v>
          </cell>
          <cell r="W178">
            <v>3684971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53262</v>
          </cell>
          <cell r="S179">
            <v>140403</v>
          </cell>
          <cell r="W179">
            <v>3825374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>
            <v>53330</v>
          </cell>
          <cell r="S180">
            <v>140471</v>
          </cell>
          <cell r="W180">
            <v>3965845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>
            <v>53195</v>
          </cell>
          <cell r="S181">
            <v>140336</v>
          </cell>
          <cell r="W181">
            <v>4106181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>
            <v>53208</v>
          </cell>
          <cell r="S182">
            <v>141330</v>
          </cell>
          <cell r="W182">
            <v>4247511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>
            <v>53314</v>
          </cell>
          <cell r="S183">
            <v>141452</v>
          </cell>
          <cell r="W183">
            <v>4388963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>
            <v>53270</v>
          </cell>
          <cell r="S184">
            <v>141401</v>
          </cell>
          <cell r="W184">
            <v>4530364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53462</v>
          </cell>
          <cell r="S185">
            <v>141622</v>
          </cell>
          <cell r="W185">
            <v>4671986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53650</v>
          </cell>
          <cell r="S186">
            <v>141830</v>
          </cell>
          <cell r="W186">
            <v>4813816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P187">
            <v>0</v>
          </cell>
          <cell r="Q187">
            <v>78144</v>
          </cell>
          <cell r="R187">
            <v>53847</v>
          </cell>
          <cell r="S187">
            <v>143769</v>
          </cell>
          <cell r="W187">
            <v>4957585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P188">
            <v>0</v>
          </cell>
          <cell r="Q188">
            <v>78144</v>
          </cell>
          <cell r="R188">
            <v>53934</v>
          </cell>
          <cell r="S188">
            <v>143886</v>
          </cell>
          <cell r="W188">
            <v>5101471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P189">
            <v>0</v>
          </cell>
          <cell r="Q189">
            <v>78144</v>
          </cell>
          <cell r="R189">
            <v>54009</v>
          </cell>
          <cell r="S189">
            <v>143974</v>
          </cell>
          <cell r="W189">
            <v>5245445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P190">
            <v>0</v>
          </cell>
          <cell r="Q190">
            <v>78144</v>
          </cell>
          <cell r="R190">
            <v>54157</v>
          </cell>
          <cell r="S190">
            <v>144133</v>
          </cell>
          <cell r="W190">
            <v>5389578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P191">
            <v>0</v>
          </cell>
          <cell r="Q191">
            <v>78144</v>
          </cell>
          <cell r="R191">
            <v>54318</v>
          </cell>
          <cell r="S191">
            <v>144316</v>
          </cell>
          <cell r="W191">
            <v>5533894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P192">
            <v>0</v>
          </cell>
          <cell r="Q192">
            <v>78144</v>
          </cell>
          <cell r="R192">
            <v>54405</v>
          </cell>
          <cell r="S192">
            <v>144428</v>
          </cell>
          <cell r="W192">
            <v>5678322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P193">
            <v>0</v>
          </cell>
          <cell r="Q193">
            <v>78144</v>
          </cell>
          <cell r="R193">
            <v>54575</v>
          </cell>
          <cell r="S193">
            <v>144611</v>
          </cell>
          <cell r="W193">
            <v>5822933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P194">
            <v>0</v>
          </cell>
          <cell r="Q194">
            <v>78144</v>
          </cell>
          <cell r="R194">
            <v>54715</v>
          </cell>
          <cell r="S194">
            <v>144776</v>
          </cell>
          <cell r="W194">
            <v>5967709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P195">
            <v>0</v>
          </cell>
          <cell r="Q195">
            <v>78144</v>
          </cell>
          <cell r="R195">
            <v>54864</v>
          </cell>
          <cell r="S195">
            <v>144946</v>
          </cell>
          <cell r="W195">
            <v>6112655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P196">
            <v>0</v>
          </cell>
          <cell r="Q196">
            <v>78144</v>
          </cell>
          <cell r="R196">
            <v>55066</v>
          </cell>
          <cell r="S196">
            <v>145171</v>
          </cell>
          <cell r="W196">
            <v>6257826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P197">
            <v>0</v>
          </cell>
          <cell r="Q197">
            <v>78144</v>
          </cell>
          <cell r="R197">
            <v>55132</v>
          </cell>
          <cell r="S197">
            <v>145267</v>
          </cell>
          <cell r="W197">
            <v>6403093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P198">
            <v>0</v>
          </cell>
          <cell r="Q198">
            <v>78144</v>
          </cell>
          <cell r="R198">
            <v>55092</v>
          </cell>
          <cell r="S198">
            <v>145237</v>
          </cell>
          <cell r="W198">
            <v>6548330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V199">
            <v>626038</v>
          </cell>
          <cell r="W199">
            <v>6069652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6217037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6364443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S202">
            <v>147627</v>
          </cell>
          <cell r="V202"/>
          <cell r="W202">
            <v>6512070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6604403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6688407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6772411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6856415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6940419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7024423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7108427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7192431</v>
          </cell>
        </row>
      </sheetData>
      <sheetData sheetId="24">
        <row r="175">
          <cell r="E175">
            <v>312</v>
          </cell>
          <cell r="G175">
            <v>45552</v>
          </cell>
          <cell r="J175">
            <v>22</v>
          </cell>
          <cell r="L175">
            <v>12298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S175">
            <v>144991</v>
          </cell>
          <cell r="V175">
            <v>154991</v>
          </cell>
          <cell r="W175">
            <v>-130000</v>
          </cell>
        </row>
        <row r="176">
          <cell r="E176">
            <v>351</v>
          </cell>
          <cell r="G176">
            <v>51246</v>
          </cell>
          <cell r="J176">
            <v>29</v>
          </cell>
          <cell r="L176">
            <v>16211</v>
          </cell>
          <cell r="M176">
            <v>3731</v>
          </cell>
          <cell r="N176">
            <v>7000</v>
          </cell>
          <cell r="O176">
            <v>0</v>
          </cell>
          <cell r="Q176">
            <v>76410</v>
          </cell>
          <cell r="S176">
            <v>154598</v>
          </cell>
          <cell r="V176">
            <v>164598</v>
          </cell>
          <cell r="W176">
            <v>-140000</v>
          </cell>
        </row>
        <row r="177">
          <cell r="E177">
            <v>200</v>
          </cell>
          <cell r="G177">
            <v>29200</v>
          </cell>
          <cell r="J177">
            <v>23</v>
          </cell>
          <cell r="L177">
            <v>12857</v>
          </cell>
          <cell r="M177">
            <v>3731</v>
          </cell>
          <cell r="N177">
            <v>7000</v>
          </cell>
          <cell r="O177">
            <v>0</v>
          </cell>
          <cell r="Q177">
            <v>76410</v>
          </cell>
          <cell r="S177">
            <v>129198</v>
          </cell>
          <cell r="V177">
            <v>139198</v>
          </cell>
          <cell r="W177">
            <v>-150000</v>
          </cell>
        </row>
        <row r="178">
          <cell r="E178">
            <v>104</v>
          </cell>
          <cell r="G178">
            <v>15184</v>
          </cell>
          <cell r="J178">
            <v>17</v>
          </cell>
          <cell r="L178">
            <v>9503</v>
          </cell>
          <cell r="M178">
            <v>3731</v>
          </cell>
          <cell r="N178">
            <v>7000</v>
          </cell>
          <cell r="O178">
            <v>0</v>
          </cell>
          <cell r="Q178">
            <v>76410</v>
          </cell>
          <cell r="S178">
            <v>111828</v>
          </cell>
          <cell r="V178">
            <v>121828</v>
          </cell>
          <cell r="W178">
            <v>-160000</v>
          </cell>
        </row>
        <row r="179">
          <cell r="E179">
            <v>58</v>
          </cell>
          <cell r="G179">
            <v>8468</v>
          </cell>
          <cell r="J179">
            <v>3</v>
          </cell>
          <cell r="L179">
            <v>1677</v>
          </cell>
          <cell r="M179">
            <v>3731</v>
          </cell>
          <cell r="N179">
            <v>7000</v>
          </cell>
          <cell r="O179">
            <v>0</v>
          </cell>
          <cell r="Q179">
            <v>76410</v>
          </cell>
          <cell r="S179">
            <v>97286</v>
          </cell>
          <cell r="V179">
            <v>107286</v>
          </cell>
          <cell r="W179">
            <v>-170000</v>
          </cell>
        </row>
        <row r="180">
          <cell r="E180">
            <v>83</v>
          </cell>
          <cell r="G180">
            <v>12118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Q180">
            <v>76410</v>
          </cell>
          <cell r="S180">
            <v>99818</v>
          </cell>
          <cell r="V180">
            <v>109818</v>
          </cell>
          <cell r="W180">
            <v>-180000</v>
          </cell>
        </row>
        <row r="181">
          <cell r="E181">
            <v>41</v>
          </cell>
          <cell r="G181">
            <v>5986</v>
          </cell>
          <cell r="J181">
            <v>1</v>
          </cell>
          <cell r="L181">
            <v>559</v>
          </cell>
          <cell r="M181">
            <v>3731</v>
          </cell>
          <cell r="N181">
            <v>7000</v>
          </cell>
          <cell r="O181">
            <v>0</v>
          </cell>
          <cell r="Q181">
            <v>76410</v>
          </cell>
          <cell r="S181">
            <v>93686</v>
          </cell>
          <cell r="V181">
            <v>93686</v>
          </cell>
          <cell r="W181">
            <v>-180000</v>
          </cell>
        </row>
        <row r="182">
          <cell r="E182">
            <v>155</v>
          </cell>
          <cell r="G182">
            <v>22630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O182">
            <v>0</v>
          </cell>
          <cell r="Q182">
            <v>76410</v>
          </cell>
          <cell r="S182">
            <v>112988</v>
          </cell>
          <cell r="V182">
            <v>122988</v>
          </cell>
          <cell r="W182">
            <v>-190000</v>
          </cell>
        </row>
        <row r="183">
          <cell r="E183">
            <v>167</v>
          </cell>
          <cell r="G183">
            <v>24382</v>
          </cell>
          <cell r="J183">
            <v>9</v>
          </cell>
          <cell r="L183">
            <v>5031</v>
          </cell>
          <cell r="M183">
            <v>3731</v>
          </cell>
          <cell r="N183">
            <v>7997</v>
          </cell>
          <cell r="O183">
            <v>0</v>
          </cell>
          <cell r="Q183">
            <v>76410</v>
          </cell>
          <cell r="S183">
            <v>117551</v>
          </cell>
          <cell r="V183">
            <v>107551</v>
          </cell>
          <cell r="W183">
            <v>-180000</v>
          </cell>
        </row>
        <row r="184">
          <cell r="E184">
            <v>165</v>
          </cell>
          <cell r="G184">
            <v>24090</v>
          </cell>
          <cell r="J184">
            <v>12</v>
          </cell>
          <cell r="L184">
            <v>6708</v>
          </cell>
          <cell r="M184">
            <v>3731</v>
          </cell>
          <cell r="N184">
            <v>7990</v>
          </cell>
          <cell r="O184">
            <v>0</v>
          </cell>
          <cell r="Q184">
            <v>76410</v>
          </cell>
          <cell r="S184">
            <v>118929</v>
          </cell>
          <cell r="W184">
            <v>-61071</v>
          </cell>
        </row>
        <row r="185">
          <cell r="E185">
            <v>160</v>
          </cell>
          <cell r="G185">
            <v>23360</v>
          </cell>
          <cell r="J185">
            <v>31</v>
          </cell>
          <cell r="L185">
            <v>17329</v>
          </cell>
          <cell r="M185">
            <v>3731</v>
          </cell>
          <cell r="N185">
            <v>8019</v>
          </cell>
          <cell r="O185">
            <v>0</v>
          </cell>
          <cell r="Q185">
            <v>76410</v>
          </cell>
          <cell r="S185">
            <v>128849</v>
          </cell>
          <cell r="V185">
            <v>67778</v>
          </cell>
          <cell r="W185">
            <v>0</v>
          </cell>
        </row>
        <row r="186">
          <cell r="E186">
            <v>261</v>
          </cell>
          <cell r="G186">
            <v>38106</v>
          </cell>
          <cell r="J186">
            <v>28</v>
          </cell>
          <cell r="L186">
            <v>15652</v>
          </cell>
          <cell r="M186">
            <v>3731</v>
          </cell>
          <cell r="N186">
            <v>8039</v>
          </cell>
          <cell r="O186">
            <v>0</v>
          </cell>
          <cell r="Q186">
            <v>76410</v>
          </cell>
          <cell r="S186">
            <v>141938</v>
          </cell>
          <cell r="V186">
            <v>141938</v>
          </cell>
          <cell r="W186">
            <v>0</v>
          </cell>
        </row>
        <row r="187">
          <cell r="E187">
            <v>371</v>
          </cell>
          <cell r="G187">
            <v>54166</v>
          </cell>
          <cell r="J187">
            <v>28</v>
          </cell>
          <cell r="L187">
            <v>15652</v>
          </cell>
          <cell r="M187">
            <v>3731</v>
          </cell>
          <cell r="N187">
            <v>8047</v>
          </cell>
          <cell r="O187">
            <v>0</v>
          </cell>
          <cell r="Q187">
            <v>78144</v>
          </cell>
          <cell r="S187">
            <v>159740</v>
          </cell>
          <cell r="V187">
            <v>159740</v>
          </cell>
          <cell r="W187">
            <v>0</v>
          </cell>
        </row>
        <row r="188">
          <cell r="E188">
            <v>357</v>
          </cell>
          <cell r="G188">
            <v>52122</v>
          </cell>
          <cell r="J188">
            <v>22</v>
          </cell>
          <cell r="L188">
            <v>12298</v>
          </cell>
          <cell r="M188">
            <v>3731</v>
          </cell>
          <cell r="N188">
            <v>8077</v>
          </cell>
          <cell r="O188">
            <v>0</v>
          </cell>
          <cell r="Q188">
            <v>78144</v>
          </cell>
          <cell r="S188">
            <v>154372</v>
          </cell>
          <cell r="V188">
            <v>154372</v>
          </cell>
          <cell r="W188">
            <v>0</v>
          </cell>
        </row>
        <row r="189">
          <cell r="E189">
            <v>177</v>
          </cell>
          <cell r="G189">
            <v>25842</v>
          </cell>
          <cell r="J189">
            <v>19</v>
          </cell>
          <cell r="L189">
            <v>10621</v>
          </cell>
          <cell r="M189">
            <v>3731</v>
          </cell>
          <cell r="N189">
            <v>8090</v>
          </cell>
          <cell r="O189">
            <v>0</v>
          </cell>
          <cell r="Q189">
            <v>78144</v>
          </cell>
          <cell r="S189">
            <v>126428</v>
          </cell>
          <cell r="V189">
            <v>126428</v>
          </cell>
          <cell r="W189">
            <v>0</v>
          </cell>
        </row>
        <row r="190">
          <cell r="E190">
            <v>158</v>
          </cell>
          <cell r="G190">
            <v>23068</v>
          </cell>
          <cell r="J190">
            <v>18</v>
          </cell>
          <cell r="L190">
            <v>10062</v>
          </cell>
          <cell r="M190">
            <v>3731</v>
          </cell>
          <cell r="N190">
            <v>8101</v>
          </cell>
          <cell r="O190">
            <v>0</v>
          </cell>
          <cell r="Q190">
            <v>78144</v>
          </cell>
          <cell r="S190">
            <v>123106</v>
          </cell>
          <cell r="V190">
            <v>123106</v>
          </cell>
          <cell r="W190">
            <v>0</v>
          </cell>
        </row>
        <row r="191">
          <cell r="E191">
            <v>185</v>
          </cell>
          <cell r="G191">
            <v>27010</v>
          </cell>
          <cell r="J191">
            <v>8</v>
          </cell>
          <cell r="L191">
            <v>4472</v>
          </cell>
          <cell r="M191">
            <v>3731</v>
          </cell>
          <cell r="N191">
            <v>8123</v>
          </cell>
          <cell r="O191">
            <v>0</v>
          </cell>
          <cell r="Q191">
            <v>78144</v>
          </cell>
          <cell r="S191">
            <v>121480</v>
          </cell>
          <cell r="V191">
            <v>121480</v>
          </cell>
          <cell r="W191">
            <v>0</v>
          </cell>
        </row>
        <row r="192">
          <cell r="E192">
            <v>155</v>
          </cell>
          <cell r="G192">
            <v>22630</v>
          </cell>
          <cell r="J192">
            <v>5</v>
          </cell>
          <cell r="L192">
            <v>2795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115448</v>
          </cell>
          <cell r="V192">
            <v>115448</v>
          </cell>
          <cell r="W192">
            <v>0</v>
          </cell>
        </row>
        <row r="193">
          <cell r="E193">
            <v>163</v>
          </cell>
          <cell r="G193">
            <v>23798</v>
          </cell>
          <cell r="J193">
            <v>4</v>
          </cell>
          <cell r="L193">
            <v>2236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116070</v>
          </cell>
          <cell r="V193">
            <v>116070</v>
          </cell>
          <cell r="W193">
            <v>0</v>
          </cell>
        </row>
        <row r="194">
          <cell r="E194">
            <v>140</v>
          </cell>
          <cell r="G194">
            <v>20440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113296</v>
          </cell>
          <cell r="V194">
            <v>113296</v>
          </cell>
          <cell r="W194">
            <v>0</v>
          </cell>
        </row>
        <row r="195">
          <cell r="E195">
            <v>238</v>
          </cell>
          <cell r="G195">
            <v>34748</v>
          </cell>
          <cell r="J195">
            <v>24</v>
          </cell>
          <cell r="L195">
            <v>13416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138246</v>
          </cell>
          <cell r="V195">
            <v>138246</v>
          </cell>
          <cell r="W195">
            <v>0</v>
          </cell>
        </row>
        <row r="196">
          <cell r="E196">
            <v>142</v>
          </cell>
          <cell r="G196">
            <v>20732</v>
          </cell>
          <cell r="J196">
            <v>11</v>
          </cell>
          <cell r="L196">
            <v>6149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116986</v>
          </cell>
          <cell r="V196">
            <v>116986</v>
          </cell>
          <cell r="W196">
            <v>0</v>
          </cell>
        </row>
        <row r="197">
          <cell r="E197">
            <v>271</v>
          </cell>
          <cell r="G197">
            <v>39566</v>
          </cell>
          <cell r="J197">
            <v>29</v>
          </cell>
          <cell r="L197">
            <v>16211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145912</v>
          </cell>
          <cell r="V197">
            <v>145912</v>
          </cell>
          <cell r="W197">
            <v>0</v>
          </cell>
        </row>
        <row r="198">
          <cell r="E198">
            <v>178</v>
          </cell>
          <cell r="G198">
            <v>25988</v>
          </cell>
          <cell r="J198">
            <v>21</v>
          </cell>
          <cell r="L198">
            <v>11739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127872</v>
          </cell>
          <cell r="V198">
            <v>127872</v>
          </cell>
          <cell r="W198">
            <v>0</v>
          </cell>
        </row>
        <row r="199">
          <cell r="E199">
            <v>194</v>
          </cell>
          <cell r="G199">
            <v>28324</v>
          </cell>
          <cell r="J199">
            <v>25</v>
          </cell>
          <cell r="L199">
            <v>13975</v>
          </cell>
          <cell r="M199">
            <v>3828</v>
          </cell>
          <cell r="N199">
            <v>8264</v>
          </cell>
          <cell r="Q199">
            <v>80176</v>
          </cell>
          <cell r="S199">
            <v>134567</v>
          </cell>
          <cell r="V199">
            <v>134567</v>
          </cell>
          <cell r="W199">
            <v>0</v>
          </cell>
        </row>
        <row r="200">
          <cell r="E200">
            <v>241</v>
          </cell>
          <cell r="G200">
            <v>35186</v>
          </cell>
          <cell r="J200">
            <v>30</v>
          </cell>
          <cell r="L200">
            <v>16770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144227</v>
          </cell>
          <cell r="V200">
            <v>144227</v>
          </cell>
          <cell r="W200">
            <v>0</v>
          </cell>
        </row>
        <row r="201">
          <cell r="E201">
            <v>167</v>
          </cell>
          <cell r="G201">
            <v>24382</v>
          </cell>
          <cell r="J201">
            <v>24</v>
          </cell>
          <cell r="L201">
            <v>13416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130072</v>
          </cell>
          <cell r="V201">
            <v>130072</v>
          </cell>
          <cell r="W201">
            <v>0</v>
          </cell>
        </row>
        <row r="202">
          <cell r="E202">
            <v>149</v>
          </cell>
          <cell r="G202">
            <v>21754</v>
          </cell>
          <cell r="J202">
            <v>18</v>
          </cell>
          <cell r="L202">
            <v>10062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124119</v>
          </cell>
          <cell r="V202">
            <v>124119</v>
          </cell>
          <cell r="W202">
            <v>0</v>
          </cell>
        </row>
        <row r="203">
          <cell r="E203">
            <v>128</v>
          </cell>
          <cell r="G203">
            <v>18688</v>
          </cell>
          <cell r="J203">
            <v>9</v>
          </cell>
          <cell r="L203">
            <v>5031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116052</v>
          </cell>
          <cell r="V203"/>
          <cell r="W203">
            <v>116052</v>
          </cell>
        </row>
        <row r="204">
          <cell r="E204">
            <v>-48604</v>
          </cell>
          <cell r="G204">
            <v>-7096184</v>
          </cell>
          <cell r="J204">
            <v>-5776</v>
          </cell>
          <cell r="L204">
            <v>-3228784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-10240964</v>
          </cell>
          <cell r="V204"/>
          <cell r="W204">
            <v>-10124912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-10040908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-9956904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-9872900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-9788896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-9704892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-9620888</v>
          </cell>
        </row>
      </sheetData>
      <sheetData sheetId="25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168536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W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174282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W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174292</v>
          </cell>
          <cell r="W179">
            <v>-10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W180">
            <v>87131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174272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W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176260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W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176291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W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178102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W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197917</v>
          </cell>
          <cell r="W189">
            <v>-18000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W190">
            <v>71976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161974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W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180059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W194">
            <v>90061</v>
          </cell>
        </row>
        <row r="195">
          <cell r="E195">
            <v>42</v>
          </cell>
          <cell r="G195">
            <v>6132</v>
          </cell>
          <cell r="J195">
            <v>72</v>
          </cell>
          <cell r="L195">
            <v>40248</v>
          </cell>
          <cell r="M195">
            <v>3731</v>
          </cell>
          <cell r="N195">
            <v>8207</v>
          </cell>
          <cell r="Q195">
            <v>78144</v>
          </cell>
          <cell r="S195">
            <v>136462</v>
          </cell>
          <cell r="V195">
            <v>226523</v>
          </cell>
          <cell r="W195">
            <v>0</v>
          </cell>
        </row>
        <row r="196">
          <cell r="E196">
            <v>6</v>
          </cell>
          <cell r="G196">
            <v>876</v>
          </cell>
          <cell r="J196">
            <v>3</v>
          </cell>
          <cell r="L196">
            <v>1677</v>
          </cell>
          <cell r="M196">
            <v>3731</v>
          </cell>
          <cell r="N196">
            <v>8230</v>
          </cell>
          <cell r="Q196">
            <v>78144</v>
          </cell>
          <cell r="S196">
            <v>92658</v>
          </cell>
          <cell r="W196">
            <v>92658</v>
          </cell>
        </row>
        <row r="197">
          <cell r="E197">
            <v>12</v>
          </cell>
          <cell r="G197">
            <v>1752</v>
          </cell>
          <cell r="J197">
            <v>19</v>
          </cell>
          <cell r="L197">
            <v>10621</v>
          </cell>
          <cell r="M197">
            <v>3731</v>
          </cell>
          <cell r="N197">
            <v>8260</v>
          </cell>
          <cell r="Q197">
            <v>78144</v>
          </cell>
          <cell r="S197">
            <v>102508</v>
          </cell>
          <cell r="V197">
            <v>195166</v>
          </cell>
          <cell r="W197">
            <v>0</v>
          </cell>
        </row>
        <row r="198">
          <cell r="E198">
            <v>8</v>
          </cell>
          <cell r="G198">
            <v>1168</v>
          </cell>
          <cell r="J198">
            <v>1</v>
          </cell>
          <cell r="L198">
            <v>559</v>
          </cell>
          <cell r="M198">
            <v>3731</v>
          </cell>
          <cell r="N198">
            <v>8270</v>
          </cell>
          <cell r="Q198">
            <v>78144</v>
          </cell>
          <cell r="S198">
            <v>91872</v>
          </cell>
          <cell r="W198">
            <v>91872</v>
          </cell>
        </row>
        <row r="199">
          <cell r="E199">
            <v>4</v>
          </cell>
          <cell r="G199">
            <v>584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92852</v>
          </cell>
          <cell r="V199">
            <v>184724</v>
          </cell>
          <cell r="W199">
            <v>0</v>
          </cell>
        </row>
        <row r="200">
          <cell r="E200">
            <v>8</v>
          </cell>
          <cell r="G200">
            <v>1168</v>
          </cell>
          <cell r="J200">
            <v>1</v>
          </cell>
          <cell r="L200">
            <v>559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93998</v>
          </cell>
          <cell r="V200"/>
          <cell r="W200">
            <v>93998</v>
          </cell>
        </row>
        <row r="201">
          <cell r="E201">
            <v>7</v>
          </cell>
          <cell r="G201">
            <v>1022</v>
          </cell>
          <cell r="J201">
            <v>1</v>
          </cell>
          <cell r="L201">
            <v>559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93855</v>
          </cell>
          <cell r="V201">
            <v>187853</v>
          </cell>
          <cell r="W201">
            <v>0</v>
          </cell>
        </row>
        <row r="202">
          <cell r="E202">
            <v>10</v>
          </cell>
          <cell r="G202">
            <v>1460</v>
          </cell>
          <cell r="J202">
            <v>1</v>
          </cell>
          <cell r="L202">
            <v>559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94322</v>
          </cell>
          <cell r="V202"/>
          <cell r="W202">
            <v>94322</v>
          </cell>
        </row>
        <row r="203">
          <cell r="E203">
            <v>18</v>
          </cell>
          <cell r="G203">
            <v>2628</v>
          </cell>
          <cell r="J203">
            <v>3</v>
          </cell>
          <cell r="L203">
            <v>1677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96638</v>
          </cell>
          <cell r="V203"/>
          <cell r="W203">
            <v>190960</v>
          </cell>
        </row>
        <row r="204">
          <cell r="E204">
            <v>-35</v>
          </cell>
          <cell r="G204">
            <v>-5110</v>
          </cell>
          <cell r="J204">
            <v>-101</v>
          </cell>
          <cell r="L204">
            <v>-56459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22435</v>
          </cell>
          <cell r="V204"/>
          <cell r="W204">
            <v>213395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297399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381403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465407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549411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633415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717419</v>
          </cell>
        </row>
      </sheetData>
      <sheetData sheetId="26">
        <row r="175">
          <cell r="E175">
            <v>279</v>
          </cell>
          <cell r="G175">
            <v>40734</v>
          </cell>
          <cell r="J175">
            <v>151</v>
          </cell>
          <cell r="L175">
            <v>90529</v>
          </cell>
          <cell r="M175">
            <v>3731</v>
          </cell>
          <cell r="N175">
            <v>7000</v>
          </cell>
          <cell r="P175">
            <v>10000</v>
          </cell>
          <cell r="Q175">
            <v>76410</v>
          </cell>
          <cell r="S175">
            <v>228404</v>
          </cell>
          <cell r="V175">
            <v>424551</v>
          </cell>
          <cell r="W175">
            <v>0</v>
          </cell>
        </row>
        <row r="176">
          <cell r="E176">
            <v>203</v>
          </cell>
          <cell r="G176">
            <v>29638</v>
          </cell>
          <cell r="J176">
            <v>111</v>
          </cell>
          <cell r="L176">
            <v>62049</v>
          </cell>
          <cell r="M176">
            <v>3731</v>
          </cell>
          <cell r="N176">
            <v>7000</v>
          </cell>
          <cell r="P176">
            <v>10000</v>
          </cell>
          <cell r="Q176">
            <v>76410</v>
          </cell>
          <cell r="S176">
            <v>188828</v>
          </cell>
          <cell r="W176">
            <v>188828</v>
          </cell>
        </row>
        <row r="177">
          <cell r="E177">
            <v>254</v>
          </cell>
          <cell r="G177">
            <v>37084</v>
          </cell>
          <cell r="J177">
            <v>123</v>
          </cell>
          <cell r="L177">
            <v>69297</v>
          </cell>
          <cell r="M177">
            <v>3731</v>
          </cell>
          <cell r="N177">
            <v>7000</v>
          </cell>
          <cell r="P177">
            <v>10000</v>
          </cell>
          <cell r="Q177">
            <v>76410</v>
          </cell>
          <cell r="S177">
            <v>203522</v>
          </cell>
          <cell r="V177">
            <v>392350</v>
          </cell>
          <cell r="W177">
            <v>0</v>
          </cell>
        </row>
        <row r="178">
          <cell r="E178">
            <v>286</v>
          </cell>
          <cell r="G178">
            <v>41756</v>
          </cell>
          <cell r="J178">
            <v>70</v>
          </cell>
          <cell r="L178">
            <v>39130</v>
          </cell>
          <cell r="M178">
            <v>3731</v>
          </cell>
          <cell r="N178">
            <v>7000</v>
          </cell>
          <cell r="P178">
            <v>10000</v>
          </cell>
          <cell r="Q178">
            <v>76410</v>
          </cell>
          <cell r="S178">
            <v>178027</v>
          </cell>
          <cell r="W178">
            <v>178027</v>
          </cell>
        </row>
        <row r="179">
          <cell r="E179">
            <v>188</v>
          </cell>
          <cell r="G179">
            <v>27448</v>
          </cell>
          <cell r="J179">
            <v>24</v>
          </cell>
          <cell r="L179">
            <v>13416</v>
          </cell>
          <cell r="M179">
            <v>3731</v>
          </cell>
          <cell r="N179">
            <v>7000</v>
          </cell>
          <cell r="P179">
            <v>10000</v>
          </cell>
          <cell r="Q179">
            <v>76410</v>
          </cell>
          <cell r="S179">
            <v>138005</v>
          </cell>
          <cell r="V179">
            <v>316032</v>
          </cell>
          <cell r="W179">
            <v>0</v>
          </cell>
        </row>
        <row r="180">
          <cell r="E180">
            <v>187</v>
          </cell>
          <cell r="G180">
            <v>27302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P180">
            <v>10000</v>
          </cell>
          <cell r="Q180">
            <v>76410</v>
          </cell>
          <cell r="S180">
            <v>125561</v>
          </cell>
          <cell r="W180">
            <v>125561</v>
          </cell>
        </row>
        <row r="181">
          <cell r="E181">
            <v>146</v>
          </cell>
          <cell r="G181">
            <v>21316</v>
          </cell>
          <cell r="J181">
            <v>5</v>
          </cell>
          <cell r="L181">
            <v>2795</v>
          </cell>
          <cell r="M181">
            <v>3731</v>
          </cell>
          <cell r="N181">
            <v>7000</v>
          </cell>
          <cell r="P181">
            <v>10000</v>
          </cell>
          <cell r="Q181">
            <v>76410</v>
          </cell>
          <cell r="S181">
            <v>121252</v>
          </cell>
          <cell r="V181">
            <v>246813</v>
          </cell>
          <cell r="W181">
            <v>0</v>
          </cell>
        </row>
        <row r="182">
          <cell r="E182">
            <v>195</v>
          </cell>
          <cell r="G182">
            <v>28470</v>
          </cell>
          <cell r="J182">
            <v>28</v>
          </cell>
          <cell r="L182">
            <v>15652</v>
          </cell>
          <cell r="M182">
            <v>3731</v>
          </cell>
          <cell r="N182">
            <v>7981</v>
          </cell>
          <cell r="P182">
            <v>10000</v>
          </cell>
          <cell r="Q182">
            <v>76410</v>
          </cell>
          <cell r="S182">
            <v>142244</v>
          </cell>
          <cell r="W182">
            <v>142244</v>
          </cell>
        </row>
        <row r="183">
          <cell r="E183">
            <v>239</v>
          </cell>
          <cell r="G183">
            <v>34894</v>
          </cell>
          <cell r="J183">
            <v>55</v>
          </cell>
          <cell r="L183">
            <v>30745</v>
          </cell>
          <cell r="M183">
            <v>3731</v>
          </cell>
          <cell r="N183">
            <v>7997</v>
          </cell>
          <cell r="P183">
            <v>10000</v>
          </cell>
          <cell r="Q183">
            <v>76410</v>
          </cell>
          <cell r="S183">
            <v>163777</v>
          </cell>
          <cell r="V183">
            <v>306021</v>
          </cell>
          <cell r="W183">
            <v>0</v>
          </cell>
        </row>
        <row r="184">
          <cell r="E184">
            <v>181</v>
          </cell>
          <cell r="G184">
            <v>26426</v>
          </cell>
          <cell r="J184">
            <v>71</v>
          </cell>
          <cell r="L184">
            <v>39689</v>
          </cell>
          <cell r="M184">
            <v>3731</v>
          </cell>
          <cell r="N184">
            <v>7990</v>
          </cell>
          <cell r="P184">
            <v>10000</v>
          </cell>
          <cell r="Q184">
            <v>76410</v>
          </cell>
          <cell r="R184">
            <v>53270</v>
          </cell>
          <cell r="S184">
            <v>217516</v>
          </cell>
          <cell r="W184">
            <v>217516</v>
          </cell>
        </row>
        <row r="185">
          <cell r="E185">
            <v>195</v>
          </cell>
          <cell r="G185">
            <v>28470</v>
          </cell>
          <cell r="J185">
            <v>82</v>
          </cell>
          <cell r="L185">
            <v>45838</v>
          </cell>
          <cell r="M185">
            <v>3731</v>
          </cell>
          <cell r="N185">
            <v>8019</v>
          </cell>
          <cell r="P185">
            <v>10000</v>
          </cell>
          <cell r="Q185">
            <v>76410</v>
          </cell>
          <cell r="R185">
            <v>53462</v>
          </cell>
          <cell r="S185">
            <v>225930</v>
          </cell>
          <cell r="V185">
            <v>443446</v>
          </cell>
          <cell r="W185">
            <v>0</v>
          </cell>
        </row>
        <row r="186">
          <cell r="E186">
            <v>285</v>
          </cell>
          <cell r="G186">
            <v>41610</v>
          </cell>
          <cell r="J186">
            <v>94</v>
          </cell>
          <cell r="L186">
            <v>52546</v>
          </cell>
          <cell r="M186">
            <v>3731</v>
          </cell>
          <cell r="N186">
            <v>8039</v>
          </cell>
          <cell r="P186">
            <v>10000</v>
          </cell>
          <cell r="Q186">
            <v>76410</v>
          </cell>
          <cell r="S186">
            <v>192336</v>
          </cell>
          <cell r="W186">
            <v>192336</v>
          </cell>
        </row>
        <row r="187">
          <cell r="E187">
            <v>308</v>
          </cell>
          <cell r="G187">
            <v>44968</v>
          </cell>
          <cell r="J187">
            <v>131</v>
          </cell>
          <cell r="L187">
            <v>75209</v>
          </cell>
          <cell r="M187">
            <v>3731</v>
          </cell>
          <cell r="N187">
            <v>8047</v>
          </cell>
          <cell r="P187">
            <v>10000</v>
          </cell>
          <cell r="Q187">
            <v>78144</v>
          </cell>
          <cell r="S187">
            <v>220099</v>
          </cell>
          <cell r="V187">
            <v>412435</v>
          </cell>
          <cell r="W187">
            <v>0</v>
          </cell>
        </row>
        <row r="188">
          <cell r="E188">
            <v>287</v>
          </cell>
          <cell r="G188">
            <v>41902</v>
          </cell>
          <cell r="J188">
            <v>106</v>
          </cell>
          <cell r="L188">
            <v>59254</v>
          </cell>
          <cell r="M188">
            <v>3731</v>
          </cell>
          <cell r="N188">
            <v>8077</v>
          </cell>
          <cell r="P188">
            <v>10000</v>
          </cell>
          <cell r="Q188">
            <v>78144</v>
          </cell>
          <cell r="S188">
            <v>201108</v>
          </cell>
          <cell r="W188">
            <v>201108</v>
          </cell>
        </row>
        <row r="189">
          <cell r="E189">
            <v>188</v>
          </cell>
          <cell r="G189">
            <v>27448</v>
          </cell>
          <cell r="J189">
            <v>134</v>
          </cell>
          <cell r="L189">
            <v>77426</v>
          </cell>
          <cell r="M189">
            <v>3731</v>
          </cell>
          <cell r="N189">
            <v>8090</v>
          </cell>
          <cell r="P189">
            <v>10000</v>
          </cell>
          <cell r="Q189">
            <v>78144</v>
          </cell>
          <cell r="S189">
            <v>204839</v>
          </cell>
          <cell r="V189">
            <v>405947</v>
          </cell>
          <cell r="W189">
            <v>0</v>
          </cell>
        </row>
        <row r="190">
          <cell r="E190">
            <v>211</v>
          </cell>
          <cell r="G190">
            <v>30806</v>
          </cell>
          <cell r="J190">
            <v>107</v>
          </cell>
          <cell r="L190">
            <v>59813</v>
          </cell>
          <cell r="M190">
            <v>3731</v>
          </cell>
          <cell r="N190">
            <v>8101</v>
          </cell>
          <cell r="P190">
            <v>10000</v>
          </cell>
          <cell r="Q190">
            <v>78144</v>
          </cell>
          <cell r="R190">
            <v>54157</v>
          </cell>
          <cell r="S190">
            <v>244752</v>
          </cell>
          <cell r="W190">
            <v>244752</v>
          </cell>
        </row>
        <row r="191">
          <cell r="E191">
            <v>228</v>
          </cell>
          <cell r="G191">
            <v>33288</v>
          </cell>
          <cell r="J191">
            <v>59</v>
          </cell>
          <cell r="L191">
            <v>32981</v>
          </cell>
          <cell r="M191">
            <v>3731</v>
          </cell>
          <cell r="N191">
            <v>8123</v>
          </cell>
          <cell r="P191">
            <v>10000</v>
          </cell>
          <cell r="Q191">
            <v>78144</v>
          </cell>
          <cell r="R191">
            <v>54318</v>
          </cell>
          <cell r="S191">
            <v>220585</v>
          </cell>
          <cell r="V191">
            <v>465337</v>
          </cell>
          <cell r="W191">
            <v>0</v>
          </cell>
        </row>
        <row r="192">
          <cell r="E192">
            <v>96</v>
          </cell>
          <cell r="G192">
            <v>14016</v>
          </cell>
          <cell r="J192">
            <v>151</v>
          </cell>
          <cell r="L192">
            <v>90529</v>
          </cell>
          <cell r="M192">
            <v>3731</v>
          </cell>
          <cell r="N192">
            <v>8148</v>
          </cell>
          <cell r="P192">
            <v>10000</v>
          </cell>
          <cell r="Q192">
            <v>78144</v>
          </cell>
          <cell r="S192">
            <v>204568</v>
          </cell>
          <cell r="W192">
            <v>204568</v>
          </cell>
        </row>
        <row r="193">
          <cell r="E193">
            <v>350</v>
          </cell>
          <cell r="G193">
            <v>51100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Q193">
            <v>78144</v>
          </cell>
          <cell r="S193">
            <v>141695</v>
          </cell>
          <cell r="V193">
            <v>346263</v>
          </cell>
          <cell r="W193">
            <v>0</v>
          </cell>
        </row>
        <row r="194">
          <cell r="E194">
            <v>179</v>
          </cell>
          <cell r="G194">
            <v>26134</v>
          </cell>
          <cell r="J194">
            <v>23</v>
          </cell>
          <cell r="L194">
            <v>12857</v>
          </cell>
          <cell r="M194">
            <v>3731</v>
          </cell>
          <cell r="N194">
            <v>8186</v>
          </cell>
          <cell r="Q194">
            <v>78144</v>
          </cell>
          <cell r="S194">
            <v>129052</v>
          </cell>
          <cell r="W194">
            <v>129052</v>
          </cell>
        </row>
        <row r="195">
          <cell r="E195">
            <v>162</v>
          </cell>
          <cell r="G195">
            <v>23652</v>
          </cell>
          <cell r="J195">
            <v>26</v>
          </cell>
          <cell r="L195">
            <v>14534</v>
          </cell>
          <cell r="M195">
            <v>3731</v>
          </cell>
          <cell r="N195">
            <v>8207</v>
          </cell>
          <cell r="Q195">
            <v>78144</v>
          </cell>
          <cell r="S195">
            <v>128268</v>
          </cell>
          <cell r="W195">
            <v>257320</v>
          </cell>
        </row>
        <row r="196">
          <cell r="E196">
            <v>184</v>
          </cell>
          <cell r="G196">
            <v>26864</v>
          </cell>
          <cell r="J196">
            <v>58</v>
          </cell>
          <cell r="L196">
            <v>32422</v>
          </cell>
          <cell r="M196">
            <v>3731</v>
          </cell>
          <cell r="N196">
            <v>8230</v>
          </cell>
          <cell r="Q196">
            <v>78144</v>
          </cell>
          <cell r="S196">
            <v>149391</v>
          </cell>
          <cell r="V196">
            <v>406711</v>
          </cell>
          <cell r="W196">
            <v>0</v>
          </cell>
        </row>
        <row r="197">
          <cell r="E197">
            <v>131</v>
          </cell>
          <cell r="G197">
            <v>19126</v>
          </cell>
          <cell r="J197">
            <v>171</v>
          </cell>
          <cell r="L197">
            <v>116109</v>
          </cell>
          <cell r="M197">
            <v>3731</v>
          </cell>
          <cell r="N197">
            <v>8260</v>
          </cell>
          <cell r="Q197">
            <v>78144</v>
          </cell>
          <cell r="S197">
            <v>225370</v>
          </cell>
          <cell r="V197">
            <v>225370</v>
          </cell>
          <cell r="W197">
            <v>0</v>
          </cell>
        </row>
        <row r="198">
          <cell r="E198">
            <v>148</v>
          </cell>
          <cell r="G198">
            <v>21608</v>
          </cell>
          <cell r="J198">
            <v>100</v>
          </cell>
          <cell r="L198">
            <v>55900</v>
          </cell>
          <cell r="M198">
            <v>3731</v>
          </cell>
          <cell r="N198">
            <v>8270</v>
          </cell>
          <cell r="Q198">
            <v>78144</v>
          </cell>
          <cell r="S198">
            <v>167653</v>
          </cell>
          <cell r="V198">
            <v>167653</v>
          </cell>
          <cell r="W198">
            <v>0</v>
          </cell>
        </row>
        <row r="199">
          <cell r="E199">
            <v>205</v>
          </cell>
          <cell r="G199">
            <v>29930</v>
          </cell>
          <cell r="J199">
            <v>99</v>
          </cell>
          <cell r="L199">
            <v>55341</v>
          </cell>
          <cell r="M199">
            <v>3828</v>
          </cell>
          <cell r="N199">
            <v>8264</v>
          </cell>
          <cell r="Q199">
            <v>80176</v>
          </cell>
          <cell r="S199">
            <v>177539</v>
          </cell>
          <cell r="W199">
            <v>177539</v>
          </cell>
        </row>
        <row r="200">
          <cell r="E200">
            <v>262</v>
          </cell>
          <cell r="G200">
            <v>38252</v>
          </cell>
          <cell r="J200">
            <v>92</v>
          </cell>
          <cell r="L200">
            <v>51428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181951</v>
          </cell>
          <cell r="V200">
            <v>359490</v>
          </cell>
          <cell r="W200">
            <v>0</v>
          </cell>
        </row>
        <row r="201">
          <cell r="E201">
            <v>326</v>
          </cell>
          <cell r="G201">
            <v>47596</v>
          </cell>
          <cell r="J201">
            <v>87</v>
          </cell>
          <cell r="L201">
            <v>48633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188503</v>
          </cell>
          <cell r="V201"/>
          <cell r="W201">
            <v>188503</v>
          </cell>
        </row>
        <row r="202">
          <cell r="E202">
            <v>285</v>
          </cell>
          <cell r="G202">
            <v>41610</v>
          </cell>
          <cell r="J202">
            <v>92</v>
          </cell>
          <cell r="L202">
            <v>51428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185341</v>
          </cell>
          <cell r="V202">
            <v>373844</v>
          </cell>
          <cell r="W202">
            <v>0</v>
          </cell>
        </row>
        <row r="203">
          <cell r="E203">
            <v>220</v>
          </cell>
          <cell r="G203">
            <v>32120</v>
          </cell>
          <cell r="J203">
            <v>76</v>
          </cell>
          <cell r="L203">
            <v>42484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166937</v>
          </cell>
          <cell r="V203"/>
          <cell r="W203">
            <v>166937</v>
          </cell>
        </row>
        <row r="204">
          <cell r="E204">
            <v>-22981</v>
          </cell>
          <cell r="G204">
            <v>-3355226</v>
          </cell>
          <cell r="J204">
            <v>-7996</v>
          </cell>
          <cell r="L204">
            <v>-4469764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-7740986</v>
          </cell>
          <cell r="V204"/>
          <cell r="W204">
            <v>-7574049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-7490045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-7406041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-7322037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-7238033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-7154029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-7070025</v>
          </cell>
        </row>
      </sheetData>
      <sheetData sheetId="27">
        <row r="175">
          <cell r="L175">
            <v>0</v>
          </cell>
          <cell r="M175">
            <v>3731</v>
          </cell>
          <cell r="N175">
            <v>7000</v>
          </cell>
          <cell r="P175">
            <v>5000</v>
          </cell>
          <cell r="Q175">
            <v>76410</v>
          </cell>
          <cell r="S175">
            <v>92141</v>
          </cell>
          <cell r="W175">
            <v>92141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P176">
            <v>5000</v>
          </cell>
          <cell r="Q176">
            <v>76410</v>
          </cell>
          <cell r="S176">
            <v>92141</v>
          </cell>
          <cell r="V176">
            <v>184282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P177">
            <v>5000</v>
          </cell>
          <cell r="Q177">
            <v>76410</v>
          </cell>
          <cell r="S177">
            <v>92141</v>
          </cell>
          <cell r="W177">
            <v>92141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P178">
            <v>5000</v>
          </cell>
          <cell r="Q178">
            <v>76410</v>
          </cell>
          <cell r="S178">
            <v>92141</v>
          </cell>
          <cell r="V178">
            <v>184282</v>
          </cell>
          <cell r="W178">
            <v>0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P179">
            <v>5000</v>
          </cell>
          <cell r="Q179">
            <v>76410</v>
          </cell>
          <cell r="S179">
            <v>92141</v>
          </cell>
          <cell r="W179">
            <v>92141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P180">
            <v>5000</v>
          </cell>
          <cell r="Q180">
            <v>76410</v>
          </cell>
          <cell r="S180">
            <v>92141</v>
          </cell>
          <cell r="V180">
            <v>184282</v>
          </cell>
          <cell r="W180">
            <v>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P181">
            <v>5000</v>
          </cell>
          <cell r="Q181">
            <v>76410</v>
          </cell>
          <cell r="S181">
            <v>92141</v>
          </cell>
          <cell r="V181">
            <v>92141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P182">
            <v>5000</v>
          </cell>
          <cell r="Q182">
            <v>76410</v>
          </cell>
          <cell r="S182">
            <v>93122</v>
          </cell>
          <cell r="V182">
            <v>195263</v>
          </cell>
          <cell r="W182">
            <v>-102141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P183">
            <v>5000</v>
          </cell>
          <cell r="Q183">
            <v>76410</v>
          </cell>
          <cell r="S183">
            <v>93138</v>
          </cell>
          <cell r="W183">
            <v>-9003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P184">
            <v>5000</v>
          </cell>
          <cell r="Q184">
            <v>76410</v>
          </cell>
          <cell r="S184">
            <v>93131</v>
          </cell>
          <cell r="V184">
            <v>84128</v>
          </cell>
          <cell r="W184">
            <v>0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P185">
            <v>5000</v>
          </cell>
          <cell r="Q185">
            <v>76410</v>
          </cell>
          <cell r="S185">
            <v>93160</v>
          </cell>
          <cell r="V185">
            <v>93160</v>
          </cell>
          <cell r="W185">
            <v>0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P186">
            <v>5000</v>
          </cell>
          <cell r="Q186">
            <v>76410</v>
          </cell>
          <cell r="S186">
            <v>93180</v>
          </cell>
          <cell r="W186">
            <v>93180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P187">
            <v>5000</v>
          </cell>
          <cell r="Q187">
            <v>78144</v>
          </cell>
          <cell r="S187">
            <v>94922</v>
          </cell>
          <cell r="V187">
            <v>188102</v>
          </cell>
          <cell r="W187">
            <v>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P188">
            <v>5000</v>
          </cell>
          <cell r="Q188">
            <v>78144</v>
          </cell>
          <cell r="S188">
            <v>94952</v>
          </cell>
          <cell r="W188">
            <v>94952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P189">
            <v>5000</v>
          </cell>
          <cell r="Q189">
            <v>78144</v>
          </cell>
          <cell r="S189">
            <v>94965</v>
          </cell>
          <cell r="V189">
            <v>189917</v>
          </cell>
          <cell r="W189">
            <v>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P190">
            <v>5000</v>
          </cell>
          <cell r="Q190">
            <v>78144</v>
          </cell>
          <cell r="S190">
            <v>94976</v>
          </cell>
          <cell r="V190">
            <v>94976</v>
          </cell>
          <cell r="W190">
            <v>0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P191">
            <v>5000</v>
          </cell>
          <cell r="Q191">
            <v>78144</v>
          </cell>
          <cell r="S191">
            <v>94998</v>
          </cell>
          <cell r="V191">
            <v>94998</v>
          </cell>
          <cell r="W191">
            <v>0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W195">
            <v>90082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180187</v>
          </cell>
          <cell r="W196">
            <v>0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W197">
            <v>90135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180280</v>
          </cell>
          <cell r="W198">
            <v>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W199">
            <v>147360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>
            <v>294745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100000</v>
          </cell>
          <cell r="W201">
            <v>-7726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84577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176910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260914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344918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428922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512926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596930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680934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764938</v>
          </cell>
        </row>
      </sheetData>
      <sheetData sheetId="28">
        <row r="175">
          <cell r="E175">
            <v>357</v>
          </cell>
          <cell r="G175">
            <v>52122</v>
          </cell>
          <cell r="J175">
            <v>94</v>
          </cell>
          <cell r="L175">
            <v>52546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S175">
            <v>201809</v>
          </cell>
          <cell r="V175">
            <v>197000</v>
          </cell>
          <cell r="W175">
            <v>4809</v>
          </cell>
        </row>
        <row r="176">
          <cell r="E176">
            <v>306</v>
          </cell>
          <cell r="G176">
            <v>44676</v>
          </cell>
          <cell r="J176">
            <v>73</v>
          </cell>
          <cell r="L176">
            <v>40807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S176">
            <v>182624</v>
          </cell>
          <cell r="V176">
            <v>187433</v>
          </cell>
          <cell r="W176">
            <v>0</v>
          </cell>
        </row>
        <row r="177">
          <cell r="E177">
            <v>518</v>
          </cell>
          <cell r="G177">
            <v>75628</v>
          </cell>
          <cell r="J177">
            <v>63</v>
          </cell>
          <cell r="L177">
            <v>35217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S177">
            <v>207986</v>
          </cell>
          <cell r="V177">
            <v>207986</v>
          </cell>
          <cell r="W177">
            <v>0</v>
          </cell>
        </row>
        <row r="178">
          <cell r="E178">
            <v>224</v>
          </cell>
          <cell r="G178">
            <v>32704</v>
          </cell>
          <cell r="J178">
            <v>32</v>
          </cell>
          <cell r="L178">
            <v>17888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S178">
            <v>147733</v>
          </cell>
          <cell r="W178">
            <v>147733</v>
          </cell>
        </row>
        <row r="179">
          <cell r="E179">
            <v>97</v>
          </cell>
          <cell r="G179">
            <v>14162</v>
          </cell>
          <cell r="J179">
            <v>21</v>
          </cell>
          <cell r="L179">
            <v>11739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S179">
            <v>123042</v>
          </cell>
          <cell r="V179">
            <v>270415</v>
          </cell>
          <cell r="W179">
            <v>360</v>
          </cell>
        </row>
        <row r="180">
          <cell r="E180">
            <v>79</v>
          </cell>
          <cell r="G180">
            <v>11534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S180">
            <v>109793</v>
          </cell>
          <cell r="V180">
            <v>109793</v>
          </cell>
          <cell r="W180">
            <v>360</v>
          </cell>
        </row>
        <row r="181">
          <cell r="E181">
            <v>66</v>
          </cell>
          <cell r="G181">
            <v>9636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S181">
            <v>107895</v>
          </cell>
          <cell r="V181">
            <v>108255</v>
          </cell>
          <cell r="W181">
            <v>0</v>
          </cell>
        </row>
        <row r="182">
          <cell r="E182">
            <v>74</v>
          </cell>
          <cell r="G182">
            <v>10804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S182">
            <v>109485</v>
          </cell>
          <cell r="V182">
            <v>109485</v>
          </cell>
          <cell r="W182">
            <v>0</v>
          </cell>
        </row>
        <row r="183">
          <cell r="E183">
            <v>147</v>
          </cell>
          <cell r="G183">
            <v>21462</v>
          </cell>
          <cell r="J183">
            <v>18</v>
          </cell>
          <cell r="L183">
            <v>10062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S183">
            <v>129662</v>
          </cell>
          <cell r="V183">
            <v>129662</v>
          </cell>
          <cell r="W183">
            <v>0</v>
          </cell>
        </row>
        <row r="184">
          <cell r="E184">
            <v>193</v>
          </cell>
          <cell r="G184">
            <v>28178</v>
          </cell>
          <cell r="J184">
            <v>17</v>
          </cell>
          <cell r="L184">
            <v>9503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135812</v>
          </cell>
          <cell r="V184">
            <v>135812</v>
          </cell>
          <cell r="W184">
            <v>0</v>
          </cell>
        </row>
        <row r="185">
          <cell r="E185">
            <v>229</v>
          </cell>
          <cell r="G185">
            <v>33434</v>
          </cell>
          <cell r="J185">
            <v>53</v>
          </cell>
          <cell r="L185">
            <v>29627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S185">
            <v>161221</v>
          </cell>
          <cell r="V185">
            <v>76410</v>
          </cell>
          <cell r="W185">
            <v>84811</v>
          </cell>
        </row>
        <row r="186">
          <cell r="E186">
            <v>325</v>
          </cell>
          <cell r="G186">
            <v>47450</v>
          </cell>
          <cell r="J186">
            <v>66</v>
          </cell>
          <cell r="L186">
            <v>36894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S186">
            <v>182524</v>
          </cell>
          <cell r="V186">
            <v>78144</v>
          </cell>
          <cell r="W186">
            <v>189191</v>
          </cell>
        </row>
        <row r="187">
          <cell r="E187">
            <v>471</v>
          </cell>
          <cell r="G187">
            <v>68766</v>
          </cell>
          <cell r="J187">
            <v>48</v>
          </cell>
          <cell r="L187">
            <v>26832</v>
          </cell>
          <cell r="M187">
            <v>3731</v>
          </cell>
          <cell r="N187">
            <v>8047</v>
          </cell>
          <cell r="O187">
            <v>0</v>
          </cell>
          <cell r="Q187">
            <v>78144</v>
          </cell>
          <cell r="S187">
            <v>185520</v>
          </cell>
          <cell r="V187">
            <v>374711</v>
          </cell>
          <cell r="W187">
            <v>0</v>
          </cell>
        </row>
        <row r="188">
          <cell r="E188">
            <v>534</v>
          </cell>
          <cell r="G188">
            <v>77964</v>
          </cell>
          <cell r="J188">
            <v>62</v>
          </cell>
          <cell r="L188">
            <v>34658</v>
          </cell>
          <cell r="M188">
            <v>3731</v>
          </cell>
          <cell r="N188">
            <v>8077</v>
          </cell>
          <cell r="O188">
            <v>0</v>
          </cell>
          <cell r="Q188">
            <v>78144</v>
          </cell>
          <cell r="S188">
            <v>202574</v>
          </cell>
          <cell r="V188">
            <v>202574</v>
          </cell>
          <cell r="W188">
            <v>0</v>
          </cell>
        </row>
        <row r="189">
          <cell r="E189">
            <v>436</v>
          </cell>
          <cell r="G189">
            <v>63656</v>
          </cell>
          <cell r="J189">
            <v>46</v>
          </cell>
          <cell r="L189">
            <v>25714</v>
          </cell>
          <cell r="M189">
            <v>3731</v>
          </cell>
          <cell r="N189">
            <v>8090</v>
          </cell>
          <cell r="O189">
            <v>0</v>
          </cell>
          <cell r="Q189">
            <v>78144</v>
          </cell>
          <cell r="S189">
            <v>179335</v>
          </cell>
          <cell r="V189">
            <v>179335</v>
          </cell>
          <cell r="W189">
            <v>0</v>
          </cell>
        </row>
        <row r="190">
          <cell r="E190">
            <v>439</v>
          </cell>
          <cell r="G190">
            <v>64094</v>
          </cell>
          <cell r="J190">
            <v>52</v>
          </cell>
          <cell r="L190">
            <v>29068</v>
          </cell>
          <cell r="M190">
            <v>3731</v>
          </cell>
          <cell r="N190">
            <v>8101</v>
          </cell>
          <cell r="O190">
            <v>0</v>
          </cell>
          <cell r="Q190">
            <v>78144</v>
          </cell>
          <cell r="S190">
            <v>183138</v>
          </cell>
          <cell r="V190">
            <v>183138</v>
          </cell>
          <cell r="W190">
            <v>0</v>
          </cell>
        </row>
        <row r="191">
          <cell r="E191">
            <v>369</v>
          </cell>
          <cell r="G191">
            <v>53874</v>
          </cell>
          <cell r="J191">
            <v>52</v>
          </cell>
          <cell r="L191">
            <v>29068</v>
          </cell>
          <cell r="M191">
            <v>3731</v>
          </cell>
          <cell r="N191">
            <v>8123</v>
          </cell>
          <cell r="O191">
            <v>0</v>
          </cell>
          <cell r="Q191">
            <v>78144</v>
          </cell>
          <cell r="S191">
            <v>172940</v>
          </cell>
          <cell r="V191">
            <v>172940</v>
          </cell>
          <cell r="W191">
            <v>0</v>
          </cell>
        </row>
        <row r="192">
          <cell r="E192">
            <v>299</v>
          </cell>
          <cell r="G192">
            <v>43654</v>
          </cell>
          <cell r="J192">
            <v>23</v>
          </cell>
          <cell r="L192">
            <v>12857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146534</v>
          </cell>
          <cell r="V192">
            <v>146534</v>
          </cell>
          <cell r="W192">
            <v>0</v>
          </cell>
        </row>
        <row r="193">
          <cell r="E193">
            <v>218</v>
          </cell>
          <cell r="G193">
            <v>31828</v>
          </cell>
          <cell r="J193">
            <v>8</v>
          </cell>
          <cell r="L193">
            <v>4472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126336</v>
          </cell>
          <cell r="V193">
            <v>126336</v>
          </cell>
          <cell r="W193">
            <v>0</v>
          </cell>
        </row>
        <row r="194">
          <cell r="E194">
            <v>188</v>
          </cell>
          <cell r="G194">
            <v>27448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120304</v>
          </cell>
          <cell r="V194">
            <v>120304</v>
          </cell>
          <cell r="W194">
            <v>0</v>
          </cell>
        </row>
        <row r="195">
          <cell r="E195">
            <v>163</v>
          </cell>
          <cell r="G195">
            <v>23798</v>
          </cell>
          <cell r="J195">
            <v>7</v>
          </cell>
          <cell r="L195">
            <v>3913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117793</v>
          </cell>
          <cell r="V195">
            <v>117793</v>
          </cell>
          <cell r="W195">
            <v>0</v>
          </cell>
        </row>
        <row r="196">
          <cell r="E196">
            <v>159</v>
          </cell>
          <cell r="G196">
            <v>23214</v>
          </cell>
          <cell r="J196">
            <v>19</v>
          </cell>
          <cell r="L196">
            <v>10621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123940</v>
          </cell>
          <cell r="V196">
            <v>123940</v>
          </cell>
          <cell r="W196">
            <v>0</v>
          </cell>
        </row>
        <row r="197">
          <cell r="E197">
            <v>225</v>
          </cell>
          <cell r="G197">
            <v>32850</v>
          </cell>
          <cell r="J197">
            <v>38</v>
          </cell>
          <cell r="L197">
            <v>21242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144227</v>
          </cell>
          <cell r="V197">
            <v>144272</v>
          </cell>
          <cell r="W197">
            <v>-45</v>
          </cell>
        </row>
        <row r="198">
          <cell r="E198">
            <v>294</v>
          </cell>
          <cell r="G198">
            <v>42924</v>
          </cell>
          <cell r="J198">
            <v>51</v>
          </cell>
          <cell r="L198">
            <v>28509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161578</v>
          </cell>
          <cell r="V198">
            <v>161533</v>
          </cell>
          <cell r="W198">
            <v>0</v>
          </cell>
        </row>
        <row r="199">
          <cell r="E199">
            <v>369</v>
          </cell>
          <cell r="G199">
            <v>53874</v>
          </cell>
          <cell r="J199">
            <v>59</v>
          </cell>
          <cell r="L199">
            <v>32981</v>
          </cell>
          <cell r="M199">
            <v>3828</v>
          </cell>
          <cell r="N199">
            <v>8264</v>
          </cell>
          <cell r="Q199">
            <v>80176</v>
          </cell>
          <cell r="S199">
            <v>179123</v>
          </cell>
          <cell r="V199">
            <v>179123</v>
          </cell>
          <cell r="W199">
            <v>0</v>
          </cell>
        </row>
        <row r="200">
          <cell r="E200">
            <v>431</v>
          </cell>
          <cell r="G200">
            <v>62926</v>
          </cell>
          <cell r="J200">
            <v>70</v>
          </cell>
          <cell r="L200">
            <v>39130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194327</v>
          </cell>
          <cell r="V200">
            <v>194327</v>
          </cell>
          <cell r="W200">
            <v>0</v>
          </cell>
        </row>
        <row r="201">
          <cell r="E201">
            <v>405</v>
          </cell>
          <cell r="G201">
            <v>59130</v>
          </cell>
          <cell r="J201">
            <v>50</v>
          </cell>
          <cell r="L201">
            <v>27950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179354</v>
          </cell>
          <cell r="V201">
            <v>179354</v>
          </cell>
          <cell r="W201">
            <v>0</v>
          </cell>
        </row>
        <row r="202">
          <cell r="E202">
            <v>395</v>
          </cell>
          <cell r="G202">
            <v>57670</v>
          </cell>
          <cell r="J202">
            <v>53</v>
          </cell>
          <cell r="L202">
            <v>29627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179600</v>
          </cell>
          <cell r="V202">
            <v>179600</v>
          </cell>
          <cell r="W202">
            <v>0</v>
          </cell>
        </row>
        <row r="203">
          <cell r="E203">
            <v>358</v>
          </cell>
          <cell r="G203">
            <v>52268</v>
          </cell>
          <cell r="J203">
            <v>56</v>
          </cell>
          <cell r="L203">
            <v>31304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175905</v>
          </cell>
          <cell r="V203"/>
          <cell r="W203">
            <v>175905</v>
          </cell>
        </row>
        <row r="204">
          <cell r="E204">
            <v>-28046</v>
          </cell>
          <cell r="G204">
            <v>-4094716</v>
          </cell>
          <cell r="J204">
            <v>-3042</v>
          </cell>
          <cell r="L204">
            <v>-1700478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-5711190</v>
          </cell>
          <cell r="V204"/>
          <cell r="W204">
            <v>-5535285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-5451281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-5367277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-5283273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-5199269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-5115265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-5031261</v>
          </cell>
        </row>
      </sheetData>
      <sheetData sheetId="29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W175">
            <v>87141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W176">
            <v>174282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W177">
            <v>261423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W178">
            <v>348564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W179">
            <v>435705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W180">
            <v>522846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610000</v>
          </cell>
          <cell r="W181">
            <v>-13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88200</v>
          </cell>
          <cell r="W182">
            <v>-91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W183">
            <v>88047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W184">
            <v>176178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W185">
            <v>264338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W186">
            <v>352518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R187">
            <v>53847</v>
          </cell>
          <cell r="S187">
            <v>143769</v>
          </cell>
          <cell r="W187">
            <v>496287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586239</v>
          </cell>
          <cell r="W188">
            <v>0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W189">
            <v>89965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W190">
            <v>179941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W191">
            <v>269939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W192">
            <v>359962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W193">
            <v>449998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W194">
            <v>540059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R195">
            <v>54864</v>
          </cell>
          <cell r="S195">
            <v>144946</v>
          </cell>
          <cell r="W195">
            <v>685005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R196">
            <v>55066</v>
          </cell>
          <cell r="S196">
            <v>145171</v>
          </cell>
          <cell r="W196">
            <v>830176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R197">
            <v>55132</v>
          </cell>
          <cell r="S197">
            <v>145267</v>
          </cell>
          <cell r="W197">
            <v>975443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R198">
            <v>55092</v>
          </cell>
          <cell r="S198">
            <v>145237</v>
          </cell>
          <cell r="W198">
            <v>1120680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147360</v>
          </cell>
          <cell r="W199">
            <v>1268040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147385</v>
          </cell>
          <cell r="V200"/>
          <cell r="W200">
            <v>1415425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S201">
            <v>147406</v>
          </cell>
          <cell r="V201"/>
          <cell r="W201">
            <v>1562831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1655134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>
            <v>1834000</v>
          </cell>
          <cell r="W203">
            <v>-86533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-2529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81475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165479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249483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333487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417491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501495</v>
          </cell>
        </row>
      </sheetData>
      <sheetData sheetId="30">
        <row r="175"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87141</v>
          </cell>
          <cell r="W175">
            <v>-12304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87141</v>
          </cell>
          <cell r="V176">
            <v>74837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V178">
            <v>88000</v>
          </cell>
          <cell r="W178">
            <v>-859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87141</v>
          </cell>
          <cell r="V179">
            <v>87141</v>
          </cell>
          <cell r="W179">
            <v>-859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87141</v>
          </cell>
          <cell r="V180">
            <v>86282</v>
          </cell>
          <cell r="W180">
            <v>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88122</v>
          </cell>
          <cell r="V182">
            <v>87141</v>
          </cell>
          <cell r="W182">
            <v>981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88138</v>
          </cell>
          <cell r="V183">
            <v>89119</v>
          </cell>
          <cell r="W183">
            <v>0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88131</v>
          </cell>
          <cell r="V184">
            <v>88131</v>
          </cell>
          <cell r="W184">
            <v>0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88160</v>
          </cell>
          <cell r="W185">
            <v>88160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88180</v>
          </cell>
          <cell r="V186">
            <v>176340</v>
          </cell>
          <cell r="W186">
            <v>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89922</v>
          </cell>
          <cell r="V187">
            <v>90000</v>
          </cell>
          <cell r="W187">
            <v>-78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89952</v>
          </cell>
          <cell r="V188">
            <v>89874</v>
          </cell>
          <cell r="W188">
            <v>0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89965</v>
          </cell>
          <cell r="V189">
            <v>89965</v>
          </cell>
          <cell r="W189">
            <v>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89976</v>
          </cell>
          <cell r="V190">
            <v>90000</v>
          </cell>
          <cell r="W190">
            <v>-24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89998</v>
          </cell>
          <cell r="V191">
            <v>89974</v>
          </cell>
          <cell r="W191">
            <v>0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90036</v>
          </cell>
          <cell r="V193">
            <v>91000</v>
          </cell>
          <cell r="W193">
            <v>-964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90061</v>
          </cell>
          <cell r="V194">
            <v>100000</v>
          </cell>
          <cell r="W194">
            <v>-10903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90082</v>
          </cell>
          <cell r="V195">
            <v>80000</v>
          </cell>
          <cell r="W195">
            <v>-821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90105</v>
          </cell>
          <cell r="V196">
            <v>90000</v>
          </cell>
          <cell r="W196">
            <v>-716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90135</v>
          </cell>
          <cell r="W197">
            <v>89419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90145</v>
          </cell>
          <cell r="V198">
            <v>250000</v>
          </cell>
          <cell r="W198">
            <v>-70436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S199">
            <v>92268</v>
          </cell>
          <cell r="W199">
            <v>21832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/>
          <cell r="S200">
            <v>92271</v>
          </cell>
          <cell r="V200">
            <v>114100</v>
          </cell>
          <cell r="W200">
            <v>3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/>
          <cell r="S201">
            <v>92274</v>
          </cell>
          <cell r="V201">
            <v>92280</v>
          </cell>
          <cell r="W201">
            <v>-3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/>
          <cell r="S202">
            <v>92303</v>
          </cell>
          <cell r="V202">
            <v>92300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31">
        <row r="175">
          <cell r="E175">
            <v>166</v>
          </cell>
          <cell r="G175">
            <v>24236</v>
          </cell>
          <cell r="J175">
            <v>72</v>
          </cell>
          <cell r="L175">
            <v>40248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151625</v>
          </cell>
          <cell r="V175">
            <v>151625</v>
          </cell>
          <cell r="W175">
            <v>0</v>
          </cell>
        </row>
        <row r="176">
          <cell r="E176">
            <v>24</v>
          </cell>
          <cell r="G176">
            <v>3504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90645</v>
          </cell>
          <cell r="W176">
            <v>90645</v>
          </cell>
        </row>
        <row r="177">
          <cell r="E177">
            <v>23</v>
          </cell>
          <cell r="G177">
            <v>3358</v>
          </cell>
          <cell r="J177">
            <v>6</v>
          </cell>
          <cell r="L177">
            <v>3354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93853</v>
          </cell>
          <cell r="V177">
            <v>184498</v>
          </cell>
          <cell r="W177">
            <v>0</v>
          </cell>
        </row>
        <row r="178">
          <cell r="E178">
            <v>27</v>
          </cell>
          <cell r="G178">
            <v>3942</v>
          </cell>
          <cell r="J178">
            <v>26</v>
          </cell>
          <cell r="L178">
            <v>14534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105617</v>
          </cell>
          <cell r="V178">
            <v>105617</v>
          </cell>
          <cell r="W178">
            <v>0</v>
          </cell>
        </row>
        <row r="179">
          <cell r="E179">
            <v>17</v>
          </cell>
          <cell r="G179">
            <v>2482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89623</v>
          </cell>
          <cell r="W179">
            <v>89623</v>
          </cell>
        </row>
        <row r="180">
          <cell r="E180">
            <v>18</v>
          </cell>
          <cell r="G180">
            <v>2628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90328</v>
          </cell>
          <cell r="V180">
            <v>179951</v>
          </cell>
          <cell r="W180">
            <v>0</v>
          </cell>
        </row>
        <row r="181">
          <cell r="E181">
            <v>13</v>
          </cell>
          <cell r="G181">
            <v>1898</v>
          </cell>
          <cell r="J181">
            <v>1</v>
          </cell>
          <cell r="L181">
            <v>559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89598</v>
          </cell>
          <cell r="W181">
            <v>89598</v>
          </cell>
        </row>
        <row r="182">
          <cell r="E182">
            <v>4</v>
          </cell>
          <cell r="G182">
            <v>584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88706</v>
          </cell>
          <cell r="V182">
            <v>178304</v>
          </cell>
          <cell r="W182">
            <v>0</v>
          </cell>
        </row>
        <row r="183">
          <cell r="E183">
            <v>33</v>
          </cell>
          <cell r="G183">
            <v>4818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97428</v>
          </cell>
          <cell r="V183">
            <v>97428</v>
          </cell>
          <cell r="W183">
            <v>0</v>
          </cell>
        </row>
        <row r="184">
          <cell r="E184">
            <v>41</v>
          </cell>
          <cell r="G184">
            <v>5986</v>
          </cell>
          <cell r="J184">
            <v>6</v>
          </cell>
          <cell r="L184">
            <v>3354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97471</v>
          </cell>
          <cell r="V184">
            <v>97471</v>
          </cell>
          <cell r="W184">
            <v>0</v>
          </cell>
        </row>
        <row r="185">
          <cell r="E185">
            <v>58</v>
          </cell>
          <cell r="G185">
            <v>8468</v>
          </cell>
          <cell r="J185">
            <v>87</v>
          </cell>
          <cell r="L185">
            <v>48633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145261</v>
          </cell>
          <cell r="V185">
            <v>145261</v>
          </cell>
          <cell r="W185">
            <v>0</v>
          </cell>
        </row>
        <row r="186">
          <cell r="E186">
            <v>46</v>
          </cell>
          <cell r="G186">
            <v>6716</v>
          </cell>
          <cell r="J186">
            <v>47</v>
          </cell>
          <cell r="L186">
            <v>26273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121169</v>
          </cell>
          <cell r="W186">
            <v>121169</v>
          </cell>
        </row>
        <row r="187">
          <cell r="E187">
            <v>62</v>
          </cell>
          <cell r="G187">
            <v>9052</v>
          </cell>
          <cell r="J187">
            <v>65</v>
          </cell>
          <cell r="L187">
            <v>36335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135309</v>
          </cell>
          <cell r="V187">
            <v>256478</v>
          </cell>
          <cell r="W187">
            <v>0</v>
          </cell>
        </row>
        <row r="188">
          <cell r="E188">
            <v>82</v>
          </cell>
          <cell r="G188">
            <v>11972</v>
          </cell>
          <cell r="J188">
            <v>131</v>
          </cell>
          <cell r="L188">
            <v>75209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177133</v>
          </cell>
          <cell r="V188">
            <v>177133</v>
          </cell>
          <cell r="W188">
            <v>0</v>
          </cell>
        </row>
        <row r="189">
          <cell r="E189">
            <v>36</v>
          </cell>
          <cell r="G189">
            <v>5256</v>
          </cell>
          <cell r="J189">
            <v>29</v>
          </cell>
          <cell r="L189">
            <v>16211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111432</v>
          </cell>
          <cell r="V189">
            <v>111432</v>
          </cell>
          <cell r="W189">
            <v>0</v>
          </cell>
        </row>
        <row r="190">
          <cell r="E190">
            <v>63</v>
          </cell>
          <cell r="G190">
            <v>9198</v>
          </cell>
          <cell r="J190">
            <v>41</v>
          </cell>
          <cell r="L190">
            <v>22919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122093</v>
          </cell>
          <cell r="V190">
            <v>122093</v>
          </cell>
          <cell r="W190">
            <v>0</v>
          </cell>
        </row>
        <row r="191">
          <cell r="E191">
            <v>39</v>
          </cell>
          <cell r="G191">
            <v>5694</v>
          </cell>
          <cell r="J191">
            <v>36</v>
          </cell>
          <cell r="L191">
            <v>20124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115816</v>
          </cell>
          <cell r="V191">
            <v>115816</v>
          </cell>
          <cell r="W191">
            <v>0</v>
          </cell>
        </row>
        <row r="192">
          <cell r="E192">
            <v>53</v>
          </cell>
          <cell r="G192">
            <v>7738</v>
          </cell>
          <cell r="J192">
            <v>-17</v>
          </cell>
          <cell r="L192">
            <v>-9503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88258</v>
          </cell>
          <cell r="V192">
            <v>88258</v>
          </cell>
          <cell r="W192">
            <v>0</v>
          </cell>
        </row>
        <row r="193">
          <cell r="E193">
            <v>91</v>
          </cell>
          <cell r="G193">
            <v>13286</v>
          </cell>
          <cell r="J193">
            <v>6</v>
          </cell>
          <cell r="L193">
            <v>3354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106676</v>
          </cell>
          <cell r="V193">
            <v>106676</v>
          </cell>
          <cell r="W193">
            <v>0</v>
          </cell>
        </row>
        <row r="194">
          <cell r="E194">
            <v>63</v>
          </cell>
          <cell r="G194">
            <v>9198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102054</v>
          </cell>
          <cell r="V194">
            <v>102054</v>
          </cell>
          <cell r="W194">
            <v>0</v>
          </cell>
        </row>
        <row r="195">
          <cell r="E195">
            <v>42</v>
          </cell>
          <cell r="G195">
            <v>6132</v>
          </cell>
          <cell r="J195">
            <v>6</v>
          </cell>
          <cell r="L195">
            <v>3354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99568</v>
          </cell>
          <cell r="V195">
            <v>99568</v>
          </cell>
          <cell r="W195">
            <v>0</v>
          </cell>
        </row>
        <row r="196">
          <cell r="E196">
            <v>54</v>
          </cell>
          <cell r="G196">
            <v>7884</v>
          </cell>
          <cell r="J196">
            <v>14</v>
          </cell>
          <cell r="L196">
            <v>7826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105815</v>
          </cell>
          <cell r="V196">
            <v>11815</v>
          </cell>
          <cell r="W196">
            <v>94000</v>
          </cell>
        </row>
        <row r="197">
          <cell r="E197">
            <v>53</v>
          </cell>
          <cell r="G197">
            <v>7738</v>
          </cell>
          <cell r="J197">
            <v>38</v>
          </cell>
          <cell r="L197">
            <v>21242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119115</v>
          </cell>
          <cell r="W197">
            <v>213115</v>
          </cell>
        </row>
        <row r="198">
          <cell r="E198">
            <v>45</v>
          </cell>
          <cell r="G198">
            <v>6570</v>
          </cell>
          <cell r="J198">
            <v>31</v>
          </cell>
          <cell r="L198">
            <v>17329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114044</v>
          </cell>
          <cell r="V198">
            <v>327159</v>
          </cell>
          <cell r="W198">
            <v>0</v>
          </cell>
        </row>
        <row r="199">
          <cell r="E199">
            <v>21</v>
          </cell>
          <cell r="G199">
            <v>3066</v>
          </cell>
          <cell r="J199">
            <v>2</v>
          </cell>
          <cell r="L199">
            <v>1118</v>
          </cell>
          <cell r="M199">
            <v>3828</v>
          </cell>
          <cell r="N199">
            <v>8264</v>
          </cell>
          <cell r="Q199">
            <v>80176</v>
          </cell>
          <cell r="S199">
            <v>96452</v>
          </cell>
          <cell r="W199">
            <v>96452</v>
          </cell>
        </row>
        <row r="200">
          <cell r="E200">
            <v>40</v>
          </cell>
          <cell r="G200">
            <v>5840</v>
          </cell>
          <cell r="J200">
            <v>12</v>
          </cell>
          <cell r="L200">
            <v>6708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104819</v>
          </cell>
          <cell r="V200">
            <v>201271</v>
          </cell>
          <cell r="W200">
            <v>0</v>
          </cell>
        </row>
        <row r="201">
          <cell r="E201">
            <v>19</v>
          </cell>
          <cell r="G201">
            <v>2774</v>
          </cell>
          <cell r="J201">
            <v>13</v>
          </cell>
          <cell r="L201">
            <v>7267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102315</v>
          </cell>
          <cell r="V201"/>
          <cell r="W201">
            <v>102315</v>
          </cell>
        </row>
        <row r="202">
          <cell r="E202">
            <v>9</v>
          </cell>
          <cell r="G202">
            <v>1314</v>
          </cell>
          <cell r="J202">
            <v>1</v>
          </cell>
          <cell r="L202">
            <v>559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94176</v>
          </cell>
          <cell r="V202">
            <v>196491</v>
          </cell>
          <cell r="W202">
            <v>0</v>
          </cell>
        </row>
        <row r="203">
          <cell r="E203">
            <v>113</v>
          </cell>
          <cell r="G203">
            <v>16498</v>
          </cell>
          <cell r="J203">
            <v>81</v>
          </cell>
          <cell r="L203">
            <v>45279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154110</v>
          </cell>
          <cell r="V203"/>
          <cell r="W203">
            <v>154110</v>
          </cell>
        </row>
        <row r="204">
          <cell r="E204">
            <v>-32444</v>
          </cell>
          <cell r="G204">
            <v>-4736824</v>
          </cell>
          <cell r="J204">
            <v>-6281</v>
          </cell>
          <cell r="L204">
            <v>-3511079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-8163899</v>
          </cell>
          <cell r="V204"/>
          <cell r="W204">
            <v>-8009789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-7925785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-7841781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-7757777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-7673773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-7589769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-7505765</v>
          </cell>
        </row>
      </sheetData>
      <sheetData sheetId="32">
        <row r="175">
          <cell r="L175">
            <v>0</v>
          </cell>
          <cell r="M175">
            <v>3731</v>
          </cell>
          <cell r="Q175">
            <v>76410</v>
          </cell>
          <cell r="S175">
            <v>80141</v>
          </cell>
          <cell r="V175">
            <v>74395</v>
          </cell>
          <cell r="W175">
            <v>5746</v>
          </cell>
        </row>
        <row r="176">
          <cell r="L176">
            <v>0</v>
          </cell>
          <cell r="M176">
            <v>3731</v>
          </cell>
          <cell r="Q176">
            <v>76410</v>
          </cell>
          <cell r="S176">
            <v>80141</v>
          </cell>
          <cell r="V176">
            <v>74395</v>
          </cell>
          <cell r="W176">
            <v>11492</v>
          </cell>
        </row>
        <row r="177">
          <cell r="L177">
            <v>0</v>
          </cell>
          <cell r="M177">
            <v>3731</v>
          </cell>
          <cell r="Q177">
            <v>76410</v>
          </cell>
          <cell r="S177">
            <v>80141</v>
          </cell>
          <cell r="V177">
            <v>74395</v>
          </cell>
          <cell r="W177">
            <v>17238</v>
          </cell>
        </row>
        <row r="178">
          <cell r="L178">
            <v>0</v>
          </cell>
          <cell r="M178">
            <v>3731</v>
          </cell>
          <cell r="Q178">
            <v>76410</v>
          </cell>
          <cell r="S178">
            <v>80141</v>
          </cell>
          <cell r="V178">
            <v>24710</v>
          </cell>
          <cell r="W178">
            <v>72669</v>
          </cell>
        </row>
        <row r="179">
          <cell r="L179">
            <v>0</v>
          </cell>
          <cell r="M179">
            <v>3731</v>
          </cell>
          <cell r="Q179">
            <v>76410</v>
          </cell>
          <cell r="S179">
            <v>80141</v>
          </cell>
          <cell r="V179">
            <v>76410</v>
          </cell>
          <cell r="W179">
            <v>76400</v>
          </cell>
        </row>
        <row r="180">
          <cell r="L180">
            <v>0</v>
          </cell>
          <cell r="M180">
            <v>3731</v>
          </cell>
          <cell r="Q180">
            <v>76410</v>
          </cell>
          <cell r="S180">
            <v>80141</v>
          </cell>
          <cell r="V180">
            <v>76410</v>
          </cell>
          <cell r="W180">
            <v>80131</v>
          </cell>
        </row>
        <row r="181">
          <cell r="L181">
            <v>0</v>
          </cell>
          <cell r="M181">
            <v>3731</v>
          </cell>
          <cell r="Q181">
            <v>76410</v>
          </cell>
          <cell r="S181">
            <v>80141</v>
          </cell>
          <cell r="V181">
            <v>76410</v>
          </cell>
          <cell r="W181">
            <v>83862</v>
          </cell>
        </row>
        <row r="182">
          <cell r="L182">
            <v>0</v>
          </cell>
          <cell r="M182">
            <v>3731</v>
          </cell>
          <cell r="Q182">
            <v>76410</v>
          </cell>
          <cell r="S182">
            <v>80141</v>
          </cell>
          <cell r="V182">
            <v>76410</v>
          </cell>
          <cell r="W182">
            <v>87593</v>
          </cell>
        </row>
        <row r="183">
          <cell r="L183">
            <v>0</v>
          </cell>
          <cell r="M183">
            <v>3731</v>
          </cell>
          <cell r="Q183">
            <v>76410</v>
          </cell>
          <cell r="S183">
            <v>80141</v>
          </cell>
          <cell r="V183">
            <v>80141</v>
          </cell>
          <cell r="W183">
            <v>87593</v>
          </cell>
        </row>
        <row r="184">
          <cell r="L184">
            <v>0</v>
          </cell>
          <cell r="M184">
            <v>3731</v>
          </cell>
          <cell r="Q184">
            <v>76410</v>
          </cell>
          <cell r="S184">
            <v>80141</v>
          </cell>
          <cell r="V184">
            <v>80141</v>
          </cell>
          <cell r="W184">
            <v>87593</v>
          </cell>
        </row>
        <row r="185">
          <cell r="L185">
            <v>0</v>
          </cell>
          <cell r="M185">
            <v>3731</v>
          </cell>
          <cell r="Q185">
            <v>76410</v>
          </cell>
          <cell r="S185">
            <v>80141</v>
          </cell>
          <cell r="V185">
            <v>80141</v>
          </cell>
          <cell r="W185">
            <v>87593</v>
          </cell>
        </row>
        <row r="186">
          <cell r="L186">
            <v>0</v>
          </cell>
          <cell r="M186">
            <v>3731</v>
          </cell>
          <cell r="Q186">
            <v>76410</v>
          </cell>
          <cell r="S186">
            <v>80141</v>
          </cell>
          <cell r="V186">
            <v>80141</v>
          </cell>
          <cell r="W186">
            <v>87593</v>
          </cell>
        </row>
        <row r="187">
          <cell r="G187">
            <v>0</v>
          </cell>
          <cell r="L187">
            <v>0</v>
          </cell>
          <cell r="M187">
            <v>3731</v>
          </cell>
          <cell r="Q187">
            <v>78144</v>
          </cell>
          <cell r="S187">
            <v>81875</v>
          </cell>
          <cell r="V187">
            <v>80141</v>
          </cell>
          <cell r="W187">
            <v>89327</v>
          </cell>
        </row>
        <row r="188">
          <cell r="G188">
            <v>0</v>
          </cell>
          <cell r="L188">
            <v>0</v>
          </cell>
          <cell r="M188">
            <v>3731</v>
          </cell>
          <cell r="Q188">
            <v>78144</v>
          </cell>
          <cell r="S188">
            <v>81875</v>
          </cell>
          <cell r="V188">
            <v>80141</v>
          </cell>
          <cell r="W188">
            <v>91061</v>
          </cell>
        </row>
        <row r="189">
          <cell r="G189">
            <v>0</v>
          </cell>
          <cell r="L189">
            <v>0</v>
          </cell>
          <cell r="M189">
            <v>3731</v>
          </cell>
          <cell r="Q189">
            <v>78144</v>
          </cell>
          <cell r="S189">
            <v>81875</v>
          </cell>
          <cell r="V189">
            <v>172936</v>
          </cell>
          <cell r="W189">
            <v>0</v>
          </cell>
        </row>
        <row r="190">
          <cell r="G190">
            <v>0</v>
          </cell>
          <cell r="L190">
            <v>0</v>
          </cell>
          <cell r="M190">
            <v>3731</v>
          </cell>
          <cell r="Q190">
            <v>78144</v>
          </cell>
          <cell r="S190">
            <v>81875</v>
          </cell>
          <cell r="V190">
            <v>81875</v>
          </cell>
          <cell r="W190">
            <v>0</v>
          </cell>
        </row>
        <row r="191">
          <cell r="E191">
            <v>4</v>
          </cell>
          <cell r="G191">
            <v>584</v>
          </cell>
          <cell r="J191">
            <v>0</v>
          </cell>
          <cell r="L191">
            <v>0</v>
          </cell>
          <cell r="M191">
            <v>3731</v>
          </cell>
          <cell r="Q191">
            <v>78144</v>
          </cell>
          <cell r="S191">
            <v>82459</v>
          </cell>
          <cell r="V191">
            <v>82459</v>
          </cell>
          <cell r="W191">
            <v>0</v>
          </cell>
        </row>
        <row r="192">
          <cell r="E192">
            <v>6</v>
          </cell>
          <cell r="G192">
            <v>876</v>
          </cell>
          <cell r="J192">
            <v>3</v>
          </cell>
          <cell r="L192">
            <v>1677</v>
          </cell>
          <cell r="M192">
            <v>3731</v>
          </cell>
          <cell r="Q192">
            <v>78144</v>
          </cell>
          <cell r="S192">
            <v>84428</v>
          </cell>
          <cell r="V192">
            <v>84428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Q193">
            <v>78144</v>
          </cell>
          <cell r="S193">
            <v>81875</v>
          </cell>
          <cell r="W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Q194">
            <v>78144</v>
          </cell>
          <cell r="S194">
            <v>81875</v>
          </cell>
          <cell r="V194">
            <v>163750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Q195">
            <v>78144</v>
          </cell>
          <cell r="S195">
            <v>81875</v>
          </cell>
          <cell r="V195">
            <v>81000</v>
          </cell>
          <cell r="W195">
            <v>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Q196">
            <v>78144</v>
          </cell>
          <cell r="S196">
            <v>81875</v>
          </cell>
          <cell r="V196">
            <v>81000</v>
          </cell>
          <cell r="W196">
            <v>1750</v>
          </cell>
        </row>
        <row r="197">
          <cell r="E197">
            <v>0</v>
          </cell>
          <cell r="G197">
            <v>0</v>
          </cell>
          <cell r="J197">
            <v>1</v>
          </cell>
          <cell r="L197">
            <v>559</v>
          </cell>
          <cell r="M197">
            <v>3731</v>
          </cell>
          <cell r="Q197">
            <v>78144</v>
          </cell>
          <cell r="R197">
            <v>55132</v>
          </cell>
          <cell r="S197">
            <v>137566</v>
          </cell>
          <cell r="V197">
            <v>165000</v>
          </cell>
          <cell r="W197">
            <v>-25684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Q198">
            <v>78144</v>
          </cell>
          <cell r="R198">
            <v>55092</v>
          </cell>
          <cell r="S198">
            <v>136967</v>
          </cell>
          <cell r="W198">
            <v>111283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Q199">
            <v>80176</v>
          </cell>
          <cell r="R199">
            <v>55092</v>
          </cell>
          <cell r="S199">
            <v>139096</v>
          </cell>
          <cell r="V199">
            <v>250000</v>
          </cell>
          <cell r="W199">
            <v>379</v>
          </cell>
        </row>
        <row r="200">
          <cell r="E200">
            <v>0</v>
          </cell>
          <cell r="G200">
            <v>0</v>
          </cell>
          <cell r="J200">
            <v>1</v>
          </cell>
          <cell r="L200">
            <v>559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84563</v>
          </cell>
          <cell r="V200">
            <v>85000</v>
          </cell>
          <cell r="W200">
            <v>-58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84004</v>
          </cell>
          <cell r="V201"/>
          <cell r="W201">
            <v>83946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84004</v>
          </cell>
          <cell r="V202">
            <v>168000</v>
          </cell>
          <cell r="W202">
            <v>-50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84004</v>
          </cell>
          <cell r="V203"/>
          <cell r="W203">
            <v>83954</v>
          </cell>
        </row>
        <row r="204">
          <cell r="E204">
            <v>-10</v>
          </cell>
          <cell r="G204">
            <v>-1460</v>
          </cell>
          <cell r="J204">
            <v>-5</v>
          </cell>
          <cell r="L204">
            <v>-2795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79749</v>
          </cell>
          <cell r="V204"/>
          <cell r="W204">
            <v>163703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247707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331711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415715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499719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583723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667727</v>
          </cell>
        </row>
      </sheetData>
      <sheetData sheetId="33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87141</v>
          </cell>
          <cell r="W175">
            <v>0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W180">
            <v>87141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174282</v>
          </cell>
          <cell r="W181">
            <v>0</v>
          </cell>
        </row>
        <row r="182">
          <cell r="E182">
            <v>4</v>
          </cell>
          <cell r="G182">
            <v>584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88706</v>
          </cell>
          <cell r="V182">
            <v>88706</v>
          </cell>
          <cell r="W182">
            <v>0</v>
          </cell>
        </row>
        <row r="183">
          <cell r="E183">
            <v>5</v>
          </cell>
          <cell r="G183">
            <v>730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88868</v>
          </cell>
          <cell r="V183">
            <v>88868</v>
          </cell>
          <cell r="W183">
            <v>0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88131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1</v>
          </cell>
          <cell r="L186">
            <v>559</v>
          </cell>
          <cell r="M186">
            <v>3731</v>
          </cell>
          <cell r="N186">
            <v>8039</v>
          </cell>
          <cell r="Q186">
            <v>76410</v>
          </cell>
          <cell r="S186">
            <v>88739</v>
          </cell>
          <cell r="V186">
            <v>88739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89965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89976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92268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-9</v>
          </cell>
          <cell r="G204">
            <v>-1314</v>
          </cell>
          <cell r="J204">
            <v>-1</v>
          </cell>
          <cell r="L204">
            <v>-559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82131</v>
          </cell>
          <cell r="V204"/>
          <cell r="W204">
            <v>174464</v>
          </cell>
        </row>
        <row r="205">
          <cell r="E205">
            <v>0</v>
          </cell>
          <cell r="G205">
            <v>0</v>
          </cell>
          <cell r="J205">
            <v>-1</v>
          </cell>
          <cell r="L205">
            <v>-559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83445</v>
          </cell>
          <cell r="V205"/>
          <cell r="W205">
            <v>257909</v>
          </cell>
        </row>
        <row r="206">
          <cell r="E206">
            <v>0</v>
          </cell>
          <cell r="G206">
            <v>0</v>
          </cell>
          <cell r="J206">
            <v>-1</v>
          </cell>
          <cell r="L206">
            <v>-559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83445</v>
          </cell>
          <cell r="V206"/>
          <cell r="W206">
            <v>341354</v>
          </cell>
        </row>
        <row r="207">
          <cell r="E207">
            <v>0</v>
          </cell>
          <cell r="G207">
            <v>0</v>
          </cell>
          <cell r="J207">
            <v>-1</v>
          </cell>
          <cell r="L207">
            <v>-559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83445</v>
          </cell>
          <cell r="V207"/>
          <cell r="W207">
            <v>424799</v>
          </cell>
        </row>
        <row r="208">
          <cell r="E208">
            <v>0</v>
          </cell>
          <cell r="G208">
            <v>0</v>
          </cell>
          <cell r="J208">
            <v>-1</v>
          </cell>
          <cell r="L208">
            <v>-559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83445</v>
          </cell>
          <cell r="V208"/>
          <cell r="W208">
            <v>508244</v>
          </cell>
        </row>
        <row r="209">
          <cell r="E209">
            <v>0</v>
          </cell>
          <cell r="G209">
            <v>0</v>
          </cell>
          <cell r="J209">
            <v>-1</v>
          </cell>
          <cell r="L209">
            <v>-559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83445</v>
          </cell>
          <cell r="V209"/>
          <cell r="W209">
            <v>591689</v>
          </cell>
        </row>
        <row r="210">
          <cell r="E210">
            <v>0</v>
          </cell>
          <cell r="G210">
            <v>0</v>
          </cell>
          <cell r="J210">
            <v>-1</v>
          </cell>
          <cell r="L210">
            <v>-559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83445</v>
          </cell>
          <cell r="V210"/>
          <cell r="W210">
            <v>675134</v>
          </cell>
        </row>
      </sheetData>
      <sheetData sheetId="34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87141</v>
          </cell>
          <cell r="W175">
            <v>0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88138</v>
          </cell>
          <cell r="W183">
            <v>0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88131</v>
          </cell>
          <cell r="W184">
            <v>0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88160</v>
          </cell>
          <cell r="W185">
            <v>0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88180</v>
          </cell>
          <cell r="W186">
            <v>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89952</v>
          </cell>
          <cell r="W188">
            <v>0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89965</v>
          </cell>
          <cell r="W189">
            <v>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89976</v>
          </cell>
          <cell r="W190">
            <v>0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90135</v>
          </cell>
          <cell r="W197">
            <v>0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92268</v>
          </cell>
          <cell r="W199">
            <v>0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680361</v>
          </cell>
        </row>
      </sheetData>
      <sheetData sheetId="35">
        <row r="175">
          <cell r="E175">
            <v>317</v>
          </cell>
          <cell r="G175">
            <v>46282</v>
          </cell>
          <cell r="J175">
            <v>104</v>
          </cell>
          <cell r="L175">
            <v>58136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S175">
            <v>201559</v>
          </cell>
          <cell r="V175">
            <v>201459</v>
          </cell>
          <cell r="W175">
            <v>-9.9999999976716936E-2</v>
          </cell>
        </row>
        <row r="176">
          <cell r="E176">
            <v>276</v>
          </cell>
          <cell r="G176">
            <v>40296</v>
          </cell>
          <cell r="J176">
            <v>120</v>
          </cell>
          <cell r="L176">
            <v>67080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S176">
            <v>204517</v>
          </cell>
          <cell r="W176">
            <v>204516.90000000002</v>
          </cell>
        </row>
        <row r="177">
          <cell r="E177">
            <v>333</v>
          </cell>
          <cell r="G177">
            <v>48618</v>
          </cell>
          <cell r="J177">
            <v>78</v>
          </cell>
          <cell r="L177">
            <v>43602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S177">
            <v>189361</v>
          </cell>
          <cell r="V177">
            <v>393878</v>
          </cell>
          <cell r="W177">
            <v>-9.9999999976716936E-2</v>
          </cell>
        </row>
        <row r="178">
          <cell r="E178">
            <v>288</v>
          </cell>
          <cell r="G178">
            <v>42048</v>
          </cell>
          <cell r="J178">
            <v>106</v>
          </cell>
          <cell r="L178">
            <v>59254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S178">
            <v>198443</v>
          </cell>
          <cell r="V178">
            <v>198443</v>
          </cell>
          <cell r="W178">
            <v>-9.9999999976716936E-2</v>
          </cell>
        </row>
        <row r="179">
          <cell r="E179">
            <v>271</v>
          </cell>
          <cell r="G179">
            <v>39566</v>
          </cell>
          <cell r="J179">
            <v>42</v>
          </cell>
          <cell r="L179">
            <v>23478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S179">
            <v>160185</v>
          </cell>
          <cell r="V179">
            <v>160185</v>
          </cell>
          <cell r="W179">
            <v>-9.9999999976716936E-2</v>
          </cell>
        </row>
        <row r="180">
          <cell r="E180">
            <v>292</v>
          </cell>
          <cell r="G180">
            <v>42632</v>
          </cell>
          <cell r="J180">
            <v>3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S180">
            <v>141450</v>
          </cell>
          <cell r="W180">
            <v>141449.90000000002</v>
          </cell>
        </row>
        <row r="181">
          <cell r="E181">
            <v>242</v>
          </cell>
          <cell r="G181">
            <v>35332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S181">
            <v>132473</v>
          </cell>
          <cell r="V181">
            <v>273923</v>
          </cell>
          <cell r="W181">
            <v>-9.9999999976716936E-2</v>
          </cell>
        </row>
        <row r="182">
          <cell r="E182">
            <v>294</v>
          </cell>
          <cell r="G182">
            <v>42924</v>
          </cell>
          <cell r="J182">
            <v>3</v>
          </cell>
          <cell r="L182">
            <v>1677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S182">
            <v>142723</v>
          </cell>
          <cell r="W182">
            <v>142722.90000000002</v>
          </cell>
        </row>
        <row r="183">
          <cell r="E183">
            <v>276</v>
          </cell>
          <cell r="G183">
            <v>40296</v>
          </cell>
          <cell r="J183">
            <v>8</v>
          </cell>
          <cell r="L183">
            <v>4472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S183">
            <v>142906</v>
          </cell>
          <cell r="V183">
            <v>285629</v>
          </cell>
          <cell r="W183">
            <v>-9.9999999976716936E-2</v>
          </cell>
        </row>
        <row r="184">
          <cell r="E184">
            <v>257</v>
          </cell>
          <cell r="G184">
            <v>37522</v>
          </cell>
          <cell r="J184">
            <v>99</v>
          </cell>
          <cell r="L184">
            <v>55341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190994</v>
          </cell>
          <cell r="V184">
            <v>190994</v>
          </cell>
          <cell r="W184">
            <v>-9.9999999976716936E-2</v>
          </cell>
        </row>
        <row r="185">
          <cell r="E185">
            <v>302</v>
          </cell>
          <cell r="G185">
            <v>44092</v>
          </cell>
          <cell r="J185">
            <v>152</v>
          </cell>
          <cell r="L185">
            <v>91808</v>
          </cell>
          <cell r="M185">
            <v>3731</v>
          </cell>
          <cell r="N185">
            <v>8019</v>
          </cell>
          <cell r="O185">
            <v>0</v>
          </cell>
          <cell r="Q185">
            <v>76410</v>
          </cell>
          <cell r="S185">
            <v>224060</v>
          </cell>
          <cell r="V185">
            <v>224060</v>
          </cell>
          <cell r="W185">
            <v>-9.9999999976716936E-2</v>
          </cell>
        </row>
        <row r="186">
          <cell r="E186">
            <v>211</v>
          </cell>
          <cell r="G186">
            <v>30806</v>
          </cell>
          <cell r="J186">
            <v>97</v>
          </cell>
          <cell r="L186">
            <v>54223</v>
          </cell>
          <cell r="M186">
            <v>3731</v>
          </cell>
          <cell r="N186">
            <v>8039</v>
          </cell>
          <cell r="O186">
            <v>0</v>
          </cell>
          <cell r="Q186">
            <v>76410</v>
          </cell>
          <cell r="S186">
            <v>173209</v>
          </cell>
          <cell r="V186">
            <v>173209</v>
          </cell>
          <cell r="W186">
            <v>-9.9999999976716936E-2</v>
          </cell>
        </row>
        <row r="187">
          <cell r="E187">
            <v>255</v>
          </cell>
          <cell r="G187">
            <v>37230</v>
          </cell>
          <cell r="J187">
            <v>108</v>
          </cell>
          <cell r="L187">
            <v>60372</v>
          </cell>
          <cell r="M187">
            <v>3731</v>
          </cell>
          <cell r="N187">
            <v>8047</v>
          </cell>
          <cell r="O187">
            <v>0</v>
          </cell>
          <cell r="Q187">
            <v>78144</v>
          </cell>
          <cell r="S187">
            <v>187524</v>
          </cell>
          <cell r="V187">
            <v>187524</v>
          </cell>
          <cell r="W187">
            <v>-9.9999999976716936E-2</v>
          </cell>
        </row>
        <row r="188">
          <cell r="E188">
            <v>306</v>
          </cell>
          <cell r="G188">
            <v>44676</v>
          </cell>
          <cell r="J188">
            <v>106</v>
          </cell>
          <cell r="L188">
            <v>59254</v>
          </cell>
          <cell r="M188">
            <v>3731</v>
          </cell>
          <cell r="N188">
            <v>8077</v>
          </cell>
          <cell r="O188">
            <v>0</v>
          </cell>
          <cell r="Q188">
            <v>78144</v>
          </cell>
          <cell r="S188">
            <v>193882</v>
          </cell>
          <cell r="V188">
            <v>193882</v>
          </cell>
          <cell r="W188">
            <v>-9.9999999976716936E-2</v>
          </cell>
        </row>
        <row r="189">
          <cell r="E189">
            <v>232</v>
          </cell>
          <cell r="G189">
            <v>33872</v>
          </cell>
          <cell r="J189">
            <v>76</v>
          </cell>
          <cell r="L189">
            <v>42484</v>
          </cell>
          <cell r="M189">
            <v>3731</v>
          </cell>
          <cell r="N189">
            <v>8090</v>
          </cell>
          <cell r="O189">
            <v>0</v>
          </cell>
          <cell r="Q189">
            <v>78144</v>
          </cell>
          <cell r="S189">
            <v>166321</v>
          </cell>
          <cell r="W189">
            <v>166320.90000000002</v>
          </cell>
        </row>
        <row r="190">
          <cell r="E190">
            <v>219</v>
          </cell>
          <cell r="G190">
            <v>31974</v>
          </cell>
          <cell r="J190">
            <v>85</v>
          </cell>
          <cell r="L190">
            <v>47515</v>
          </cell>
          <cell r="M190">
            <v>3731</v>
          </cell>
          <cell r="N190">
            <v>8101</v>
          </cell>
          <cell r="O190">
            <v>0</v>
          </cell>
          <cell r="Q190">
            <v>78144</v>
          </cell>
          <cell r="S190">
            <v>169465</v>
          </cell>
          <cell r="V190">
            <v>335786</v>
          </cell>
          <cell r="W190">
            <v>-9.9999999976716936E-2</v>
          </cell>
        </row>
        <row r="191">
          <cell r="E191">
            <v>197</v>
          </cell>
          <cell r="G191">
            <v>28762</v>
          </cell>
          <cell r="J191">
            <v>65</v>
          </cell>
          <cell r="L191">
            <v>36335</v>
          </cell>
          <cell r="M191">
            <v>3731</v>
          </cell>
          <cell r="N191">
            <v>8123</v>
          </cell>
          <cell r="O191">
            <v>0</v>
          </cell>
          <cell r="Q191">
            <v>78144</v>
          </cell>
          <cell r="S191">
            <v>155095</v>
          </cell>
          <cell r="V191">
            <v>155095</v>
          </cell>
          <cell r="W191">
            <v>-9.9999999976716936E-2</v>
          </cell>
        </row>
        <row r="192">
          <cell r="E192">
            <v>181</v>
          </cell>
          <cell r="G192">
            <v>26426</v>
          </cell>
          <cell r="J192">
            <v>19</v>
          </cell>
          <cell r="L192">
            <v>10621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127070</v>
          </cell>
          <cell r="V192">
            <v>127070</v>
          </cell>
          <cell r="W192">
            <v>-9.9999999976716936E-2</v>
          </cell>
        </row>
        <row r="193">
          <cell r="E193">
            <v>147</v>
          </cell>
          <cell r="G193">
            <v>21462</v>
          </cell>
          <cell r="J193">
            <v>4</v>
          </cell>
          <cell r="L193">
            <v>2236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113734</v>
          </cell>
          <cell r="V193">
            <v>113734</v>
          </cell>
          <cell r="W193">
            <v>-9.9999999976716936E-2</v>
          </cell>
        </row>
        <row r="194">
          <cell r="E194">
            <v>190</v>
          </cell>
          <cell r="G194">
            <v>27740</v>
          </cell>
          <cell r="J194">
            <v>12</v>
          </cell>
          <cell r="L194">
            <v>6708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R194">
            <v>54715</v>
          </cell>
          <cell r="S194">
            <v>179224</v>
          </cell>
          <cell r="W194">
            <v>179223.90000000002</v>
          </cell>
        </row>
        <row r="195">
          <cell r="E195">
            <v>146</v>
          </cell>
          <cell r="G195">
            <v>21316</v>
          </cell>
          <cell r="J195">
            <v>27</v>
          </cell>
          <cell r="L195">
            <v>15093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R195">
            <v>54864</v>
          </cell>
          <cell r="S195">
            <v>181355</v>
          </cell>
          <cell r="W195">
            <v>360578.9</v>
          </cell>
        </row>
        <row r="196">
          <cell r="E196">
            <v>254</v>
          </cell>
          <cell r="G196">
            <v>37084</v>
          </cell>
          <cell r="J196">
            <v>48</v>
          </cell>
          <cell r="L196">
            <v>26832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154021</v>
          </cell>
          <cell r="V196">
            <v>514600</v>
          </cell>
          <cell r="W196">
            <v>-9.9999999976716936E-2</v>
          </cell>
        </row>
        <row r="197">
          <cell r="E197">
            <v>318</v>
          </cell>
          <cell r="G197">
            <v>46428</v>
          </cell>
          <cell r="J197">
            <v>86</v>
          </cell>
          <cell r="L197">
            <v>48074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184637</v>
          </cell>
          <cell r="V197">
            <v>184637</v>
          </cell>
          <cell r="W197">
            <v>-9.9999999976716936E-2</v>
          </cell>
        </row>
        <row r="198">
          <cell r="E198">
            <v>375</v>
          </cell>
          <cell r="G198">
            <v>54750</v>
          </cell>
          <cell r="J198">
            <v>100</v>
          </cell>
          <cell r="L198">
            <v>55900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200795</v>
          </cell>
          <cell r="V198">
            <v>200795</v>
          </cell>
          <cell r="W198">
            <v>-9.9999999976716936E-2</v>
          </cell>
        </row>
        <row r="199">
          <cell r="E199">
            <v>278</v>
          </cell>
          <cell r="G199">
            <v>40588</v>
          </cell>
          <cell r="J199">
            <v>93</v>
          </cell>
          <cell r="L199">
            <v>51987</v>
          </cell>
          <cell r="M199">
            <v>3828</v>
          </cell>
          <cell r="N199">
            <v>8264</v>
          </cell>
          <cell r="Q199">
            <v>80176</v>
          </cell>
          <cell r="S199">
            <v>184843</v>
          </cell>
          <cell r="V199">
            <v>184843</v>
          </cell>
          <cell r="W199">
            <v>-9.9999999976716936E-2</v>
          </cell>
        </row>
        <row r="200">
          <cell r="E200">
            <v>372</v>
          </cell>
          <cell r="G200">
            <v>54312</v>
          </cell>
          <cell r="J200">
            <v>116</v>
          </cell>
          <cell r="L200">
            <v>64844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211427</v>
          </cell>
          <cell r="V200">
            <v>211427</v>
          </cell>
          <cell r="W200">
            <v>-9.9999999976716936E-2</v>
          </cell>
        </row>
        <row r="201">
          <cell r="E201">
            <v>308</v>
          </cell>
          <cell r="G201">
            <v>44968</v>
          </cell>
          <cell r="J201">
            <v>77</v>
          </cell>
          <cell r="L201">
            <v>43043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180285</v>
          </cell>
          <cell r="V201">
            <v>180285</v>
          </cell>
          <cell r="W201">
            <v>-9.9999999976716936E-2</v>
          </cell>
        </row>
        <row r="202">
          <cell r="E202">
            <v>223</v>
          </cell>
          <cell r="G202">
            <v>32558</v>
          </cell>
          <cell r="J202">
            <v>98</v>
          </cell>
          <cell r="L202">
            <v>54782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179643</v>
          </cell>
          <cell r="V202">
            <v>179643</v>
          </cell>
          <cell r="W202">
            <v>-9.9999999976716936E-2</v>
          </cell>
        </row>
        <row r="203">
          <cell r="E203">
            <v>242</v>
          </cell>
          <cell r="G203">
            <v>35332</v>
          </cell>
          <cell r="J203">
            <v>110</v>
          </cell>
          <cell r="L203">
            <v>61490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189155</v>
          </cell>
          <cell r="V203"/>
          <cell r="W203">
            <v>189154.90000000002</v>
          </cell>
        </row>
        <row r="204">
          <cell r="E204">
            <v>-68986</v>
          </cell>
          <cell r="G204">
            <v>-10071956</v>
          </cell>
          <cell r="J204">
            <v>-20547</v>
          </cell>
          <cell r="L204">
            <v>-11485773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-21473725</v>
          </cell>
          <cell r="V204"/>
          <cell r="W204">
            <v>-21284570.100000001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-21200566.100000001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-21116562.100000001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-21032558.100000001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-20948554.100000001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-20864550.100000001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-20780546.100000001</v>
          </cell>
        </row>
      </sheetData>
      <sheetData sheetId="36">
        <row r="175">
          <cell r="E175">
            <v>424</v>
          </cell>
          <cell r="G175">
            <v>61904</v>
          </cell>
          <cell r="J175">
            <v>112</v>
          </cell>
          <cell r="L175">
            <v>62608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52636</v>
          </cell>
          <cell r="S175">
            <v>264289</v>
          </cell>
          <cell r="V175">
            <v>486222</v>
          </cell>
          <cell r="W175">
            <v>0</v>
          </cell>
        </row>
        <row r="176">
          <cell r="E176">
            <v>351</v>
          </cell>
          <cell r="G176">
            <v>51246</v>
          </cell>
          <cell r="J176">
            <v>74</v>
          </cell>
          <cell r="L176">
            <v>41366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179753</v>
          </cell>
          <cell r="W176">
            <v>179753</v>
          </cell>
        </row>
        <row r="177">
          <cell r="E177">
            <v>509</v>
          </cell>
          <cell r="G177">
            <v>74314</v>
          </cell>
          <cell r="J177">
            <v>91</v>
          </cell>
          <cell r="L177">
            <v>50869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212324</v>
          </cell>
          <cell r="V177">
            <v>392077</v>
          </cell>
          <cell r="W177">
            <v>0</v>
          </cell>
        </row>
        <row r="178">
          <cell r="E178">
            <v>327</v>
          </cell>
          <cell r="G178">
            <v>47742</v>
          </cell>
          <cell r="J178">
            <v>61</v>
          </cell>
          <cell r="L178">
            <v>34099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>
            <v>53123</v>
          </cell>
          <cell r="S178">
            <v>222105</v>
          </cell>
          <cell r="W178">
            <v>222105</v>
          </cell>
        </row>
        <row r="179">
          <cell r="E179">
            <v>283</v>
          </cell>
          <cell r="G179">
            <v>41318</v>
          </cell>
          <cell r="J179">
            <v>20</v>
          </cell>
          <cell r="L179">
            <v>11180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>
            <v>53262</v>
          </cell>
          <cell r="S179">
            <v>192901</v>
          </cell>
          <cell r="V179">
            <v>415006</v>
          </cell>
          <cell r="W179">
            <v>0</v>
          </cell>
        </row>
        <row r="180">
          <cell r="E180">
            <v>306</v>
          </cell>
          <cell r="G180">
            <v>44676</v>
          </cell>
          <cell r="J180">
            <v>1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132376</v>
          </cell>
          <cell r="V180">
            <v>132376</v>
          </cell>
          <cell r="W180">
            <v>0</v>
          </cell>
        </row>
        <row r="181">
          <cell r="E181">
            <v>197</v>
          </cell>
          <cell r="G181">
            <v>28762</v>
          </cell>
          <cell r="J181">
            <v>1</v>
          </cell>
          <cell r="L181">
            <v>559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116462</v>
          </cell>
          <cell r="V181">
            <v>116462</v>
          </cell>
          <cell r="W181">
            <v>0</v>
          </cell>
        </row>
        <row r="182">
          <cell r="E182">
            <v>272</v>
          </cell>
          <cell r="G182">
            <v>39712</v>
          </cell>
          <cell r="J182">
            <v>5</v>
          </cell>
          <cell r="L182">
            <v>2795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130629</v>
          </cell>
          <cell r="V182">
            <v>130629</v>
          </cell>
          <cell r="W182">
            <v>0</v>
          </cell>
        </row>
        <row r="183">
          <cell r="E183">
            <v>286</v>
          </cell>
          <cell r="G183">
            <v>41756</v>
          </cell>
          <cell r="J183">
            <v>23</v>
          </cell>
          <cell r="L183">
            <v>12857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142751</v>
          </cell>
          <cell r="V183">
            <v>142751</v>
          </cell>
          <cell r="W183">
            <v>0</v>
          </cell>
        </row>
        <row r="184">
          <cell r="E184">
            <v>301</v>
          </cell>
          <cell r="G184">
            <v>43946</v>
          </cell>
          <cell r="J184">
            <v>18</v>
          </cell>
          <cell r="L184">
            <v>10062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142139</v>
          </cell>
          <cell r="V184">
            <v>142139</v>
          </cell>
          <cell r="W184">
            <v>0</v>
          </cell>
        </row>
        <row r="185">
          <cell r="E185">
            <v>295</v>
          </cell>
          <cell r="G185">
            <v>43070</v>
          </cell>
          <cell r="J185">
            <v>82</v>
          </cell>
          <cell r="L185">
            <v>45838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177068</v>
          </cell>
          <cell r="V185">
            <v>177068</v>
          </cell>
          <cell r="W185">
            <v>0</v>
          </cell>
        </row>
        <row r="186">
          <cell r="E186">
            <v>232</v>
          </cell>
          <cell r="G186">
            <v>33872</v>
          </cell>
          <cell r="J186">
            <v>89</v>
          </cell>
          <cell r="L186">
            <v>49751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171803</v>
          </cell>
          <cell r="V186">
            <v>171803</v>
          </cell>
          <cell r="W186">
            <v>0</v>
          </cell>
        </row>
        <row r="187">
          <cell r="E187">
            <v>177</v>
          </cell>
          <cell r="G187">
            <v>25842</v>
          </cell>
          <cell r="J187">
            <v>103</v>
          </cell>
          <cell r="L187">
            <v>57577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173341</v>
          </cell>
          <cell r="V187">
            <v>173341</v>
          </cell>
          <cell r="W187">
            <v>0</v>
          </cell>
        </row>
        <row r="188">
          <cell r="E188">
            <v>323</v>
          </cell>
          <cell r="G188">
            <v>47158</v>
          </cell>
          <cell r="J188">
            <v>72</v>
          </cell>
          <cell r="L188">
            <v>40248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177358</v>
          </cell>
          <cell r="V188">
            <v>177358</v>
          </cell>
          <cell r="W188">
            <v>0</v>
          </cell>
        </row>
        <row r="189">
          <cell r="E189">
            <v>286</v>
          </cell>
          <cell r="G189">
            <v>41756</v>
          </cell>
          <cell r="J189">
            <v>64</v>
          </cell>
          <cell r="L189">
            <v>35776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167497</v>
          </cell>
          <cell r="V189">
            <v>167497</v>
          </cell>
          <cell r="W189">
            <v>0</v>
          </cell>
        </row>
        <row r="190">
          <cell r="E190">
            <v>297</v>
          </cell>
          <cell r="G190">
            <v>43362</v>
          </cell>
          <cell r="J190">
            <v>57</v>
          </cell>
          <cell r="L190">
            <v>31863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165201</v>
          </cell>
          <cell r="V190">
            <v>165201</v>
          </cell>
          <cell r="W190">
            <v>0</v>
          </cell>
        </row>
        <row r="191">
          <cell r="E191">
            <v>312</v>
          </cell>
          <cell r="G191">
            <v>45552</v>
          </cell>
          <cell r="J191">
            <v>41</v>
          </cell>
          <cell r="L191">
            <v>22919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158469</v>
          </cell>
          <cell r="V191">
            <v>158469</v>
          </cell>
          <cell r="W191">
            <v>0</v>
          </cell>
        </row>
        <row r="192">
          <cell r="E192">
            <v>207</v>
          </cell>
          <cell r="G192">
            <v>30222</v>
          </cell>
          <cell r="J192">
            <v>14</v>
          </cell>
          <cell r="L192">
            <v>7826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128071</v>
          </cell>
          <cell r="V192">
            <v>128071</v>
          </cell>
          <cell r="W192">
            <v>0</v>
          </cell>
        </row>
        <row r="193">
          <cell r="E193">
            <v>171</v>
          </cell>
          <cell r="G193">
            <v>24966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115002</v>
          </cell>
          <cell r="V193">
            <v>115000</v>
          </cell>
          <cell r="W193">
            <v>2</v>
          </cell>
        </row>
        <row r="194">
          <cell r="E194">
            <v>283</v>
          </cell>
          <cell r="G194">
            <v>41318</v>
          </cell>
          <cell r="J194">
            <v>8</v>
          </cell>
          <cell r="L194">
            <v>4472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135851</v>
          </cell>
          <cell r="V194">
            <v>135851</v>
          </cell>
          <cell r="W194">
            <v>2</v>
          </cell>
        </row>
        <row r="195">
          <cell r="E195">
            <v>154</v>
          </cell>
          <cell r="G195">
            <v>22484</v>
          </cell>
          <cell r="J195">
            <v>29</v>
          </cell>
          <cell r="L195">
            <v>16211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128777</v>
          </cell>
          <cell r="V195">
            <v>128779</v>
          </cell>
          <cell r="W195">
            <v>0</v>
          </cell>
        </row>
        <row r="196">
          <cell r="E196">
            <v>252</v>
          </cell>
          <cell r="G196">
            <v>36792</v>
          </cell>
          <cell r="J196">
            <v>33</v>
          </cell>
          <cell r="L196">
            <v>18447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145344</v>
          </cell>
          <cell r="V196">
            <v>145344</v>
          </cell>
          <cell r="W196">
            <v>0</v>
          </cell>
        </row>
        <row r="197">
          <cell r="E197">
            <v>260</v>
          </cell>
          <cell r="G197">
            <v>37960</v>
          </cell>
          <cell r="J197">
            <v>71</v>
          </cell>
          <cell r="L197">
            <v>39689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167784</v>
          </cell>
          <cell r="V197">
            <v>167784</v>
          </cell>
          <cell r="W197">
            <v>0</v>
          </cell>
        </row>
        <row r="198">
          <cell r="E198">
            <v>214</v>
          </cell>
          <cell r="G198">
            <v>31244</v>
          </cell>
          <cell r="J198">
            <v>80</v>
          </cell>
          <cell r="L198">
            <v>44720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166109</v>
          </cell>
          <cell r="V198">
            <v>166109</v>
          </cell>
          <cell r="W198">
            <v>0</v>
          </cell>
        </row>
        <row r="199">
          <cell r="E199">
            <v>277</v>
          </cell>
          <cell r="G199">
            <v>40442</v>
          </cell>
          <cell r="J199">
            <v>92</v>
          </cell>
          <cell r="L199">
            <v>51428</v>
          </cell>
          <cell r="M199">
            <v>3828</v>
          </cell>
          <cell r="N199">
            <v>8264</v>
          </cell>
          <cell r="Q199">
            <v>80176</v>
          </cell>
          <cell r="R199">
            <v>55092</v>
          </cell>
          <cell r="S199">
            <v>239230</v>
          </cell>
          <cell r="V199">
            <v>184138</v>
          </cell>
          <cell r="W199">
            <v>55092</v>
          </cell>
        </row>
        <row r="200">
          <cell r="E200">
            <v>233</v>
          </cell>
          <cell r="G200">
            <v>34018</v>
          </cell>
          <cell r="J200">
            <v>92</v>
          </cell>
          <cell r="L200">
            <v>51428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S200">
            <v>232831</v>
          </cell>
          <cell r="V200">
            <v>287923</v>
          </cell>
          <cell r="W200">
            <v>0</v>
          </cell>
        </row>
        <row r="201">
          <cell r="E201">
            <v>232</v>
          </cell>
          <cell r="G201">
            <v>33872</v>
          </cell>
          <cell r="J201">
            <v>85</v>
          </cell>
          <cell r="L201">
            <v>47515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173661</v>
          </cell>
          <cell r="V201">
            <v>173661</v>
          </cell>
          <cell r="W201">
            <v>0</v>
          </cell>
        </row>
        <row r="202">
          <cell r="E202">
            <v>263</v>
          </cell>
          <cell r="G202">
            <v>38398</v>
          </cell>
          <cell r="J202">
            <v>64</v>
          </cell>
          <cell r="L202">
            <v>35776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166477</v>
          </cell>
          <cell r="V202">
            <v>166477</v>
          </cell>
          <cell r="W202">
            <v>0</v>
          </cell>
        </row>
        <row r="203">
          <cell r="E203">
            <v>302</v>
          </cell>
          <cell r="G203">
            <v>44092</v>
          </cell>
          <cell r="J203">
            <v>53</v>
          </cell>
          <cell r="L203">
            <v>29627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166052</v>
          </cell>
          <cell r="V203"/>
          <cell r="W203">
            <v>166052</v>
          </cell>
        </row>
        <row r="204">
          <cell r="E204">
            <v>-10583</v>
          </cell>
          <cell r="G204">
            <v>-1545118</v>
          </cell>
          <cell r="J204">
            <v>-2543</v>
          </cell>
          <cell r="L204">
            <v>-1421537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-2882651</v>
          </cell>
          <cell r="V204"/>
          <cell r="W204">
            <v>-2716599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-2632595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-2548591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-2464587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-2380583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-2296579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-2212575</v>
          </cell>
        </row>
      </sheetData>
      <sheetData sheetId="37">
        <row r="175"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87141</v>
          </cell>
          <cell r="V175">
            <v>81395</v>
          </cell>
          <cell r="W175">
            <v>5746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87141</v>
          </cell>
          <cell r="V176">
            <v>81395</v>
          </cell>
          <cell r="W176">
            <v>11492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81395</v>
          </cell>
          <cell r="W177">
            <v>17238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V178">
            <v>81395</v>
          </cell>
          <cell r="W178">
            <v>22984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87141</v>
          </cell>
          <cell r="V179">
            <v>81395</v>
          </cell>
          <cell r="W179">
            <v>28730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87141</v>
          </cell>
          <cell r="V180">
            <v>81395</v>
          </cell>
          <cell r="W180">
            <v>34476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87141</v>
          </cell>
          <cell r="V181">
            <v>81395</v>
          </cell>
          <cell r="W181">
            <v>40222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88122</v>
          </cell>
          <cell r="V182">
            <v>81395</v>
          </cell>
          <cell r="W182">
            <v>46949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88138</v>
          </cell>
          <cell r="V183">
            <v>81395</v>
          </cell>
          <cell r="W183">
            <v>53692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88131</v>
          </cell>
          <cell r="V184">
            <v>81395</v>
          </cell>
          <cell r="W184">
            <v>60428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88160</v>
          </cell>
          <cell r="V185">
            <v>81395</v>
          </cell>
          <cell r="W185">
            <v>67193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88180</v>
          </cell>
          <cell r="V186">
            <v>155373</v>
          </cell>
          <cell r="W186">
            <v>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89952</v>
          </cell>
          <cell r="V188">
            <v>89922</v>
          </cell>
          <cell r="W188">
            <v>30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89965</v>
          </cell>
          <cell r="V189">
            <v>89952</v>
          </cell>
          <cell r="W189">
            <v>43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89976</v>
          </cell>
          <cell r="V190">
            <v>91000</v>
          </cell>
          <cell r="W190">
            <v>-981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89998</v>
          </cell>
          <cell r="V191">
            <v>91000</v>
          </cell>
          <cell r="W191">
            <v>-1983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90023</v>
          </cell>
          <cell r="V192">
            <v>91000</v>
          </cell>
          <cell r="W192">
            <v>-2960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90036</v>
          </cell>
          <cell r="V193">
            <v>91000</v>
          </cell>
          <cell r="W193">
            <v>-3924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90061</v>
          </cell>
          <cell r="V194">
            <v>91000</v>
          </cell>
          <cell r="W194">
            <v>-4863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90082</v>
          </cell>
          <cell r="V195">
            <v>91000</v>
          </cell>
          <cell r="W195">
            <v>-5781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90105</v>
          </cell>
          <cell r="V196">
            <v>84324</v>
          </cell>
          <cell r="W196">
            <v>0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90135</v>
          </cell>
          <cell r="V197">
            <v>91000</v>
          </cell>
          <cell r="W197">
            <v>-865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90145</v>
          </cell>
          <cell r="V198">
            <v>91000</v>
          </cell>
          <cell r="W198">
            <v>-1720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R199">
            <v>0</v>
          </cell>
          <cell r="S199">
            <v>92268</v>
          </cell>
          <cell r="V199">
            <v>91000</v>
          </cell>
          <cell r="W199">
            <v>-452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>
            <v>0</v>
          </cell>
          <cell r="S200">
            <v>92271</v>
          </cell>
          <cell r="V200">
            <v>91000</v>
          </cell>
          <cell r="W200">
            <v>819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>
            <v>0</v>
          </cell>
          <cell r="S201">
            <v>92274</v>
          </cell>
          <cell r="V201">
            <v>92000</v>
          </cell>
          <cell r="W201">
            <v>1093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>
            <v>0</v>
          </cell>
          <cell r="S202">
            <v>92303</v>
          </cell>
          <cell r="V202">
            <v>92000</v>
          </cell>
          <cell r="W202">
            <v>1396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>
            <v>0</v>
          </cell>
          <cell r="S203">
            <v>92333</v>
          </cell>
          <cell r="V203"/>
          <cell r="W203">
            <v>93729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>
            <v>0</v>
          </cell>
          <cell r="S204">
            <v>84004</v>
          </cell>
          <cell r="V204"/>
          <cell r="W204">
            <v>177733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>
            <v>0</v>
          </cell>
          <cell r="S205">
            <v>84004</v>
          </cell>
          <cell r="V205"/>
          <cell r="W205">
            <v>261737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>
            <v>0</v>
          </cell>
          <cell r="S206">
            <v>84004</v>
          </cell>
          <cell r="V206"/>
          <cell r="W206">
            <v>345741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>
            <v>0</v>
          </cell>
          <cell r="S207">
            <v>84004</v>
          </cell>
          <cell r="V207"/>
          <cell r="W207">
            <v>429745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>
            <v>0</v>
          </cell>
          <cell r="S208">
            <v>84004</v>
          </cell>
          <cell r="V208"/>
          <cell r="W208">
            <v>513749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>
            <v>0</v>
          </cell>
          <cell r="S209">
            <v>84004</v>
          </cell>
          <cell r="V209"/>
          <cell r="W209">
            <v>597753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>
            <v>0</v>
          </cell>
          <cell r="S210">
            <v>84004</v>
          </cell>
          <cell r="V210"/>
          <cell r="W210">
            <v>681757</v>
          </cell>
        </row>
      </sheetData>
      <sheetData sheetId="38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V175">
            <v>168536</v>
          </cell>
          <cell r="W175">
            <v>0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88138</v>
          </cell>
          <cell r="W183">
            <v>0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S184">
            <v>88131</v>
          </cell>
          <cell r="V184">
            <v>88131</v>
          </cell>
          <cell r="W184">
            <v>0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S185">
            <v>88160</v>
          </cell>
          <cell r="V185">
            <v>88160</v>
          </cell>
          <cell r="W185">
            <v>0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88180</v>
          </cell>
          <cell r="W186">
            <v>0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S188">
            <v>89952</v>
          </cell>
          <cell r="V188">
            <v>90000</v>
          </cell>
          <cell r="W188">
            <v>-48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V189">
            <v>89917</v>
          </cell>
          <cell r="W189">
            <v>0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90000</v>
          </cell>
          <cell r="W190">
            <v>-24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90000</v>
          </cell>
          <cell r="W191">
            <v>-26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90000</v>
          </cell>
          <cell r="W192">
            <v>-3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V193">
            <v>90050</v>
          </cell>
          <cell r="W193">
            <v>-17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90050</v>
          </cell>
          <cell r="W194">
            <v>-6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90076</v>
          </cell>
          <cell r="W195">
            <v>0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92000</v>
          </cell>
          <cell r="W196">
            <v>-1895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V197">
            <v>88240</v>
          </cell>
          <cell r="W197">
            <v>0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90145</v>
          </cell>
          <cell r="W198">
            <v>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90200</v>
          </cell>
          <cell r="W199">
            <v>2068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95000</v>
          </cell>
          <cell r="W200">
            <v>-661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92000</v>
          </cell>
          <cell r="W201">
            <v>-387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91916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184249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268253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352257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436261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520265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604269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688273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772277</v>
          </cell>
        </row>
      </sheetData>
      <sheetData sheetId="39">
        <row r="175">
          <cell r="E175">
            <v>289</v>
          </cell>
          <cell r="G175">
            <v>42194</v>
          </cell>
          <cell r="J175">
            <v>160</v>
          </cell>
          <cell r="L175">
            <v>102040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231375</v>
          </cell>
          <cell r="V175">
            <v>231375</v>
          </cell>
          <cell r="W175">
            <v>-0.39999999990686774</v>
          </cell>
        </row>
        <row r="176">
          <cell r="E176">
            <v>335</v>
          </cell>
          <cell r="G176">
            <v>48910</v>
          </cell>
          <cell r="J176">
            <v>82</v>
          </cell>
          <cell r="L176">
            <v>45838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181889</v>
          </cell>
          <cell r="W176">
            <v>181888.60000000009</v>
          </cell>
        </row>
        <row r="177">
          <cell r="E177">
            <v>316</v>
          </cell>
          <cell r="G177">
            <v>46136</v>
          </cell>
          <cell r="J177">
            <v>111</v>
          </cell>
          <cell r="L177">
            <v>62049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195326</v>
          </cell>
          <cell r="V177">
            <v>377215</v>
          </cell>
          <cell r="W177">
            <v>-0.39999999990686774</v>
          </cell>
        </row>
        <row r="178">
          <cell r="E178">
            <v>254</v>
          </cell>
          <cell r="G178">
            <v>37084</v>
          </cell>
          <cell r="J178">
            <v>11</v>
          </cell>
          <cell r="L178">
            <v>6149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130374</v>
          </cell>
          <cell r="V178">
            <v>130374</v>
          </cell>
          <cell r="W178">
            <v>-0.39999999990686774</v>
          </cell>
        </row>
        <row r="179">
          <cell r="E179">
            <v>368</v>
          </cell>
          <cell r="G179">
            <v>53728</v>
          </cell>
          <cell r="J179">
            <v>5</v>
          </cell>
          <cell r="L179">
            <v>2795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143664</v>
          </cell>
          <cell r="V179">
            <v>143664</v>
          </cell>
          <cell r="W179">
            <v>-0.39999999990686774</v>
          </cell>
        </row>
        <row r="180">
          <cell r="E180">
            <v>458</v>
          </cell>
          <cell r="G180">
            <v>66868</v>
          </cell>
          <cell r="J180">
            <v>5</v>
          </cell>
          <cell r="L180">
            <v>2795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156804</v>
          </cell>
          <cell r="W180">
            <v>156803.60000000009</v>
          </cell>
        </row>
        <row r="181">
          <cell r="E181">
            <v>85</v>
          </cell>
          <cell r="G181">
            <v>12410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101228</v>
          </cell>
          <cell r="V181">
            <v>258032</v>
          </cell>
          <cell r="W181">
            <v>-0.39999999990686774</v>
          </cell>
        </row>
        <row r="182">
          <cell r="E182">
            <v>398</v>
          </cell>
          <cell r="G182">
            <v>58108</v>
          </cell>
          <cell r="J182">
            <v>8</v>
          </cell>
          <cell r="L182">
            <v>4472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150702</v>
          </cell>
          <cell r="W182">
            <v>150701.60000000009</v>
          </cell>
        </row>
        <row r="183">
          <cell r="E183">
            <v>394</v>
          </cell>
          <cell r="G183">
            <v>57524</v>
          </cell>
          <cell r="J183">
            <v>13</v>
          </cell>
          <cell r="L183">
            <v>7267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152929</v>
          </cell>
          <cell r="V183">
            <v>303631</v>
          </cell>
          <cell r="W183">
            <v>-0.39999999990686774</v>
          </cell>
        </row>
        <row r="184">
          <cell r="E184">
            <v>343</v>
          </cell>
          <cell r="G184">
            <v>50078</v>
          </cell>
          <cell r="J184">
            <v>20</v>
          </cell>
          <cell r="L184">
            <v>11180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149389</v>
          </cell>
          <cell r="V184">
            <v>149389</v>
          </cell>
          <cell r="W184">
            <v>-0.39999999990686774</v>
          </cell>
        </row>
        <row r="185">
          <cell r="E185">
            <v>382</v>
          </cell>
          <cell r="G185">
            <v>55772</v>
          </cell>
          <cell r="J185">
            <v>18</v>
          </cell>
          <cell r="L185">
            <v>10062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153994</v>
          </cell>
          <cell r="W185">
            <v>153993.60000000009</v>
          </cell>
        </row>
        <row r="186">
          <cell r="E186">
            <v>258</v>
          </cell>
          <cell r="G186">
            <v>37668</v>
          </cell>
          <cell r="J186">
            <v>25</v>
          </cell>
          <cell r="L186">
            <v>13975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139823</v>
          </cell>
          <cell r="V186">
            <v>293817</v>
          </cell>
          <cell r="W186">
            <v>-0.39999999990686774</v>
          </cell>
        </row>
        <row r="187">
          <cell r="E187">
            <v>380</v>
          </cell>
          <cell r="G187">
            <v>55480</v>
          </cell>
          <cell r="J187">
            <v>40</v>
          </cell>
          <cell r="L187">
            <v>22360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167762</v>
          </cell>
          <cell r="V187">
            <v>167762</v>
          </cell>
          <cell r="W187">
            <v>-0.39999999990686774</v>
          </cell>
        </row>
        <row r="188">
          <cell r="E188">
            <v>525</v>
          </cell>
          <cell r="G188">
            <v>76650</v>
          </cell>
          <cell r="J188">
            <v>58</v>
          </cell>
          <cell r="L188">
            <v>32422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199024</v>
          </cell>
          <cell r="V188">
            <v>199024</v>
          </cell>
          <cell r="W188">
            <v>-0.39999999990686774</v>
          </cell>
        </row>
        <row r="189">
          <cell r="E189">
            <v>298</v>
          </cell>
          <cell r="G189">
            <v>43508</v>
          </cell>
          <cell r="J189">
            <v>33</v>
          </cell>
          <cell r="L189">
            <v>18447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151920</v>
          </cell>
          <cell r="V189">
            <v>151920</v>
          </cell>
          <cell r="W189">
            <v>-0.39999999990686774</v>
          </cell>
        </row>
        <row r="190">
          <cell r="E190">
            <v>355</v>
          </cell>
          <cell r="G190">
            <v>51830</v>
          </cell>
          <cell r="J190">
            <v>25</v>
          </cell>
          <cell r="L190">
            <v>13975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155781</v>
          </cell>
          <cell r="V190">
            <v>155781</v>
          </cell>
          <cell r="W190">
            <v>-0.39999999990686774</v>
          </cell>
        </row>
        <row r="191">
          <cell r="E191">
            <v>297</v>
          </cell>
          <cell r="G191">
            <v>43362</v>
          </cell>
          <cell r="J191">
            <v>10</v>
          </cell>
          <cell r="L191">
            <v>5590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138950</v>
          </cell>
          <cell r="V191">
            <v>138950</v>
          </cell>
          <cell r="W191">
            <v>-0.39999999990686774</v>
          </cell>
        </row>
        <row r="192">
          <cell r="E192">
            <v>245</v>
          </cell>
          <cell r="G192">
            <v>35770</v>
          </cell>
          <cell r="J192">
            <v>3</v>
          </cell>
          <cell r="L192">
            <v>1677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127470</v>
          </cell>
          <cell r="V192">
            <v>127470</v>
          </cell>
          <cell r="W192">
            <v>-0.39999999990686774</v>
          </cell>
        </row>
        <row r="193">
          <cell r="E193">
            <v>279</v>
          </cell>
          <cell r="G193">
            <v>40734</v>
          </cell>
          <cell r="J193">
            <v>4</v>
          </cell>
          <cell r="L193">
            <v>2236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133006</v>
          </cell>
          <cell r="V193">
            <v>133006</v>
          </cell>
          <cell r="W193">
            <v>-0.39999999990686774</v>
          </cell>
        </row>
        <row r="194">
          <cell r="E194">
            <v>325</v>
          </cell>
          <cell r="G194">
            <v>47450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140306</v>
          </cell>
          <cell r="V194">
            <v>140306</v>
          </cell>
          <cell r="W194">
            <v>-0.39999999990686774</v>
          </cell>
        </row>
        <row r="195">
          <cell r="E195">
            <v>664</v>
          </cell>
          <cell r="G195">
            <v>96944</v>
          </cell>
          <cell r="J195">
            <v>43</v>
          </cell>
          <cell r="L195">
            <v>24037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211063</v>
          </cell>
          <cell r="V195">
            <v>211063</v>
          </cell>
          <cell r="W195">
            <v>-0.39999999990686774</v>
          </cell>
        </row>
        <row r="196">
          <cell r="E196">
            <v>284</v>
          </cell>
          <cell r="G196">
            <v>41464</v>
          </cell>
          <cell r="J196">
            <v>6</v>
          </cell>
          <cell r="L196">
            <v>3354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134923</v>
          </cell>
          <cell r="V196">
            <v>134923</v>
          </cell>
          <cell r="W196">
            <v>-0.39999999990686774</v>
          </cell>
        </row>
        <row r="197">
          <cell r="E197">
            <v>395</v>
          </cell>
          <cell r="G197">
            <v>57670</v>
          </cell>
          <cell r="J197">
            <v>31</v>
          </cell>
          <cell r="L197">
            <v>17329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165134</v>
          </cell>
          <cell r="V197">
            <v>165134</v>
          </cell>
          <cell r="W197">
            <v>-0.39999999990686774</v>
          </cell>
        </row>
        <row r="198">
          <cell r="E198">
            <v>353</v>
          </cell>
          <cell r="G198">
            <v>51538</v>
          </cell>
          <cell r="J198">
            <v>33</v>
          </cell>
          <cell r="L198">
            <v>18447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160130</v>
          </cell>
          <cell r="V198">
            <v>160130</v>
          </cell>
          <cell r="W198">
            <v>-0.39999999990686774</v>
          </cell>
        </row>
        <row r="199">
          <cell r="E199">
            <v>414</v>
          </cell>
          <cell r="G199">
            <v>60444</v>
          </cell>
          <cell r="J199">
            <v>27</v>
          </cell>
          <cell r="L199">
            <v>15093</v>
          </cell>
          <cell r="M199">
            <v>3828</v>
          </cell>
          <cell r="N199">
            <v>8264</v>
          </cell>
          <cell r="Q199">
            <v>80176</v>
          </cell>
          <cell r="R199">
            <v>275462</v>
          </cell>
          <cell r="S199">
            <v>443267</v>
          </cell>
          <cell r="V199">
            <v>167805</v>
          </cell>
          <cell r="W199">
            <v>275461.60000000009</v>
          </cell>
        </row>
        <row r="200">
          <cell r="E200">
            <v>374</v>
          </cell>
          <cell r="G200">
            <v>54604</v>
          </cell>
          <cell r="J200">
            <v>29</v>
          </cell>
          <cell r="L200">
            <v>16211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163086</v>
          </cell>
          <cell r="V200">
            <v>163086</v>
          </cell>
          <cell r="W200">
            <v>275461.60000000009</v>
          </cell>
        </row>
        <row r="201">
          <cell r="E201">
            <v>364</v>
          </cell>
          <cell r="G201">
            <v>53144</v>
          </cell>
          <cell r="J201">
            <v>7</v>
          </cell>
          <cell r="L201">
            <v>3913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149331</v>
          </cell>
          <cell r="V201">
            <v>149331</v>
          </cell>
          <cell r="W201">
            <v>275461.60000000009</v>
          </cell>
        </row>
        <row r="202">
          <cell r="E202">
            <v>554</v>
          </cell>
          <cell r="G202">
            <v>80884</v>
          </cell>
          <cell r="J202">
            <v>17</v>
          </cell>
          <cell r="L202">
            <v>9503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182690</v>
          </cell>
          <cell r="V202">
            <v>182690</v>
          </cell>
          <cell r="W202">
            <v>275461.60000000009</v>
          </cell>
        </row>
        <row r="203">
          <cell r="E203">
            <v>553</v>
          </cell>
          <cell r="G203">
            <v>80738</v>
          </cell>
          <cell r="J203">
            <v>13</v>
          </cell>
          <cell r="L203">
            <v>7267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180338</v>
          </cell>
          <cell r="V203"/>
          <cell r="W203">
            <v>455799.60000000009</v>
          </cell>
        </row>
        <row r="204">
          <cell r="E204">
            <v>-85413</v>
          </cell>
          <cell r="G204">
            <v>-12470298</v>
          </cell>
          <cell r="J204">
            <v>-2684</v>
          </cell>
          <cell r="L204">
            <v>-1500356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-13886650</v>
          </cell>
          <cell r="V204"/>
          <cell r="W204">
            <v>-13430850.4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-13346846.4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-13262842.4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-13178838.4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-13094834.4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-13010830.4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-12926826.4</v>
          </cell>
        </row>
      </sheetData>
      <sheetData sheetId="4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87141</v>
          </cell>
          <cell r="V176">
            <v>83410</v>
          </cell>
          <cell r="W176">
            <v>3731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83410</v>
          </cell>
          <cell r="W177">
            <v>7462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V178">
            <v>94603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1</v>
          </cell>
          <cell r="G182">
            <v>146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88268</v>
          </cell>
          <cell r="V182">
            <v>88267</v>
          </cell>
          <cell r="W182">
            <v>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88138</v>
          </cell>
          <cell r="V183">
            <v>88139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2</v>
          </cell>
          <cell r="L184">
            <v>1118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89249</v>
          </cell>
          <cell r="V184">
            <v>89249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88160</v>
          </cell>
          <cell r="V185">
            <v>88160</v>
          </cell>
          <cell r="W185">
            <v>0</v>
          </cell>
        </row>
        <row r="186">
          <cell r="E186">
            <v>1</v>
          </cell>
          <cell r="G186">
            <v>146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88326</v>
          </cell>
          <cell r="V186">
            <v>88326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89922</v>
          </cell>
          <cell r="V187">
            <v>89922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89952</v>
          </cell>
          <cell r="V188">
            <v>89952</v>
          </cell>
          <cell r="W188">
            <v>0</v>
          </cell>
        </row>
        <row r="189">
          <cell r="E189">
            <v>-3</v>
          </cell>
          <cell r="G189">
            <v>-438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89527</v>
          </cell>
          <cell r="V189">
            <v>89527</v>
          </cell>
          <cell r="W189">
            <v>0</v>
          </cell>
        </row>
        <row r="190">
          <cell r="E190">
            <v>5</v>
          </cell>
          <cell r="G190">
            <v>730</v>
          </cell>
          <cell r="J190">
            <v>4</v>
          </cell>
          <cell r="L190">
            <v>2236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92942</v>
          </cell>
          <cell r="V190">
            <v>92942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90135</v>
          </cell>
          <cell r="V197">
            <v>90135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90145</v>
          </cell>
          <cell r="V198">
            <v>90195</v>
          </cell>
          <cell r="W198">
            <v>-50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V199">
            <v>92218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92271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2</v>
          </cell>
          <cell r="G203">
            <v>292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92625</v>
          </cell>
          <cell r="V203"/>
          <cell r="W203">
            <v>92625</v>
          </cell>
        </row>
        <row r="204">
          <cell r="E204">
            <v>-79</v>
          </cell>
          <cell r="G204">
            <v>-11534</v>
          </cell>
          <cell r="J204">
            <v>-6</v>
          </cell>
          <cell r="L204">
            <v>-3354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69116</v>
          </cell>
          <cell r="V204"/>
          <cell r="W204">
            <v>161741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245745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329749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413753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497757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581761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665765</v>
          </cell>
        </row>
      </sheetData>
      <sheetData sheetId="41">
        <row r="175">
          <cell r="E175">
            <v>322</v>
          </cell>
          <cell r="G175">
            <v>47012</v>
          </cell>
          <cell r="J175">
            <v>85</v>
          </cell>
          <cell r="L175">
            <v>47515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181668</v>
          </cell>
          <cell r="V175">
            <v>200000</v>
          </cell>
          <cell r="W175">
            <v>-18332</v>
          </cell>
        </row>
        <row r="176">
          <cell r="E176">
            <v>333</v>
          </cell>
          <cell r="G176">
            <v>48618</v>
          </cell>
          <cell r="J176">
            <v>107</v>
          </cell>
          <cell r="L176">
            <v>59813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195572</v>
          </cell>
          <cell r="V176">
            <v>180000</v>
          </cell>
          <cell r="W176">
            <v>-2760</v>
          </cell>
        </row>
        <row r="177">
          <cell r="E177">
            <v>374</v>
          </cell>
          <cell r="G177">
            <v>54604</v>
          </cell>
          <cell r="J177">
            <v>92</v>
          </cell>
          <cell r="L177">
            <v>51428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193173</v>
          </cell>
          <cell r="V177">
            <v>200000</v>
          </cell>
          <cell r="W177">
            <v>-9587</v>
          </cell>
        </row>
        <row r="178">
          <cell r="E178">
            <v>312</v>
          </cell>
          <cell r="G178">
            <v>45552</v>
          </cell>
          <cell r="J178">
            <v>60</v>
          </cell>
          <cell r="L178">
            <v>33540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166233</v>
          </cell>
          <cell r="V178">
            <v>160000</v>
          </cell>
          <cell r="W178">
            <v>-3354</v>
          </cell>
        </row>
        <row r="179">
          <cell r="E179">
            <v>297</v>
          </cell>
          <cell r="G179">
            <v>43362</v>
          </cell>
          <cell r="J179">
            <v>30</v>
          </cell>
          <cell r="L179">
            <v>16770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147273</v>
          </cell>
          <cell r="V179">
            <v>150000</v>
          </cell>
          <cell r="W179">
            <v>-6081</v>
          </cell>
        </row>
        <row r="180">
          <cell r="E180">
            <v>326</v>
          </cell>
          <cell r="G180">
            <v>47596</v>
          </cell>
          <cell r="J180">
            <v>13</v>
          </cell>
          <cell r="L180">
            <v>7267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142004</v>
          </cell>
          <cell r="V180">
            <v>140000</v>
          </cell>
          <cell r="W180">
            <v>-4077</v>
          </cell>
        </row>
        <row r="181">
          <cell r="E181">
            <v>281</v>
          </cell>
          <cell r="G181">
            <v>41026</v>
          </cell>
          <cell r="J181">
            <v>15</v>
          </cell>
          <cell r="L181">
            <v>8385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136552</v>
          </cell>
          <cell r="V181">
            <v>140000</v>
          </cell>
          <cell r="W181">
            <v>-7525</v>
          </cell>
        </row>
        <row r="182">
          <cell r="E182">
            <v>306</v>
          </cell>
          <cell r="G182">
            <v>44676</v>
          </cell>
          <cell r="J182">
            <v>12</v>
          </cell>
          <cell r="L182">
            <v>6708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139506</v>
          </cell>
          <cell r="V182">
            <v>132000</v>
          </cell>
          <cell r="W182">
            <v>-19</v>
          </cell>
        </row>
        <row r="183">
          <cell r="E183">
            <v>258</v>
          </cell>
          <cell r="G183">
            <v>37668</v>
          </cell>
          <cell r="J183">
            <v>4</v>
          </cell>
          <cell r="L183">
            <v>2236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128042</v>
          </cell>
          <cell r="W183">
            <v>128023</v>
          </cell>
        </row>
        <row r="184">
          <cell r="E184">
            <v>215</v>
          </cell>
          <cell r="G184">
            <v>31390</v>
          </cell>
          <cell r="J184">
            <v>33</v>
          </cell>
          <cell r="L184">
            <v>18447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137968</v>
          </cell>
          <cell r="V184">
            <v>270000</v>
          </cell>
          <cell r="W184">
            <v>-4009</v>
          </cell>
        </row>
        <row r="185">
          <cell r="E185">
            <v>258</v>
          </cell>
          <cell r="G185">
            <v>37668</v>
          </cell>
          <cell r="J185">
            <v>132</v>
          </cell>
          <cell r="L185">
            <v>75948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201776</v>
          </cell>
          <cell r="V185">
            <v>197767</v>
          </cell>
          <cell r="W185">
            <v>0</v>
          </cell>
        </row>
        <row r="186">
          <cell r="E186">
            <v>238</v>
          </cell>
          <cell r="G186">
            <v>34748</v>
          </cell>
          <cell r="J186">
            <v>91</v>
          </cell>
          <cell r="L186">
            <v>50869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173797</v>
          </cell>
          <cell r="V186">
            <v>173797</v>
          </cell>
          <cell r="W186">
            <v>0</v>
          </cell>
        </row>
        <row r="187">
          <cell r="E187">
            <v>300</v>
          </cell>
          <cell r="G187">
            <v>43800</v>
          </cell>
          <cell r="J187">
            <v>69</v>
          </cell>
          <cell r="L187">
            <v>38571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172293</v>
          </cell>
          <cell r="V187">
            <v>173000</v>
          </cell>
          <cell r="W187">
            <v>-707</v>
          </cell>
        </row>
        <row r="188">
          <cell r="E188">
            <v>393</v>
          </cell>
          <cell r="G188">
            <v>57378</v>
          </cell>
          <cell r="J188">
            <v>96</v>
          </cell>
          <cell r="L188">
            <v>53664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200994</v>
          </cell>
          <cell r="V188">
            <v>200290</v>
          </cell>
          <cell r="W188">
            <v>-3</v>
          </cell>
        </row>
        <row r="189">
          <cell r="E189">
            <v>277</v>
          </cell>
          <cell r="G189">
            <v>40442</v>
          </cell>
          <cell r="J189">
            <v>56</v>
          </cell>
          <cell r="L189">
            <v>31304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161711</v>
          </cell>
          <cell r="V189">
            <v>162000</v>
          </cell>
          <cell r="W189">
            <v>-292</v>
          </cell>
        </row>
        <row r="190">
          <cell r="E190">
            <v>251</v>
          </cell>
          <cell r="G190">
            <v>36646</v>
          </cell>
          <cell r="J190">
            <v>64</v>
          </cell>
          <cell r="L190">
            <v>35776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162398</v>
          </cell>
          <cell r="W190">
            <v>162106</v>
          </cell>
        </row>
        <row r="191">
          <cell r="E191">
            <v>240</v>
          </cell>
          <cell r="G191">
            <v>35040</v>
          </cell>
          <cell r="J191">
            <v>48</v>
          </cell>
          <cell r="L191">
            <v>26832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151870</v>
          </cell>
          <cell r="V191">
            <v>320000</v>
          </cell>
          <cell r="W191">
            <v>-6024</v>
          </cell>
        </row>
        <row r="192">
          <cell r="E192">
            <v>240</v>
          </cell>
          <cell r="G192">
            <v>35040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125063</v>
          </cell>
          <cell r="W192">
            <v>119039</v>
          </cell>
        </row>
        <row r="193">
          <cell r="E193">
            <v>230</v>
          </cell>
          <cell r="G193">
            <v>33580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123616</v>
          </cell>
          <cell r="V193">
            <v>242700</v>
          </cell>
          <cell r="W193">
            <v>-45</v>
          </cell>
        </row>
        <row r="194">
          <cell r="E194">
            <v>322</v>
          </cell>
          <cell r="G194">
            <v>47012</v>
          </cell>
          <cell r="J194">
            <v>8</v>
          </cell>
          <cell r="L194">
            <v>4472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141545</v>
          </cell>
          <cell r="W194">
            <v>141500</v>
          </cell>
        </row>
        <row r="195">
          <cell r="E195">
            <v>247</v>
          </cell>
          <cell r="G195">
            <v>36062</v>
          </cell>
          <cell r="J195">
            <v>29</v>
          </cell>
          <cell r="L195">
            <v>16211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142355</v>
          </cell>
          <cell r="V195">
            <v>300000</v>
          </cell>
          <cell r="W195">
            <v>-16145</v>
          </cell>
        </row>
        <row r="196">
          <cell r="E196">
            <v>278</v>
          </cell>
          <cell r="G196">
            <v>40588</v>
          </cell>
          <cell r="J196">
            <v>57</v>
          </cell>
          <cell r="L196">
            <v>31863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162556</v>
          </cell>
          <cell r="V196">
            <v>150000</v>
          </cell>
          <cell r="W196">
            <v>-3589</v>
          </cell>
        </row>
        <row r="197">
          <cell r="E197">
            <v>273</v>
          </cell>
          <cell r="G197">
            <v>39858</v>
          </cell>
          <cell r="J197">
            <v>60</v>
          </cell>
          <cell r="L197">
            <v>33540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163533</v>
          </cell>
          <cell r="V197">
            <v>160000</v>
          </cell>
          <cell r="W197">
            <v>-56</v>
          </cell>
        </row>
        <row r="198">
          <cell r="E198">
            <v>272</v>
          </cell>
          <cell r="G198">
            <v>39712</v>
          </cell>
          <cell r="J198">
            <v>101</v>
          </cell>
          <cell r="L198">
            <v>56459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186316</v>
          </cell>
          <cell r="W198">
            <v>186260</v>
          </cell>
        </row>
        <row r="199">
          <cell r="E199">
            <v>265</v>
          </cell>
          <cell r="G199">
            <v>38690</v>
          </cell>
          <cell r="J199">
            <v>84</v>
          </cell>
          <cell r="L199">
            <v>46956</v>
          </cell>
          <cell r="M199">
            <v>3828</v>
          </cell>
          <cell r="N199">
            <v>8264</v>
          </cell>
          <cell r="Q199">
            <v>80176</v>
          </cell>
          <cell r="S199">
            <v>177914</v>
          </cell>
          <cell r="V199">
            <v>364174</v>
          </cell>
          <cell r="W199">
            <v>0</v>
          </cell>
        </row>
        <row r="200">
          <cell r="E200">
            <v>279</v>
          </cell>
          <cell r="G200">
            <v>40734</v>
          </cell>
          <cell r="J200">
            <v>80</v>
          </cell>
          <cell r="L200">
            <v>44720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177725</v>
          </cell>
          <cell r="V200">
            <v>177725</v>
          </cell>
          <cell r="W200">
            <v>0</v>
          </cell>
        </row>
        <row r="201">
          <cell r="E201">
            <v>300</v>
          </cell>
          <cell r="G201">
            <v>43800</v>
          </cell>
          <cell r="J201">
            <v>90</v>
          </cell>
          <cell r="L201">
            <v>50310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186384</v>
          </cell>
          <cell r="V201">
            <v>186380</v>
          </cell>
          <cell r="W201">
            <v>4</v>
          </cell>
        </row>
        <row r="202">
          <cell r="E202">
            <v>253</v>
          </cell>
          <cell r="G202">
            <v>36938</v>
          </cell>
          <cell r="J202">
            <v>79</v>
          </cell>
          <cell r="L202">
            <v>44161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173402</v>
          </cell>
          <cell r="V202"/>
          <cell r="W202">
            <v>173406</v>
          </cell>
        </row>
        <row r="203">
          <cell r="E203">
            <v>270</v>
          </cell>
          <cell r="G203">
            <v>39420</v>
          </cell>
          <cell r="J203">
            <v>59</v>
          </cell>
          <cell r="L203">
            <v>32981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164734</v>
          </cell>
          <cell r="V203"/>
          <cell r="W203">
            <v>338140</v>
          </cell>
        </row>
        <row r="204">
          <cell r="E204">
            <v>-25110</v>
          </cell>
          <cell r="G204">
            <v>-3666060</v>
          </cell>
          <cell r="J204">
            <v>-12932</v>
          </cell>
          <cell r="L204">
            <v>-7228988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-10811044</v>
          </cell>
          <cell r="V204"/>
          <cell r="W204">
            <v>-10472904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-10388900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-10304896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-10220892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-10136888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-10052884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-9968880</v>
          </cell>
        </row>
      </sheetData>
      <sheetData sheetId="42">
        <row r="175">
          <cell r="E175">
            <v>259</v>
          </cell>
          <cell r="G175">
            <v>37814</v>
          </cell>
          <cell r="J175">
            <v>116</v>
          </cell>
          <cell r="L175">
            <v>64844</v>
          </cell>
          <cell r="M175">
            <v>3731</v>
          </cell>
          <cell r="N175">
            <v>7000</v>
          </cell>
          <cell r="Q175">
            <v>76410</v>
          </cell>
          <cell r="S175">
            <v>189799</v>
          </cell>
          <cell r="W175">
            <v>184318</v>
          </cell>
        </row>
        <row r="176">
          <cell r="E176">
            <v>250</v>
          </cell>
          <cell r="G176">
            <v>36500</v>
          </cell>
          <cell r="J176">
            <v>75</v>
          </cell>
          <cell r="L176">
            <v>41925</v>
          </cell>
          <cell r="M176">
            <v>3731</v>
          </cell>
          <cell r="N176">
            <v>7000</v>
          </cell>
          <cell r="Q176">
            <v>76410</v>
          </cell>
          <cell r="S176">
            <v>165566</v>
          </cell>
          <cell r="V176">
            <v>349884</v>
          </cell>
          <cell r="W176">
            <v>0</v>
          </cell>
        </row>
        <row r="177">
          <cell r="E177">
            <v>248</v>
          </cell>
          <cell r="G177">
            <v>36208</v>
          </cell>
          <cell r="J177">
            <v>89</v>
          </cell>
          <cell r="L177">
            <v>49751</v>
          </cell>
          <cell r="M177">
            <v>3731</v>
          </cell>
          <cell r="N177">
            <v>7000</v>
          </cell>
          <cell r="Q177">
            <v>76410</v>
          </cell>
          <cell r="S177">
            <v>173100</v>
          </cell>
          <cell r="W177">
            <v>173100</v>
          </cell>
        </row>
        <row r="178">
          <cell r="E178">
            <v>208</v>
          </cell>
          <cell r="G178">
            <v>30368</v>
          </cell>
          <cell r="J178">
            <v>34</v>
          </cell>
          <cell r="L178">
            <v>19006</v>
          </cell>
          <cell r="M178">
            <v>3731</v>
          </cell>
          <cell r="N178">
            <v>7000</v>
          </cell>
          <cell r="Q178">
            <v>76410</v>
          </cell>
          <cell r="S178">
            <v>136515</v>
          </cell>
          <cell r="W178">
            <v>309615</v>
          </cell>
        </row>
        <row r="179">
          <cell r="E179">
            <v>183</v>
          </cell>
          <cell r="G179">
            <v>26718</v>
          </cell>
          <cell r="J179">
            <v>11</v>
          </cell>
          <cell r="L179">
            <v>6149</v>
          </cell>
          <cell r="M179">
            <v>3731</v>
          </cell>
          <cell r="N179">
            <v>7000</v>
          </cell>
          <cell r="Q179">
            <v>76410</v>
          </cell>
          <cell r="S179">
            <v>120008</v>
          </cell>
          <cell r="V179">
            <v>429643</v>
          </cell>
          <cell r="W179">
            <v>-20</v>
          </cell>
        </row>
        <row r="180">
          <cell r="E180">
            <v>220</v>
          </cell>
          <cell r="G180">
            <v>32120</v>
          </cell>
          <cell r="J180">
            <v>6</v>
          </cell>
          <cell r="L180">
            <v>3354</v>
          </cell>
          <cell r="M180">
            <v>3731</v>
          </cell>
          <cell r="N180">
            <v>7000</v>
          </cell>
          <cell r="Q180">
            <v>76410</v>
          </cell>
          <cell r="S180">
            <v>122615</v>
          </cell>
          <cell r="V180">
            <v>122600</v>
          </cell>
          <cell r="W180">
            <v>-5</v>
          </cell>
        </row>
        <row r="181">
          <cell r="E181">
            <v>238</v>
          </cell>
          <cell r="G181">
            <v>34748</v>
          </cell>
          <cell r="J181">
            <v>9</v>
          </cell>
          <cell r="L181">
            <v>5031</v>
          </cell>
          <cell r="M181">
            <v>3731</v>
          </cell>
          <cell r="N181">
            <v>7000</v>
          </cell>
          <cell r="Q181">
            <v>76410</v>
          </cell>
          <cell r="S181">
            <v>126920</v>
          </cell>
          <cell r="V181">
            <v>127000</v>
          </cell>
          <cell r="W181">
            <v>-85</v>
          </cell>
        </row>
        <row r="182">
          <cell r="E182">
            <v>233</v>
          </cell>
          <cell r="G182">
            <v>34018</v>
          </cell>
          <cell r="J182">
            <v>6</v>
          </cell>
          <cell r="L182">
            <v>3354</v>
          </cell>
          <cell r="M182">
            <v>3731</v>
          </cell>
          <cell r="N182">
            <v>7981</v>
          </cell>
          <cell r="Q182">
            <v>76410</v>
          </cell>
          <cell r="S182">
            <v>125494</v>
          </cell>
          <cell r="V182">
            <v>126000</v>
          </cell>
          <cell r="W182">
            <v>-591</v>
          </cell>
        </row>
        <row r="183">
          <cell r="E183">
            <v>237</v>
          </cell>
          <cell r="G183">
            <v>34602</v>
          </cell>
          <cell r="J183">
            <v>14</v>
          </cell>
          <cell r="L183">
            <v>7826</v>
          </cell>
          <cell r="M183">
            <v>3731</v>
          </cell>
          <cell r="N183">
            <v>7997</v>
          </cell>
          <cell r="Q183">
            <v>76410</v>
          </cell>
          <cell r="S183">
            <v>130566</v>
          </cell>
          <cell r="V183">
            <v>130000</v>
          </cell>
          <cell r="W183">
            <v>-25</v>
          </cell>
        </row>
        <row r="184">
          <cell r="E184">
            <v>208</v>
          </cell>
          <cell r="G184">
            <v>30368</v>
          </cell>
          <cell r="J184">
            <v>16</v>
          </cell>
          <cell r="L184">
            <v>8944</v>
          </cell>
          <cell r="M184">
            <v>3731</v>
          </cell>
          <cell r="N184">
            <v>7990</v>
          </cell>
          <cell r="Q184">
            <v>76410</v>
          </cell>
          <cell r="S184">
            <v>127443</v>
          </cell>
          <cell r="V184">
            <v>127418</v>
          </cell>
          <cell r="W184">
            <v>0</v>
          </cell>
        </row>
        <row r="185">
          <cell r="E185">
            <v>255</v>
          </cell>
          <cell r="G185">
            <v>37230</v>
          </cell>
          <cell r="J185">
            <v>69</v>
          </cell>
          <cell r="L185">
            <v>38571</v>
          </cell>
          <cell r="M185">
            <v>3731</v>
          </cell>
          <cell r="N185">
            <v>8019</v>
          </cell>
          <cell r="Q185">
            <v>76410</v>
          </cell>
          <cell r="S185">
            <v>163961</v>
          </cell>
          <cell r="V185">
            <v>170000</v>
          </cell>
          <cell r="W185">
            <v>-6039</v>
          </cell>
        </row>
        <row r="186">
          <cell r="E186">
            <v>218</v>
          </cell>
          <cell r="G186">
            <v>31828</v>
          </cell>
          <cell r="J186">
            <v>76</v>
          </cell>
          <cell r="L186">
            <v>42484</v>
          </cell>
          <cell r="M186">
            <v>3731</v>
          </cell>
          <cell r="N186">
            <v>8039</v>
          </cell>
          <cell r="Q186">
            <v>76410</v>
          </cell>
          <cell r="S186">
            <v>162492</v>
          </cell>
          <cell r="V186">
            <v>156453</v>
          </cell>
          <cell r="W186">
            <v>0</v>
          </cell>
        </row>
        <row r="187">
          <cell r="E187">
            <v>249</v>
          </cell>
          <cell r="G187">
            <v>36354</v>
          </cell>
          <cell r="J187">
            <v>84</v>
          </cell>
          <cell r="L187">
            <v>46956</v>
          </cell>
          <cell r="M187">
            <v>3731</v>
          </cell>
          <cell r="N187">
            <v>8047</v>
          </cell>
          <cell r="Q187">
            <v>78144</v>
          </cell>
          <cell r="S187">
            <v>173232</v>
          </cell>
          <cell r="W187">
            <v>173232</v>
          </cell>
        </row>
        <row r="188">
          <cell r="E188">
            <v>311</v>
          </cell>
          <cell r="G188">
            <v>45406</v>
          </cell>
          <cell r="J188">
            <v>138</v>
          </cell>
          <cell r="L188">
            <v>80382</v>
          </cell>
          <cell r="M188">
            <v>3731</v>
          </cell>
          <cell r="N188">
            <v>8077</v>
          </cell>
          <cell r="Q188">
            <v>78144</v>
          </cell>
          <cell r="S188">
            <v>215740</v>
          </cell>
          <cell r="V188">
            <v>388972</v>
          </cell>
          <cell r="W188">
            <v>0</v>
          </cell>
        </row>
        <row r="189">
          <cell r="E189">
            <v>232</v>
          </cell>
          <cell r="G189">
            <v>33872</v>
          </cell>
          <cell r="J189">
            <v>41</v>
          </cell>
          <cell r="L189">
            <v>22919</v>
          </cell>
          <cell r="M189">
            <v>3731</v>
          </cell>
          <cell r="N189">
            <v>8090</v>
          </cell>
          <cell r="Q189">
            <v>78144</v>
          </cell>
          <cell r="S189">
            <v>146756</v>
          </cell>
          <cell r="W189">
            <v>146756</v>
          </cell>
        </row>
        <row r="190">
          <cell r="E190">
            <v>243</v>
          </cell>
          <cell r="G190">
            <v>35478</v>
          </cell>
          <cell r="J190">
            <v>30</v>
          </cell>
          <cell r="L190">
            <v>16770</v>
          </cell>
          <cell r="M190">
            <v>3731</v>
          </cell>
          <cell r="N190">
            <v>8101</v>
          </cell>
          <cell r="Q190">
            <v>78144</v>
          </cell>
          <cell r="S190">
            <v>142224</v>
          </cell>
          <cell r="V190">
            <v>288980</v>
          </cell>
          <cell r="W190">
            <v>0</v>
          </cell>
        </row>
        <row r="191">
          <cell r="E191">
            <v>231</v>
          </cell>
          <cell r="G191">
            <v>33726</v>
          </cell>
          <cell r="J191">
            <v>23</v>
          </cell>
          <cell r="L191">
            <v>12857</v>
          </cell>
          <cell r="M191">
            <v>3731</v>
          </cell>
          <cell r="N191">
            <v>8123</v>
          </cell>
          <cell r="Q191">
            <v>78144</v>
          </cell>
          <cell r="S191">
            <v>136581</v>
          </cell>
          <cell r="V191">
            <v>136581</v>
          </cell>
          <cell r="W191">
            <v>0</v>
          </cell>
        </row>
        <row r="192">
          <cell r="E192">
            <v>211</v>
          </cell>
          <cell r="G192">
            <v>30806</v>
          </cell>
          <cell r="J192">
            <v>4</v>
          </cell>
          <cell r="L192">
            <v>2236</v>
          </cell>
          <cell r="M192">
            <v>3731</v>
          </cell>
          <cell r="N192">
            <v>8148</v>
          </cell>
          <cell r="Q192">
            <v>78144</v>
          </cell>
          <cell r="S192">
            <v>123065</v>
          </cell>
          <cell r="V192">
            <v>123065</v>
          </cell>
          <cell r="W192">
            <v>0</v>
          </cell>
        </row>
        <row r="193">
          <cell r="E193">
            <v>267</v>
          </cell>
          <cell r="G193">
            <v>38982</v>
          </cell>
          <cell r="J193">
            <v>6</v>
          </cell>
          <cell r="L193">
            <v>3354</v>
          </cell>
          <cell r="M193">
            <v>3731</v>
          </cell>
          <cell r="N193">
            <v>8161</v>
          </cell>
          <cell r="Q193">
            <v>78144</v>
          </cell>
          <cell r="S193">
            <v>132372</v>
          </cell>
          <cell r="W193">
            <v>132372</v>
          </cell>
        </row>
        <row r="194">
          <cell r="E194">
            <v>258</v>
          </cell>
          <cell r="G194">
            <v>37668</v>
          </cell>
          <cell r="J194">
            <v>8</v>
          </cell>
          <cell r="L194">
            <v>4472</v>
          </cell>
          <cell r="M194">
            <v>3731</v>
          </cell>
          <cell r="N194">
            <v>8186</v>
          </cell>
          <cell r="Q194">
            <v>78144</v>
          </cell>
          <cell r="S194">
            <v>132201</v>
          </cell>
          <cell r="V194">
            <v>264673</v>
          </cell>
          <cell r="W194">
            <v>-100</v>
          </cell>
        </row>
        <row r="195">
          <cell r="E195">
            <v>213</v>
          </cell>
          <cell r="G195">
            <v>31098</v>
          </cell>
          <cell r="J195">
            <v>9</v>
          </cell>
          <cell r="L195">
            <v>5031</v>
          </cell>
          <cell r="M195">
            <v>3731</v>
          </cell>
          <cell r="N195">
            <v>8207</v>
          </cell>
          <cell r="Q195">
            <v>78144</v>
          </cell>
          <cell r="S195">
            <v>126211</v>
          </cell>
          <cell r="W195">
            <v>126111</v>
          </cell>
        </row>
        <row r="196">
          <cell r="E196">
            <v>222</v>
          </cell>
          <cell r="G196">
            <v>32412</v>
          </cell>
          <cell r="J196">
            <v>26</v>
          </cell>
          <cell r="L196">
            <v>14534</v>
          </cell>
          <cell r="M196">
            <v>3731</v>
          </cell>
          <cell r="N196">
            <v>8230</v>
          </cell>
          <cell r="Q196">
            <v>78144</v>
          </cell>
          <cell r="S196">
            <v>137051</v>
          </cell>
          <cell r="V196">
            <v>270000</v>
          </cell>
          <cell r="W196">
            <v>-6838</v>
          </cell>
        </row>
        <row r="197">
          <cell r="E197">
            <v>246</v>
          </cell>
          <cell r="G197">
            <v>35916</v>
          </cell>
          <cell r="J197">
            <v>74</v>
          </cell>
          <cell r="L197">
            <v>41366</v>
          </cell>
          <cell r="M197">
            <v>3731</v>
          </cell>
          <cell r="N197">
            <v>8260</v>
          </cell>
          <cell r="Q197">
            <v>78144</v>
          </cell>
          <cell r="S197">
            <v>167417</v>
          </cell>
          <cell r="V197">
            <v>180000</v>
          </cell>
          <cell r="W197">
            <v>-19421</v>
          </cell>
        </row>
        <row r="198">
          <cell r="E198">
            <v>363</v>
          </cell>
          <cell r="G198">
            <v>52998</v>
          </cell>
          <cell r="J198">
            <v>96</v>
          </cell>
          <cell r="L198">
            <v>53664</v>
          </cell>
          <cell r="M198">
            <v>3731</v>
          </cell>
          <cell r="N198">
            <v>8270</v>
          </cell>
          <cell r="Q198">
            <v>78144</v>
          </cell>
          <cell r="S198">
            <v>196807</v>
          </cell>
          <cell r="V198">
            <v>250000</v>
          </cell>
          <cell r="W198">
            <v>-72614</v>
          </cell>
        </row>
        <row r="199">
          <cell r="E199">
            <v>341</v>
          </cell>
          <cell r="G199">
            <v>49786</v>
          </cell>
          <cell r="J199">
            <v>104</v>
          </cell>
          <cell r="L199">
            <v>58136</v>
          </cell>
          <cell r="M199">
            <v>3828</v>
          </cell>
          <cell r="N199">
            <v>8264</v>
          </cell>
          <cell r="Q199">
            <v>80176</v>
          </cell>
          <cell r="S199">
            <v>200190</v>
          </cell>
          <cell r="W199">
            <v>127576</v>
          </cell>
        </row>
        <row r="200">
          <cell r="E200">
            <v>284</v>
          </cell>
          <cell r="G200">
            <v>41464</v>
          </cell>
          <cell r="J200">
            <v>80</v>
          </cell>
          <cell r="L200">
            <v>44720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178455</v>
          </cell>
          <cell r="V200">
            <v>310000</v>
          </cell>
          <cell r="W200">
            <v>-3969</v>
          </cell>
        </row>
        <row r="201">
          <cell r="E201">
            <v>213</v>
          </cell>
          <cell r="G201">
            <v>31098</v>
          </cell>
          <cell r="J201">
            <v>66</v>
          </cell>
          <cell r="L201">
            <v>36894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160266</v>
          </cell>
          <cell r="V201"/>
          <cell r="W201">
            <v>156297</v>
          </cell>
        </row>
        <row r="202">
          <cell r="E202">
            <v>276</v>
          </cell>
          <cell r="G202">
            <v>40296</v>
          </cell>
          <cell r="J202">
            <v>51</v>
          </cell>
          <cell r="L202">
            <v>28509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161108</v>
          </cell>
          <cell r="V202">
            <v>317405</v>
          </cell>
          <cell r="W202">
            <v>0</v>
          </cell>
        </row>
        <row r="203">
          <cell r="E203">
            <v>287</v>
          </cell>
          <cell r="G203">
            <v>41902</v>
          </cell>
          <cell r="J203">
            <v>15</v>
          </cell>
          <cell r="L203">
            <v>8385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142620</v>
          </cell>
          <cell r="V203"/>
          <cell r="W203">
            <v>142620</v>
          </cell>
        </row>
        <row r="204">
          <cell r="E204">
            <v>-35658</v>
          </cell>
          <cell r="G204">
            <v>-5206068</v>
          </cell>
          <cell r="J204">
            <v>-13195</v>
          </cell>
          <cell r="L204">
            <v>-7376005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-12498069</v>
          </cell>
          <cell r="V204"/>
          <cell r="W204">
            <v>-12355449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-12271445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-12187441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-12103437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-12019433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-11935429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-11851425</v>
          </cell>
        </row>
      </sheetData>
      <sheetData sheetId="43">
        <row r="175">
          <cell r="E175">
            <v>311</v>
          </cell>
          <cell r="G175">
            <v>45406</v>
          </cell>
          <cell r="J175">
            <v>124</v>
          </cell>
          <cell r="L175">
            <v>70036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202583</v>
          </cell>
          <cell r="V175">
            <v>250000</v>
          </cell>
          <cell r="W175">
            <v>-47417</v>
          </cell>
        </row>
        <row r="176">
          <cell r="E176">
            <v>428</v>
          </cell>
          <cell r="G176">
            <v>62488</v>
          </cell>
          <cell r="J176">
            <v>117</v>
          </cell>
          <cell r="L176">
            <v>65403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215032</v>
          </cell>
          <cell r="V176">
            <v>200000</v>
          </cell>
          <cell r="W176">
            <v>-32385</v>
          </cell>
        </row>
        <row r="177">
          <cell r="E177">
            <v>430</v>
          </cell>
          <cell r="G177">
            <v>62780</v>
          </cell>
          <cell r="J177">
            <v>110</v>
          </cell>
          <cell r="L177">
            <v>61490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211411</v>
          </cell>
          <cell r="V177">
            <v>200000</v>
          </cell>
          <cell r="W177">
            <v>-20974</v>
          </cell>
        </row>
        <row r="178">
          <cell r="E178">
            <v>188</v>
          </cell>
          <cell r="G178">
            <v>27448</v>
          </cell>
          <cell r="J178">
            <v>52</v>
          </cell>
          <cell r="L178">
            <v>29068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143657</v>
          </cell>
          <cell r="V178">
            <v>200000</v>
          </cell>
          <cell r="W178">
            <v>-77317</v>
          </cell>
        </row>
        <row r="179">
          <cell r="E179">
            <v>134</v>
          </cell>
          <cell r="G179">
            <v>19564</v>
          </cell>
          <cell r="J179">
            <v>20</v>
          </cell>
          <cell r="L179">
            <v>11180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117885</v>
          </cell>
          <cell r="V179">
            <v>200000</v>
          </cell>
          <cell r="W179">
            <v>-159432</v>
          </cell>
        </row>
        <row r="180">
          <cell r="E180">
            <v>141</v>
          </cell>
          <cell r="G180">
            <v>20586</v>
          </cell>
          <cell r="J180">
            <v>3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109404</v>
          </cell>
          <cell r="V180">
            <v>150000</v>
          </cell>
          <cell r="W180">
            <v>-200028</v>
          </cell>
        </row>
        <row r="181">
          <cell r="E181">
            <v>69</v>
          </cell>
          <cell r="G181">
            <v>10074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98892</v>
          </cell>
          <cell r="V181">
            <v>150000</v>
          </cell>
          <cell r="W181">
            <v>-251136</v>
          </cell>
        </row>
        <row r="182">
          <cell r="E182">
            <v>25</v>
          </cell>
          <cell r="G182">
            <v>3650</v>
          </cell>
          <cell r="J182">
            <v>1</v>
          </cell>
          <cell r="L182">
            <v>559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92331</v>
          </cell>
          <cell r="V182">
            <v>150000</v>
          </cell>
          <cell r="W182">
            <v>-308805</v>
          </cell>
        </row>
        <row r="183">
          <cell r="E183">
            <v>156</v>
          </cell>
          <cell r="G183">
            <v>22776</v>
          </cell>
          <cell r="J183">
            <v>17</v>
          </cell>
          <cell r="L183">
            <v>9503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120417</v>
          </cell>
          <cell r="V183">
            <v>150000</v>
          </cell>
          <cell r="W183">
            <v>-338388</v>
          </cell>
        </row>
        <row r="184">
          <cell r="E184">
            <v>65</v>
          </cell>
          <cell r="G184">
            <v>9490</v>
          </cell>
          <cell r="J184">
            <v>8</v>
          </cell>
          <cell r="L184">
            <v>4472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102093</v>
          </cell>
          <cell r="V184">
            <v>150000</v>
          </cell>
          <cell r="W184">
            <v>-386295</v>
          </cell>
        </row>
        <row r="185">
          <cell r="E185">
            <v>230</v>
          </cell>
          <cell r="G185">
            <v>33580</v>
          </cell>
          <cell r="J185">
            <v>131</v>
          </cell>
          <cell r="L185">
            <v>75209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196949</v>
          </cell>
          <cell r="V185">
            <v>150000</v>
          </cell>
          <cell r="W185">
            <v>-339346</v>
          </cell>
        </row>
        <row r="186">
          <cell r="E186">
            <v>474</v>
          </cell>
          <cell r="G186">
            <v>69204</v>
          </cell>
          <cell r="J186">
            <v>122</v>
          </cell>
          <cell r="L186">
            <v>68558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225942</v>
          </cell>
          <cell r="V186">
            <v>100000</v>
          </cell>
          <cell r="W186">
            <v>-213404</v>
          </cell>
        </row>
        <row r="187">
          <cell r="E187">
            <v>211</v>
          </cell>
          <cell r="G187">
            <v>30806</v>
          </cell>
          <cell r="J187">
            <v>120</v>
          </cell>
          <cell r="L187">
            <v>67080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187808</v>
          </cell>
          <cell r="W187">
            <v>-25596</v>
          </cell>
        </row>
        <row r="188">
          <cell r="E188">
            <v>579</v>
          </cell>
          <cell r="G188">
            <v>84534</v>
          </cell>
          <cell r="J188">
            <v>78</v>
          </cell>
          <cell r="L188">
            <v>43602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218088</v>
          </cell>
          <cell r="V188">
            <v>200000</v>
          </cell>
          <cell r="W188">
            <v>-7508</v>
          </cell>
        </row>
        <row r="189">
          <cell r="E189">
            <v>265</v>
          </cell>
          <cell r="G189">
            <v>38690</v>
          </cell>
          <cell r="J189">
            <v>83</v>
          </cell>
          <cell r="L189">
            <v>46397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175052</v>
          </cell>
          <cell r="V189">
            <v>200000</v>
          </cell>
          <cell r="W189">
            <v>-32456</v>
          </cell>
        </row>
        <row r="190">
          <cell r="E190">
            <v>138</v>
          </cell>
          <cell r="G190">
            <v>20148</v>
          </cell>
          <cell r="J190">
            <v>50</v>
          </cell>
          <cell r="L190">
            <v>27950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138074</v>
          </cell>
          <cell r="V190">
            <v>150000</v>
          </cell>
          <cell r="W190">
            <v>-44382</v>
          </cell>
        </row>
        <row r="191">
          <cell r="E191">
            <v>241</v>
          </cell>
          <cell r="G191">
            <v>35186</v>
          </cell>
          <cell r="J191">
            <v>14</v>
          </cell>
          <cell r="L191">
            <v>7826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133010</v>
          </cell>
          <cell r="V191">
            <v>100000</v>
          </cell>
          <cell r="W191">
            <v>-11372</v>
          </cell>
        </row>
        <row r="192">
          <cell r="E192">
            <v>69</v>
          </cell>
          <cell r="G192">
            <v>10074</v>
          </cell>
          <cell r="J192">
            <v>7</v>
          </cell>
          <cell r="L192">
            <v>3913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104010</v>
          </cell>
          <cell r="V192">
            <v>100000</v>
          </cell>
          <cell r="W192">
            <v>-7362</v>
          </cell>
        </row>
        <row r="193">
          <cell r="E193">
            <v>241</v>
          </cell>
          <cell r="G193">
            <v>35186</v>
          </cell>
          <cell r="J193">
            <v>7</v>
          </cell>
          <cell r="L193">
            <v>3913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129135</v>
          </cell>
          <cell r="V193">
            <v>150000</v>
          </cell>
          <cell r="W193">
            <v>-28227</v>
          </cell>
        </row>
        <row r="194">
          <cell r="E194">
            <v>115</v>
          </cell>
          <cell r="G194">
            <v>16790</v>
          </cell>
          <cell r="J194">
            <v>10</v>
          </cell>
          <cell r="L194">
            <v>5590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112441</v>
          </cell>
          <cell r="V194">
            <v>150000</v>
          </cell>
          <cell r="W194">
            <v>-65786</v>
          </cell>
        </row>
        <row r="195">
          <cell r="E195">
            <v>259</v>
          </cell>
          <cell r="G195">
            <v>37814</v>
          </cell>
          <cell r="J195">
            <v>26</v>
          </cell>
          <cell r="L195">
            <v>14534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142430</v>
          </cell>
          <cell r="V195">
            <v>150000</v>
          </cell>
          <cell r="W195">
            <v>-73356</v>
          </cell>
        </row>
        <row r="196">
          <cell r="E196">
            <v>131</v>
          </cell>
          <cell r="G196">
            <v>19126</v>
          </cell>
          <cell r="J196">
            <v>98</v>
          </cell>
          <cell r="L196">
            <v>54782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164013</v>
          </cell>
          <cell r="V196">
            <v>160000</v>
          </cell>
          <cell r="W196">
            <v>-69343</v>
          </cell>
        </row>
        <row r="197">
          <cell r="E197">
            <v>241</v>
          </cell>
          <cell r="G197">
            <v>35186</v>
          </cell>
          <cell r="J197">
            <v>64</v>
          </cell>
          <cell r="L197">
            <v>35776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161097</v>
          </cell>
          <cell r="V197">
            <v>150000</v>
          </cell>
          <cell r="W197">
            <v>-58246</v>
          </cell>
        </row>
        <row r="198">
          <cell r="E198">
            <v>357</v>
          </cell>
          <cell r="G198">
            <v>52122</v>
          </cell>
          <cell r="J198">
            <v>102</v>
          </cell>
          <cell r="L198">
            <v>57018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199285</v>
          </cell>
          <cell r="V198">
            <v>150000</v>
          </cell>
          <cell r="W198">
            <v>-8961</v>
          </cell>
        </row>
        <row r="199">
          <cell r="E199">
            <v>252</v>
          </cell>
          <cell r="G199">
            <v>36792</v>
          </cell>
          <cell r="J199">
            <v>84</v>
          </cell>
          <cell r="L199">
            <v>46956</v>
          </cell>
          <cell r="M199">
            <v>3828</v>
          </cell>
          <cell r="N199">
            <v>8264</v>
          </cell>
          <cell r="Q199">
            <v>80176</v>
          </cell>
          <cell r="S199">
            <v>176016</v>
          </cell>
          <cell r="V199">
            <v>200000</v>
          </cell>
          <cell r="W199">
            <v>-32945</v>
          </cell>
        </row>
        <row r="200">
          <cell r="E200">
            <v>454</v>
          </cell>
          <cell r="G200">
            <v>66284</v>
          </cell>
          <cell r="J200">
            <v>84</v>
          </cell>
          <cell r="L200">
            <v>46956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205511</v>
          </cell>
          <cell r="V200">
            <v>172566</v>
          </cell>
          <cell r="W200">
            <v>0</v>
          </cell>
        </row>
        <row r="201">
          <cell r="E201">
            <v>260</v>
          </cell>
          <cell r="G201">
            <v>37960</v>
          </cell>
          <cell r="J201">
            <v>72</v>
          </cell>
          <cell r="L201">
            <v>40248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170482</v>
          </cell>
          <cell r="V201">
            <v>150000</v>
          </cell>
          <cell r="W201">
            <v>20482</v>
          </cell>
        </row>
        <row r="202">
          <cell r="E202">
            <v>322</v>
          </cell>
          <cell r="G202">
            <v>47012</v>
          </cell>
          <cell r="J202">
            <v>65</v>
          </cell>
          <cell r="L202">
            <v>36335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175650</v>
          </cell>
          <cell r="V202">
            <v>155000</v>
          </cell>
          <cell r="W202">
            <v>41132</v>
          </cell>
        </row>
        <row r="203">
          <cell r="E203">
            <v>369</v>
          </cell>
          <cell r="G203">
            <v>53874</v>
          </cell>
          <cell r="J203">
            <v>51</v>
          </cell>
          <cell r="L203">
            <v>28509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174716</v>
          </cell>
          <cell r="V203"/>
          <cell r="W203">
            <v>215848</v>
          </cell>
        </row>
        <row r="204">
          <cell r="E204">
            <v>-52820</v>
          </cell>
          <cell r="G204">
            <v>-7711720</v>
          </cell>
          <cell r="J204">
            <v>-7490</v>
          </cell>
          <cell r="L204">
            <v>-4186910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-11814626</v>
          </cell>
          <cell r="V204"/>
          <cell r="W204">
            <v>-11598778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-11514774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-11430770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-11346766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-11262762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-11178758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-11094754</v>
          </cell>
        </row>
      </sheetData>
      <sheetData sheetId="44">
        <row r="175">
          <cell r="E175">
            <v>599</v>
          </cell>
          <cell r="G175">
            <v>87454</v>
          </cell>
          <cell r="J175">
            <v>75</v>
          </cell>
          <cell r="L175">
            <v>41925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216520</v>
          </cell>
          <cell r="V175">
            <v>216520</v>
          </cell>
          <cell r="W175">
            <v>0</v>
          </cell>
        </row>
        <row r="176">
          <cell r="E176">
            <v>606</v>
          </cell>
          <cell r="G176">
            <v>88476</v>
          </cell>
          <cell r="J176">
            <v>97</v>
          </cell>
          <cell r="L176">
            <v>54223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229840</v>
          </cell>
          <cell r="V176">
            <v>229840</v>
          </cell>
          <cell r="W176">
            <v>0</v>
          </cell>
        </row>
        <row r="177">
          <cell r="E177">
            <v>731</v>
          </cell>
          <cell r="G177">
            <v>106726</v>
          </cell>
          <cell r="J177">
            <v>72</v>
          </cell>
          <cell r="L177">
            <v>40248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234115</v>
          </cell>
          <cell r="V177">
            <v>234115</v>
          </cell>
          <cell r="W177">
            <v>0</v>
          </cell>
        </row>
        <row r="178">
          <cell r="E178">
            <v>549</v>
          </cell>
          <cell r="G178">
            <v>80154</v>
          </cell>
          <cell r="J178">
            <v>45</v>
          </cell>
          <cell r="L178">
            <v>25155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192450</v>
          </cell>
          <cell r="V178">
            <v>192450</v>
          </cell>
          <cell r="W178">
            <v>0</v>
          </cell>
        </row>
        <row r="179">
          <cell r="E179">
            <v>518</v>
          </cell>
          <cell r="G179">
            <v>75628</v>
          </cell>
          <cell r="J179">
            <v>21</v>
          </cell>
          <cell r="L179">
            <v>11739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174508</v>
          </cell>
          <cell r="V179">
            <v>174508</v>
          </cell>
          <cell r="W179">
            <v>0</v>
          </cell>
        </row>
        <row r="180">
          <cell r="E180">
            <v>562</v>
          </cell>
          <cell r="G180">
            <v>82052</v>
          </cell>
          <cell r="J180">
            <v>20</v>
          </cell>
          <cell r="L180">
            <v>11180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180373</v>
          </cell>
          <cell r="V180">
            <v>180373</v>
          </cell>
          <cell r="W180">
            <v>0</v>
          </cell>
        </row>
        <row r="181">
          <cell r="E181">
            <v>461</v>
          </cell>
          <cell r="G181">
            <v>67306</v>
          </cell>
          <cell r="J181">
            <v>20</v>
          </cell>
          <cell r="L181">
            <v>11180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165627</v>
          </cell>
          <cell r="V181">
            <v>165627</v>
          </cell>
          <cell r="W181">
            <v>0</v>
          </cell>
        </row>
        <row r="182">
          <cell r="E182">
            <v>523</v>
          </cell>
          <cell r="G182">
            <v>76358</v>
          </cell>
          <cell r="J182">
            <v>25</v>
          </cell>
          <cell r="L182">
            <v>13975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178455</v>
          </cell>
          <cell r="V182">
            <v>178455</v>
          </cell>
          <cell r="W182">
            <v>0</v>
          </cell>
        </row>
        <row r="183">
          <cell r="E183">
            <v>483</v>
          </cell>
          <cell r="G183">
            <v>70518</v>
          </cell>
          <cell r="J183">
            <v>23</v>
          </cell>
          <cell r="L183">
            <v>12857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171513</v>
          </cell>
          <cell r="V183">
            <v>171513</v>
          </cell>
          <cell r="W183">
            <v>0</v>
          </cell>
        </row>
        <row r="184">
          <cell r="E184">
            <v>410</v>
          </cell>
          <cell r="G184">
            <v>59860</v>
          </cell>
          <cell r="J184">
            <v>28</v>
          </cell>
          <cell r="L184">
            <v>15652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163643</v>
          </cell>
          <cell r="V184">
            <v>163643</v>
          </cell>
          <cell r="W184">
            <v>0</v>
          </cell>
        </row>
        <row r="185">
          <cell r="E185">
            <v>496</v>
          </cell>
          <cell r="G185">
            <v>72416</v>
          </cell>
          <cell r="J185">
            <v>61</v>
          </cell>
          <cell r="L185">
            <v>34099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194675</v>
          </cell>
          <cell r="V185">
            <v>194675</v>
          </cell>
          <cell r="W185">
            <v>0</v>
          </cell>
        </row>
        <row r="186">
          <cell r="E186">
            <v>474</v>
          </cell>
          <cell r="G186">
            <v>69204</v>
          </cell>
          <cell r="J186">
            <v>65</v>
          </cell>
          <cell r="L186">
            <v>36335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193719</v>
          </cell>
          <cell r="V186">
            <v>193719</v>
          </cell>
          <cell r="W186">
            <v>0</v>
          </cell>
        </row>
        <row r="187">
          <cell r="E187">
            <v>532</v>
          </cell>
          <cell r="G187">
            <v>77672</v>
          </cell>
          <cell r="J187">
            <v>74</v>
          </cell>
          <cell r="L187">
            <v>41366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208960</v>
          </cell>
          <cell r="V187">
            <v>208960</v>
          </cell>
          <cell r="W187">
            <v>0</v>
          </cell>
        </row>
        <row r="188">
          <cell r="E188">
            <v>511</v>
          </cell>
          <cell r="G188">
            <v>74606</v>
          </cell>
          <cell r="J188">
            <v>86</v>
          </cell>
          <cell r="L188">
            <v>48074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212632</v>
          </cell>
          <cell r="V188">
            <v>212632</v>
          </cell>
          <cell r="W188">
            <v>0</v>
          </cell>
        </row>
        <row r="189">
          <cell r="E189">
            <v>492</v>
          </cell>
          <cell r="G189">
            <v>71832</v>
          </cell>
          <cell r="J189">
            <v>51</v>
          </cell>
          <cell r="L189">
            <v>28509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190306</v>
          </cell>
          <cell r="V189">
            <v>190306</v>
          </cell>
          <cell r="W189">
            <v>0</v>
          </cell>
        </row>
        <row r="190">
          <cell r="E190">
            <v>535</v>
          </cell>
          <cell r="G190">
            <v>78110</v>
          </cell>
          <cell r="J190">
            <v>46</v>
          </cell>
          <cell r="L190">
            <v>25714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193800</v>
          </cell>
          <cell r="V190">
            <v>193800</v>
          </cell>
          <cell r="W190">
            <v>0</v>
          </cell>
        </row>
        <row r="191">
          <cell r="E191">
            <v>440</v>
          </cell>
          <cell r="G191">
            <v>64240</v>
          </cell>
          <cell r="J191">
            <v>29</v>
          </cell>
          <cell r="L191">
            <v>16211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170449</v>
          </cell>
          <cell r="V191">
            <v>170449</v>
          </cell>
          <cell r="W191">
            <v>0</v>
          </cell>
        </row>
        <row r="192">
          <cell r="E192">
            <v>469</v>
          </cell>
          <cell r="G192">
            <v>68474</v>
          </cell>
          <cell r="J192">
            <v>24</v>
          </cell>
          <cell r="L192">
            <v>13416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171913</v>
          </cell>
          <cell r="V192">
            <v>171913</v>
          </cell>
          <cell r="W192">
            <v>0</v>
          </cell>
        </row>
        <row r="193">
          <cell r="E193">
            <v>485</v>
          </cell>
          <cell r="G193">
            <v>70810</v>
          </cell>
          <cell r="J193">
            <v>17</v>
          </cell>
          <cell r="L193">
            <v>9503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170349</v>
          </cell>
          <cell r="V193">
            <v>170349</v>
          </cell>
          <cell r="W193">
            <v>0</v>
          </cell>
        </row>
        <row r="194">
          <cell r="E194">
            <v>569</v>
          </cell>
          <cell r="G194">
            <v>83074</v>
          </cell>
          <cell r="J194">
            <v>19</v>
          </cell>
          <cell r="L194">
            <v>10621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183756</v>
          </cell>
          <cell r="V194">
            <v>183756</v>
          </cell>
          <cell r="W194">
            <v>0</v>
          </cell>
        </row>
        <row r="195">
          <cell r="E195">
            <v>429</v>
          </cell>
          <cell r="G195">
            <v>62634</v>
          </cell>
          <cell r="J195">
            <v>19</v>
          </cell>
          <cell r="L195">
            <v>10621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163337</v>
          </cell>
          <cell r="V195">
            <v>163337</v>
          </cell>
          <cell r="W195">
            <v>0</v>
          </cell>
        </row>
        <row r="196">
          <cell r="E196">
            <v>461</v>
          </cell>
          <cell r="G196">
            <v>67306</v>
          </cell>
          <cell r="J196">
            <v>22</v>
          </cell>
          <cell r="L196">
            <v>12298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169709</v>
          </cell>
          <cell r="V196">
            <v>169709</v>
          </cell>
          <cell r="W196">
            <v>0</v>
          </cell>
        </row>
        <row r="197">
          <cell r="E197">
            <v>482</v>
          </cell>
          <cell r="G197">
            <v>70372</v>
          </cell>
          <cell r="J197">
            <v>77</v>
          </cell>
          <cell r="L197">
            <v>43043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203550</v>
          </cell>
          <cell r="V197">
            <v>203550</v>
          </cell>
          <cell r="W197">
            <v>0</v>
          </cell>
        </row>
        <row r="198">
          <cell r="E198">
            <v>596</v>
          </cell>
          <cell r="G198">
            <v>87016</v>
          </cell>
          <cell r="J198">
            <v>37</v>
          </cell>
          <cell r="L198">
            <v>20683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197844</v>
          </cell>
          <cell r="V198">
            <v>197844</v>
          </cell>
          <cell r="W198">
            <v>0</v>
          </cell>
        </row>
        <row r="199">
          <cell r="E199">
            <v>704</v>
          </cell>
          <cell r="G199">
            <v>102784</v>
          </cell>
          <cell r="J199">
            <v>43</v>
          </cell>
          <cell r="L199">
            <v>24037</v>
          </cell>
          <cell r="M199">
            <v>3828</v>
          </cell>
          <cell r="N199">
            <v>8264</v>
          </cell>
          <cell r="Q199">
            <v>80176</v>
          </cell>
          <cell r="S199">
            <v>219089</v>
          </cell>
          <cell r="V199">
            <v>219089</v>
          </cell>
          <cell r="W199">
            <v>0</v>
          </cell>
        </row>
        <row r="200">
          <cell r="E200">
            <v>690</v>
          </cell>
          <cell r="G200">
            <v>100740</v>
          </cell>
          <cell r="J200">
            <v>67</v>
          </cell>
          <cell r="L200">
            <v>37453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230464</v>
          </cell>
          <cell r="V200">
            <v>230464</v>
          </cell>
          <cell r="W200">
            <v>0</v>
          </cell>
        </row>
        <row r="201">
          <cell r="E201">
            <v>526</v>
          </cell>
          <cell r="G201">
            <v>76796</v>
          </cell>
          <cell r="J201">
            <v>38</v>
          </cell>
          <cell r="L201">
            <v>21242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190312</v>
          </cell>
          <cell r="V201">
            <v>190312</v>
          </cell>
          <cell r="W201">
            <v>0</v>
          </cell>
        </row>
        <row r="202">
          <cell r="E202">
            <v>543</v>
          </cell>
          <cell r="G202">
            <v>79278</v>
          </cell>
          <cell r="J202">
            <v>20</v>
          </cell>
          <cell r="L202">
            <v>11180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182761</v>
          </cell>
          <cell r="V202"/>
          <cell r="W202">
            <v>182761</v>
          </cell>
        </row>
        <row r="203">
          <cell r="E203">
            <v>532</v>
          </cell>
          <cell r="G203">
            <v>77672</v>
          </cell>
          <cell r="J203">
            <v>15</v>
          </cell>
          <cell r="L203">
            <v>8385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178390</v>
          </cell>
          <cell r="V203"/>
          <cell r="W203">
            <v>361151</v>
          </cell>
        </row>
        <row r="204">
          <cell r="E204">
            <v>-71672</v>
          </cell>
          <cell r="G204">
            <v>-10464112</v>
          </cell>
          <cell r="J204">
            <v>-3813</v>
          </cell>
          <cell r="L204">
            <v>-2131467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-12511575</v>
          </cell>
          <cell r="V204"/>
          <cell r="W204">
            <v>-12150424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-12066420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-11982416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-11898412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-11814408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-11730404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-11646400</v>
          </cell>
        </row>
      </sheetData>
      <sheetData sheetId="45">
        <row r="175">
          <cell r="E175">
            <v>326</v>
          </cell>
          <cell r="G175">
            <v>47596</v>
          </cell>
          <cell r="J175">
            <v>22</v>
          </cell>
          <cell r="L175">
            <v>12298</v>
          </cell>
          <cell r="M175">
            <v>3731</v>
          </cell>
          <cell r="N175">
            <v>7000</v>
          </cell>
          <cell r="O175">
            <v>0</v>
          </cell>
          <cell r="P175">
            <v>5000</v>
          </cell>
          <cell r="Q175">
            <v>76410</v>
          </cell>
          <cell r="S175">
            <v>152035</v>
          </cell>
          <cell r="V175">
            <v>152035</v>
          </cell>
          <cell r="W175">
            <v>0</v>
          </cell>
        </row>
        <row r="176">
          <cell r="E176">
            <v>276</v>
          </cell>
          <cell r="G176">
            <v>40296</v>
          </cell>
          <cell r="J176">
            <v>19</v>
          </cell>
          <cell r="L176">
            <v>10621</v>
          </cell>
          <cell r="M176">
            <v>3731</v>
          </cell>
          <cell r="N176">
            <v>7000</v>
          </cell>
          <cell r="O176">
            <v>0</v>
          </cell>
          <cell r="P176">
            <v>5000</v>
          </cell>
          <cell r="Q176">
            <v>76410</v>
          </cell>
          <cell r="S176">
            <v>143058</v>
          </cell>
          <cell r="V176">
            <v>143058</v>
          </cell>
          <cell r="W176">
            <v>0</v>
          </cell>
        </row>
        <row r="177">
          <cell r="E177">
            <v>329</v>
          </cell>
          <cell r="G177">
            <v>48034</v>
          </cell>
          <cell r="J177">
            <v>29</v>
          </cell>
          <cell r="L177">
            <v>16211</v>
          </cell>
          <cell r="M177">
            <v>3731</v>
          </cell>
          <cell r="N177">
            <v>7000</v>
          </cell>
          <cell r="O177">
            <v>0</v>
          </cell>
          <cell r="P177">
            <v>5000</v>
          </cell>
          <cell r="Q177">
            <v>76410</v>
          </cell>
          <cell r="S177">
            <v>156386</v>
          </cell>
          <cell r="V177">
            <v>156386</v>
          </cell>
          <cell r="W177">
            <v>0</v>
          </cell>
        </row>
        <row r="178">
          <cell r="E178">
            <v>186</v>
          </cell>
          <cell r="G178">
            <v>27156</v>
          </cell>
          <cell r="J178">
            <v>11</v>
          </cell>
          <cell r="L178">
            <v>6149</v>
          </cell>
          <cell r="M178">
            <v>3731</v>
          </cell>
          <cell r="N178">
            <v>7000</v>
          </cell>
          <cell r="O178">
            <v>0</v>
          </cell>
          <cell r="P178">
            <v>5000</v>
          </cell>
          <cell r="Q178">
            <v>76410</v>
          </cell>
          <cell r="S178">
            <v>125446</v>
          </cell>
          <cell r="V178">
            <v>125466</v>
          </cell>
          <cell r="W178">
            <v>-20</v>
          </cell>
        </row>
        <row r="179">
          <cell r="E179">
            <v>137</v>
          </cell>
          <cell r="G179">
            <v>20002</v>
          </cell>
          <cell r="J179">
            <v>1</v>
          </cell>
          <cell r="L179">
            <v>559</v>
          </cell>
          <cell r="M179">
            <v>3731</v>
          </cell>
          <cell r="N179">
            <v>7000</v>
          </cell>
          <cell r="O179">
            <v>0</v>
          </cell>
          <cell r="P179">
            <v>5000</v>
          </cell>
          <cell r="Q179">
            <v>76410</v>
          </cell>
          <cell r="S179">
            <v>112702</v>
          </cell>
          <cell r="V179">
            <v>112682</v>
          </cell>
          <cell r="W179">
            <v>0</v>
          </cell>
        </row>
        <row r="180">
          <cell r="E180">
            <v>115</v>
          </cell>
          <cell r="G180">
            <v>16790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5000</v>
          </cell>
          <cell r="Q180">
            <v>76410</v>
          </cell>
          <cell r="S180">
            <v>108931</v>
          </cell>
          <cell r="V180">
            <v>108931</v>
          </cell>
          <cell r="W180">
            <v>0</v>
          </cell>
        </row>
        <row r="181">
          <cell r="E181">
            <v>98</v>
          </cell>
          <cell r="G181">
            <v>14308</v>
          </cell>
          <cell r="J181">
            <v>2</v>
          </cell>
          <cell r="L181">
            <v>1118</v>
          </cell>
          <cell r="M181">
            <v>3731</v>
          </cell>
          <cell r="N181">
            <v>7000</v>
          </cell>
          <cell r="O181">
            <v>0</v>
          </cell>
          <cell r="P181">
            <v>5000</v>
          </cell>
          <cell r="Q181">
            <v>76410</v>
          </cell>
          <cell r="S181">
            <v>107567</v>
          </cell>
          <cell r="V181">
            <v>107567</v>
          </cell>
          <cell r="W181">
            <v>0</v>
          </cell>
        </row>
        <row r="182">
          <cell r="E182">
            <v>161</v>
          </cell>
          <cell r="G182">
            <v>23506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5000</v>
          </cell>
          <cell r="Q182">
            <v>76410</v>
          </cell>
          <cell r="S182">
            <v>116628</v>
          </cell>
          <cell r="V182">
            <v>116628</v>
          </cell>
          <cell r="W182">
            <v>0</v>
          </cell>
        </row>
        <row r="183">
          <cell r="E183">
            <v>225</v>
          </cell>
          <cell r="G183">
            <v>32850</v>
          </cell>
          <cell r="J183">
            <v>9</v>
          </cell>
          <cell r="L183">
            <v>5031</v>
          </cell>
          <cell r="M183">
            <v>3731</v>
          </cell>
          <cell r="N183">
            <v>7997</v>
          </cell>
          <cell r="O183">
            <v>0</v>
          </cell>
          <cell r="P183">
            <v>5000</v>
          </cell>
          <cell r="Q183">
            <v>76410</v>
          </cell>
          <cell r="S183">
            <v>131019</v>
          </cell>
          <cell r="V183">
            <v>131019</v>
          </cell>
          <cell r="W183">
            <v>0</v>
          </cell>
        </row>
        <row r="184">
          <cell r="E184">
            <v>189</v>
          </cell>
          <cell r="G184">
            <v>27594</v>
          </cell>
          <cell r="J184">
            <v>10</v>
          </cell>
          <cell r="L184">
            <v>5590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131315</v>
          </cell>
          <cell r="V184">
            <v>131315</v>
          </cell>
          <cell r="W184">
            <v>0</v>
          </cell>
        </row>
        <row r="185">
          <cell r="E185">
            <v>252</v>
          </cell>
          <cell r="G185">
            <v>36792</v>
          </cell>
          <cell r="J185">
            <v>12</v>
          </cell>
          <cell r="L185">
            <v>6708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S185">
            <v>141660</v>
          </cell>
          <cell r="V185">
            <v>141101</v>
          </cell>
          <cell r="W185">
            <v>559</v>
          </cell>
        </row>
        <row r="186">
          <cell r="E186">
            <v>298</v>
          </cell>
          <cell r="G186">
            <v>43508</v>
          </cell>
          <cell r="J186">
            <v>20</v>
          </cell>
          <cell r="L186">
            <v>11180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S186">
            <v>152868</v>
          </cell>
          <cell r="V186">
            <v>153427</v>
          </cell>
          <cell r="W186">
            <v>0</v>
          </cell>
        </row>
        <row r="187">
          <cell r="E187">
            <v>521</v>
          </cell>
          <cell r="G187">
            <v>76066</v>
          </cell>
          <cell r="J187">
            <v>27</v>
          </cell>
          <cell r="L187">
            <v>15093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S187">
            <v>191081</v>
          </cell>
          <cell r="V187">
            <v>191081</v>
          </cell>
          <cell r="W187">
            <v>0</v>
          </cell>
        </row>
        <row r="188">
          <cell r="E188">
            <v>270</v>
          </cell>
          <cell r="G188">
            <v>39420</v>
          </cell>
          <cell r="J188">
            <v>11</v>
          </cell>
          <cell r="L188">
            <v>6149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S188">
            <v>145521</v>
          </cell>
          <cell r="V188">
            <v>145521</v>
          </cell>
          <cell r="W188">
            <v>0</v>
          </cell>
        </row>
        <row r="189">
          <cell r="E189">
            <v>264</v>
          </cell>
          <cell r="G189">
            <v>38544</v>
          </cell>
          <cell r="J189">
            <v>30</v>
          </cell>
          <cell r="L189">
            <v>16770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S189">
            <v>155279</v>
          </cell>
          <cell r="V189">
            <v>155279</v>
          </cell>
          <cell r="W189">
            <v>0</v>
          </cell>
        </row>
        <row r="190">
          <cell r="E190">
            <v>239</v>
          </cell>
          <cell r="G190">
            <v>34894</v>
          </cell>
          <cell r="J190">
            <v>12</v>
          </cell>
          <cell r="L190">
            <v>6708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S190">
            <v>141578</v>
          </cell>
          <cell r="V190">
            <v>141578</v>
          </cell>
          <cell r="W190">
            <v>0</v>
          </cell>
        </row>
        <row r="191">
          <cell r="E191">
            <v>184</v>
          </cell>
          <cell r="G191">
            <v>26864</v>
          </cell>
          <cell r="J191">
            <v>4</v>
          </cell>
          <cell r="L191">
            <v>2236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S191">
            <v>129098</v>
          </cell>
          <cell r="V191">
            <v>129098</v>
          </cell>
          <cell r="W191">
            <v>0</v>
          </cell>
        </row>
        <row r="192">
          <cell r="E192">
            <v>210</v>
          </cell>
          <cell r="G192">
            <v>30660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121242</v>
          </cell>
          <cell r="V192">
            <v>121242</v>
          </cell>
          <cell r="W192">
            <v>0</v>
          </cell>
        </row>
        <row r="193">
          <cell r="E193">
            <v>254</v>
          </cell>
          <cell r="G193">
            <v>37084</v>
          </cell>
          <cell r="J193">
            <v>3</v>
          </cell>
          <cell r="L193">
            <v>1677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128797</v>
          </cell>
          <cell r="V193">
            <v>128797</v>
          </cell>
          <cell r="W193">
            <v>0</v>
          </cell>
        </row>
        <row r="194">
          <cell r="E194">
            <v>237</v>
          </cell>
          <cell r="G194">
            <v>34602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124663</v>
          </cell>
          <cell r="V194">
            <v>124663</v>
          </cell>
          <cell r="W194">
            <v>0</v>
          </cell>
        </row>
        <row r="195">
          <cell r="E195">
            <v>399</v>
          </cell>
          <cell r="G195">
            <v>58254</v>
          </cell>
          <cell r="J195">
            <v>23</v>
          </cell>
          <cell r="L195">
            <v>12857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161193</v>
          </cell>
          <cell r="V195">
            <v>161193</v>
          </cell>
          <cell r="W195">
            <v>0</v>
          </cell>
        </row>
        <row r="196">
          <cell r="E196">
            <v>267</v>
          </cell>
          <cell r="G196">
            <v>38982</v>
          </cell>
          <cell r="J196">
            <v>38</v>
          </cell>
          <cell r="L196">
            <v>21242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150329</v>
          </cell>
          <cell r="V196">
            <v>150329</v>
          </cell>
          <cell r="W196">
            <v>0</v>
          </cell>
        </row>
        <row r="197">
          <cell r="E197">
            <v>285</v>
          </cell>
          <cell r="G197">
            <v>41610</v>
          </cell>
          <cell r="J197">
            <v>29</v>
          </cell>
          <cell r="L197">
            <v>16211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147956</v>
          </cell>
          <cell r="V197">
            <v>147956</v>
          </cell>
          <cell r="W197">
            <v>0</v>
          </cell>
        </row>
        <row r="198">
          <cell r="E198">
            <v>570</v>
          </cell>
          <cell r="G198">
            <v>83220</v>
          </cell>
          <cell r="J198">
            <v>49</v>
          </cell>
          <cell r="L198">
            <v>27391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200756</v>
          </cell>
          <cell r="V198">
            <v>200756</v>
          </cell>
          <cell r="W198">
            <v>0</v>
          </cell>
        </row>
        <row r="199">
          <cell r="E199">
            <v>556</v>
          </cell>
          <cell r="G199">
            <v>81176</v>
          </cell>
          <cell r="J199">
            <v>27</v>
          </cell>
          <cell r="L199">
            <v>15093</v>
          </cell>
          <cell r="M199">
            <v>3828</v>
          </cell>
          <cell r="N199">
            <v>8264</v>
          </cell>
          <cell r="Q199">
            <v>80176</v>
          </cell>
          <cell r="S199">
            <v>188537</v>
          </cell>
          <cell r="V199">
            <v>188537</v>
          </cell>
          <cell r="W199">
            <v>0</v>
          </cell>
        </row>
        <row r="200">
          <cell r="E200">
            <v>407</v>
          </cell>
          <cell r="G200">
            <v>59422</v>
          </cell>
          <cell r="J200">
            <v>23</v>
          </cell>
          <cell r="L200">
            <v>12857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164550</v>
          </cell>
          <cell r="V200">
            <v>164550</v>
          </cell>
          <cell r="W200">
            <v>0</v>
          </cell>
        </row>
        <row r="201">
          <cell r="E201">
            <v>319</v>
          </cell>
          <cell r="G201">
            <v>46574</v>
          </cell>
          <cell r="J201">
            <v>21</v>
          </cell>
          <cell r="L201">
            <v>11739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150587</v>
          </cell>
          <cell r="V201">
            <v>150587</v>
          </cell>
          <cell r="W201">
            <v>0</v>
          </cell>
        </row>
        <row r="202">
          <cell r="E202">
            <v>214</v>
          </cell>
          <cell r="G202">
            <v>31244</v>
          </cell>
          <cell r="J202">
            <v>9</v>
          </cell>
          <cell r="L202">
            <v>5031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128578</v>
          </cell>
          <cell r="V202">
            <v>128578</v>
          </cell>
          <cell r="W202">
            <v>0</v>
          </cell>
        </row>
        <row r="203">
          <cell r="E203">
            <v>219</v>
          </cell>
          <cell r="G203">
            <v>31974</v>
          </cell>
          <cell r="J203">
            <v>4</v>
          </cell>
          <cell r="L203">
            <v>2236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126543</v>
          </cell>
          <cell r="V203"/>
          <cell r="W203">
            <v>126543</v>
          </cell>
        </row>
        <row r="204">
          <cell r="E204">
            <v>-14828</v>
          </cell>
          <cell r="G204">
            <v>-2164888</v>
          </cell>
          <cell r="J204">
            <v>-2844</v>
          </cell>
          <cell r="L204">
            <v>-1589796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-3670680</v>
          </cell>
          <cell r="V204"/>
          <cell r="W204">
            <v>-3544137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-3460133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-3376129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-3292125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-3208121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-3124117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-3040113</v>
          </cell>
        </row>
      </sheetData>
      <sheetData sheetId="46">
        <row r="175">
          <cell r="E175">
            <v>271</v>
          </cell>
          <cell r="G175">
            <v>39566</v>
          </cell>
          <cell r="J175">
            <v>122</v>
          </cell>
          <cell r="L175">
            <v>68558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195265</v>
          </cell>
          <cell r="V175">
            <v>195265</v>
          </cell>
          <cell r="W175">
            <v>0</v>
          </cell>
        </row>
        <row r="176">
          <cell r="E176">
            <v>370</v>
          </cell>
          <cell r="G176">
            <v>54020</v>
          </cell>
          <cell r="J176">
            <v>60</v>
          </cell>
          <cell r="L176">
            <v>33540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174701</v>
          </cell>
          <cell r="V176">
            <v>174071</v>
          </cell>
          <cell r="W176">
            <v>630</v>
          </cell>
        </row>
        <row r="177">
          <cell r="E177">
            <v>270</v>
          </cell>
          <cell r="G177">
            <v>39420</v>
          </cell>
          <cell r="J177">
            <v>28</v>
          </cell>
          <cell r="L177">
            <v>15652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142213</v>
          </cell>
          <cell r="V177">
            <v>142843</v>
          </cell>
          <cell r="W177">
            <v>0</v>
          </cell>
        </row>
        <row r="178">
          <cell r="E178">
            <v>82</v>
          </cell>
          <cell r="G178">
            <v>11972</v>
          </cell>
          <cell r="J178">
            <v>6</v>
          </cell>
          <cell r="L178">
            <v>3354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102467</v>
          </cell>
          <cell r="V178">
            <v>102467</v>
          </cell>
          <cell r="W178">
            <v>0</v>
          </cell>
        </row>
        <row r="179">
          <cell r="E179">
            <v>88</v>
          </cell>
          <cell r="G179">
            <v>12848</v>
          </cell>
          <cell r="J179">
            <v>9</v>
          </cell>
          <cell r="L179">
            <v>5031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105020</v>
          </cell>
          <cell r="V179">
            <v>105020</v>
          </cell>
          <cell r="W179">
            <v>0</v>
          </cell>
        </row>
        <row r="180">
          <cell r="E180">
            <v>127</v>
          </cell>
          <cell r="G180">
            <v>18542</v>
          </cell>
          <cell r="J180">
            <v>6</v>
          </cell>
          <cell r="L180">
            <v>3354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109037</v>
          </cell>
          <cell r="V180">
            <v>109037</v>
          </cell>
          <cell r="W180">
            <v>0</v>
          </cell>
        </row>
        <row r="181">
          <cell r="E181">
            <v>164</v>
          </cell>
          <cell r="G181">
            <v>23944</v>
          </cell>
          <cell r="J181">
            <v>16</v>
          </cell>
          <cell r="L181">
            <v>8944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120029</v>
          </cell>
          <cell r="V181">
            <v>120029</v>
          </cell>
          <cell r="W181">
            <v>0</v>
          </cell>
        </row>
        <row r="182">
          <cell r="E182">
            <v>103</v>
          </cell>
          <cell r="G182">
            <v>15038</v>
          </cell>
          <cell r="J182">
            <v>10</v>
          </cell>
          <cell r="L182">
            <v>5590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108750</v>
          </cell>
          <cell r="V182">
            <v>108750</v>
          </cell>
          <cell r="W182">
            <v>0</v>
          </cell>
        </row>
        <row r="183">
          <cell r="E183">
            <v>203</v>
          </cell>
          <cell r="G183">
            <v>29638</v>
          </cell>
          <cell r="J183">
            <v>17</v>
          </cell>
          <cell r="L183">
            <v>9503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127279</v>
          </cell>
          <cell r="V183">
            <v>127279</v>
          </cell>
          <cell r="W183">
            <v>0</v>
          </cell>
        </row>
        <row r="184">
          <cell r="E184">
            <v>162</v>
          </cell>
          <cell r="G184">
            <v>23652</v>
          </cell>
          <cell r="J184">
            <v>16</v>
          </cell>
          <cell r="L184">
            <v>8944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120727</v>
          </cell>
          <cell r="V184">
            <v>120727</v>
          </cell>
          <cell r="W184">
            <v>0</v>
          </cell>
        </row>
        <row r="185">
          <cell r="E185">
            <v>332</v>
          </cell>
          <cell r="G185">
            <v>48472</v>
          </cell>
          <cell r="J185">
            <v>31</v>
          </cell>
          <cell r="L185">
            <v>17329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153961</v>
          </cell>
          <cell r="V185">
            <v>153961</v>
          </cell>
          <cell r="W185">
            <v>0</v>
          </cell>
        </row>
        <row r="186">
          <cell r="E186">
            <v>308</v>
          </cell>
          <cell r="G186">
            <v>44968</v>
          </cell>
          <cell r="J186">
            <v>16</v>
          </cell>
          <cell r="L186">
            <v>8944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142092</v>
          </cell>
          <cell r="V186">
            <v>142092</v>
          </cell>
          <cell r="W186">
            <v>0</v>
          </cell>
        </row>
        <row r="187">
          <cell r="E187">
            <v>435</v>
          </cell>
          <cell r="G187">
            <v>63510</v>
          </cell>
          <cell r="J187">
            <v>44</v>
          </cell>
          <cell r="L187">
            <v>24596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178028</v>
          </cell>
          <cell r="V187">
            <v>178028</v>
          </cell>
          <cell r="W187">
            <v>0</v>
          </cell>
        </row>
        <row r="188">
          <cell r="E188">
            <v>379</v>
          </cell>
          <cell r="G188">
            <v>55334</v>
          </cell>
          <cell r="J188">
            <v>46</v>
          </cell>
          <cell r="L188">
            <v>25714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171000</v>
          </cell>
          <cell r="V188">
            <v>171000</v>
          </cell>
          <cell r="W188">
            <v>0</v>
          </cell>
        </row>
        <row r="189">
          <cell r="E189">
            <v>254</v>
          </cell>
          <cell r="G189">
            <v>37084</v>
          </cell>
          <cell r="J189">
            <v>20</v>
          </cell>
          <cell r="L189">
            <v>11180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138229</v>
          </cell>
          <cell r="V189">
            <v>138229</v>
          </cell>
          <cell r="W189">
            <v>0</v>
          </cell>
        </row>
        <row r="190">
          <cell r="E190">
            <v>280</v>
          </cell>
          <cell r="G190">
            <v>40880</v>
          </cell>
          <cell r="J190">
            <v>8</v>
          </cell>
          <cell r="L190">
            <v>4472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135328</v>
          </cell>
          <cell r="V190">
            <v>135328</v>
          </cell>
          <cell r="W190">
            <v>0</v>
          </cell>
        </row>
        <row r="191">
          <cell r="E191">
            <v>302</v>
          </cell>
          <cell r="G191">
            <v>44092</v>
          </cell>
          <cell r="J191">
            <v>22</v>
          </cell>
          <cell r="L191">
            <v>12298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146388</v>
          </cell>
          <cell r="V191">
            <v>146368</v>
          </cell>
          <cell r="W191">
            <v>20</v>
          </cell>
        </row>
        <row r="192">
          <cell r="E192">
            <v>248</v>
          </cell>
          <cell r="G192">
            <v>36208</v>
          </cell>
          <cell r="J192">
            <v>5</v>
          </cell>
          <cell r="L192">
            <v>2795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129026</v>
          </cell>
          <cell r="V192">
            <v>129046</v>
          </cell>
          <cell r="W192">
            <v>0</v>
          </cell>
        </row>
        <row r="193">
          <cell r="E193">
            <v>162</v>
          </cell>
          <cell r="G193">
            <v>23652</v>
          </cell>
          <cell r="J193">
            <v>12</v>
          </cell>
          <cell r="L193">
            <v>6708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120396</v>
          </cell>
          <cell r="V193">
            <v>120396</v>
          </cell>
          <cell r="W193">
            <v>0</v>
          </cell>
        </row>
        <row r="194">
          <cell r="E194">
            <v>118</v>
          </cell>
          <cell r="G194">
            <v>17228</v>
          </cell>
          <cell r="J194">
            <v>7</v>
          </cell>
          <cell r="L194">
            <v>3913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111202</v>
          </cell>
          <cell r="V194">
            <v>111202</v>
          </cell>
          <cell r="W194">
            <v>0</v>
          </cell>
        </row>
        <row r="195">
          <cell r="E195">
            <v>176</v>
          </cell>
          <cell r="G195">
            <v>25696</v>
          </cell>
          <cell r="J195">
            <v>12</v>
          </cell>
          <cell r="L195">
            <v>6708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122486</v>
          </cell>
          <cell r="V195">
            <v>122486</v>
          </cell>
          <cell r="W195">
            <v>0</v>
          </cell>
        </row>
        <row r="196">
          <cell r="E196">
            <v>282</v>
          </cell>
          <cell r="G196">
            <v>41172</v>
          </cell>
          <cell r="J196">
            <v>13</v>
          </cell>
          <cell r="L196">
            <v>7267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138544</v>
          </cell>
          <cell r="V196">
            <v>138544</v>
          </cell>
          <cell r="W196">
            <v>0</v>
          </cell>
        </row>
        <row r="197">
          <cell r="E197">
            <v>318</v>
          </cell>
          <cell r="G197">
            <v>46428</v>
          </cell>
          <cell r="J197">
            <v>37</v>
          </cell>
          <cell r="L197">
            <v>20683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157246</v>
          </cell>
          <cell r="V197">
            <v>157246</v>
          </cell>
          <cell r="W197">
            <v>0</v>
          </cell>
        </row>
        <row r="198">
          <cell r="E198">
            <v>331</v>
          </cell>
          <cell r="G198">
            <v>48326</v>
          </cell>
          <cell r="J198">
            <v>33</v>
          </cell>
          <cell r="L198">
            <v>18447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137829</v>
          </cell>
          <cell r="S198">
            <v>294747</v>
          </cell>
          <cell r="V198">
            <v>156918</v>
          </cell>
          <cell r="W198">
            <v>137829</v>
          </cell>
        </row>
        <row r="199">
          <cell r="E199">
            <v>393</v>
          </cell>
          <cell r="G199">
            <v>57378</v>
          </cell>
          <cell r="J199">
            <v>40</v>
          </cell>
          <cell r="L199">
            <v>22360</v>
          </cell>
          <cell r="M199">
            <v>3828</v>
          </cell>
          <cell r="N199">
            <v>8264</v>
          </cell>
          <cell r="Q199">
            <v>80176</v>
          </cell>
          <cell r="S199">
            <v>172006</v>
          </cell>
          <cell r="W199">
            <v>309835</v>
          </cell>
        </row>
        <row r="200">
          <cell r="E200">
            <v>495</v>
          </cell>
          <cell r="G200">
            <v>72270</v>
          </cell>
          <cell r="J200">
            <v>59</v>
          </cell>
          <cell r="L200">
            <v>32981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197522</v>
          </cell>
          <cell r="V200">
            <v>369528</v>
          </cell>
          <cell r="W200">
            <v>137829</v>
          </cell>
        </row>
        <row r="201">
          <cell r="E201">
            <v>383</v>
          </cell>
          <cell r="G201">
            <v>55918</v>
          </cell>
          <cell r="J201">
            <v>61</v>
          </cell>
          <cell r="L201">
            <v>34099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182291</v>
          </cell>
          <cell r="V201">
            <v>182291</v>
          </cell>
          <cell r="W201">
            <v>137829</v>
          </cell>
        </row>
        <row r="202">
          <cell r="E202">
            <v>324</v>
          </cell>
          <cell r="G202">
            <v>47304</v>
          </cell>
          <cell r="J202">
            <v>18</v>
          </cell>
          <cell r="L202">
            <v>10062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149669</v>
          </cell>
          <cell r="V202">
            <v>149969</v>
          </cell>
          <cell r="W202">
            <v>137529</v>
          </cell>
        </row>
        <row r="203">
          <cell r="E203">
            <v>356</v>
          </cell>
          <cell r="G203">
            <v>51976</v>
          </cell>
          <cell r="J203">
            <v>19</v>
          </cell>
          <cell r="L203">
            <v>10621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154930</v>
          </cell>
          <cell r="V203"/>
          <cell r="W203">
            <v>292459</v>
          </cell>
        </row>
        <row r="204">
          <cell r="E204">
            <v>-9386</v>
          </cell>
          <cell r="G204">
            <v>-1370356</v>
          </cell>
          <cell r="J204">
            <v>-1106</v>
          </cell>
          <cell r="L204">
            <v>-618254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-1904606</v>
          </cell>
          <cell r="V204"/>
          <cell r="W204">
            <v>-1612147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-1528143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-1444139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-1360135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-1276131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-1192127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-1108123</v>
          </cell>
        </row>
      </sheetData>
      <sheetData sheetId="4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87141</v>
          </cell>
          <cell r="V175">
            <v>87141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V178">
            <v>87141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2</v>
          </cell>
          <cell r="G183">
            <v>292</v>
          </cell>
          <cell r="J183">
            <v>1</v>
          </cell>
          <cell r="L183">
            <v>559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88989</v>
          </cell>
          <cell r="V183">
            <v>88989</v>
          </cell>
          <cell r="W183">
            <v>0</v>
          </cell>
        </row>
        <row r="184">
          <cell r="E184">
            <v>3</v>
          </cell>
          <cell r="G184">
            <v>438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88569</v>
          </cell>
          <cell r="V184">
            <v>88989</v>
          </cell>
          <cell r="W184">
            <v>-420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>
            <v>0</v>
          </cell>
          <cell r="S185">
            <v>88160</v>
          </cell>
          <cell r="W185">
            <v>87740</v>
          </cell>
        </row>
        <row r="186">
          <cell r="E186">
            <v>5</v>
          </cell>
          <cell r="G186">
            <v>730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>
            <v>0</v>
          </cell>
          <cell r="S186">
            <v>88910</v>
          </cell>
          <cell r="V186">
            <v>176650</v>
          </cell>
          <cell r="W186">
            <v>0</v>
          </cell>
        </row>
        <row r="187">
          <cell r="E187">
            <v>2</v>
          </cell>
          <cell r="G187">
            <v>292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>
            <v>0</v>
          </cell>
          <cell r="S187">
            <v>90214</v>
          </cell>
          <cell r="V187">
            <v>90214</v>
          </cell>
          <cell r="W187">
            <v>0</v>
          </cell>
        </row>
        <row r="188">
          <cell r="E188">
            <v>2</v>
          </cell>
          <cell r="G188">
            <v>292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>
            <v>0</v>
          </cell>
          <cell r="S188">
            <v>90244</v>
          </cell>
          <cell r="W188">
            <v>90244</v>
          </cell>
        </row>
        <row r="189">
          <cell r="E189">
            <v>2</v>
          </cell>
          <cell r="G189">
            <v>292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>
            <v>0</v>
          </cell>
          <cell r="S189">
            <v>90257</v>
          </cell>
          <cell r="V189">
            <v>180501</v>
          </cell>
          <cell r="W189">
            <v>0</v>
          </cell>
        </row>
        <row r="190">
          <cell r="E190">
            <v>3</v>
          </cell>
          <cell r="G190">
            <v>438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>
            <v>0</v>
          </cell>
          <cell r="S190">
            <v>90414</v>
          </cell>
          <cell r="V190">
            <v>90414</v>
          </cell>
          <cell r="W190">
            <v>0</v>
          </cell>
        </row>
        <row r="191">
          <cell r="E191">
            <v>2</v>
          </cell>
          <cell r="G191">
            <v>292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>
            <v>0</v>
          </cell>
          <cell r="S191">
            <v>90290</v>
          </cell>
          <cell r="V191">
            <v>90290</v>
          </cell>
          <cell r="W191">
            <v>0</v>
          </cell>
        </row>
        <row r="192">
          <cell r="E192">
            <v>3</v>
          </cell>
          <cell r="G192">
            <v>438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>
            <v>0</v>
          </cell>
          <cell r="S192">
            <v>90461</v>
          </cell>
          <cell r="V192">
            <v>90461</v>
          </cell>
          <cell r="W192">
            <v>0</v>
          </cell>
        </row>
        <row r="193">
          <cell r="E193">
            <v>2</v>
          </cell>
          <cell r="G193">
            <v>292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>
            <v>0</v>
          </cell>
          <cell r="S193">
            <v>90328</v>
          </cell>
          <cell r="V193">
            <v>90328</v>
          </cell>
          <cell r="W193">
            <v>0</v>
          </cell>
        </row>
        <row r="194">
          <cell r="E194">
            <v>3</v>
          </cell>
          <cell r="G194">
            <v>438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>
            <v>0</v>
          </cell>
          <cell r="S194">
            <v>90499</v>
          </cell>
          <cell r="W194">
            <v>90499</v>
          </cell>
        </row>
        <row r="195">
          <cell r="E195">
            <v>2</v>
          </cell>
          <cell r="G195">
            <v>292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0</v>
          </cell>
          <cell r="S195">
            <v>90374</v>
          </cell>
          <cell r="V195">
            <v>180873</v>
          </cell>
          <cell r="W195">
            <v>0</v>
          </cell>
        </row>
        <row r="196">
          <cell r="E196">
            <v>3</v>
          </cell>
          <cell r="G196">
            <v>438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0</v>
          </cell>
          <cell r="S196">
            <v>90543</v>
          </cell>
          <cell r="V196">
            <v>90543</v>
          </cell>
          <cell r="W196">
            <v>0</v>
          </cell>
        </row>
        <row r="197">
          <cell r="E197">
            <v>2</v>
          </cell>
          <cell r="G197">
            <v>292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>
            <v>0</v>
          </cell>
          <cell r="S197">
            <v>90427</v>
          </cell>
          <cell r="V197">
            <v>90427</v>
          </cell>
          <cell r="W197">
            <v>0</v>
          </cell>
        </row>
        <row r="198">
          <cell r="E198">
            <v>3</v>
          </cell>
          <cell r="G198">
            <v>438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>
            <v>0</v>
          </cell>
          <cell r="S198">
            <v>90583</v>
          </cell>
          <cell r="V198">
            <v>90583</v>
          </cell>
          <cell r="W198">
            <v>0</v>
          </cell>
        </row>
        <row r="199">
          <cell r="E199">
            <v>1</v>
          </cell>
          <cell r="G199">
            <v>146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R199">
            <v>0</v>
          </cell>
          <cell r="S199">
            <v>92414</v>
          </cell>
          <cell r="V199">
            <v>92414</v>
          </cell>
          <cell r="W199">
            <v>0</v>
          </cell>
        </row>
        <row r="200">
          <cell r="E200">
            <v>3</v>
          </cell>
          <cell r="G200">
            <v>438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0</v>
          </cell>
          <cell r="S200">
            <v>92709</v>
          </cell>
          <cell r="V200">
            <v>92709</v>
          </cell>
          <cell r="W200">
            <v>0</v>
          </cell>
        </row>
        <row r="201">
          <cell r="E201">
            <v>1</v>
          </cell>
          <cell r="G201">
            <v>146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0</v>
          </cell>
          <cell r="S201">
            <v>92420</v>
          </cell>
          <cell r="V201">
            <v>92420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0</v>
          </cell>
          <cell r="S202">
            <v>92303</v>
          </cell>
          <cell r="V202">
            <v>92303</v>
          </cell>
          <cell r="W202">
            <v>0</v>
          </cell>
        </row>
        <row r="203">
          <cell r="E203">
            <v>3</v>
          </cell>
          <cell r="G203">
            <v>438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>
            <v>0</v>
          </cell>
          <cell r="S203">
            <v>92771</v>
          </cell>
          <cell r="V203"/>
          <cell r="W203">
            <v>92771</v>
          </cell>
        </row>
        <row r="204">
          <cell r="E204">
            <v>-178</v>
          </cell>
          <cell r="G204">
            <v>-25988</v>
          </cell>
          <cell r="J204">
            <v>-3</v>
          </cell>
          <cell r="L204">
            <v>-1677</v>
          </cell>
          <cell r="M204">
            <v>3828</v>
          </cell>
          <cell r="N204"/>
          <cell r="O204"/>
          <cell r="P204"/>
          <cell r="Q204">
            <v>80176</v>
          </cell>
          <cell r="R204">
            <v>0</v>
          </cell>
          <cell r="S204">
            <v>56339</v>
          </cell>
          <cell r="V204"/>
          <cell r="W204">
            <v>149110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>
            <v>0</v>
          </cell>
          <cell r="S205">
            <v>84004</v>
          </cell>
          <cell r="V205"/>
          <cell r="W205">
            <v>233114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>
            <v>0</v>
          </cell>
          <cell r="S206">
            <v>84004</v>
          </cell>
          <cell r="V206"/>
          <cell r="W206">
            <v>317118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>
            <v>0</v>
          </cell>
          <cell r="S207">
            <v>84004</v>
          </cell>
          <cell r="V207"/>
          <cell r="W207">
            <v>401122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>
            <v>0</v>
          </cell>
          <cell r="S208">
            <v>84004</v>
          </cell>
          <cell r="V208"/>
          <cell r="W208">
            <v>485126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>
            <v>0</v>
          </cell>
          <cell r="S209">
            <v>84004</v>
          </cell>
          <cell r="V209"/>
          <cell r="W209">
            <v>569130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>
            <v>0</v>
          </cell>
          <cell r="S210">
            <v>84004</v>
          </cell>
          <cell r="V210"/>
          <cell r="W210">
            <v>653134</v>
          </cell>
        </row>
      </sheetData>
      <sheetData sheetId="48">
        <row r="175">
          <cell r="E175">
            <v>189</v>
          </cell>
          <cell r="G175">
            <v>27594</v>
          </cell>
          <cell r="J175">
            <v>34</v>
          </cell>
          <cell r="L175">
            <v>19006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133741</v>
          </cell>
          <cell r="V175">
            <v>133741</v>
          </cell>
          <cell r="W175">
            <v>0</v>
          </cell>
        </row>
        <row r="176">
          <cell r="E176">
            <v>183</v>
          </cell>
          <cell r="G176">
            <v>26718</v>
          </cell>
          <cell r="J176">
            <v>38</v>
          </cell>
          <cell r="L176">
            <v>21242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135101</v>
          </cell>
          <cell r="V176">
            <v>135101</v>
          </cell>
          <cell r="W176">
            <v>0</v>
          </cell>
        </row>
        <row r="177">
          <cell r="E177">
            <v>156</v>
          </cell>
          <cell r="G177">
            <v>22776</v>
          </cell>
          <cell r="J177">
            <v>33</v>
          </cell>
          <cell r="L177">
            <v>18447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128364</v>
          </cell>
          <cell r="V177">
            <v>128364</v>
          </cell>
          <cell r="W177">
            <v>0</v>
          </cell>
        </row>
        <row r="178">
          <cell r="E178">
            <v>128</v>
          </cell>
          <cell r="G178">
            <v>18688</v>
          </cell>
          <cell r="J178">
            <v>21</v>
          </cell>
          <cell r="L178">
            <v>11739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117568</v>
          </cell>
          <cell r="V178">
            <v>117568</v>
          </cell>
          <cell r="W178">
            <v>0</v>
          </cell>
        </row>
        <row r="179">
          <cell r="E179">
            <v>190</v>
          </cell>
          <cell r="G179">
            <v>27740</v>
          </cell>
          <cell r="J179">
            <v>14</v>
          </cell>
          <cell r="L179">
            <v>7826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122707</v>
          </cell>
          <cell r="V179">
            <v>122707</v>
          </cell>
          <cell r="W179">
            <v>0</v>
          </cell>
        </row>
        <row r="180">
          <cell r="E180">
            <v>328</v>
          </cell>
          <cell r="G180">
            <v>47888</v>
          </cell>
          <cell r="J180">
            <v>13</v>
          </cell>
          <cell r="L180">
            <v>7267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142296</v>
          </cell>
          <cell r="V180">
            <v>142296</v>
          </cell>
          <cell r="W180">
            <v>0</v>
          </cell>
        </row>
        <row r="181">
          <cell r="E181">
            <v>313</v>
          </cell>
          <cell r="G181">
            <v>45698</v>
          </cell>
          <cell r="J181">
            <v>13</v>
          </cell>
          <cell r="L181">
            <v>7267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140106</v>
          </cell>
          <cell r="V181">
            <v>140106</v>
          </cell>
          <cell r="W181">
            <v>0</v>
          </cell>
        </row>
        <row r="182">
          <cell r="E182">
            <v>292</v>
          </cell>
          <cell r="G182">
            <v>42632</v>
          </cell>
          <cell r="J182">
            <v>12</v>
          </cell>
          <cell r="L182">
            <v>6708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137462</v>
          </cell>
          <cell r="V182">
            <v>137462</v>
          </cell>
          <cell r="W182">
            <v>0</v>
          </cell>
        </row>
        <row r="183">
          <cell r="E183">
            <v>222</v>
          </cell>
          <cell r="G183">
            <v>32412</v>
          </cell>
          <cell r="J183">
            <v>16</v>
          </cell>
          <cell r="L183">
            <v>8944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129494</v>
          </cell>
          <cell r="V183">
            <v>129494</v>
          </cell>
          <cell r="W183">
            <v>0</v>
          </cell>
        </row>
        <row r="184">
          <cell r="E184">
            <v>152</v>
          </cell>
          <cell r="G184">
            <v>22192</v>
          </cell>
          <cell r="J184">
            <v>16</v>
          </cell>
          <cell r="L184">
            <v>8944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119267</v>
          </cell>
          <cell r="V184">
            <v>119267</v>
          </cell>
          <cell r="W184">
            <v>0</v>
          </cell>
        </row>
        <row r="185">
          <cell r="E185">
            <v>147</v>
          </cell>
          <cell r="G185">
            <v>21462</v>
          </cell>
          <cell r="J185">
            <v>28</v>
          </cell>
          <cell r="L185">
            <v>15652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125274</v>
          </cell>
          <cell r="W185">
            <v>125274</v>
          </cell>
        </row>
        <row r="186">
          <cell r="E186">
            <v>143</v>
          </cell>
          <cell r="G186">
            <v>20878</v>
          </cell>
          <cell r="J186">
            <v>43</v>
          </cell>
          <cell r="L186">
            <v>24037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133095</v>
          </cell>
          <cell r="V186">
            <v>258369</v>
          </cell>
          <cell r="W186">
            <v>0</v>
          </cell>
        </row>
        <row r="187">
          <cell r="E187">
            <v>172</v>
          </cell>
          <cell r="G187">
            <v>25112</v>
          </cell>
          <cell r="J187">
            <v>38</v>
          </cell>
          <cell r="L187">
            <v>21242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136276</v>
          </cell>
          <cell r="V187">
            <v>136276</v>
          </cell>
          <cell r="W187">
            <v>0</v>
          </cell>
        </row>
        <row r="188">
          <cell r="E188">
            <v>137</v>
          </cell>
          <cell r="G188">
            <v>20002</v>
          </cell>
          <cell r="J188">
            <v>39</v>
          </cell>
          <cell r="L188">
            <v>21801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131755</v>
          </cell>
          <cell r="V188">
            <v>131755</v>
          </cell>
          <cell r="W188">
            <v>0</v>
          </cell>
        </row>
        <row r="189">
          <cell r="E189">
            <v>120</v>
          </cell>
          <cell r="G189">
            <v>17520</v>
          </cell>
          <cell r="J189">
            <v>29</v>
          </cell>
          <cell r="L189">
            <v>16211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123696</v>
          </cell>
          <cell r="V189">
            <v>123696</v>
          </cell>
          <cell r="W189">
            <v>0</v>
          </cell>
        </row>
        <row r="190">
          <cell r="E190">
            <v>139</v>
          </cell>
          <cell r="G190">
            <v>20294</v>
          </cell>
          <cell r="J190">
            <v>32</v>
          </cell>
          <cell r="L190">
            <v>17888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128158</v>
          </cell>
          <cell r="W190">
            <v>128158</v>
          </cell>
        </row>
        <row r="191">
          <cell r="E191">
            <v>167</v>
          </cell>
          <cell r="G191">
            <v>24382</v>
          </cell>
          <cell r="J191">
            <v>27</v>
          </cell>
          <cell r="L191">
            <v>15093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129473</v>
          </cell>
          <cell r="V191">
            <v>257631</v>
          </cell>
          <cell r="W191">
            <v>0</v>
          </cell>
        </row>
        <row r="192">
          <cell r="E192">
            <v>332</v>
          </cell>
          <cell r="G192">
            <v>48472</v>
          </cell>
          <cell r="J192">
            <v>17</v>
          </cell>
          <cell r="L192">
            <v>9503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147998</v>
          </cell>
          <cell r="V192">
            <v>147998</v>
          </cell>
          <cell r="W192">
            <v>0</v>
          </cell>
        </row>
        <row r="193">
          <cell r="E193">
            <v>347</v>
          </cell>
          <cell r="G193">
            <v>50662</v>
          </cell>
          <cell r="J193">
            <v>15</v>
          </cell>
          <cell r="L193">
            <v>8385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149083</v>
          </cell>
          <cell r="V193">
            <v>149083</v>
          </cell>
          <cell r="W193">
            <v>0</v>
          </cell>
        </row>
        <row r="194">
          <cell r="E194">
            <v>306</v>
          </cell>
          <cell r="G194">
            <v>44676</v>
          </cell>
          <cell r="J194">
            <v>18</v>
          </cell>
          <cell r="L194">
            <v>10062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144799</v>
          </cell>
          <cell r="V194">
            <v>144799</v>
          </cell>
          <cell r="W194">
            <v>0</v>
          </cell>
        </row>
        <row r="195">
          <cell r="E195">
            <v>152</v>
          </cell>
          <cell r="G195">
            <v>22192</v>
          </cell>
          <cell r="J195">
            <v>21</v>
          </cell>
          <cell r="L195">
            <v>11739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124013</v>
          </cell>
          <cell r="W195">
            <v>124013</v>
          </cell>
        </row>
        <row r="196">
          <cell r="E196">
            <v>162</v>
          </cell>
          <cell r="G196">
            <v>23652</v>
          </cell>
          <cell r="J196">
            <v>25</v>
          </cell>
          <cell r="L196">
            <v>13975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127732</v>
          </cell>
          <cell r="V196">
            <v>251745</v>
          </cell>
          <cell r="W196">
            <v>0</v>
          </cell>
        </row>
        <row r="197">
          <cell r="E197">
            <v>164</v>
          </cell>
          <cell r="G197">
            <v>23944</v>
          </cell>
          <cell r="J197">
            <v>30</v>
          </cell>
          <cell r="L197">
            <v>16770</v>
          </cell>
          <cell r="M197">
            <v>3731</v>
          </cell>
          <cell r="N197">
            <v>8260</v>
          </cell>
          <cell r="O197">
            <v>19040</v>
          </cell>
          <cell r="P197">
            <v>0</v>
          </cell>
          <cell r="Q197">
            <v>78144</v>
          </cell>
          <cell r="S197">
            <v>149889</v>
          </cell>
          <cell r="V197">
            <v>149889</v>
          </cell>
          <cell r="W197">
            <v>0</v>
          </cell>
        </row>
        <row r="198">
          <cell r="E198">
            <v>148</v>
          </cell>
          <cell r="G198">
            <v>21608</v>
          </cell>
          <cell r="J198">
            <v>45</v>
          </cell>
          <cell r="L198">
            <v>25155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136908</v>
          </cell>
          <cell r="V198">
            <v>136908</v>
          </cell>
          <cell r="W198">
            <v>0</v>
          </cell>
        </row>
        <row r="199">
          <cell r="E199">
            <v>163</v>
          </cell>
          <cell r="G199">
            <v>23798</v>
          </cell>
          <cell r="J199">
            <v>37</v>
          </cell>
          <cell r="L199">
            <v>20683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S199">
            <v>136749</v>
          </cell>
          <cell r="V199">
            <v>136749</v>
          </cell>
          <cell r="W199">
            <v>0</v>
          </cell>
        </row>
        <row r="200">
          <cell r="E200">
            <v>164</v>
          </cell>
          <cell r="G200">
            <v>23944</v>
          </cell>
          <cell r="J200">
            <v>49</v>
          </cell>
          <cell r="L200">
            <v>27391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/>
          <cell r="S200">
            <v>143606</v>
          </cell>
          <cell r="V200">
            <v>143606</v>
          </cell>
          <cell r="W200">
            <v>0</v>
          </cell>
        </row>
        <row r="201">
          <cell r="E201">
            <v>141</v>
          </cell>
          <cell r="G201">
            <v>20586</v>
          </cell>
          <cell r="J201">
            <v>43</v>
          </cell>
          <cell r="L201">
            <v>24037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/>
          <cell r="S201">
            <v>136897</v>
          </cell>
          <cell r="V201">
            <v>136897</v>
          </cell>
          <cell r="W201">
            <v>0</v>
          </cell>
        </row>
        <row r="202">
          <cell r="E202">
            <v>122</v>
          </cell>
          <cell r="G202">
            <v>17812</v>
          </cell>
          <cell r="J202">
            <v>30</v>
          </cell>
          <cell r="L202">
            <v>16770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/>
          <cell r="S202">
            <v>126885</v>
          </cell>
          <cell r="V202">
            <v>126885</v>
          </cell>
          <cell r="W202">
            <v>0</v>
          </cell>
        </row>
        <row r="203">
          <cell r="E203">
            <v>184</v>
          </cell>
          <cell r="G203">
            <v>26864</v>
          </cell>
          <cell r="J203">
            <v>36</v>
          </cell>
          <cell r="L203">
            <v>20124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/>
          <cell r="S203">
            <v>139321</v>
          </cell>
          <cell r="V203">
            <v>139321</v>
          </cell>
          <cell r="W203">
            <v>0</v>
          </cell>
        </row>
        <row r="204">
          <cell r="E204">
            <v>-12034</v>
          </cell>
          <cell r="G204">
            <v>-1756964</v>
          </cell>
          <cell r="J204">
            <v>-1840</v>
          </cell>
          <cell r="L204">
            <v>-1028560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S204">
            <v>-2701520</v>
          </cell>
          <cell r="V204"/>
          <cell r="W204">
            <v>-2701520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S205">
            <v>84004</v>
          </cell>
          <cell r="V205"/>
          <cell r="W205">
            <v>-2617516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S206">
            <v>84004</v>
          </cell>
          <cell r="V206"/>
          <cell r="W206">
            <v>-2533512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S207">
            <v>84004</v>
          </cell>
          <cell r="V207"/>
          <cell r="W207">
            <v>-2449508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S208">
            <v>84004</v>
          </cell>
          <cell r="V208"/>
          <cell r="W208">
            <v>-2365504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S209">
            <v>84004</v>
          </cell>
          <cell r="V209"/>
          <cell r="W209">
            <v>-2281500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S210">
            <v>84004</v>
          </cell>
          <cell r="V210"/>
          <cell r="W210">
            <v>-2197496</v>
          </cell>
        </row>
      </sheetData>
      <sheetData sheetId="49">
        <row r="175">
          <cell r="E175">
            <v>0</v>
          </cell>
          <cell r="G175">
            <v>0</v>
          </cell>
          <cell r="J175">
            <v>123</v>
          </cell>
          <cell r="L175">
            <v>69297</v>
          </cell>
          <cell r="M175">
            <v>3731</v>
          </cell>
          <cell r="N175">
            <v>7000</v>
          </cell>
          <cell r="Q175">
            <v>76410</v>
          </cell>
          <cell r="S175">
            <v>156438</v>
          </cell>
          <cell r="V175">
            <v>156438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90</v>
          </cell>
          <cell r="L176">
            <v>50310</v>
          </cell>
          <cell r="M176">
            <v>3731</v>
          </cell>
          <cell r="N176">
            <v>7000</v>
          </cell>
          <cell r="Q176">
            <v>76410</v>
          </cell>
          <cell r="S176">
            <v>137451</v>
          </cell>
          <cell r="V176">
            <v>137451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102</v>
          </cell>
          <cell r="L177">
            <v>57018</v>
          </cell>
          <cell r="M177">
            <v>3731</v>
          </cell>
          <cell r="N177">
            <v>7000</v>
          </cell>
          <cell r="Q177">
            <v>76410</v>
          </cell>
          <cell r="S177">
            <v>144159</v>
          </cell>
          <cell r="V177">
            <v>144159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83</v>
          </cell>
          <cell r="L178">
            <v>46397</v>
          </cell>
          <cell r="M178">
            <v>3731</v>
          </cell>
          <cell r="N178">
            <v>7000</v>
          </cell>
          <cell r="Q178">
            <v>76410</v>
          </cell>
          <cell r="S178">
            <v>133538</v>
          </cell>
          <cell r="V178">
            <v>133538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S179">
            <v>87141</v>
          </cell>
          <cell r="V179">
            <v>87141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S180">
            <v>87141</v>
          </cell>
          <cell r="V180">
            <v>87141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87141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V182">
            <v>88122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W183">
            <v>88138</v>
          </cell>
        </row>
        <row r="184">
          <cell r="E184">
            <v>0</v>
          </cell>
          <cell r="G184">
            <v>0</v>
          </cell>
          <cell r="J184">
            <v>213</v>
          </cell>
          <cell r="L184">
            <v>183867</v>
          </cell>
          <cell r="M184">
            <v>3731</v>
          </cell>
          <cell r="N184">
            <v>7990</v>
          </cell>
          <cell r="Q184">
            <v>76410</v>
          </cell>
          <cell r="S184">
            <v>271998</v>
          </cell>
          <cell r="V184">
            <v>360136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48</v>
          </cell>
          <cell r="L185">
            <v>26832</v>
          </cell>
          <cell r="M185">
            <v>3731</v>
          </cell>
          <cell r="N185">
            <v>8019</v>
          </cell>
          <cell r="Q185">
            <v>76410</v>
          </cell>
          <cell r="S185">
            <v>114992</v>
          </cell>
          <cell r="W185">
            <v>114992</v>
          </cell>
        </row>
        <row r="186">
          <cell r="E186">
            <v>0</v>
          </cell>
          <cell r="G186">
            <v>0</v>
          </cell>
          <cell r="J186">
            <v>78</v>
          </cell>
          <cell r="L186">
            <v>43602</v>
          </cell>
          <cell r="M186">
            <v>3731</v>
          </cell>
          <cell r="N186">
            <v>8039</v>
          </cell>
          <cell r="Q186">
            <v>76410</v>
          </cell>
          <cell r="S186">
            <v>131782</v>
          </cell>
          <cell r="V186">
            <v>246774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107</v>
          </cell>
          <cell r="L187">
            <v>59813</v>
          </cell>
          <cell r="M187">
            <v>3731</v>
          </cell>
          <cell r="N187">
            <v>8047</v>
          </cell>
          <cell r="Q187">
            <v>78144</v>
          </cell>
          <cell r="S187">
            <v>149735</v>
          </cell>
          <cell r="V187">
            <v>149735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115</v>
          </cell>
          <cell r="L188">
            <v>64285</v>
          </cell>
          <cell r="M188">
            <v>3731</v>
          </cell>
          <cell r="N188">
            <v>8077</v>
          </cell>
          <cell r="Q188">
            <v>78144</v>
          </cell>
          <cell r="S188">
            <v>154237</v>
          </cell>
          <cell r="V188">
            <v>154237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68</v>
          </cell>
          <cell r="L189">
            <v>38012</v>
          </cell>
          <cell r="M189">
            <v>3731</v>
          </cell>
          <cell r="N189">
            <v>8090</v>
          </cell>
          <cell r="Q189">
            <v>78144</v>
          </cell>
          <cell r="S189">
            <v>127977</v>
          </cell>
          <cell r="V189">
            <v>127977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79</v>
          </cell>
          <cell r="L190">
            <v>44161</v>
          </cell>
          <cell r="M190">
            <v>3731</v>
          </cell>
          <cell r="N190">
            <v>8101</v>
          </cell>
          <cell r="Q190">
            <v>78144</v>
          </cell>
          <cell r="S190">
            <v>134137</v>
          </cell>
          <cell r="V190">
            <v>134137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S192">
            <v>90023</v>
          </cell>
          <cell r="V192">
            <v>90023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S193">
            <v>90036</v>
          </cell>
          <cell r="W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V194">
            <v>180097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53</v>
          </cell>
          <cell r="L197">
            <v>29627</v>
          </cell>
          <cell r="M197">
            <v>3731</v>
          </cell>
          <cell r="N197">
            <v>8260</v>
          </cell>
          <cell r="Q197">
            <v>78144</v>
          </cell>
          <cell r="S197">
            <v>119762</v>
          </cell>
          <cell r="V197">
            <v>119762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54</v>
          </cell>
          <cell r="L198">
            <v>30186</v>
          </cell>
          <cell r="M198">
            <v>3731</v>
          </cell>
          <cell r="N198">
            <v>8270</v>
          </cell>
          <cell r="Q198">
            <v>78144</v>
          </cell>
          <cell r="S198">
            <v>120331</v>
          </cell>
          <cell r="V198">
            <v>120331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93</v>
          </cell>
          <cell r="L199">
            <v>51987</v>
          </cell>
          <cell r="M199">
            <v>3828</v>
          </cell>
          <cell r="N199">
            <v>8264</v>
          </cell>
          <cell r="Q199">
            <v>80176</v>
          </cell>
          <cell r="S199">
            <v>144255</v>
          </cell>
          <cell r="V199">
            <v>144255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46</v>
          </cell>
          <cell r="L200">
            <v>25714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117985</v>
          </cell>
          <cell r="V200">
            <v>117985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>
            <v>92274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163</v>
          </cell>
          <cell r="L202">
            <v>105877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198180</v>
          </cell>
          <cell r="V202">
            <v>198180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0</v>
          </cell>
          <cell r="G204">
            <v>0</v>
          </cell>
          <cell r="J204">
            <v>-8728</v>
          </cell>
          <cell r="L204">
            <v>-4878952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-4794948</v>
          </cell>
          <cell r="V204"/>
          <cell r="W204">
            <v>-4702615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-4618611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-4534607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-4450603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-4366599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-4282595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-4198591</v>
          </cell>
        </row>
      </sheetData>
      <sheetData sheetId="50">
        <row r="175">
          <cell r="E175">
            <v>623</v>
          </cell>
          <cell r="G175">
            <v>90958</v>
          </cell>
          <cell r="J175">
            <v>87</v>
          </cell>
          <cell r="L175">
            <v>48633</v>
          </cell>
          <cell r="M175">
            <v>3731</v>
          </cell>
          <cell r="N175">
            <v>7000</v>
          </cell>
          <cell r="Q175">
            <v>76410</v>
          </cell>
          <cell r="S175">
            <v>226732</v>
          </cell>
          <cell r="V175">
            <v>226732</v>
          </cell>
          <cell r="W175">
            <v>0</v>
          </cell>
        </row>
        <row r="176">
          <cell r="E176">
            <v>409</v>
          </cell>
          <cell r="G176">
            <v>59714</v>
          </cell>
          <cell r="J176">
            <v>38</v>
          </cell>
          <cell r="L176">
            <v>21242</v>
          </cell>
          <cell r="M176">
            <v>3731</v>
          </cell>
          <cell r="N176">
            <v>7000</v>
          </cell>
          <cell r="Q176">
            <v>76410</v>
          </cell>
          <cell r="S176">
            <v>168097</v>
          </cell>
          <cell r="V176">
            <v>168097</v>
          </cell>
          <cell r="W176">
            <v>0</v>
          </cell>
        </row>
        <row r="177">
          <cell r="E177">
            <v>584</v>
          </cell>
          <cell r="G177">
            <v>85264</v>
          </cell>
          <cell r="J177">
            <v>83</v>
          </cell>
          <cell r="L177">
            <v>46397</v>
          </cell>
          <cell r="M177">
            <v>3731</v>
          </cell>
          <cell r="N177">
            <v>7000</v>
          </cell>
          <cell r="Q177">
            <v>76410</v>
          </cell>
          <cell r="S177">
            <v>218802</v>
          </cell>
          <cell r="V177">
            <v>218802</v>
          </cell>
          <cell r="W177">
            <v>0</v>
          </cell>
        </row>
        <row r="178">
          <cell r="E178">
            <v>491</v>
          </cell>
          <cell r="G178">
            <v>71686</v>
          </cell>
          <cell r="J178">
            <v>64</v>
          </cell>
          <cell r="L178">
            <v>35776</v>
          </cell>
          <cell r="M178">
            <v>3731</v>
          </cell>
          <cell r="N178">
            <v>7000</v>
          </cell>
          <cell r="Q178">
            <v>76410</v>
          </cell>
          <cell r="S178">
            <v>194603</v>
          </cell>
          <cell r="V178">
            <v>194603</v>
          </cell>
          <cell r="W178">
            <v>0</v>
          </cell>
        </row>
        <row r="179">
          <cell r="E179">
            <v>416</v>
          </cell>
          <cell r="G179">
            <v>60736</v>
          </cell>
          <cell r="J179">
            <v>97</v>
          </cell>
          <cell r="L179">
            <v>54223</v>
          </cell>
          <cell r="M179">
            <v>3731</v>
          </cell>
          <cell r="N179">
            <v>7000</v>
          </cell>
          <cell r="Q179">
            <v>76410</v>
          </cell>
          <cell r="S179">
            <v>202100</v>
          </cell>
          <cell r="V179">
            <v>202100</v>
          </cell>
          <cell r="W179">
            <v>0</v>
          </cell>
        </row>
        <row r="180">
          <cell r="E180">
            <v>354</v>
          </cell>
          <cell r="G180">
            <v>51684</v>
          </cell>
          <cell r="J180">
            <v>38</v>
          </cell>
          <cell r="L180">
            <v>21242</v>
          </cell>
          <cell r="M180">
            <v>3731</v>
          </cell>
          <cell r="N180">
            <v>7000</v>
          </cell>
          <cell r="Q180">
            <v>76410</v>
          </cell>
          <cell r="S180">
            <v>160067</v>
          </cell>
          <cell r="V180">
            <v>160067</v>
          </cell>
          <cell r="W180">
            <v>0</v>
          </cell>
        </row>
        <row r="181">
          <cell r="E181">
            <v>167</v>
          </cell>
          <cell r="G181">
            <v>24382</v>
          </cell>
          <cell r="J181">
            <v>45</v>
          </cell>
          <cell r="L181">
            <v>25155</v>
          </cell>
          <cell r="M181">
            <v>3731</v>
          </cell>
          <cell r="N181">
            <v>7000</v>
          </cell>
          <cell r="Q181">
            <v>76410</v>
          </cell>
          <cell r="S181">
            <v>136678</v>
          </cell>
          <cell r="V181">
            <v>136678</v>
          </cell>
          <cell r="W181">
            <v>0</v>
          </cell>
        </row>
        <row r="182">
          <cell r="E182">
            <v>223</v>
          </cell>
          <cell r="G182">
            <v>32558</v>
          </cell>
          <cell r="J182">
            <v>49</v>
          </cell>
          <cell r="L182">
            <v>27391</v>
          </cell>
          <cell r="M182">
            <v>3731</v>
          </cell>
          <cell r="N182">
            <v>7981</v>
          </cell>
          <cell r="Q182">
            <v>76410</v>
          </cell>
          <cell r="S182">
            <v>148071</v>
          </cell>
          <cell r="V182">
            <v>148071</v>
          </cell>
          <cell r="W182">
            <v>0</v>
          </cell>
        </row>
        <row r="183">
          <cell r="E183">
            <v>399</v>
          </cell>
          <cell r="G183">
            <v>58254</v>
          </cell>
          <cell r="J183">
            <v>112</v>
          </cell>
          <cell r="L183">
            <v>62608</v>
          </cell>
          <cell r="M183">
            <v>3731</v>
          </cell>
          <cell r="N183">
            <v>7997</v>
          </cell>
          <cell r="Q183">
            <v>76410</v>
          </cell>
          <cell r="S183">
            <v>209000</v>
          </cell>
          <cell r="W183">
            <v>209000</v>
          </cell>
        </row>
        <row r="184">
          <cell r="E184">
            <v>341</v>
          </cell>
          <cell r="G184">
            <v>49786</v>
          </cell>
          <cell r="J184">
            <v>108</v>
          </cell>
          <cell r="L184">
            <v>60372</v>
          </cell>
          <cell r="M184">
            <v>3731</v>
          </cell>
          <cell r="N184">
            <v>7990</v>
          </cell>
          <cell r="Q184">
            <v>76410</v>
          </cell>
          <cell r="S184">
            <v>198289</v>
          </cell>
          <cell r="V184">
            <v>407289</v>
          </cell>
          <cell r="W184">
            <v>0</v>
          </cell>
        </row>
        <row r="185">
          <cell r="E185">
            <v>411</v>
          </cell>
          <cell r="G185">
            <v>60006</v>
          </cell>
          <cell r="J185">
            <v>70</v>
          </cell>
          <cell r="L185">
            <v>39130</v>
          </cell>
          <cell r="M185">
            <v>3731</v>
          </cell>
          <cell r="N185">
            <v>8019</v>
          </cell>
          <cell r="Q185">
            <v>76410</v>
          </cell>
          <cell r="S185">
            <v>187296</v>
          </cell>
          <cell r="W185">
            <v>187296</v>
          </cell>
        </row>
        <row r="186">
          <cell r="E186">
            <v>530</v>
          </cell>
          <cell r="G186">
            <v>77380</v>
          </cell>
          <cell r="J186">
            <v>185</v>
          </cell>
          <cell r="L186">
            <v>134015</v>
          </cell>
          <cell r="M186">
            <v>3731</v>
          </cell>
          <cell r="N186">
            <v>8039</v>
          </cell>
          <cell r="Q186">
            <v>76410</v>
          </cell>
          <cell r="S186">
            <v>299575</v>
          </cell>
          <cell r="V186">
            <v>486871</v>
          </cell>
          <cell r="W186">
            <v>0</v>
          </cell>
        </row>
        <row r="187">
          <cell r="E187">
            <v>689</v>
          </cell>
          <cell r="G187">
            <v>100594</v>
          </cell>
          <cell r="J187">
            <v>106</v>
          </cell>
          <cell r="L187">
            <v>59254</v>
          </cell>
          <cell r="M187">
            <v>3731</v>
          </cell>
          <cell r="N187">
            <v>8047</v>
          </cell>
          <cell r="Q187">
            <v>78144</v>
          </cell>
          <cell r="S187">
            <v>249770</v>
          </cell>
          <cell r="V187">
            <v>249770</v>
          </cell>
          <cell r="W187">
            <v>0</v>
          </cell>
        </row>
        <row r="188">
          <cell r="E188">
            <v>548</v>
          </cell>
          <cell r="G188">
            <v>80008</v>
          </cell>
          <cell r="J188">
            <v>91</v>
          </cell>
          <cell r="L188">
            <v>50869</v>
          </cell>
          <cell r="M188">
            <v>3731</v>
          </cell>
          <cell r="N188">
            <v>8077</v>
          </cell>
          <cell r="Q188">
            <v>78144</v>
          </cell>
          <cell r="S188">
            <v>220829</v>
          </cell>
          <cell r="V188">
            <v>220829</v>
          </cell>
          <cell r="W188">
            <v>0</v>
          </cell>
        </row>
        <row r="189">
          <cell r="E189">
            <v>483</v>
          </cell>
          <cell r="G189">
            <v>70518</v>
          </cell>
          <cell r="J189">
            <v>103</v>
          </cell>
          <cell r="L189">
            <v>57577</v>
          </cell>
          <cell r="M189">
            <v>3731</v>
          </cell>
          <cell r="N189">
            <v>8090</v>
          </cell>
          <cell r="Q189">
            <v>78144</v>
          </cell>
          <cell r="S189">
            <v>218060</v>
          </cell>
          <cell r="V189">
            <v>218060</v>
          </cell>
          <cell r="W189">
            <v>0</v>
          </cell>
        </row>
        <row r="190">
          <cell r="E190">
            <v>509</v>
          </cell>
          <cell r="G190">
            <v>74314</v>
          </cell>
          <cell r="J190">
            <v>103</v>
          </cell>
          <cell r="L190">
            <v>57577</v>
          </cell>
          <cell r="M190">
            <v>3731</v>
          </cell>
          <cell r="N190">
            <v>8101</v>
          </cell>
          <cell r="Q190">
            <v>78144</v>
          </cell>
          <cell r="S190">
            <v>221867</v>
          </cell>
          <cell r="V190">
            <v>221867</v>
          </cell>
          <cell r="W190">
            <v>0</v>
          </cell>
        </row>
        <row r="191">
          <cell r="E191">
            <v>622</v>
          </cell>
          <cell r="G191">
            <v>90812</v>
          </cell>
          <cell r="J191">
            <v>143</v>
          </cell>
          <cell r="L191">
            <v>84077</v>
          </cell>
          <cell r="M191">
            <v>3731</v>
          </cell>
          <cell r="N191">
            <v>8123</v>
          </cell>
          <cell r="Q191">
            <v>78144</v>
          </cell>
          <cell r="S191">
            <v>264887</v>
          </cell>
          <cell r="V191">
            <v>264887</v>
          </cell>
          <cell r="W191">
            <v>0</v>
          </cell>
        </row>
        <row r="192">
          <cell r="E192">
            <v>502</v>
          </cell>
          <cell r="G192">
            <v>73292</v>
          </cell>
          <cell r="J192">
            <v>45</v>
          </cell>
          <cell r="L192">
            <v>25155</v>
          </cell>
          <cell r="M192">
            <v>3731</v>
          </cell>
          <cell r="N192">
            <v>8148</v>
          </cell>
          <cell r="Q192">
            <v>78144</v>
          </cell>
          <cell r="S192">
            <v>188470</v>
          </cell>
          <cell r="V192">
            <v>188470</v>
          </cell>
          <cell r="W192">
            <v>0</v>
          </cell>
        </row>
        <row r="193">
          <cell r="E193">
            <v>610</v>
          </cell>
          <cell r="G193">
            <v>89060</v>
          </cell>
          <cell r="J193">
            <v>31</v>
          </cell>
          <cell r="L193">
            <v>17329</v>
          </cell>
          <cell r="M193">
            <v>3731</v>
          </cell>
          <cell r="N193">
            <v>8161</v>
          </cell>
          <cell r="Q193">
            <v>78144</v>
          </cell>
          <cell r="S193">
            <v>196425</v>
          </cell>
          <cell r="W193">
            <v>196425</v>
          </cell>
        </row>
        <row r="194">
          <cell r="E194">
            <v>566</v>
          </cell>
          <cell r="G194">
            <v>82636</v>
          </cell>
          <cell r="J194">
            <v>28</v>
          </cell>
          <cell r="L194">
            <v>15652</v>
          </cell>
          <cell r="M194">
            <v>3731</v>
          </cell>
          <cell r="N194">
            <v>8186</v>
          </cell>
          <cell r="Q194">
            <v>78144</v>
          </cell>
          <cell r="S194">
            <v>188349</v>
          </cell>
          <cell r="V194">
            <v>384774</v>
          </cell>
          <cell r="W194">
            <v>0</v>
          </cell>
        </row>
        <row r="195">
          <cell r="E195">
            <v>499</v>
          </cell>
          <cell r="G195">
            <v>72854</v>
          </cell>
          <cell r="J195">
            <v>101</v>
          </cell>
          <cell r="L195">
            <v>56459</v>
          </cell>
          <cell r="M195">
            <v>3731</v>
          </cell>
          <cell r="N195">
            <v>8207</v>
          </cell>
          <cell r="Q195">
            <v>78144</v>
          </cell>
          <cell r="S195">
            <v>219395</v>
          </cell>
          <cell r="V195">
            <v>219395</v>
          </cell>
          <cell r="W195">
            <v>0</v>
          </cell>
        </row>
        <row r="196">
          <cell r="E196">
            <v>469</v>
          </cell>
          <cell r="G196">
            <v>68474</v>
          </cell>
          <cell r="J196">
            <v>81</v>
          </cell>
          <cell r="L196">
            <v>45279</v>
          </cell>
          <cell r="M196">
            <v>3731</v>
          </cell>
          <cell r="N196">
            <v>8230</v>
          </cell>
          <cell r="Q196">
            <v>78144</v>
          </cell>
          <cell r="S196">
            <v>203858</v>
          </cell>
          <cell r="V196">
            <v>203858</v>
          </cell>
          <cell r="W196">
            <v>0</v>
          </cell>
        </row>
        <row r="197">
          <cell r="E197">
            <v>656</v>
          </cell>
          <cell r="G197">
            <v>95776</v>
          </cell>
          <cell r="J197">
            <v>97</v>
          </cell>
          <cell r="L197">
            <v>54223</v>
          </cell>
          <cell r="M197">
            <v>3731</v>
          </cell>
          <cell r="N197">
            <v>8260</v>
          </cell>
          <cell r="Q197">
            <v>78144</v>
          </cell>
          <cell r="S197">
            <v>240134</v>
          </cell>
          <cell r="V197">
            <v>240154</v>
          </cell>
          <cell r="W197">
            <v>-20</v>
          </cell>
        </row>
        <row r="198">
          <cell r="E198">
            <v>729</v>
          </cell>
          <cell r="G198">
            <v>106434</v>
          </cell>
          <cell r="J198">
            <v>124</v>
          </cell>
          <cell r="L198">
            <v>70036</v>
          </cell>
          <cell r="M198">
            <v>3731</v>
          </cell>
          <cell r="N198">
            <v>8270</v>
          </cell>
          <cell r="Q198">
            <v>78144</v>
          </cell>
          <cell r="S198">
            <v>266615</v>
          </cell>
          <cell r="V198">
            <v>266595</v>
          </cell>
          <cell r="W198">
            <v>0</v>
          </cell>
        </row>
        <row r="199">
          <cell r="E199">
            <v>854</v>
          </cell>
          <cell r="G199">
            <v>124684</v>
          </cell>
          <cell r="J199">
            <v>51</v>
          </cell>
          <cell r="L199">
            <v>28509</v>
          </cell>
          <cell r="M199">
            <v>3828</v>
          </cell>
          <cell r="N199">
            <v>8264</v>
          </cell>
          <cell r="Q199">
            <v>80176</v>
          </cell>
          <cell r="S199">
            <v>245461</v>
          </cell>
          <cell r="V199">
            <v>245461</v>
          </cell>
          <cell r="W199">
            <v>0</v>
          </cell>
        </row>
        <row r="200">
          <cell r="E200">
            <v>768</v>
          </cell>
          <cell r="G200">
            <v>112128</v>
          </cell>
          <cell r="J200">
            <v>128</v>
          </cell>
          <cell r="L200">
            <v>72992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277391</v>
          </cell>
          <cell r="V200">
            <v>277391</v>
          </cell>
          <cell r="W200">
            <v>0</v>
          </cell>
        </row>
        <row r="201">
          <cell r="E201">
            <v>738</v>
          </cell>
          <cell r="G201">
            <v>107748</v>
          </cell>
          <cell r="J201">
            <v>274</v>
          </cell>
          <cell r="L201">
            <v>327766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527788</v>
          </cell>
          <cell r="V201">
            <v>527788</v>
          </cell>
          <cell r="W201">
            <v>0</v>
          </cell>
        </row>
        <row r="202">
          <cell r="E202">
            <v>887</v>
          </cell>
          <cell r="G202">
            <v>129502</v>
          </cell>
          <cell r="J202">
            <v>152</v>
          </cell>
          <cell r="L202">
            <v>91808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313613</v>
          </cell>
          <cell r="V202">
            <v>313613</v>
          </cell>
          <cell r="W202">
            <v>0</v>
          </cell>
        </row>
        <row r="203">
          <cell r="E203">
            <v>912</v>
          </cell>
          <cell r="G203">
            <v>133152</v>
          </cell>
          <cell r="J203">
            <v>40</v>
          </cell>
          <cell r="L203">
            <v>22360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247845</v>
          </cell>
          <cell r="V203"/>
          <cell r="W203">
            <v>247845</v>
          </cell>
        </row>
        <row r="204">
          <cell r="E204">
            <v>-46813</v>
          </cell>
          <cell r="G204">
            <v>-6834698</v>
          </cell>
          <cell r="J204">
            <v>-3571</v>
          </cell>
          <cell r="L204">
            <v>-1996189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-8746883</v>
          </cell>
          <cell r="V204"/>
          <cell r="W204">
            <v>-8499038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-8415034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-8331030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-8247026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-8163022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-8079018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-7995014</v>
          </cell>
        </row>
      </sheetData>
      <sheetData sheetId="51">
        <row r="175">
          <cell r="E175">
            <v>292</v>
          </cell>
          <cell r="G175">
            <v>42632</v>
          </cell>
          <cell r="J175">
            <v>130</v>
          </cell>
          <cell r="L175">
            <v>74470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204243</v>
          </cell>
          <cell r="V175">
            <v>204243</v>
          </cell>
          <cell r="W175">
            <v>0</v>
          </cell>
        </row>
        <row r="176">
          <cell r="E176">
            <v>383</v>
          </cell>
          <cell r="G176">
            <v>55918</v>
          </cell>
          <cell r="J176">
            <v>111</v>
          </cell>
          <cell r="L176">
            <v>62049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205108</v>
          </cell>
          <cell r="V176">
            <v>205108</v>
          </cell>
          <cell r="W176">
            <v>0</v>
          </cell>
        </row>
        <row r="177">
          <cell r="E177">
            <v>481</v>
          </cell>
          <cell r="G177">
            <v>70226</v>
          </cell>
          <cell r="J177">
            <v>64</v>
          </cell>
          <cell r="L177">
            <v>35776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193143</v>
          </cell>
          <cell r="V177">
            <v>193143</v>
          </cell>
          <cell r="W177">
            <v>0</v>
          </cell>
        </row>
        <row r="178">
          <cell r="E178">
            <v>296</v>
          </cell>
          <cell r="G178">
            <v>43216</v>
          </cell>
          <cell r="J178">
            <v>47</v>
          </cell>
          <cell r="L178">
            <v>26273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156630</v>
          </cell>
          <cell r="V178">
            <v>156630</v>
          </cell>
          <cell r="W178">
            <v>0</v>
          </cell>
        </row>
        <row r="179">
          <cell r="E179">
            <v>202</v>
          </cell>
          <cell r="G179">
            <v>29492</v>
          </cell>
          <cell r="J179">
            <v>25</v>
          </cell>
          <cell r="L179">
            <v>13975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130608</v>
          </cell>
          <cell r="V179">
            <v>130608</v>
          </cell>
          <cell r="W179">
            <v>0</v>
          </cell>
        </row>
        <row r="180">
          <cell r="E180">
            <v>234</v>
          </cell>
          <cell r="G180">
            <v>34164</v>
          </cell>
          <cell r="J180">
            <v>19</v>
          </cell>
          <cell r="L180">
            <v>10621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131926</v>
          </cell>
          <cell r="V180">
            <v>131926</v>
          </cell>
          <cell r="W180">
            <v>0</v>
          </cell>
        </row>
        <row r="181">
          <cell r="E181">
            <v>240</v>
          </cell>
          <cell r="G181">
            <v>35040</v>
          </cell>
          <cell r="J181">
            <v>22</v>
          </cell>
          <cell r="L181">
            <v>12298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134479</v>
          </cell>
          <cell r="V181">
            <v>134479</v>
          </cell>
          <cell r="W181">
            <v>0</v>
          </cell>
        </row>
        <row r="182">
          <cell r="E182">
            <v>169</v>
          </cell>
          <cell r="G182">
            <v>24674</v>
          </cell>
          <cell r="J182">
            <v>4</v>
          </cell>
          <cell r="L182">
            <v>2236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115032</v>
          </cell>
          <cell r="V182">
            <v>115032</v>
          </cell>
          <cell r="W182">
            <v>0</v>
          </cell>
        </row>
        <row r="183">
          <cell r="E183">
            <v>222</v>
          </cell>
          <cell r="G183">
            <v>32412</v>
          </cell>
          <cell r="J183">
            <v>47</v>
          </cell>
          <cell r="L183">
            <v>26273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146823</v>
          </cell>
          <cell r="V183">
            <v>146823</v>
          </cell>
          <cell r="W183">
            <v>0</v>
          </cell>
        </row>
        <row r="184">
          <cell r="E184">
            <v>241</v>
          </cell>
          <cell r="G184">
            <v>35186</v>
          </cell>
          <cell r="J184">
            <v>52</v>
          </cell>
          <cell r="L184">
            <v>29068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152385</v>
          </cell>
          <cell r="V184">
            <v>152385</v>
          </cell>
          <cell r="W184">
            <v>0</v>
          </cell>
        </row>
        <row r="185">
          <cell r="E185">
            <v>255</v>
          </cell>
          <cell r="G185">
            <v>37230</v>
          </cell>
          <cell r="J185">
            <v>67</v>
          </cell>
          <cell r="L185">
            <v>37453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162843</v>
          </cell>
          <cell r="V185">
            <v>162843</v>
          </cell>
          <cell r="W185">
            <v>0</v>
          </cell>
        </row>
        <row r="186">
          <cell r="E186">
            <v>270</v>
          </cell>
          <cell r="G186">
            <v>39420</v>
          </cell>
          <cell r="J186">
            <v>139</v>
          </cell>
          <cell r="L186">
            <v>81121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208721</v>
          </cell>
          <cell r="V186">
            <v>208721</v>
          </cell>
          <cell r="W186">
            <v>0</v>
          </cell>
        </row>
        <row r="187">
          <cell r="E187">
            <v>288</v>
          </cell>
          <cell r="G187">
            <v>42048</v>
          </cell>
          <cell r="J187">
            <v>138</v>
          </cell>
          <cell r="L187">
            <v>80382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212352</v>
          </cell>
          <cell r="V187">
            <v>212352</v>
          </cell>
          <cell r="W187">
            <v>0</v>
          </cell>
        </row>
        <row r="188">
          <cell r="E188">
            <v>296</v>
          </cell>
          <cell r="G188">
            <v>43216</v>
          </cell>
          <cell r="J188">
            <v>118</v>
          </cell>
          <cell r="L188">
            <v>65962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199130</v>
          </cell>
          <cell r="V188">
            <v>199130</v>
          </cell>
          <cell r="W188">
            <v>0</v>
          </cell>
        </row>
        <row r="189">
          <cell r="E189">
            <v>198</v>
          </cell>
          <cell r="G189">
            <v>28908</v>
          </cell>
          <cell r="J189">
            <v>117</v>
          </cell>
          <cell r="L189">
            <v>65403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184276</v>
          </cell>
          <cell r="V189">
            <v>184276</v>
          </cell>
          <cell r="W189">
            <v>0</v>
          </cell>
        </row>
        <row r="190">
          <cell r="E190">
            <v>191</v>
          </cell>
          <cell r="G190">
            <v>27886</v>
          </cell>
          <cell r="J190">
            <v>122</v>
          </cell>
          <cell r="L190">
            <v>68558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186420</v>
          </cell>
          <cell r="V190">
            <v>186420</v>
          </cell>
          <cell r="W190">
            <v>0</v>
          </cell>
        </row>
        <row r="191">
          <cell r="E191">
            <v>120</v>
          </cell>
          <cell r="G191">
            <v>17520</v>
          </cell>
          <cell r="J191">
            <v>118</v>
          </cell>
          <cell r="L191">
            <v>65962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173480</v>
          </cell>
          <cell r="V191">
            <v>173480</v>
          </cell>
          <cell r="W191">
            <v>0</v>
          </cell>
        </row>
        <row r="192">
          <cell r="E192">
            <v>9</v>
          </cell>
          <cell r="G192">
            <v>1314</v>
          </cell>
          <cell r="J192">
            <v>7</v>
          </cell>
          <cell r="L192">
            <v>3913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95250</v>
          </cell>
          <cell r="V192">
            <v>95250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90036</v>
          </cell>
          <cell r="V193">
            <v>90036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90061</v>
          </cell>
          <cell r="V194">
            <v>90061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90082</v>
          </cell>
          <cell r="V195">
            <v>90082</v>
          </cell>
          <cell r="W195">
            <v>0</v>
          </cell>
        </row>
        <row r="196">
          <cell r="E196">
            <v>22</v>
          </cell>
          <cell r="G196">
            <v>3212</v>
          </cell>
          <cell r="J196">
            <v>2</v>
          </cell>
          <cell r="L196">
            <v>1118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94435</v>
          </cell>
          <cell r="V196">
            <v>94435</v>
          </cell>
          <cell r="W196">
            <v>0</v>
          </cell>
        </row>
        <row r="197">
          <cell r="E197">
            <v>17</v>
          </cell>
          <cell r="G197">
            <v>2482</v>
          </cell>
          <cell r="J197">
            <v>11</v>
          </cell>
          <cell r="L197">
            <v>6149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98766</v>
          </cell>
          <cell r="V197">
            <v>98766</v>
          </cell>
          <cell r="W197">
            <v>0</v>
          </cell>
        </row>
        <row r="198">
          <cell r="E198">
            <v>130</v>
          </cell>
          <cell r="G198">
            <v>18980</v>
          </cell>
          <cell r="J198">
            <v>32</v>
          </cell>
          <cell r="L198">
            <v>17888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127013</v>
          </cell>
          <cell r="V198">
            <v>127013</v>
          </cell>
          <cell r="W198">
            <v>0</v>
          </cell>
        </row>
        <row r="199">
          <cell r="E199">
            <v>232</v>
          </cell>
          <cell r="G199">
            <v>33872</v>
          </cell>
          <cell r="J199">
            <v>33</v>
          </cell>
          <cell r="L199">
            <v>18447</v>
          </cell>
          <cell r="M199">
            <v>3828</v>
          </cell>
          <cell r="N199">
            <v>8264</v>
          </cell>
          <cell r="Q199">
            <v>80176</v>
          </cell>
          <cell r="S199">
            <v>144587</v>
          </cell>
          <cell r="V199">
            <v>144587</v>
          </cell>
          <cell r="W199">
            <v>0</v>
          </cell>
        </row>
        <row r="200">
          <cell r="E200">
            <v>297</v>
          </cell>
          <cell r="G200">
            <v>43362</v>
          </cell>
          <cell r="J200">
            <v>38</v>
          </cell>
          <cell r="L200">
            <v>21242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156875</v>
          </cell>
          <cell r="V200">
            <v>156875</v>
          </cell>
          <cell r="W200">
            <v>0</v>
          </cell>
        </row>
        <row r="201">
          <cell r="E201">
            <v>217</v>
          </cell>
          <cell r="G201">
            <v>31682</v>
          </cell>
          <cell r="J201">
            <v>42</v>
          </cell>
          <cell r="L201">
            <v>23478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147434</v>
          </cell>
          <cell r="V201">
            <v>147434</v>
          </cell>
          <cell r="W201">
            <v>0</v>
          </cell>
        </row>
        <row r="202">
          <cell r="E202">
            <v>120</v>
          </cell>
          <cell r="G202">
            <v>17520</v>
          </cell>
          <cell r="J202">
            <v>28</v>
          </cell>
          <cell r="L202">
            <v>15652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125475</v>
          </cell>
          <cell r="V202">
            <v>125475</v>
          </cell>
          <cell r="W202">
            <v>0</v>
          </cell>
        </row>
        <row r="203">
          <cell r="E203">
            <v>126</v>
          </cell>
          <cell r="G203">
            <v>18396</v>
          </cell>
          <cell r="J203">
            <v>6</v>
          </cell>
          <cell r="L203">
            <v>3354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114083</v>
          </cell>
          <cell r="V203"/>
          <cell r="W203">
            <v>114083</v>
          </cell>
        </row>
        <row r="204">
          <cell r="E204">
            <v>-35072</v>
          </cell>
          <cell r="G204">
            <v>-5120512</v>
          </cell>
          <cell r="J204">
            <v>-1162</v>
          </cell>
          <cell r="L204">
            <v>-649558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-5686066</v>
          </cell>
          <cell r="V204"/>
          <cell r="W204">
            <v>-5571983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-5487979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-5403975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-5319971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-5235967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-5151963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-5067959</v>
          </cell>
        </row>
      </sheetData>
      <sheetData sheetId="52">
        <row r="175">
          <cell r="E175">
            <v>16</v>
          </cell>
          <cell r="G175">
            <v>2336</v>
          </cell>
          <cell r="J175">
            <v>35</v>
          </cell>
          <cell r="L175">
            <v>19565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S175">
            <v>102042</v>
          </cell>
          <cell r="V175">
            <v>98311</v>
          </cell>
          <cell r="W175">
            <v>3731</v>
          </cell>
        </row>
        <row r="176">
          <cell r="E176">
            <v>59</v>
          </cell>
          <cell r="G176">
            <v>8614</v>
          </cell>
          <cell r="J176">
            <v>53</v>
          </cell>
          <cell r="L176">
            <v>29627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S176">
            <v>118382</v>
          </cell>
          <cell r="W176">
            <v>122113</v>
          </cell>
        </row>
        <row r="177">
          <cell r="E177">
            <v>68</v>
          </cell>
          <cell r="G177">
            <v>9928</v>
          </cell>
          <cell r="J177">
            <v>28</v>
          </cell>
          <cell r="L177">
            <v>15652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S177">
            <v>105721</v>
          </cell>
          <cell r="V177">
            <v>227834</v>
          </cell>
          <cell r="W177">
            <v>0</v>
          </cell>
        </row>
        <row r="178">
          <cell r="E178">
            <v>45</v>
          </cell>
          <cell r="G178">
            <v>6570</v>
          </cell>
          <cell r="J178">
            <v>9</v>
          </cell>
          <cell r="L178">
            <v>5031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S178">
            <v>91742</v>
          </cell>
          <cell r="V178">
            <v>91742</v>
          </cell>
          <cell r="W178">
            <v>0</v>
          </cell>
        </row>
        <row r="179">
          <cell r="E179">
            <v>37</v>
          </cell>
          <cell r="G179">
            <v>5402</v>
          </cell>
          <cell r="J179">
            <v>7</v>
          </cell>
          <cell r="L179">
            <v>3913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S179">
            <v>89456</v>
          </cell>
          <cell r="V179">
            <v>89456</v>
          </cell>
          <cell r="W179">
            <v>0</v>
          </cell>
        </row>
        <row r="180">
          <cell r="E180">
            <v>33</v>
          </cell>
          <cell r="G180">
            <v>4818</v>
          </cell>
          <cell r="J180">
            <v>0</v>
          </cell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S180">
            <v>84959</v>
          </cell>
          <cell r="V180">
            <v>84959</v>
          </cell>
          <cell r="W180">
            <v>0</v>
          </cell>
        </row>
        <row r="181">
          <cell r="E181">
            <v>36</v>
          </cell>
          <cell r="G181">
            <v>5256</v>
          </cell>
          <cell r="J181">
            <v>1</v>
          </cell>
          <cell r="L181">
            <v>559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S181">
            <v>85956</v>
          </cell>
          <cell r="V181">
            <v>84959</v>
          </cell>
          <cell r="W181">
            <v>997</v>
          </cell>
        </row>
        <row r="182">
          <cell r="E182">
            <v>30</v>
          </cell>
          <cell r="G182">
            <v>4380</v>
          </cell>
          <cell r="J182">
            <v>2</v>
          </cell>
          <cell r="L182">
            <v>1118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S182">
            <v>85639</v>
          </cell>
          <cell r="V182">
            <v>85639</v>
          </cell>
          <cell r="W182">
            <v>997</v>
          </cell>
        </row>
        <row r="183">
          <cell r="E183">
            <v>44</v>
          </cell>
          <cell r="G183">
            <v>6424</v>
          </cell>
          <cell r="J183">
            <v>11</v>
          </cell>
          <cell r="L183">
            <v>6149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S183">
            <v>92714</v>
          </cell>
          <cell r="V183">
            <v>93711</v>
          </cell>
          <cell r="W183">
            <v>0</v>
          </cell>
        </row>
        <row r="184">
          <cell r="E184">
            <v>48</v>
          </cell>
          <cell r="G184">
            <v>7008</v>
          </cell>
          <cell r="J184">
            <v>20</v>
          </cell>
          <cell r="L184">
            <v>11180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S184">
            <v>98329</v>
          </cell>
          <cell r="V184">
            <v>98329</v>
          </cell>
          <cell r="W184">
            <v>0</v>
          </cell>
        </row>
        <row r="185">
          <cell r="E185">
            <v>68</v>
          </cell>
          <cell r="G185">
            <v>9928</v>
          </cell>
          <cell r="J185">
            <v>83</v>
          </cell>
          <cell r="L185">
            <v>46397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S185">
            <v>136466</v>
          </cell>
          <cell r="W185">
            <v>136466</v>
          </cell>
        </row>
        <row r="186">
          <cell r="E186">
            <v>69</v>
          </cell>
          <cell r="G186">
            <v>10074</v>
          </cell>
          <cell r="J186">
            <v>87</v>
          </cell>
          <cell r="L186">
            <v>48633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S186">
            <v>138848</v>
          </cell>
          <cell r="V186">
            <v>275314</v>
          </cell>
          <cell r="W186">
            <v>0</v>
          </cell>
        </row>
        <row r="187">
          <cell r="E187">
            <v>141</v>
          </cell>
          <cell r="G187">
            <v>20586</v>
          </cell>
          <cell r="J187">
            <v>94</v>
          </cell>
          <cell r="L187">
            <v>52546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S187">
            <v>155007</v>
          </cell>
          <cell r="V187">
            <v>155007</v>
          </cell>
          <cell r="W187">
            <v>0</v>
          </cell>
        </row>
        <row r="188">
          <cell r="E188">
            <v>119</v>
          </cell>
          <cell r="G188">
            <v>17374</v>
          </cell>
          <cell r="J188">
            <v>77</v>
          </cell>
          <cell r="L188">
            <v>43043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S188">
            <v>142292</v>
          </cell>
          <cell r="W188">
            <v>142292</v>
          </cell>
        </row>
        <row r="189">
          <cell r="E189">
            <v>44</v>
          </cell>
          <cell r="G189">
            <v>6424</v>
          </cell>
          <cell r="J189">
            <v>70</v>
          </cell>
          <cell r="L189">
            <v>39130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S189">
            <v>127429</v>
          </cell>
          <cell r="V189">
            <v>269721</v>
          </cell>
          <cell r="W189">
            <v>0</v>
          </cell>
        </row>
        <row r="190">
          <cell r="E190">
            <v>61</v>
          </cell>
          <cell r="G190">
            <v>8906</v>
          </cell>
          <cell r="J190">
            <v>55</v>
          </cell>
          <cell r="L190">
            <v>30745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S190">
            <v>121526</v>
          </cell>
          <cell r="V190">
            <v>121526</v>
          </cell>
          <cell r="W190">
            <v>0</v>
          </cell>
        </row>
        <row r="191">
          <cell r="E191">
            <v>45</v>
          </cell>
          <cell r="G191">
            <v>6570</v>
          </cell>
          <cell r="J191">
            <v>36</v>
          </cell>
          <cell r="L191">
            <v>20124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S191">
            <v>108569</v>
          </cell>
          <cell r="W191">
            <v>108569</v>
          </cell>
        </row>
        <row r="192">
          <cell r="E192">
            <v>100</v>
          </cell>
          <cell r="G192">
            <v>14600</v>
          </cell>
          <cell r="J192">
            <v>2</v>
          </cell>
          <cell r="L192">
            <v>1118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S192">
            <v>97593</v>
          </cell>
          <cell r="V192">
            <v>206162</v>
          </cell>
          <cell r="W192">
            <v>0</v>
          </cell>
        </row>
        <row r="193">
          <cell r="E193">
            <v>40</v>
          </cell>
          <cell r="G193">
            <v>5840</v>
          </cell>
          <cell r="J193">
            <v>3</v>
          </cell>
          <cell r="L193">
            <v>1677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S193">
            <v>89392</v>
          </cell>
          <cell r="W193">
            <v>89392</v>
          </cell>
        </row>
        <row r="194">
          <cell r="E194">
            <v>82</v>
          </cell>
          <cell r="G194">
            <v>11972</v>
          </cell>
          <cell r="J194">
            <v>1</v>
          </cell>
          <cell r="L194">
            <v>559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S194">
            <v>94406</v>
          </cell>
          <cell r="V194">
            <v>183798</v>
          </cell>
          <cell r="W194">
            <v>0</v>
          </cell>
        </row>
        <row r="195">
          <cell r="E195">
            <v>91</v>
          </cell>
          <cell r="G195">
            <v>13286</v>
          </cell>
          <cell r="J195">
            <v>5</v>
          </cell>
          <cell r="L195">
            <v>2795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S195">
            <v>97956</v>
          </cell>
          <cell r="W195">
            <v>97956</v>
          </cell>
        </row>
        <row r="196">
          <cell r="E196">
            <v>55</v>
          </cell>
          <cell r="G196">
            <v>8030</v>
          </cell>
          <cell r="J196">
            <v>29</v>
          </cell>
          <cell r="L196">
            <v>16211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S196">
            <v>106116</v>
          </cell>
          <cell r="V196">
            <v>204072</v>
          </cell>
          <cell r="W196">
            <v>0</v>
          </cell>
        </row>
        <row r="197">
          <cell r="E197">
            <v>78</v>
          </cell>
          <cell r="G197">
            <v>11388</v>
          </cell>
          <cell r="J197">
            <v>87</v>
          </cell>
          <cell r="L197">
            <v>48633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S197">
            <v>141896</v>
          </cell>
          <cell r="W197">
            <v>141896</v>
          </cell>
        </row>
        <row r="198">
          <cell r="E198">
            <v>107</v>
          </cell>
          <cell r="G198">
            <v>15622</v>
          </cell>
          <cell r="J198">
            <v>70</v>
          </cell>
          <cell r="L198">
            <v>39130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S198">
            <v>136627</v>
          </cell>
          <cell r="V198">
            <v>278523</v>
          </cell>
          <cell r="W198">
            <v>0</v>
          </cell>
        </row>
        <row r="199">
          <cell r="E199">
            <v>77</v>
          </cell>
          <cell r="G199">
            <v>11242</v>
          </cell>
          <cell r="J199">
            <v>70</v>
          </cell>
          <cell r="L199">
            <v>39130</v>
          </cell>
          <cell r="M199">
            <v>3828</v>
          </cell>
          <cell r="Q199">
            <v>80176</v>
          </cell>
          <cell r="S199">
            <v>134376</v>
          </cell>
          <cell r="W199">
            <v>134376</v>
          </cell>
        </row>
        <row r="200">
          <cell r="E200">
            <v>114</v>
          </cell>
          <cell r="G200">
            <v>16644</v>
          </cell>
          <cell r="J200">
            <v>80</v>
          </cell>
          <cell r="L200">
            <v>44720</v>
          </cell>
          <cell r="M200">
            <v>3828</v>
          </cell>
          <cell r="N200"/>
          <cell r="O200"/>
          <cell r="P200"/>
          <cell r="Q200">
            <v>80176</v>
          </cell>
          <cell r="R200"/>
          <cell r="S200">
            <v>145368</v>
          </cell>
          <cell r="V200">
            <v>279744</v>
          </cell>
          <cell r="W200">
            <v>0</v>
          </cell>
        </row>
        <row r="201">
          <cell r="E201">
            <v>78</v>
          </cell>
          <cell r="G201">
            <v>11388</v>
          </cell>
          <cell r="J201">
            <v>64</v>
          </cell>
          <cell r="L201">
            <v>35776</v>
          </cell>
          <cell r="M201">
            <v>3828</v>
          </cell>
          <cell r="N201"/>
          <cell r="O201"/>
          <cell r="P201"/>
          <cell r="Q201">
            <v>80176</v>
          </cell>
          <cell r="R201"/>
          <cell r="S201">
            <v>131168</v>
          </cell>
          <cell r="V201"/>
          <cell r="W201">
            <v>131168</v>
          </cell>
        </row>
        <row r="202">
          <cell r="E202">
            <v>76</v>
          </cell>
          <cell r="G202">
            <v>11096</v>
          </cell>
          <cell r="J202">
            <v>53</v>
          </cell>
          <cell r="L202">
            <v>29627</v>
          </cell>
          <cell r="M202">
            <v>3828</v>
          </cell>
          <cell r="N202"/>
          <cell r="O202"/>
          <cell r="P202"/>
          <cell r="Q202">
            <v>80176</v>
          </cell>
          <cell r="R202"/>
          <cell r="S202">
            <v>124727</v>
          </cell>
          <cell r="V202">
            <v>255895</v>
          </cell>
          <cell r="W202">
            <v>0</v>
          </cell>
        </row>
        <row r="203">
          <cell r="E203">
            <v>146</v>
          </cell>
          <cell r="G203">
            <v>21316</v>
          </cell>
          <cell r="J203">
            <v>47</v>
          </cell>
          <cell r="L203">
            <v>26273</v>
          </cell>
          <cell r="M203">
            <v>3828</v>
          </cell>
          <cell r="N203"/>
          <cell r="O203"/>
          <cell r="P203"/>
          <cell r="Q203">
            <v>80176</v>
          </cell>
          <cell r="R203"/>
          <cell r="S203">
            <v>131593</v>
          </cell>
          <cell r="V203"/>
          <cell r="W203">
            <v>131593</v>
          </cell>
        </row>
        <row r="204">
          <cell r="E204">
            <v>-2104</v>
          </cell>
          <cell r="G204">
            <v>-307184</v>
          </cell>
          <cell r="J204">
            <v>-1312</v>
          </cell>
          <cell r="L204">
            <v>-733408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-956588</v>
          </cell>
          <cell r="V204"/>
          <cell r="W204">
            <v>-824995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-740991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-656987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-572983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-488979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-404975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-320971</v>
          </cell>
        </row>
      </sheetData>
      <sheetData sheetId="5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87141</v>
          </cell>
          <cell r="V175">
            <v>168536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87141</v>
          </cell>
          <cell r="V176">
            <v>87141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87141</v>
          </cell>
          <cell r="V177">
            <v>87141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87141</v>
          </cell>
          <cell r="W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87141</v>
          </cell>
          <cell r="V179">
            <v>174282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148</v>
          </cell>
          <cell r="L180">
            <v>87772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174913</v>
          </cell>
          <cell r="W180">
            <v>174913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87141</v>
          </cell>
          <cell r="V181">
            <v>262054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88122</v>
          </cell>
          <cell r="W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88138</v>
          </cell>
          <cell r="V183">
            <v>176260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1</v>
          </cell>
          <cell r="L184">
            <v>559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88690</v>
          </cell>
          <cell r="V184">
            <v>88690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88160</v>
          </cell>
          <cell r="W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88180</v>
          </cell>
          <cell r="V186">
            <v>176340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89922</v>
          </cell>
          <cell r="W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89952</v>
          </cell>
          <cell r="V188">
            <v>179874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89965</v>
          </cell>
          <cell r="W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89976</v>
          </cell>
          <cell r="V190">
            <v>179941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89998</v>
          </cell>
          <cell r="W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90023</v>
          </cell>
          <cell r="V192">
            <v>180021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90036</v>
          </cell>
          <cell r="W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90061</v>
          </cell>
          <cell r="V194">
            <v>180097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90082</v>
          </cell>
          <cell r="W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90105</v>
          </cell>
          <cell r="V196">
            <v>180187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90135</v>
          </cell>
          <cell r="W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90145</v>
          </cell>
          <cell r="V198">
            <v>180280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W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184539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92274</v>
          </cell>
          <cell r="V201"/>
          <cell r="W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>
            <v>184577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92333</v>
          </cell>
        </row>
        <row r="204">
          <cell r="E204">
            <v>-269</v>
          </cell>
          <cell r="G204">
            <v>-39274</v>
          </cell>
          <cell r="J204">
            <v>-160</v>
          </cell>
          <cell r="L204">
            <v>-89440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-44710</v>
          </cell>
          <cell r="V204"/>
          <cell r="W204">
            <v>47623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131627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215631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299635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383639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467643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551647</v>
          </cell>
        </row>
      </sheetData>
      <sheetData sheetId="54">
        <row r="175">
          <cell r="E175">
            <v>466</v>
          </cell>
          <cell r="G175">
            <v>68036</v>
          </cell>
          <cell r="J175">
            <v>83</v>
          </cell>
          <cell r="L175">
            <v>46397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S175">
            <v>201574</v>
          </cell>
          <cell r="V175">
            <v>201574</v>
          </cell>
          <cell r="W175">
            <v>0</v>
          </cell>
        </row>
        <row r="176">
          <cell r="E176">
            <v>425</v>
          </cell>
          <cell r="G176">
            <v>62050</v>
          </cell>
          <cell r="J176">
            <v>83</v>
          </cell>
          <cell r="L176">
            <v>46397</v>
          </cell>
          <cell r="M176">
            <v>3731</v>
          </cell>
          <cell r="N176">
            <v>7000</v>
          </cell>
          <cell r="O176">
            <v>0</v>
          </cell>
          <cell r="Q176">
            <v>76410</v>
          </cell>
          <cell r="S176">
            <v>195588</v>
          </cell>
          <cell r="V176">
            <v>195588</v>
          </cell>
          <cell r="W176">
            <v>0</v>
          </cell>
        </row>
        <row r="177">
          <cell r="E177">
            <v>472</v>
          </cell>
          <cell r="G177">
            <v>68912</v>
          </cell>
          <cell r="J177">
            <v>90</v>
          </cell>
          <cell r="L177">
            <v>50310</v>
          </cell>
          <cell r="M177">
            <v>3731</v>
          </cell>
          <cell r="N177">
            <v>7000</v>
          </cell>
          <cell r="O177">
            <v>0</v>
          </cell>
          <cell r="Q177">
            <v>76410</v>
          </cell>
          <cell r="S177">
            <v>206363</v>
          </cell>
          <cell r="V177">
            <v>206363</v>
          </cell>
          <cell r="W177">
            <v>0</v>
          </cell>
        </row>
        <row r="178">
          <cell r="E178">
            <v>363</v>
          </cell>
          <cell r="G178">
            <v>52998</v>
          </cell>
          <cell r="J178">
            <v>66</v>
          </cell>
          <cell r="L178">
            <v>36894</v>
          </cell>
          <cell r="M178">
            <v>3731</v>
          </cell>
          <cell r="N178">
            <v>7000</v>
          </cell>
          <cell r="O178">
            <v>0</v>
          </cell>
          <cell r="Q178">
            <v>76410</v>
          </cell>
          <cell r="S178">
            <v>177033</v>
          </cell>
          <cell r="V178">
            <v>177073</v>
          </cell>
          <cell r="W178">
            <v>-40</v>
          </cell>
        </row>
        <row r="179">
          <cell r="E179">
            <v>277</v>
          </cell>
          <cell r="G179">
            <v>40442</v>
          </cell>
          <cell r="J179">
            <v>23</v>
          </cell>
          <cell r="L179">
            <v>12857</v>
          </cell>
          <cell r="M179">
            <v>3731</v>
          </cell>
          <cell r="N179">
            <v>7000</v>
          </cell>
          <cell r="O179">
            <v>0</v>
          </cell>
          <cell r="Q179">
            <v>76410</v>
          </cell>
          <cell r="S179">
            <v>140440</v>
          </cell>
          <cell r="V179">
            <v>140400</v>
          </cell>
          <cell r="W179">
            <v>0</v>
          </cell>
        </row>
        <row r="180">
          <cell r="E180">
            <v>290</v>
          </cell>
          <cell r="G180">
            <v>42340</v>
          </cell>
          <cell r="J180">
            <v>8</v>
          </cell>
          <cell r="L180">
            <v>4472</v>
          </cell>
          <cell r="M180">
            <v>3731</v>
          </cell>
          <cell r="N180">
            <v>7000</v>
          </cell>
          <cell r="O180">
            <v>0</v>
          </cell>
          <cell r="Q180">
            <v>76410</v>
          </cell>
          <cell r="S180">
            <v>133953</v>
          </cell>
          <cell r="V180">
            <v>133953</v>
          </cell>
          <cell r="W180">
            <v>0</v>
          </cell>
        </row>
        <row r="181">
          <cell r="E181">
            <v>233</v>
          </cell>
          <cell r="G181">
            <v>34018</v>
          </cell>
          <cell r="J181">
            <v>6</v>
          </cell>
          <cell r="L181">
            <v>3354</v>
          </cell>
          <cell r="M181">
            <v>3731</v>
          </cell>
          <cell r="N181">
            <v>7000</v>
          </cell>
          <cell r="O181">
            <v>0</v>
          </cell>
          <cell r="Q181">
            <v>76410</v>
          </cell>
          <cell r="S181">
            <v>124513</v>
          </cell>
          <cell r="V181">
            <v>124513</v>
          </cell>
          <cell r="W181">
            <v>0</v>
          </cell>
        </row>
        <row r="182">
          <cell r="E182">
            <v>285</v>
          </cell>
          <cell r="G182">
            <v>41610</v>
          </cell>
          <cell r="J182">
            <v>10</v>
          </cell>
          <cell r="L182">
            <v>5590</v>
          </cell>
          <cell r="M182">
            <v>3731</v>
          </cell>
          <cell r="N182">
            <v>7981</v>
          </cell>
          <cell r="O182">
            <v>0</v>
          </cell>
          <cell r="Q182">
            <v>76410</v>
          </cell>
          <cell r="S182">
            <v>135322</v>
          </cell>
          <cell r="V182">
            <v>135322</v>
          </cell>
          <cell r="W182">
            <v>0</v>
          </cell>
        </row>
        <row r="183">
          <cell r="E183">
            <v>341</v>
          </cell>
          <cell r="G183">
            <v>49786</v>
          </cell>
          <cell r="J183">
            <v>34</v>
          </cell>
          <cell r="L183">
            <v>19006</v>
          </cell>
          <cell r="M183">
            <v>3731</v>
          </cell>
          <cell r="N183">
            <v>7997</v>
          </cell>
          <cell r="O183">
            <v>0</v>
          </cell>
          <cell r="Q183">
            <v>76410</v>
          </cell>
          <cell r="S183">
            <v>156930</v>
          </cell>
          <cell r="V183">
            <v>156930</v>
          </cell>
          <cell r="W183">
            <v>0</v>
          </cell>
        </row>
        <row r="184">
          <cell r="E184">
            <v>289</v>
          </cell>
          <cell r="G184">
            <v>42194</v>
          </cell>
          <cell r="J184">
            <v>34</v>
          </cell>
          <cell r="L184">
            <v>19006</v>
          </cell>
          <cell r="M184">
            <v>3731</v>
          </cell>
          <cell r="N184">
            <v>7990</v>
          </cell>
          <cell r="O184">
            <v>0</v>
          </cell>
          <cell r="Q184">
            <v>76410</v>
          </cell>
          <cell r="S184">
            <v>149331</v>
          </cell>
          <cell r="V184">
            <v>149331</v>
          </cell>
          <cell r="W184">
            <v>0</v>
          </cell>
        </row>
        <row r="185">
          <cell r="E185">
            <v>384</v>
          </cell>
          <cell r="G185">
            <v>56064</v>
          </cell>
          <cell r="J185">
            <v>102</v>
          </cell>
          <cell r="L185">
            <v>57018</v>
          </cell>
          <cell r="M185">
            <v>3731</v>
          </cell>
          <cell r="N185">
            <v>8019</v>
          </cell>
          <cell r="O185">
            <v>0</v>
          </cell>
          <cell r="Q185">
            <v>76410</v>
          </cell>
          <cell r="S185">
            <v>201242</v>
          </cell>
          <cell r="V185">
            <v>201250</v>
          </cell>
          <cell r="W185">
            <v>-8</v>
          </cell>
        </row>
        <row r="186">
          <cell r="E186">
            <v>374</v>
          </cell>
          <cell r="G186">
            <v>54604</v>
          </cell>
          <cell r="J186">
            <v>109</v>
          </cell>
          <cell r="L186">
            <v>60931</v>
          </cell>
          <cell r="M186">
            <v>3731</v>
          </cell>
          <cell r="N186">
            <v>8039</v>
          </cell>
          <cell r="O186">
            <v>0</v>
          </cell>
          <cell r="Q186">
            <v>76410</v>
          </cell>
          <cell r="S186">
            <v>203715</v>
          </cell>
          <cell r="V186">
            <v>203710</v>
          </cell>
          <cell r="W186">
            <v>-3</v>
          </cell>
        </row>
        <row r="187">
          <cell r="E187">
            <v>516</v>
          </cell>
          <cell r="G187">
            <v>75336</v>
          </cell>
          <cell r="J187">
            <v>101</v>
          </cell>
          <cell r="L187">
            <v>56459</v>
          </cell>
          <cell r="M187">
            <v>3731</v>
          </cell>
          <cell r="N187">
            <v>8047</v>
          </cell>
          <cell r="O187">
            <v>0</v>
          </cell>
          <cell r="Q187">
            <v>78144</v>
          </cell>
          <cell r="S187">
            <v>221717</v>
          </cell>
          <cell r="V187">
            <v>221720</v>
          </cell>
          <cell r="W187">
            <v>-6</v>
          </cell>
        </row>
        <row r="188">
          <cell r="E188">
            <v>502</v>
          </cell>
          <cell r="G188">
            <v>73292</v>
          </cell>
          <cell r="J188">
            <v>105</v>
          </cell>
          <cell r="L188">
            <v>58695</v>
          </cell>
          <cell r="M188">
            <v>3731</v>
          </cell>
          <cell r="N188">
            <v>8077</v>
          </cell>
          <cell r="O188">
            <v>0</v>
          </cell>
          <cell r="Q188">
            <v>78144</v>
          </cell>
          <cell r="S188">
            <v>221939</v>
          </cell>
          <cell r="V188">
            <v>221940</v>
          </cell>
          <cell r="W188">
            <v>-7</v>
          </cell>
        </row>
        <row r="189">
          <cell r="E189">
            <v>313</v>
          </cell>
          <cell r="G189">
            <v>45698</v>
          </cell>
          <cell r="J189">
            <v>69</v>
          </cell>
          <cell r="L189">
            <v>38571</v>
          </cell>
          <cell r="M189">
            <v>3731</v>
          </cell>
          <cell r="N189">
            <v>8090</v>
          </cell>
          <cell r="O189">
            <v>0</v>
          </cell>
          <cell r="Q189">
            <v>78144</v>
          </cell>
          <cell r="S189">
            <v>174234</v>
          </cell>
          <cell r="V189">
            <v>174230</v>
          </cell>
          <cell r="W189">
            <v>-3</v>
          </cell>
        </row>
        <row r="190">
          <cell r="E190">
            <v>298</v>
          </cell>
          <cell r="G190">
            <v>43508</v>
          </cell>
          <cell r="J190">
            <v>70</v>
          </cell>
          <cell r="L190">
            <v>39130</v>
          </cell>
          <cell r="M190">
            <v>3731</v>
          </cell>
          <cell r="N190">
            <v>8101</v>
          </cell>
          <cell r="O190">
            <v>0</v>
          </cell>
          <cell r="Q190">
            <v>78144</v>
          </cell>
          <cell r="S190">
            <v>172614</v>
          </cell>
          <cell r="V190">
            <v>172610</v>
          </cell>
          <cell r="W190">
            <v>1</v>
          </cell>
        </row>
        <row r="191">
          <cell r="E191">
            <v>292</v>
          </cell>
          <cell r="G191">
            <v>42632</v>
          </cell>
          <cell r="J191">
            <v>60</v>
          </cell>
          <cell r="L191">
            <v>33540</v>
          </cell>
          <cell r="M191">
            <v>3731</v>
          </cell>
          <cell r="N191">
            <v>8123</v>
          </cell>
          <cell r="O191">
            <v>0</v>
          </cell>
          <cell r="Q191">
            <v>78144</v>
          </cell>
          <cell r="S191">
            <v>166170</v>
          </cell>
          <cell r="V191">
            <v>166170</v>
          </cell>
          <cell r="W191">
            <v>1</v>
          </cell>
        </row>
        <row r="192">
          <cell r="E192">
            <v>300</v>
          </cell>
          <cell r="G192">
            <v>43800</v>
          </cell>
          <cell r="J192">
            <v>16</v>
          </cell>
          <cell r="L192">
            <v>8944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142767</v>
          </cell>
          <cell r="V192">
            <v>142770</v>
          </cell>
          <cell r="W192">
            <v>-2</v>
          </cell>
        </row>
        <row r="193">
          <cell r="E193">
            <v>217</v>
          </cell>
          <cell r="G193">
            <v>31682</v>
          </cell>
          <cell r="J193">
            <v>7</v>
          </cell>
          <cell r="L193">
            <v>3913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125631</v>
          </cell>
          <cell r="V193">
            <v>125629</v>
          </cell>
          <cell r="W193">
            <v>0</v>
          </cell>
        </row>
        <row r="194">
          <cell r="E194">
            <v>309</v>
          </cell>
          <cell r="G194">
            <v>45114</v>
          </cell>
          <cell r="J194">
            <v>12</v>
          </cell>
          <cell r="L194">
            <v>6708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141883</v>
          </cell>
          <cell r="V194">
            <v>141883</v>
          </cell>
          <cell r="W194">
            <v>0</v>
          </cell>
        </row>
        <row r="195">
          <cell r="E195">
            <v>272</v>
          </cell>
          <cell r="G195">
            <v>39712</v>
          </cell>
          <cell r="J195">
            <v>37</v>
          </cell>
          <cell r="L195">
            <v>20683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150477</v>
          </cell>
          <cell r="V195">
            <v>150477</v>
          </cell>
          <cell r="W195">
            <v>0</v>
          </cell>
        </row>
        <row r="196">
          <cell r="E196">
            <v>299</v>
          </cell>
          <cell r="G196">
            <v>43654</v>
          </cell>
          <cell r="J196">
            <v>46</v>
          </cell>
          <cell r="L196">
            <v>25714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159473</v>
          </cell>
          <cell r="V196">
            <v>159473</v>
          </cell>
          <cell r="W196">
            <v>0</v>
          </cell>
        </row>
        <row r="197">
          <cell r="E197">
            <v>386</v>
          </cell>
          <cell r="G197">
            <v>56356</v>
          </cell>
          <cell r="J197">
            <v>82</v>
          </cell>
          <cell r="L197">
            <v>45838</v>
          </cell>
          <cell r="M197">
            <v>3731</v>
          </cell>
          <cell r="N197">
            <v>8260</v>
          </cell>
          <cell r="O197">
            <v>19040</v>
          </cell>
          <cell r="Q197">
            <v>78144</v>
          </cell>
          <cell r="S197">
            <v>211369</v>
          </cell>
          <cell r="V197">
            <v>211369</v>
          </cell>
          <cell r="W197">
            <v>0</v>
          </cell>
        </row>
        <row r="198">
          <cell r="E198">
            <v>373</v>
          </cell>
          <cell r="G198">
            <v>54458</v>
          </cell>
          <cell r="J198">
            <v>89</v>
          </cell>
          <cell r="L198">
            <v>49751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194354</v>
          </cell>
          <cell r="V198">
            <v>194354</v>
          </cell>
          <cell r="W198">
            <v>0</v>
          </cell>
        </row>
        <row r="199">
          <cell r="E199">
            <v>389</v>
          </cell>
          <cell r="G199">
            <v>56794</v>
          </cell>
          <cell r="J199">
            <v>97</v>
          </cell>
          <cell r="L199">
            <v>54223</v>
          </cell>
          <cell r="M199">
            <v>3828</v>
          </cell>
          <cell r="N199">
            <v>8264</v>
          </cell>
          <cell r="O199">
            <v>0</v>
          </cell>
          <cell r="Q199">
            <v>80176</v>
          </cell>
          <cell r="S199">
            <v>203285</v>
          </cell>
          <cell r="V199">
            <v>203300</v>
          </cell>
          <cell r="W199">
            <v>-15</v>
          </cell>
        </row>
        <row r="200">
          <cell r="E200">
            <v>453</v>
          </cell>
          <cell r="G200">
            <v>66138</v>
          </cell>
          <cell r="J200">
            <v>95</v>
          </cell>
          <cell r="L200">
            <v>53105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S200">
            <v>211514</v>
          </cell>
          <cell r="V200">
            <v>211499</v>
          </cell>
          <cell r="W200">
            <v>0</v>
          </cell>
        </row>
        <row r="201">
          <cell r="E201">
            <v>364</v>
          </cell>
          <cell r="G201">
            <v>53144</v>
          </cell>
          <cell r="J201">
            <v>65</v>
          </cell>
          <cell r="L201">
            <v>36335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S201">
            <v>181753</v>
          </cell>
          <cell r="V201">
            <v>181760</v>
          </cell>
          <cell r="W201">
            <v>-7</v>
          </cell>
        </row>
        <row r="202">
          <cell r="E202">
            <v>371</v>
          </cell>
          <cell r="G202">
            <v>54166</v>
          </cell>
          <cell r="J202">
            <v>62</v>
          </cell>
          <cell r="L202">
            <v>34658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S202">
            <v>181127</v>
          </cell>
          <cell r="V202">
            <v>181120</v>
          </cell>
          <cell r="W202">
            <v>0</v>
          </cell>
        </row>
        <row r="203">
          <cell r="E203">
            <v>417</v>
          </cell>
          <cell r="G203">
            <v>60882</v>
          </cell>
          <cell r="J203">
            <v>53</v>
          </cell>
          <cell r="L203">
            <v>29627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S203">
            <v>182842</v>
          </cell>
          <cell r="V203"/>
          <cell r="W203">
            <v>182842</v>
          </cell>
        </row>
        <row r="204">
          <cell r="E204">
            <v>-50065</v>
          </cell>
          <cell r="G204">
            <v>-7309490</v>
          </cell>
          <cell r="J204">
            <v>-4615</v>
          </cell>
          <cell r="L204">
            <v>-2579785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S204">
            <v>-9805271</v>
          </cell>
          <cell r="V204"/>
          <cell r="W204">
            <v>-9622429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S205">
            <v>84004</v>
          </cell>
          <cell r="V205"/>
          <cell r="W205">
            <v>-9538425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S206">
            <v>84004</v>
          </cell>
          <cell r="V206"/>
          <cell r="W206">
            <v>-9454421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S207">
            <v>84004</v>
          </cell>
          <cell r="V207"/>
          <cell r="W207">
            <v>-9370417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S208">
            <v>84004</v>
          </cell>
          <cell r="V208"/>
          <cell r="W208">
            <v>-9286413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S209">
            <v>84004</v>
          </cell>
          <cell r="V209"/>
          <cell r="W209">
            <v>-9202409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S210">
            <v>84004</v>
          </cell>
          <cell r="V210"/>
          <cell r="W210">
            <v>-9118405</v>
          </cell>
        </row>
      </sheetData>
      <sheetData sheetId="55">
        <row r="175">
          <cell r="E175">
            <v>186</v>
          </cell>
          <cell r="G175">
            <v>27156</v>
          </cell>
          <cell r="J175">
            <v>147</v>
          </cell>
          <cell r="L175">
            <v>87033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S175">
            <v>211330</v>
          </cell>
          <cell r="V175">
            <v>211330</v>
          </cell>
          <cell r="W175">
            <v>0</v>
          </cell>
        </row>
        <row r="176">
          <cell r="E176">
            <v>113</v>
          </cell>
          <cell r="G176">
            <v>16498</v>
          </cell>
          <cell r="J176">
            <v>64</v>
          </cell>
          <cell r="L176">
            <v>35776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S176">
            <v>149415</v>
          </cell>
          <cell r="V176">
            <v>149415</v>
          </cell>
          <cell r="W176">
            <v>0</v>
          </cell>
        </row>
        <row r="177">
          <cell r="E177">
            <v>106</v>
          </cell>
          <cell r="G177">
            <v>15476</v>
          </cell>
          <cell r="J177">
            <v>86</v>
          </cell>
          <cell r="L177">
            <v>48074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S177">
            <v>160691</v>
          </cell>
          <cell r="V177">
            <v>160691</v>
          </cell>
          <cell r="W177">
            <v>0</v>
          </cell>
        </row>
        <row r="178">
          <cell r="E178">
            <v>58</v>
          </cell>
          <cell r="G178">
            <v>8468</v>
          </cell>
          <cell r="J178">
            <v>67</v>
          </cell>
          <cell r="L178">
            <v>37453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S178">
            <v>143062</v>
          </cell>
          <cell r="V178">
            <v>143062</v>
          </cell>
          <cell r="W178">
            <v>0</v>
          </cell>
        </row>
        <row r="179">
          <cell r="E179">
            <v>74</v>
          </cell>
          <cell r="G179">
            <v>10804</v>
          </cell>
          <cell r="J179">
            <v>5</v>
          </cell>
          <cell r="L179">
            <v>2795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S179">
            <v>110740</v>
          </cell>
          <cell r="V179">
            <v>110740</v>
          </cell>
          <cell r="W179">
            <v>0</v>
          </cell>
        </row>
        <row r="180">
          <cell r="E180">
            <v>34</v>
          </cell>
          <cell r="G180">
            <v>4964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S180">
            <v>102105</v>
          </cell>
          <cell r="V180">
            <v>102105</v>
          </cell>
          <cell r="W180">
            <v>0</v>
          </cell>
        </row>
        <row r="181">
          <cell r="E181">
            <v>26</v>
          </cell>
          <cell r="G181">
            <v>3796</v>
          </cell>
          <cell r="J181">
            <v>3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S181">
            <v>102614</v>
          </cell>
          <cell r="V181">
            <v>102614</v>
          </cell>
          <cell r="W181">
            <v>0</v>
          </cell>
        </row>
        <row r="182">
          <cell r="E182">
            <v>67</v>
          </cell>
          <cell r="G182">
            <v>9782</v>
          </cell>
          <cell r="J182">
            <v>6</v>
          </cell>
          <cell r="L182">
            <v>3354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S182">
            <v>111258</v>
          </cell>
          <cell r="V182">
            <v>111258</v>
          </cell>
          <cell r="W182">
            <v>0</v>
          </cell>
        </row>
        <row r="183">
          <cell r="E183">
            <v>78</v>
          </cell>
          <cell r="G183">
            <v>11388</v>
          </cell>
          <cell r="J183">
            <v>22</v>
          </cell>
          <cell r="L183">
            <v>12298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S183">
            <v>121824</v>
          </cell>
          <cell r="V183">
            <v>121824</v>
          </cell>
          <cell r="W183">
            <v>0</v>
          </cell>
        </row>
        <row r="184">
          <cell r="E184">
            <v>37</v>
          </cell>
          <cell r="G184">
            <v>5402</v>
          </cell>
          <cell r="J184">
            <v>46</v>
          </cell>
          <cell r="L184">
            <v>25714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129247</v>
          </cell>
          <cell r="V184">
            <v>129247</v>
          </cell>
          <cell r="W184">
            <v>0</v>
          </cell>
        </row>
        <row r="185">
          <cell r="E185">
            <v>110</v>
          </cell>
          <cell r="G185">
            <v>16060</v>
          </cell>
          <cell r="J185">
            <v>65</v>
          </cell>
          <cell r="L185">
            <v>36335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S185">
            <v>150555</v>
          </cell>
          <cell r="V185">
            <v>150555</v>
          </cell>
          <cell r="W185">
            <v>0</v>
          </cell>
        </row>
        <row r="186">
          <cell r="E186">
            <v>194</v>
          </cell>
          <cell r="G186">
            <v>28324</v>
          </cell>
          <cell r="J186">
            <v>127</v>
          </cell>
          <cell r="L186">
            <v>72253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S186">
            <v>198757</v>
          </cell>
          <cell r="V186">
            <v>198757</v>
          </cell>
          <cell r="W186">
            <v>0</v>
          </cell>
        </row>
        <row r="187">
          <cell r="E187">
            <v>159</v>
          </cell>
          <cell r="G187">
            <v>23214</v>
          </cell>
          <cell r="J187">
            <v>161</v>
          </cell>
          <cell r="L187">
            <v>103319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S187">
            <v>226455</v>
          </cell>
          <cell r="V187">
            <v>126455</v>
          </cell>
          <cell r="W187">
            <v>100000</v>
          </cell>
        </row>
        <row r="188">
          <cell r="E188">
            <v>160</v>
          </cell>
          <cell r="G188">
            <v>23360</v>
          </cell>
          <cell r="J188">
            <v>53</v>
          </cell>
          <cell r="L188">
            <v>29627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S188">
            <v>152939</v>
          </cell>
          <cell r="V188">
            <v>222939</v>
          </cell>
          <cell r="W188">
            <v>30000</v>
          </cell>
        </row>
        <row r="189">
          <cell r="E189">
            <v>115</v>
          </cell>
          <cell r="G189">
            <v>16790</v>
          </cell>
          <cell r="J189">
            <v>71</v>
          </cell>
          <cell r="L189">
            <v>39689</v>
          </cell>
          <cell r="M189">
            <v>3731</v>
          </cell>
          <cell r="N189">
            <v>8090</v>
          </cell>
          <cell r="O189">
            <v>0</v>
          </cell>
          <cell r="P189">
            <v>10000</v>
          </cell>
          <cell r="Q189">
            <v>78144</v>
          </cell>
          <cell r="S189">
            <v>156444</v>
          </cell>
          <cell r="V189">
            <v>186444</v>
          </cell>
          <cell r="W189">
            <v>0</v>
          </cell>
        </row>
        <row r="190">
          <cell r="E190">
            <v>109</v>
          </cell>
          <cell r="G190">
            <v>15914</v>
          </cell>
          <cell r="J190">
            <v>52</v>
          </cell>
          <cell r="L190">
            <v>29068</v>
          </cell>
          <cell r="M190">
            <v>3731</v>
          </cell>
          <cell r="N190">
            <v>8101</v>
          </cell>
          <cell r="O190">
            <v>0</v>
          </cell>
          <cell r="P190">
            <v>10000</v>
          </cell>
          <cell r="Q190">
            <v>78144</v>
          </cell>
          <cell r="S190">
            <v>144958</v>
          </cell>
          <cell r="V190">
            <v>144958</v>
          </cell>
          <cell r="W190">
            <v>0</v>
          </cell>
        </row>
        <row r="191">
          <cell r="E191">
            <v>48</v>
          </cell>
          <cell r="G191">
            <v>7008</v>
          </cell>
          <cell r="J191">
            <v>46</v>
          </cell>
          <cell r="L191">
            <v>25714</v>
          </cell>
          <cell r="M191">
            <v>3731</v>
          </cell>
          <cell r="N191">
            <v>8123</v>
          </cell>
          <cell r="O191">
            <v>0</v>
          </cell>
          <cell r="P191">
            <v>10000</v>
          </cell>
          <cell r="Q191">
            <v>78144</v>
          </cell>
          <cell r="S191">
            <v>132720</v>
          </cell>
          <cell r="V191">
            <v>132720</v>
          </cell>
          <cell r="W191">
            <v>0</v>
          </cell>
        </row>
        <row r="192">
          <cell r="E192">
            <v>34</v>
          </cell>
          <cell r="G192">
            <v>4964</v>
          </cell>
          <cell r="J192">
            <v>16</v>
          </cell>
          <cell r="L192">
            <v>8944</v>
          </cell>
          <cell r="M192">
            <v>3731</v>
          </cell>
          <cell r="N192">
            <v>8148</v>
          </cell>
          <cell r="O192">
            <v>0</v>
          </cell>
          <cell r="Q192">
            <v>78144</v>
          </cell>
          <cell r="S192">
            <v>103931</v>
          </cell>
          <cell r="V192">
            <v>103931</v>
          </cell>
          <cell r="W192">
            <v>0</v>
          </cell>
        </row>
        <row r="193">
          <cell r="E193">
            <v>60</v>
          </cell>
          <cell r="G193">
            <v>8760</v>
          </cell>
          <cell r="J193">
            <v>19</v>
          </cell>
          <cell r="L193">
            <v>10621</v>
          </cell>
          <cell r="M193">
            <v>3731</v>
          </cell>
          <cell r="N193">
            <v>8161</v>
          </cell>
          <cell r="O193">
            <v>0</v>
          </cell>
          <cell r="Q193">
            <v>78144</v>
          </cell>
          <cell r="S193">
            <v>109417</v>
          </cell>
          <cell r="V193">
            <v>109417</v>
          </cell>
          <cell r="W193">
            <v>0</v>
          </cell>
        </row>
        <row r="194">
          <cell r="E194">
            <v>40</v>
          </cell>
          <cell r="G194">
            <v>5840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Q194">
            <v>78144</v>
          </cell>
          <cell r="S194">
            <v>98696</v>
          </cell>
          <cell r="V194">
            <v>98696</v>
          </cell>
          <cell r="W194">
            <v>0</v>
          </cell>
        </row>
        <row r="195">
          <cell r="E195">
            <v>62</v>
          </cell>
          <cell r="G195">
            <v>9052</v>
          </cell>
          <cell r="J195">
            <v>13</v>
          </cell>
          <cell r="L195">
            <v>7267</v>
          </cell>
          <cell r="M195">
            <v>3731</v>
          </cell>
          <cell r="N195">
            <v>8207</v>
          </cell>
          <cell r="O195">
            <v>0</v>
          </cell>
          <cell r="Q195">
            <v>78144</v>
          </cell>
          <cell r="S195">
            <v>106401</v>
          </cell>
          <cell r="V195">
            <v>106401</v>
          </cell>
          <cell r="W195">
            <v>0</v>
          </cell>
        </row>
        <row r="196">
          <cell r="E196">
            <v>43</v>
          </cell>
          <cell r="G196">
            <v>6278</v>
          </cell>
          <cell r="J196">
            <v>16</v>
          </cell>
          <cell r="L196">
            <v>8944</v>
          </cell>
          <cell r="M196">
            <v>3731</v>
          </cell>
          <cell r="N196">
            <v>8230</v>
          </cell>
          <cell r="O196">
            <v>0</v>
          </cell>
          <cell r="Q196">
            <v>78144</v>
          </cell>
          <cell r="S196">
            <v>105327</v>
          </cell>
          <cell r="V196">
            <v>105327</v>
          </cell>
          <cell r="W196">
            <v>0</v>
          </cell>
        </row>
        <row r="197">
          <cell r="E197">
            <v>39</v>
          </cell>
          <cell r="G197">
            <v>5694</v>
          </cell>
          <cell r="J197">
            <v>20</v>
          </cell>
          <cell r="L197">
            <v>11180</v>
          </cell>
          <cell r="M197">
            <v>3731</v>
          </cell>
          <cell r="N197">
            <v>8260</v>
          </cell>
          <cell r="O197">
            <v>0</v>
          </cell>
          <cell r="Q197">
            <v>78144</v>
          </cell>
          <cell r="S197">
            <v>107009</v>
          </cell>
          <cell r="V197">
            <v>107009</v>
          </cell>
          <cell r="W197">
            <v>0</v>
          </cell>
        </row>
        <row r="198">
          <cell r="E198">
            <v>50</v>
          </cell>
          <cell r="G198">
            <v>7300</v>
          </cell>
          <cell r="J198">
            <v>38</v>
          </cell>
          <cell r="L198">
            <v>21242</v>
          </cell>
          <cell r="M198">
            <v>3731</v>
          </cell>
          <cell r="N198">
            <v>8270</v>
          </cell>
          <cell r="O198">
            <v>0</v>
          </cell>
          <cell r="Q198">
            <v>78144</v>
          </cell>
          <cell r="S198">
            <v>118687</v>
          </cell>
          <cell r="V198">
            <v>118687</v>
          </cell>
          <cell r="W198">
            <v>0</v>
          </cell>
        </row>
        <row r="199">
          <cell r="E199">
            <v>139</v>
          </cell>
          <cell r="G199">
            <v>20294</v>
          </cell>
          <cell r="J199">
            <v>72</v>
          </cell>
          <cell r="L199">
            <v>40248</v>
          </cell>
          <cell r="M199">
            <v>3828</v>
          </cell>
          <cell r="N199">
            <v>8264</v>
          </cell>
          <cell r="O199">
            <v>0</v>
          </cell>
          <cell r="Q199">
            <v>80176</v>
          </cell>
          <cell r="S199">
            <v>152810</v>
          </cell>
          <cell r="V199">
            <v>152810</v>
          </cell>
          <cell r="W199">
            <v>0</v>
          </cell>
        </row>
        <row r="200">
          <cell r="E200">
            <v>110</v>
          </cell>
          <cell r="G200">
            <v>16060</v>
          </cell>
          <cell r="J200">
            <v>55</v>
          </cell>
          <cell r="L200">
            <v>30745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S200">
            <v>139076</v>
          </cell>
          <cell r="V200">
            <v>139076</v>
          </cell>
          <cell r="W200">
            <v>0</v>
          </cell>
        </row>
        <row r="201">
          <cell r="E201">
            <v>91</v>
          </cell>
          <cell r="G201">
            <v>13286</v>
          </cell>
          <cell r="J201">
            <v>48</v>
          </cell>
          <cell r="L201">
            <v>26832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S201">
            <v>132392</v>
          </cell>
          <cell r="V201">
            <v>132392</v>
          </cell>
          <cell r="W201">
            <v>0</v>
          </cell>
        </row>
        <row r="202">
          <cell r="E202">
            <v>110</v>
          </cell>
          <cell r="G202">
            <v>16060</v>
          </cell>
          <cell r="J202">
            <v>45</v>
          </cell>
          <cell r="L202">
            <v>25155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S202">
            <v>133518</v>
          </cell>
          <cell r="V202">
            <v>133518</v>
          </cell>
          <cell r="W202">
            <v>0</v>
          </cell>
        </row>
        <row r="203">
          <cell r="E203">
            <v>60</v>
          </cell>
          <cell r="G203">
            <v>8760</v>
          </cell>
          <cell r="J203">
            <v>4</v>
          </cell>
          <cell r="L203">
            <v>2236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S203">
            <v>103329</v>
          </cell>
          <cell r="V203"/>
          <cell r="W203">
            <v>103329</v>
          </cell>
        </row>
        <row r="204">
          <cell r="E204">
            <v>-15832</v>
          </cell>
          <cell r="G204">
            <v>-2311472</v>
          </cell>
          <cell r="J204">
            <v>-8366</v>
          </cell>
          <cell r="L204">
            <v>-4676594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S204">
            <v>-6904062</v>
          </cell>
          <cell r="V204"/>
          <cell r="W204">
            <v>-6800733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S205">
            <v>84004</v>
          </cell>
          <cell r="V205"/>
          <cell r="W205">
            <v>-6716729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S206">
            <v>84004</v>
          </cell>
          <cell r="V206"/>
          <cell r="W206">
            <v>-6632725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S207">
            <v>84004</v>
          </cell>
          <cell r="V207"/>
          <cell r="W207">
            <v>-6548721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S208">
            <v>84004</v>
          </cell>
          <cell r="V208"/>
          <cell r="W208">
            <v>-6464717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S209">
            <v>84004</v>
          </cell>
          <cell r="V209"/>
          <cell r="W209">
            <v>-6380713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S210">
            <v>84004</v>
          </cell>
          <cell r="V210"/>
          <cell r="W210">
            <v>-6296709</v>
          </cell>
        </row>
      </sheetData>
      <sheetData sheetId="56">
        <row r="175">
          <cell r="E175">
            <v>134</v>
          </cell>
          <cell r="G175">
            <v>19564</v>
          </cell>
          <cell r="J175">
            <v>113</v>
          </cell>
          <cell r="L175">
            <v>63167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169872</v>
          </cell>
          <cell r="V175">
            <v>169872</v>
          </cell>
          <cell r="W175">
            <v>0</v>
          </cell>
        </row>
        <row r="176">
          <cell r="E176">
            <v>213</v>
          </cell>
          <cell r="G176">
            <v>31098</v>
          </cell>
          <cell r="J176">
            <v>90</v>
          </cell>
          <cell r="L176">
            <v>50310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168549</v>
          </cell>
          <cell r="V176">
            <v>168549</v>
          </cell>
          <cell r="W176">
            <v>0</v>
          </cell>
        </row>
        <row r="177">
          <cell r="E177">
            <v>200</v>
          </cell>
          <cell r="G177">
            <v>29200</v>
          </cell>
          <cell r="J177">
            <v>79</v>
          </cell>
          <cell r="L177">
            <v>44161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160502</v>
          </cell>
          <cell r="V177">
            <v>160502</v>
          </cell>
          <cell r="W177">
            <v>0</v>
          </cell>
        </row>
        <row r="178">
          <cell r="E178">
            <v>181</v>
          </cell>
          <cell r="G178">
            <v>26426</v>
          </cell>
          <cell r="J178">
            <v>38</v>
          </cell>
          <cell r="L178">
            <v>21242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134809</v>
          </cell>
          <cell r="V178">
            <v>134809</v>
          </cell>
          <cell r="W178">
            <v>0</v>
          </cell>
        </row>
        <row r="179">
          <cell r="E179">
            <v>167</v>
          </cell>
          <cell r="G179">
            <v>24382</v>
          </cell>
          <cell r="J179">
            <v>16</v>
          </cell>
          <cell r="L179">
            <v>8944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120467</v>
          </cell>
          <cell r="V179">
            <v>120467</v>
          </cell>
          <cell r="W179">
            <v>0</v>
          </cell>
        </row>
        <row r="180">
          <cell r="E180">
            <v>179</v>
          </cell>
          <cell r="G180">
            <v>26134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113275</v>
          </cell>
          <cell r="V180">
            <v>113275</v>
          </cell>
          <cell r="W180">
            <v>0</v>
          </cell>
        </row>
        <row r="181">
          <cell r="E181">
            <v>159</v>
          </cell>
          <cell r="G181">
            <v>23214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110355</v>
          </cell>
          <cell r="V181">
            <v>110355</v>
          </cell>
          <cell r="W181">
            <v>0</v>
          </cell>
        </row>
        <row r="182">
          <cell r="E182">
            <v>102</v>
          </cell>
          <cell r="G182">
            <v>14892</v>
          </cell>
          <cell r="J182">
            <v>17</v>
          </cell>
          <cell r="L182">
            <v>9503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112517</v>
          </cell>
          <cell r="V182">
            <v>112517</v>
          </cell>
          <cell r="W182">
            <v>0</v>
          </cell>
        </row>
        <row r="183">
          <cell r="E183">
            <v>160</v>
          </cell>
          <cell r="G183">
            <v>23360</v>
          </cell>
          <cell r="J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111498</v>
          </cell>
          <cell r="V183">
            <v>111498</v>
          </cell>
          <cell r="W183">
            <v>0</v>
          </cell>
        </row>
        <row r="184">
          <cell r="E184">
            <v>145</v>
          </cell>
          <cell r="G184">
            <v>21170</v>
          </cell>
          <cell r="J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109301</v>
          </cell>
          <cell r="V184">
            <v>109301</v>
          </cell>
          <cell r="W184">
            <v>0</v>
          </cell>
        </row>
        <row r="185">
          <cell r="E185">
            <v>176</v>
          </cell>
          <cell r="G185">
            <v>25696</v>
          </cell>
          <cell r="J185">
            <v>55</v>
          </cell>
          <cell r="L185">
            <v>30745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144601</v>
          </cell>
          <cell r="V185">
            <v>144601</v>
          </cell>
          <cell r="W185">
            <v>0</v>
          </cell>
        </row>
        <row r="186">
          <cell r="E186">
            <v>212</v>
          </cell>
          <cell r="G186">
            <v>30952</v>
          </cell>
          <cell r="J186">
            <v>104</v>
          </cell>
          <cell r="L186">
            <v>58136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177268</v>
          </cell>
          <cell r="V186">
            <v>177268</v>
          </cell>
          <cell r="W186">
            <v>0</v>
          </cell>
        </row>
        <row r="187">
          <cell r="E187">
            <v>152</v>
          </cell>
          <cell r="G187">
            <v>22192</v>
          </cell>
          <cell r="J187">
            <v>97</v>
          </cell>
          <cell r="L187">
            <v>54223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166337</v>
          </cell>
          <cell r="V187">
            <v>166337</v>
          </cell>
          <cell r="W187">
            <v>0</v>
          </cell>
        </row>
        <row r="188">
          <cell r="E188">
            <v>156</v>
          </cell>
          <cell r="G188">
            <v>22776</v>
          </cell>
          <cell r="J188">
            <v>101</v>
          </cell>
          <cell r="L188">
            <v>56459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169187</v>
          </cell>
          <cell r="V188">
            <v>169187</v>
          </cell>
          <cell r="W188">
            <v>0</v>
          </cell>
        </row>
        <row r="189">
          <cell r="E189">
            <v>124</v>
          </cell>
          <cell r="G189">
            <v>18104</v>
          </cell>
          <cell r="J189">
            <v>71</v>
          </cell>
          <cell r="L189">
            <v>39689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147758</v>
          </cell>
          <cell r="V189">
            <v>147758</v>
          </cell>
          <cell r="W189">
            <v>0</v>
          </cell>
        </row>
        <row r="190">
          <cell r="E190">
            <v>142</v>
          </cell>
          <cell r="G190">
            <v>20732</v>
          </cell>
          <cell r="J190">
            <v>52</v>
          </cell>
          <cell r="L190">
            <v>29068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139776</v>
          </cell>
          <cell r="V190">
            <v>139776</v>
          </cell>
          <cell r="W190">
            <v>0</v>
          </cell>
        </row>
        <row r="191">
          <cell r="E191">
            <v>141</v>
          </cell>
          <cell r="G191">
            <v>20586</v>
          </cell>
          <cell r="J191">
            <v>45</v>
          </cell>
          <cell r="L191">
            <v>25155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135739</v>
          </cell>
          <cell r="V191">
            <v>135739</v>
          </cell>
          <cell r="W191">
            <v>0</v>
          </cell>
        </row>
        <row r="192">
          <cell r="E192">
            <v>174</v>
          </cell>
          <cell r="G192">
            <v>25404</v>
          </cell>
          <cell r="J192">
            <v>5</v>
          </cell>
          <cell r="L192">
            <v>2795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118222</v>
          </cell>
          <cell r="V192">
            <v>118222</v>
          </cell>
          <cell r="W192">
            <v>0</v>
          </cell>
        </row>
        <row r="193">
          <cell r="E193">
            <v>235</v>
          </cell>
          <cell r="G193">
            <v>34310</v>
          </cell>
          <cell r="J193">
            <v>2</v>
          </cell>
          <cell r="L193">
            <v>1118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125464</v>
          </cell>
          <cell r="V193">
            <v>125464</v>
          </cell>
          <cell r="W193">
            <v>0</v>
          </cell>
        </row>
        <row r="194">
          <cell r="E194">
            <v>194</v>
          </cell>
          <cell r="G194">
            <v>28324</v>
          </cell>
          <cell r="J194">
            <v>5</v>
          </cell>
          <cell r="L194">
            <v>2795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121180</v>
          </cell>
          <cell r="V194">
            <v>121180</v>
          </cell>
          <cell r="W194">
            <v>0</v>
          </cell>
        </row>
        <row r="195">
          <cell r="E195">
            <v>154</v>
          </cell>
          <cell r="G195">
            <v>22484</v>
          </cell>
          <cell r="J195">
            <v>57</v>
          </cell>
          <cell r="L195">
            <v>31863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144429</v>
          </cell>
          <cell r="V195">
            <v>144429</v>
          </cell>
          <cell r="W195">
            <v>0</v>
          </cell>
        </row>
        <row r="196">
          <cell r="E196">
            <v>98</v>
          </cell>
          <cell r="G196">
            <v>14308</v>
          </cell>
          <cell r="J196">
            <v>18</v>
          </cell>
          <cell r="L196">
            <v>10062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114475</v>
          </cell>
          <cell r="V196">
            <v>114475</v>
          </cell>
          <cell r="W196">
            <v>0</v>
          </cell>
        </row>
        <row r="197">
          <cell r="E197">
            <v>164</v>
          </cell>
          <cell r="G197">
            <v>23944</v>
          </cell>
          <cell r="J197">
            <v>39</v>
          </cell>
          <cell r="L197">
            <v>21801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S197">
            <v>135880</v>
          </cell>
          <cell r="V197">
            <v>135880</v>
          </cell>
          <cell r="W197">
            <v>0</v>
          </cell>
        </row>
        <row r="198">
          <cell r="E198">
            <v>188</v>
          </cell>
          <cell r="G198">
            <v>27448</v>
          </cell>
          <cell r="J198">
            <v>75</v>
          </cell>
          <cell r="L198">
            <v>41925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159518</v>
          </cell>
          <cell r="V198">
            <v>159518</v>
          </cell>
          <cell r="W198">
            <v>0</v>
          </cell>
        </row>
        <row r="199">
          <cell r="E199">
            <v>189</v>
          </cell>
          <cell r="G199">
            <v>27594</v>
          </cell>
          <cell r="J199">
            <v>309</v>
          </cell>
          <cell r="L199">
            <v>172731</v>
          </cell>
          <cell r="M199">
            <v>3828</v>
          </cell>
          <cell r="N199">
            <v>8264</v>
          </cell>
          <cell r="Q199">
            <v>80176</v>
          </cell>
          <cell r="S199">
            <v>292593</v>
          </cell>
          <cell r="V199">
            <v>292593</v>
          </cell>
          <cell r="W199">
            <v>0</v>
          </cell>
        </row>
        <row r="200">
          <cell r="E200">
            <v>191</v>
          </cell>
          <cell r="G200">
            <v>27886</v>
          </cell>
          <cell r="J200">
            <v>42</v>
          </cell>
          <cell r="L200">
            <v>23478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143635</v>
          </cell>
          <cell r="V200">
            <v>143635</v>
          </cell>
          <cell r="W200">
            <v>0</v>
          </cell>
        </row>
        <row r="201">
          <cell r="E201">
            <v>193</v>
          </cell>
          <cell r="G201">
            <v>28178</v>
          </cell>
          <cell r="J201">
            <v>74</v>
          </cell>
          <cell r="L201">
            <v>41366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161818</v>
          </cell>
          <cell r="V201">
            <v>161818</v>
          </cell>
          <cell r="W201">
            <v>0</v>
          </cell>
        </row>
        <row r="202">
          <cell r="E202">
            <v>229</v>
          </cell>
          <cell r="G202">
            <v>33434</v>
          </cell>
          <cell r="J202">
            <v>54</v>
          </cell>
          <cell r="L202">
            <v>30186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155923</v>
          </cell>
          <cell r="V202">
            <v>155923</v>
          </cell>
          <cell r="W202">
            <v>0</v>
          </cell>
        </row>
        <row r="203">
          <cell r="E203">
            <v>257</v>
          </cell>
          <cell r="G203">
            <v>37522</v>
          </cell>
          <cell r="J203">
            <v>56</v>
          </cell>
          <cell r="L203">
            <v>31304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161159</v>
          </cell>
          <cell r="V203"/>
          <cell r="W203">
            <v>161159</v>
          </cell>
        </row>
        <row r="204">
          <cell r="E204">
            <v>-17859</v>
          </cell>
          <cell r="G204">
            <v>-2607414</v>
          </cell>
          <cell r="J204">
            <v>-10048</v>
          </cell>
          <cell r="L204">
            <v>-5616832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-8140242</v>
          </cell>
          <cell r="V204"/>
          <cell r="W204">
            <v>-7979083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-7895079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-7811075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-7727071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-7643067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-7559063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-7475059</v>
          </cell>
        </row>
      </sheetData>
      <sheetData sheetId="57">
        <row r="175">
          <cell r="E175">
            <v>141</v>
          </cell>
          <cell r="G175">
            <v>20586</v>
          </cell>
          <cell r="J175">
            <v>143</v>
          </cell>
          <cell r="L175">
            <v>84077</v>
          </cell>
          <cell r="M175">
            <v>3731</v>
          </cell>
          <cell r="N175">
            <v>7000</v>
          </cell>
          <cell r="O175">
            <v>0</v>
          </cell>
          <cell r="P175">
            <v>10000</v>
          </cell>
          <cell r="Q175">
            <v>76410</v>
          </cell>
          <cell r="S175">
            <v>201804</v>
          </cell>
          <cell r="V175">
            <v>201700</v>
          </cell>
          <cell r="W175">
            <v>-3</v>
          </cell>
        </row>
        <row r="176">
          <cell r="E176">
            <v>158</v>
          </cell>
          <cell r="G176">
            <v>23068</v>
          </cell>
          <cell r="J176">
            <v>115</v>
          </cell>
          <cell r="L176">
            <v>64285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S176">
            <v>184494</v>
          </cell>
          <cell r="V176">
            <v>184500</v>
          </cell>
          <cell r="W176">
            <v>-9</v>
          </cell>
        </row>
        <row r="177">
          <cell r="E177">
            <v>182</v>
          </cell>
          <cell r="G177">
            <v>26572</v>
          </cell>
          <cell r="J177">
            <v>97</v>
          </cell>
          <cell r="L177">
            <v>54223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S177">
            <v>177936</v>
          </cell>
          <cell r="V177">
            <v>178000</v>
          </cell>
          <cell r="W177">
            <v>-73</v>
          </cell>
        </row>
        <row r="178">
          <cell r="E178">
            <v>153</v>
          </cell>
          <cell r="G178">
            <v>22338</v>
          </cell>
          <cell r="J178">
            <v>42</v>
          </cell>
          <cell r="L178">
            <v>23478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S178">
            <v>142957</v>
          </cell>
          <cell r="V178">
            <v>143000</v>
          </cell>
          <cell r="W178">
            <v>-116</v>
          </cell>
        </row>
        <row r="179">
          <cell r="E179">
            <v>175</v>
          </cell>
          <cell r="G179">
            <v>25550</v>
          </cell>
          <cell r="J179">
            <v>34</v>
          </cell>
          <cell r="L179">
            <v>19006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S179">
            <v>141697</v>
          </cell>
          <cell r="V179">
            <v>175000</v>
          </cell>
          <cell r="W179">
            <v>-33419</v>
          </cell>
        </row>
        <row r="180">
          <cell r="E180">
            <v>108</v>
          </cell>
          <cell r="G180">
            <v>15768</v>
          </cell>
          <cell r="J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S180">
            <v>112909</v>
          </cell>
          <cell r="V180">
            <v>79500</v>
          </cell>
          <cell r="W180">
            <v>-10</v>
          </cell>
        </row>
        <row r="181">
          <cell r="E181">
            <v>179</v>
          </cell>
          <cell r="G181">
            <v>26134</v>
          </cell>
          <cell r="J181">
            <v>31</v>
          </cell>
          <cell r="L181">
            <v>17329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S181">
            <v>140604</v>
          </cell>
          <cell r="V181">
            <v>141000</v>
          </cell>
          <cell r="W181">
            <v>-406</v>
          </cell>
        </row>
        <row r="182">
          <cell r="E182">
            <v>105</v>
          </cell>
          <cell r="G182">
            <v>15330</v>
          </cell>
          <cell r="J182">
            <v>13</v>
          </cell>
          <cell r="L182">
            <v>7267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S182">
            <v>120719</v>
          </cell>
          <cell r="V182">
            <v>120400</v>
          </cell>
          <cell r="W182">
            <v>-87</v>
          </cell>
        </row>
        <row r="183">
          <cell r="E183">
            <v>175</v>
          </cell>
          <cell r="G183">
            <v>25550</v>
          </cell>
          <cell r="J183">
            <v>18</v>
          </cell>
          <cell r="L183">
            <v>10062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S183">
            <v>133750</v>
          </cell>
          <cell r="V183">
            <v>133700</v>
          </cell>
          <cell r="W183">
            <v>-37</v>
          </cell>
        </row>
        <row r="184">
          <cell r="E184">
            <v>140</v>
          </cell>
          <cell r="G184">
            <v>20440</v>
          </cell>
          <cell r="J184">
            <v>25</v>
          </cell>
          <cell r="L184">
            <v>13975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S184">
            <v>132546</v>
          </cell>
          <cell r="V184">
            <v>133000</v>
          </cell>
          <cell r="W184">
            <v>-491</v>
          </cell>
        </row>
        <row r="185">
          <cell r="E185">
            <v>148</v>
          </cell>
          <cell r="G185">
            <v>21608</v>
          </cell>
          <cell r="J185">
            <v>93</v>
          </cell>
          <cell r="L185">
            <v>51987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S185">
            <v>171755</v>
          </cell>
          <cell r="V185">
            <v>171300</v>
          </cell>
          <cell r="W185">
            <v>-36</v>
          </cell>
        </row>
        <row r="186">
          <cell r="E186">
            <v>157</v>
          </cell>
          <cell r="G186">
            <v>22922</v>
          </cell>
          <cell r="J186">
            <v>83</v>
          </cell>
          <cell r="L186">
            <v>46397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S186">
            <v>167499</v>
          </cell>
          <cell r="V186">
            <v>167500</v>
          </cell>
          <cell r="W186">
            <v>-37</v>
          </cell>
        </row>
        <row r="187">
          <cell r="E187">
            <v>231</v>
          </cell>
          <cell r="G187">
            <v>33726</v>
          </cell>
          <cell r="J187">
            <v>87</v>
          </cell>
          <cell r="L187">
            <v>48633</v>
          </cell>
          <cell r="M187">
            <v>3731</v>
          </cell>
          <cell r="N187">
            <v>8047</v>
          </cell>
          <cell r="P187">
            <v>10000</v>
          </cell>
          <cell r="Q187">
            <v>78144</v>
          </cell>
          <cell r="S187">
            <v>182281</v>
          </cell>
          <cell r="V187">
            <v>182300</v>
          </cell>
          <cell r="W187">
            <v>-56</v>
          </cell>
        </row>
        <row r="188">
          <cell r="E188">
            <v>245</v>
          </cell>
          <cell r="G188">
            <v>35770</v>
          </cell>
          <cell r="J188">
            <v>88</v>
          </cell>
          <cell r="L188">
            <v>49192</v>
          </cell>
          <cell r="M188">
            <v>3731</v>
          </cell>
          <cell r="N188">
            <v>8077</v>
          </cell>
          <cell r="Q188">
            <v>78144</v>
          </cell>
          <cell r="S188">
            <v>174914</v>
          </cell>
          <cell r="V188">
            <v>174900</v>
          </cell>
          <cell r="W188">
            <v>-42</v>
          </cell>
        </row>
        <row r="189">
          <cell r="E189">
            <v>207</v>
          </cell>
          <cell r="G189">
            <v>30222</v>
          </cell>
          <cell r="J189">
            <v>63</v>
          </cell>
          <cell r="L189">
            <v>35217</v>
          </cell>
          <cell r="M189">
            <v>3731</v>
          </cell>
          <cell r="N189">
            <v>8090</v>
          </cell>
          <cell r="Q189">
            <v>78144</v>
          </cell>
          <cell r="S189">
            <v>155404</v>
          </cell>
          <cell r="V189">
            <v>155400</v>
          </cell>
          <cell r="W189">
            <v>-38</v>
          </cell>
        </row>
        <row r="190">
          <cell r="E190">
            <v>206</v>
          </cell>
          <cell r="G190">
            <v>30076</v>
          </cell>
          <cell r="J190">
            <v>59</v>
          </cell>
          <cell r="L190">
            <v>32981</v>
          </cell>
          <cell r="M190">
            <v>3731</v>
          </cell>
          <cell r="N190">
            <v>8101</v>
          </cell>
          <cell r="Q190">
            <v>78144</v>
          </cell>
          <cell r="S190">
            <v>153033</v>
          </cell>
          <cell r="V190">
            <v>153000</v>
          </cell>
          <cell r="W190">
            <v>-5</v>
          </cell>
        </row>
        <row r="191">
          <cell r="E191">
            <v>200</v>
          </cell>
          <cell r="G191">
            <v>29200</v>
          </cell>
          <cell r="J191">
            <v>38</v>
          </cell>
          <cell r="L191">
            <v>21242</v>
          </cell>
          <cell r="M191">
            <v>3731</v>
          </cell>
          <cell r="N191">
            <v>8123</v>
          </cell>
          <cell r="Q191">
            <v>78144</v>
          </cell>
          <cell r="S191">
            <v>140440</v>
          </cell>
          <cell r="V191">
            <v>140500</v>
          </cell>
          <cell r="W191">
            <v>-65</v>
          </cell>
        </row>
        <row r="192">
          <cell r="E192">
            <v>218</v>
          </cell>
          <cell r="G192">
            <v>31828</v>
          </cell>
          <cell r="J192">
            <v>1</v>
          </cell>
          <cell r="L192">
            <v>559</v>
          </cell>
          <cell r="M192">
            <v>3731</v>
          </cell>
          <cell r="N192">
            <v>8148</v>
          </cell>
          <cell r="Q192">
            <v>78144</v>
          </cell>
          <cell r="S192">
            <v>122410</v>
          </cell>
          <cell r="V192">
            <v>122400</v>
          </cell>
          <cell r="W192">
            <v>-55</v>
          </cell>
        </row>
        <row r="193">
          <cell r="E193">
            <v>216</v>
          </cell>
          <cell r="G193">
            <v>31536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Q193">
            <v>78144</v>
          </cell>
          <cell r="S193">
            <v>122131</v>
          </cell>
          <cell r="V193">
            <v>122100</v>
          </cell>
          <cell r="W193">
            <v>-24</v>
          </cell>
        </row>
        <row r="194">
          <cell r="E194">
            <v>250</v>
          </cell>
          <cell r="G194">
            <v>36500</v>
          </cell>
          <cell r="J194">
            <v>0</v>
          </cell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126561</v>
          </cell>
          <cell r="V194">
            <v>126600</v>
          </cell>
          <cell r="W194">
            <v>-63</v>
          </cell>
        </row>
        <row r="195">
          <cell r="E195">
            <v>244</v>
          </cell>
          <cell r="G195">
            <v>35624</v>
          </cell>
          <cell r="J195">
            <v>17</v>
          </cell>
          <cell r="L195">
            <v>9503</v>
          </cell>
          <cell r="M195">
            <v>3731</v>
          </cell>
          <cell r="N195">
            <v>8207</v>
          </cell>
          <cell r="Q195">
            <v>78144</v>
          </cell>
          <cell r="S195">
            <v>135209</v>
          </cell>
          <cell r="V195">
            <v>135800</v>
          </cell>
          <cell r="W195">
            <v>-654</v>
          </cell>
        </row>
        <row r="196">
          <cell r="E196">
            <v>223</v>
          </cell>
          <cell r="G196">
            <v>32558</v>
          </cell>
          <cell r="J196">
            <v>17</v>
          </cell>
          <cell r="L196">
            <v>9503</v>
          </cell>
          <cell r="M196">
            <v>3731</v>
          </cell>
          <cell r="N196">
            <v>8230</v>
          </cell>
          <cell r="Q196">
            <v>78144</v>
          </cell>
          <cell r="S196">
            <v>132166</v>
          </cell>
          <cell r="V196">
            <v>131600</v>
          </cell>
          <cell r="W196">
            <v>-88</v>
          </cell>
        </row>
        <row r="197">
          <cell r="E197">
            <v>235</v>
          </cell>
          <cell r="G197">
            <v>34310</v>
          </cell>
          <cell r="J197">
            <v>33</v>
          </cell>
          <cell r="L197">
            <v>18447</v>
          </cell>
          <cell r="M197">
            <v>3731</v>
          </cell>
          <cell r="N197">
            <v>8260</v>
          </cell>
          <cell r="Q197">
            <v>78144</v>
          </cell>
          <cell r="S197">
            <v>142892</v>
          </cell>
          <cell r="V197">
            <v>143000</v>
          </cell>
          <cell r="W197">
            <v>-196</v>
          </cell>
        </row>
        <row r="198">
          <cell r="E198">
            <v>230</v>
          </cell>
          <cell r="G198">
            <v>33580</v>
          </cell>
          <cell r="J198">
            <v>59</v>
          </cell>
          <cell r="L198">
            <v>32981</v>
          </cell>
          <cell r="M198">
            <v>3731</v>
          </cell>
          <cell r="N198">
            <v>8270</v>
          </cell>
          <cell r="Q198">
            <v>78144</v>
          </cell>
          <cell r="S198">
            <v>156706</v>
          </cell>
          <cell r="V198">
            <v>156600</v>
          </cell>
          <cell r="W198">
            <v>-90</v>
          </cell>
        </row>
        <row r="199">
          <cell r="E199">
            <v>246</v>
          </cell>
          <cell r="G199">
            <v>35916</v>
          </cell>
          <cell r="J199">
            <v>79</v>
          </cell>
          <cell r="L199">
            <v>44161</v>
          </cell>
          <cell r="M199">
            <v>3828</v>
          </cell>
          <cell r="N199">
            <v>8264</v>
          </cell>
          <cell r="Q199">
            <v>80176</v>
          </cell>
          <cell r="S199">
            <v>172345</v>
          </cell>
          <cell r="V199">
            <v>172300</v>
          </cell>
          <cell r="W199">
            <v>-45</v>
          </cell>
        </row>
        <row r="200">
          <cell r="E200">
            <v>213</v>
          </cell>
          <cell r="G200">
            <v>31098</v>
          </cell>
          <cell r="J200">
            <v>68</v>
          </cell>
          <cell r="L200">
            <v>38012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161381</v>
          </cell>
          <cell r="V200">
            <v>161400</v>
          </cell>
          <cell r="W200">
            <v>-64</v>
          </cell>
        </row>
        <row r="201">
          <cell r="E201">
            <v>210</v>
          </cell>
          <cell r="G201">
            <v>30660</v>
          </cell>
          <cell r="J201">
            <v>71</v>
          </cell>
          <cell r="L201">
            <v>39689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S201">
            <v>162623</v>
          </cell>
          <cell r="V201">
            <v>162600</v>
          </cell>
          <cell r="W201">
            <v>-41</v>
          </cell>
        </row>
        <row r="202">
          <cell r="E202">
            <v>236</v>
          </cell>
          <cell r="G202">
            <v>34456</v>
          </cell>
          <cell r="J202">
            <v>57</v>
          </cell>
          <cell r="L202">
            <v>31863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158622</v>
          </cell>
          <cell r="V202">
            <v>158600</v>
          </cell>
          <cell r="W202">
            <v>-19</v>
          </cell>
        </row>
        <row r="203">
          <cell r="E203">
            <v>175</v>
          </cell>
          <cell r="G203">
            <v>25550</v>
          </cell>
          <cell r="J203">
            <v>44</v>
          </cell>
          <cell r="L203">
            <v>24596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142479</v>
          </cell>
          <cell r="V203"/>
          <cell r="W203">
            <v>142460</v>
          </cell>
        </row>
        <row r="204">
          <cell r="E204">
            <v>-22557</v>
          </cell>
          <cell r="G204">
            <v>-3293322</v>
          </cell>
          <cell r="J204">
            <v>-20578</v>
          </cell>
          <cell r="L204">
            <v>-11503102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-14712420</v>
          </cell>
          <cell r="V204"/>
          <cell r="W204">
            <v>-14569960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-14485956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-14401952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-14317948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-14233944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-14149940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-14065936</v>
          </cell>
        </row>
      </sheetData>
      <sheetData sheetId="58">
        <row r="175">
          <cell r="L175">
            <v>0</v>
          </cell>
          <cell r="M175">
            <v>3731</v>
          </cell>
          <cell r="N175">
            <v>7000</v>
          </cell>
          <cell r="Q175">
            <v>76410</v>
          </cell>
          <cell r="S175">
            <v>87141</v>
          </cell>
          <cell r="W175">
            <v>79931</v>
          </cell>
        </row>
        <row r="176">
          <cell r="L176">
            <v>0</v>
          </cell>
          <cell r="M176">
            <v>3731</v>
          </cell>
          <cell r="N176">
            <v>7000</v>
          </cell>
          <cell r="Q176">
            <v>76410</v>
          </cell>
          <cell r="S176">
            <v>87141</v>
          </cell>
          <cell r="V176">
            <v>167072</v>
          </cell>
          <cell r="W176">
            <v>0</v>
          </cell>
        </row>
        <row r="177">
          <cell r="L177">
            <v>0</v>
          </cell>
          <cell r="M177">
            <v>3731</v>
          </cell>
          <cell r="N177">
            <v>7000</v>
          </cell>
          <cell r="Q177">
            <v>76410</v>
          </cell>
          <cell r="R177">
            <v>52944</v>
          </cell>
          <cell r="S177">
            <v>140085</v>
          </cell>
          <cell r="W177">
            <v>140085</v>
          </cell>
        </row>
        <row r="178">
          <cell r="L178">
            <v>0</v>
          </cell>
          <cell r="M178">
            <v>3731</v>
          </cell>
          <cell r="N178">
            <v>7000</v>
          </cell>
          <cell r="Q178">
            <v>76410</v>
          </cell>
          <cell r="R178">
            <v>53123</v>
          </cell>
          <cell r="S178">
            <v>140264</v>
          </cell>
          <cell r="V178">
            <v>174282</v>
          </cell>
          <cell r="W178">
            <v>106067</v>
          </cell>
        </row>
        <row r="179">
          <cell r="L179">
            <v>0</v>
          </cell>
          <cell r="M179">
            <v>3731</v>
          </cell>
          <cell r="N179">
            <v>7000</v>
          </cell>
          <cell r="Q179">
            <v>76410</v>
          </cell>
          <cell r="R179">
            <v>53262</v>
          </cell>
          <cell r="S179">
            <v>140403</v>
          </cell>
          <cell r="W179">
            <v>246470</v>
          </cell>
        </row>
        <row r="180">
          <cell r="L180">
            <v>0</v>
          </cell>
          <cell r="M180">
            <v>3731</v>
          </cell>
          <cell r="N180">
            <v>7000</v>
          </cell>
          <cell r="Q180">
            <v>76410</v>
          </cell>
          <cell r="R180">
            <v>53330</v>
          </cell>
          <cell r="S180">
            <v>140471</v>
          </cell>
          <cell r="W180">
            <v>386941</v>
          </cell>
        </row>
        <row r="181">
          <cell r="L181">
            <v>0</v>
          </cell>
          <cell r="M181">
            <v>3731</v>
          </cell>
          <cell r="N181">
            <v>7000</v>
          </cell>
          <cell r="Q181">
            <v>76410</v>
          </cell>
          <cell r="S181">
            <v>87141</v>
          </cell>
          <cell r="V181">
            <v>474082</v>
          </cell>
          <cell r="W181">
            <v>0</v>
          </cell>
        </row>
        <row r="182">
          <cell r="L182">
            <v>0</v>
          </cell>
          <cell r="M182">
            <v>3731</v>
          </cell>
          <cell r="N182">
            <v>7981</v>
          </cell>
          <cell r="Q182">
            <v>76410</v>
          </cell>
          <cell r="S182">
            <v>88122</v>
          </cell>
          <cell r="W182">
            <v>88122</v>
          </cell>
        </row>
        <row r="183">
          <cell r="L183">
            <v>0</v>
          </cell>
          <cell r="M183">
            <v>3731</v>
          </cell>
          <cell r="N183">
            <v>7997</v>
          </cell>
          <cell r="Q183">
            <v>76410</v>
          </cell>
          <cell r="S183">
            <v>88138</v>
          </cell>
          <cell r="V183">
            <v>176270</v>
          </cell>
          <cell r="W183">
            <v>-10</v>
          </cell>
        </row>
        <row r="184">
          <cell r="L184">
            <v>0</v>
          </cell>
          <cell r="M184">
            <v>3731</v>
          </cell>
          <cell r="N184">
            <v>7990</v>
          </cell>
          <cell r="Q184">
            <v>76410</v>
          </cell>
          <cell r="R184">
            <v>53270</v>
          </cell>
          <cell r="S184">
            <v>141401</v>
          </cell>
          <cell r="W184">
            <v>141391</v>
          </cell>
        </row>
        <row r="185">
          <cell r="L185">
            <v>0</v>
          </cell>
          <cell r="M185">
            <v>3731</v>
          </cell>
          <cell r="N185">
            <v>8019</v>
          </cell>
          <cell r="Q185">
            <v>76410</v>
          </cell>
          <cell r="R185">
            <v>53462</v>
          </cell>
          <cell r="S185">
            <v>141622</v>
          </cell>
          <cell r="W185">
            <v>283013</v>
          </cell>
        </row>
        <row r="186">
          <cell r="L186">
            <v>0</v>
          </cell>
          <cell r="M186">
            <v>3731</v>
          </cell>
          <cell r="N186">
            <v>8039</v>
          </cell>
          <cell r="Q186">
            <v>76410</v>
          </cell>
          <cell r="S186">
            <v>88180</v>
          </cell>
          <cell r="V186">
            <v>372000</v>
          </cell>
          <cell r="W186">
            <v>-807</v>
          </cell>
        </row>
        <row r="187">
          <cell r="L187">
            <v>0</v>
          </cell>
          <cell r="M187">
            <v>3731</v>
          </cell>
          <cell r="N187">
            <v>8047</v>
          </cell>
          <cell r="Q187">
            <v>78144</v>
          </cell>
          <cell r="R187">
            <v>53847</v>
          </cell>
          <cell r="S187">
            <v>143769</v>
          </cell>
          <cell r="W187">
            <v>142962</v>
          </cell>
        </row>
        <row r="188">
          <cell r="L188">
            <v>0</v>
          </cell>
          <cell r="M188">
            <v>3731</v>
          </cell>
          <cell r="N188">
            <v>8077</v>
          </cell>
          <cell r="Q188">
            <v>78144</v>
          </cell>
          <cell r="R188">
            <v>53934</v>
          </cell>
          <cell r="S188">
            <v>143886</v>
          </cell>
          <cell r="V188">
            <v>200000</v>
          </cell>
          <cell r="W188">
            <v>86848</v>
          </cell>
        </row>
        <row r="189">
          <cell r="L189">
            <v>0</v>
          </cell>
          <cell r="M189">
            <v>3731</v>
          </cell>
          <cell r="N189">
            <v>8090</v>
          </cell>
          <cell r="Q189">
            <v>78144</v>
          </cell>
          <cell r="S189">
            <v>89965</v>
          </cell>
          <cell r="W189">
            <v>176813</v>
          </cell>
        </row>
        <row r="190">
          <cell r="L190">
            <v>0</v>
          </cell>
          <cell r="M190">
            <v>3731</v>
          </cell>
          <cell r="N190">
            <v>8101</v>
          </cell>
          <cell r="Q190">
            <v>78144</v>
          </cell>
          <cell r="S190">
            <v>89976</v>
          </cell>
          <cell r="V190">
            <v>266789</v>
          </cell>
          <cell r="W190">
            <v>0</v>
          </cell>
        </row>
        <row r="191">
          <cell r="L191">
            <v>0</v>
          </cell>
          <cell r="M191">
            <v>3731</v>
          </cell>
          <cell r="N191">
            <v>8123</v>
          </cell>
          <cell r="Q191">
            <v>78144</v>
          </cell>
          <cell r="S191">
            <v>89998</v>
          </cell>
          <cell r="V191">
            <v>89998</v>
          </cell>
          <cell r="W191">
            <v>0</v>
          </cell>
        </row>
        <row r="192">
          <cell r="L192">
            <v>0</v>
          </cell>
          <cell r="M192">
            <v>3731</v>
          </cell>
          <cell r="N192">
            <v>8148</v>
          </cell>
          <cell r="Q192">
            <v>78144</v>
          </cell>
          <cell r="R192">
            <v>54405</v>
          </cell>
          <cell r="S192">
            <v>144428</v>
          </cell>
          <cell r="W192">
            <v>144428</v>
          </cell>
        </row>
        <row r="193">
          <cell r="L193">
            <v>0</v>
          </cell>
          <cell r="M193">
            <v>3731</v>
          </cell>
          <cell r="N193">
            <v>8161</v>
          </cell>
          <cell r="Q193">
            <v>78144</v>
          </cell>
          <cell r="R193">
            <v>54575</v>
          </cell>
          <cell r="S193">
            <v>144611</v>
          </cell>
          <cell r="V193">
            <v>289039</v>
          </cell>
          <cell r="W193">
            <v>0</v>
          </cell>
        </row>
        <row r="194">
          <cell r="L194">
            <v>0</v>
          </cell>
          <cell r="M194">
            <v>3731</v>
          </cell>
          <cell r="N194">
            <v>8186</v>
          </cell>
          <cell r="Q194">
            <v>78144</v>
          </cell>
          <cell r="S194">
            <v>90061</v>
          </cell>
          <cell r="W194">
            <v>90061</v>
          </cell>
        </row>
        <row r="195">
          <cell r="L195">
            <v>0</v>
          </cell>
          <cell r="M195">
            <v>3731</v>
          </cell>
          <cell r="N195">
            <v>8207</v>
          </cell>
          <cell r="Q195">
            <v>78144</v>
          </cell>
          <cell r="S195">
            <v>90082</v>
          </cell>
          <cell r="V195">
            <v>180143</v>
          </cell>
          <cell r="W195">
            <v>0</v>
          </cell>
        </row>
        <row r="196">
          <cell r="L196">
            <v>0</v>
          </cell>
          <cell r="M196">
            <v>3731</v>
          </cell>
          <cell r="N196">
            <v>8230</v>
          </cell>
          <cell r="Q196">
            <v>78144</v>
          </cell>
          <cell r="S196">
            <v>90105</v>
          </cell>
          <cell r="V196">
            <v>90105</v>
          </cell>
          <cell r="W196">
            <v>0</v>
          </cell>
        </row>
        <row r="197">
          <cell r="L197">
            <v>0</v>
          </cell>
          <cell r="M197">
            <v>3731</v>
          </cell>
          <cell r="N197">
            <v>8260</v>
          </cell>
          <cell r="Q197">
            <v>78144</v>
          </cell>
          <cell r="S197">
            <v>90135</v>
          </cell>
          <cell r="W197">
            <v>90135</v>
          </cell>
        </row>
        <row r="198">
          <cell r="L198">
            <v>0</v>
          </cell>
          <cell r="M198">
            <v>3731</v>
          </cell>
          <cell r="N198">
            <v>8270</v>
          </cell>
          <cell r="Q198">
            <v>78144</v>
          </cell>
          <cell r="S198">
            <v>90145</v>
          </cell>
          <cell r="V198">
            <v>180280</v>
          </cell>
          <cell r="W198">
            <v>0</v>
          </cell>
        </row>
        <row r="199">
          <cell r="L199">
            <v>0</v>
          </cell>
          <cell r="M199">
            <v>3828</v>
          </cell>
          <cell r="N199">
            <v>8264</v>
          </cell>
          <cell r="Q199">
            <v>80176</v>
          </cell>
          <cell r="S199">
            <v>92268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S200">
            <v>92271</v>
          </cell>
          <cell r="V200">
            <v>184539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275648</v>
          </cell>
          <cell r="S201">
            <v>367922</v>
          </cell>
          <cell r="V201">
            <v>80176</v>
          </cell>
          <cell r="W201">
            <v>287746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S202">
            <v>92303</v>
          </cell>
          <cell r="V202"/>
          <cell r="W202">
            <v>380049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S203">
            <v>92333</v>
          </cell>
          <cell r="V203"/>
          <cell r="W203">
            <v>472382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R204"/>
          <cell r="S204">
            <v>84004</v>
          </cell>
          <cell r="V204"/>
          <cell r="W204">
            <v>556386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R205"/>
          <cell r="S205">
            <v>84004</v>
          </cell>
          <cell r="V205"/>
          <cell r="W205">
            <v>640390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R206"/>
          <cell r="S206">
            <v>84004</v>
          </cell>
          <cell r="V206"/>
          <cell r="W206">
            <v>724394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R207"/>
          <cell r="S207">
            <v>84004</v>
          </cell>
          <cell r="V207"/>
          <cell r="W207">
            <v>808398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R208"/>
          <cell r="S208">
            <v>84004</v>
          </cell>
          <cell r="V208"/>
          <cell r="W208">
            <v>892402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R209"/>
          <cell r="S209">
            <v>84004</v>
          </cell>
          <cell r="V209"/>
          <cell r="W209">
            <v>976406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R210"/>
          <cell r="S210">
            <v>84004</v>
          </cell>
          <cell r="V210"/>
          <cell r="W210">
            <v>1060410</v>
          </cell>
        </row>
      </sheetData>
      <sheetData sheetId="59">
        <row r="175">
          <cell r="E175">
            <v>158</v>
          </cell>
          <cell r="G175">
            <v>23068</v>
          </cell>
          <cell r="J175">
            <v>120</v>
          </cell>
          <cell r="L175">
            <v>67080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S175">
            <v>177289</v>
          </cell>
          <cell r="V175">
            <v>177289</v>
          </cell>
          <cell r="W175">
            <v>0</v>
          </cell>
        </row>
        <row r="176">
          <cell r="E176">
            <v>165</v>
          </cell>
          <cell r="G176">
            <v>24090</v>
          </cell>
          <cell r="J176">
            <v>62</v>
          </cell>
          <cell r="L176">
            <v>34658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S176">
            <v>145889</v>
          </cell>
          <cell r="V176">
            <v>145889</v>
          </cell>
          <cell r="W176">
            <v>0</v>
          </cell>
        </row>
        <row r="177">
          <cell r="E177">
            <v>266</v>
          </cell>
          <cell r="G177">
            <v>38836</v>
          </cell>
          <cell r="J177">
            <v>100</v>
          </cell>
          <cell r="L177">
            <v>55900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S177">
            <v>181877</v>
          </cell>
          <cell r="V177">
            <v>181877</v>
          </cell>
          <cell r="W177">
            <v>0</v>
          </cell>
        </row>
        <row r="178">
          <cell r="E178">
            <v>125</v>
          </cell>
          <cell r="G178">
            <v>18250</v>
          </cell>
          <cell r="J178">
            <v>59</v>
          </cell>
          <cell r="L178">
            <v>32981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S178">
            <v>138372</v>
          </cell>
          <cell r="V178">
            <v>138372</v>
          </cell>
          <cell r="W178">
            <v>0</v>
          </cell>
        </row>
        <row r="179">
          <cell r="E179">
            <v>191</v>
          </cell>
          <cell r="G179">
            <v>27886</v>
          </cell>
          <cell r="J179">
            <v>22</v>
          </cell>
          <cell r="L179">
            <v>12298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S179">
            <v>127325</v>
          </cell>
          <cell r="V179">
            <v>127325</v>
          </cell>
          <cell r="W179">
            <v>0</v>
          </cell>
        </row>
        <row r="180">
          <cell r="E180">
            <v>84</v>
          </cell>
          <cell r="G180">
            <v>12264</v>
          </cell>
          <cell r="J180">
            <v>2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S180">
            <v>100523</v>
          </cell>
          <cell r="V180">
            <v>100523</v>
          </cell>
          <cell r="W180">
            <v>0</v>
          </cell>
        </row>
        <row r="181">
          <cell r="E181">
            <v>65</v>
          </cell>
          <cell r="G181">
            <v>9490</v>
          </cell>
          <cell r="J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S181">
            <v>96631</v>
          </cell>
          <cell r="V181">
            <v>96631</v>
          </cell>
          <cell r="W181">
            <v>0</v>
          </cell>
        </row>
        <row r="182">
          <cell r="E182">
            <v>124</v>
          </cell>
          <cell r="G182">
            <v>18104</v>
          </cell>
          <cell r="J182">
            <v>6</v>
          </cell>
          <cell r="L182">
            <v>3354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S182">
            <v>109580</v>
          </cell>
          <cell r="V182">
            <v>109580</v>
          </cell>
          <cell r="W182">
            <v>0</v>
          </cell>
        </row>
        <row r="183">
          <cell r="E183">
            <v>64</v>
          </cell>
          <cell r="G183">
            <v>9344</v>
          </cell>
          <cell r="J183">
            <v>1</v>
          </cell>
          <cell r="L183">
            <v>559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S183">
            <v>98041</v>
          </cell>
          <cell r="V183">
            <v>98041</v>
          </cell>
          <cell r="W183">
            <v>0</v>
          </cell>
        </row>
        <row r="184">
          <cell r="E184">
            <v>81</v>
          </cell>
          <cell r="G184">
            <v>11826</v>
          </cell>
          <cell r="J184">
            <v>3</v>
          </cell>
          <cell r="L184">
            <v>1677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S184">
            <v>101634</v>
          </cell>
          <cell r="V184">
            <v>101634</v>
          </cell>
          <cell r="W184">
            <v>0</v>
          </cell>
        </row>
        <row r="185">
          <cell r="E185">
            <v>49</v>
          </cell>
          <cell r="G185">
            <v>7154</v>
          </cell>
          <cell r="J185">
            <v>46</v>
          </cell>
          <cell r="L185">
            <v>25714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S185">
            <v>121028</v>
          </cell>
          <cell r="V185">
            <v>121028</v>
          </cell>
          <cell r="W185">
            <v>0</v>
          </cell>
        </row>
        <row r="186">
          <cell r="E186">
            <v>61</v>
          </cell>
          <cell r="G186">
            <v>8906</v>
          </cell>
          <cell r="J186">
            <v>80</v>
          </cell>
          <cell r="L186">
            <v>44720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S186">
            <v>141806</v>
          </cell>
          <cell r="V186">
            <v>141806</v>
          </cell>
          <cell r="W186">
            <v>0</v>
          </cell>
        </row>
        <row r="187">
          <cell r="E187">
            <v>81</v>
          </cell>
          <cell r="G187">
            <v>11826</v>
          </cell>
          <cell r="J187">
            <v>109</v>
          </cell>
          <cell r="L187">
            <v>60931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S187">
            <v>162679</v>
          </cell>
          <cell r="V187">
            <v>162679</v>
          </cell>
          <cell r="W187">
            <v>0</v>
          </cell>
        </row>
        <row r="188">
          <cell r="E188">
            <v>250</v>
          </cell>
          <cell r="G188">
            <v>36500</v>
          </cell>
          <cell r="J188">
            <v>109</v>
          </cell>
          <cell r="L188">
            <v>60931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S188">
            <v>187383</v>
          </cell>
          <cell r="V188">
            <v>187383</v>
          </cell>
          <cell r="W188">
            <v>0</v>
          </cell>
        </row>
        <row r="189">
          <cell r="E189">
            <v>59</v>
          </cell>
          <cell r="G189">
            <v>8614</v>
          </cell>
          <cell r="J189">
            <v>63</v>
          </cell>
          <cell r="L189">
            <v>35217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S189">
            <v>133796</v>
          </cell>
          <cell r="V189">
            <v>133796</v>
          </cell>
          <cell r="W189">
            <v>0</v>
          </cell>
        </row>
        <row r="190">
          <cell r="E190">
            <v>47</v>
          </cell>
          <cell r="G190">
            <v>6862</v>
          </cell>
          <cell r="J190">
            <v>64</v>
          </cell>
          <cell r="L190">
            <v>35776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S190">
            <v>132614</v>
          </cell>
          <cell r="V190">
            <v>132614</v>
          </cell>
          <cell r="W190">
            <v>0</v>
          </cell>
        </row>
        <row r="191">
          <cell r="E191">
            <v>47</v>
          </cell>
          <cell r="G191">
            <v>6862</v>
          </cell>
          <cell r="J191">
            <v>65</v>
          </cell>
          <cell r="L191">
            <v>36335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S191">
            <v>133195</v>
          </cell>
          <cell r="V191">
            <v>133195</v>
          </cell>
          <cell r="W191">
            <v>0</v>
          </cell>
        </row>
        <row r="192">
          <cell r="E192">
            <v>53</v>
          </cell>
          <cell r="G192">
            <v>7738</v>
          </cell>
          <cell r="J192">
            <v>9</v>
          </cell>
          <cell r="L192">
            <v>5031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S192">
            <v>102792</v>
          </cell>
          <cell r="V192">
            <v>102792</v>
          </cell>
          <cell r="W192">
            <v>0</v>
          </cell>
        </row>
        <row r="193">
          <cell r="E193">
            <v>40</v>
          </cell>
          <cell r="G193">
            <v>5840</v>
          </cell>
          <cell r="J193">
            <v>1</v>
          </cell>
          <cell r="L193">
            <v>559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S193">
            <v>96435</v>
          </cell>
          <cell r="V193">
            <v>96435</v>
          </cell>
          <cell r="W193">
            <v>0</v>
          </cell>
        </row>
        <row r="194">
          <cell r="E194">
            <v>56</v>
          </cell>
          <cell r="G194">
            <v>8176</v>
          </cell>
          <cell r="J194">
            <v>2</v>
          </cell>
          <cell r="L194">
            <v>1118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S194">
            <v>99355</v>
          </cell>
          <cell r="V194">
            <v>99355</v>
          </cell>
          <cell r="W194">
            <v>0</v>
          </cell>
        </row>
        <row r="195">
          <cell r="E195">
            <v>40</v>
          </cell>
          <cell r="G195">
            <v>5840</v>
          </cell>
          <cell r="J195">
            <v>3</v>
          </cell>
          <cell r="L195">
            <v>1677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S195">
            <v>97599</v>
          </cell>
          <cell r="V195">
            <v>97599</v>
          </cell>
          <cell r="W195">
            <v>0</v>
          </cell>
        </row>
        <row r="196">
          <cell r="E196">
            <v>81</v>
          </cell>
          <cell r="G196">
            <v>11826</v>
          </cell>
          <cell r="J196">
            <v>69</v>
          </cell>
          <cell r="L196">
            <v>38571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S196">
            <v>140502</v>
          </cell>
          <cell r="V196">
            <v>140502</v>
          </cell>
          <cell r="W196">
            <v>0</v>
          </cell>
        </row>
        <row r="197">
          <cell r="E197">
            <v>134</v>
          </cell>
          <cell r="G197">
            <v>19564</v>
          </cell>
          <cell r="J197">
            <v>33</v>
          </cell>
          <cell r="L197">
            <v>18447</v>
          </cell>
          <cell r="M197">
            <v>3731</v>
          </cell>
          <cell r="N197">
            <v>8260</v>
          </cell>
          <cell r="O197">
            <v>19040</v>
          </cell>
          <cell r="P197">
            <v>0</v>
          </cell>
          <cell r="Q197">
            <v>78144</v>
          </cell>
          <cell r="S197">
            <v>147186</v>
          </cell>
          <cell r="V197">
            <v>147186</v>
          </cell>
          <cell r="W197">
            <v>0</v>
          </cell>
        </row>
        <row r="198">
          <cell r="E198">
            <v>323</v>
          </cell>
          <cell r="G198">
            <v>47158</v>
          </cell>
          <cell r="J198">
            <v>106</v>
          </cell>
          <cell r="L198">
            <v>59254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S198">
            <v>196557</v>
          </cell>
          <cell r="V198">
            <v>196557</v>
          </cell>
          <cell r="W198">
            <v>0</v>
          </cell>
        </row>
        <row r="199">
          <cell r="E199">
            <v>217</v>
          </cell>
          <cell r="G199">
            <v>31682</v>
          </cell>
          <cell r="J199">
            <v>94</v>
          </cell>
          <cell r="L199">
            <v>52546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S199">
            <v>176496</v>
          </cell>
          <cell r="V199">
            <v>176496</v>
          </cell>
          <cell r="W199">
            <v>0</v>
          </cell>
        </row>
        <row r="200">
          <cell r="E200">
            <v>280</v>
          </cell>
          <cell r="G200">
            <v>40880</v>
          </cell>
          <cell r="J200">
            <v>86</v>
          </cell>
          <cell r="L200">
            <v>48074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/>
          <cell r="S200">
            <v>181225</v>
          </cell>
          <cell r="V200">
            <v>181225</v>
          </cell>
          <cell r="W200">
            <v>0</v>
          </cell>
        </row>
        <row r="201">
          <cell r="E201">
            <v>226</v>
          </cell>
          <cell r="G201">
            <v>32996</v>
          </cell>
          <cell r="J201">
            <v>69</v>
          </cell>
          <cell r="L201">
            <v>38571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/>
          <cell r="S201">
            <v>163841</v>
          </cell>
          <cell r="V201">
            <v>163841</v>
          </cell>
          <cell r="W201">
            <v>0</v>
          </cell>
        </row>
        <row r="202">
          <cell r="E202">
            <v>241</v>
          </cell>
          <cell r="G202">
            <v>35186</v>
          </cell>
          <cell r="J202">
            <v>79</v>
          </cell>
          <cell r="L202">
            <v>44161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/>
          <cell r="S202">
            <v>171650</v>
          </cell>
          <cell r="V202">
            <v>171650</v>
          </cell>
          <cell r="W202">
            <v>0</v>
          </cell>
        </row>
        <row r="203">
          <cell r="E203">
            <v>224</v>
          </cell>
          <cell r="G203">
            <v>32704</v>
          </cell>
          <cell r="J203">
            <v>73</v>
          </cell>
          <cell r="L203">
            <v>40807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/>
          <cell r="S203">
            <v>165844</v>
          </cell>
          <cell r="V203"/>
          <cell r="W203">
            <v>165844</v>
          </cell>
        </row>
        <row r="204">
          <cell r="E204">
            <v>-26409</v>
          </cell>
          <cell r="G204">
            <v>-3855714</v>
          </cell>
          <cell r="J204">
            <v>-18843</v>
          </cell>
          <cell r="L204">
            <v>-10533237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S204">
            <v>-14304947</v>
          </cell>
          <cell r="V204"/>
          <cell r="W204">
            <v>-14139103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S205">
            <v>84004</v>
          </cell>
          <cell r="V205"/>
          <cell r="W205">
            <v>-14055099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S206">
            <v>84004</v>
          </cell>
          <cell r="V206"/>
          <cell r="W206">
            <v>-13971095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S207">
            <v>84004</v>
          </cell>
          <cell r="V207"/>
          <cell r="W207">
            <v>-13887091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S208">
            <v>84004</v>
          </cell>
          <cell r="V208"/>
          <cell r="W208">
            <v>-13803087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S209">
            <v>84004</v>
          </cell>
          <cell r="V209"/>
          <cell r="W209">
            <v>-13719083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S210">
            <v>84004</v>
          </cell>
          <cell r="V210"/>
          <cell r="W210">
            <v>-13635079</v>
          </cell>
        </row>
      </sheetData>
      <sheetData sheetId="60">
        <row r="175">
          <cell r="E175">
            <v>0</v>
          </cell>
          <cell r="G175">
            <v>0</v>
          </cell>
          <cell r="J175">
            <v>103</v>
          </cell>
          <cell r="L175">
            <v>57577</v>
          </cell>
          <cell r="S175">
            <v>57577</v>
          </cell>
          <cell r="V175">
            <v>57577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43</v>
          </cell>
          <cell r="L176">
            <v>24037</v>
          </cell>
          <cell r="S176">
            <v>24037</v>
          </cell>
          <cell r="V176">
            <v>24037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15</v>
          </cell>
          <cell r="L177">
            <v>8385</v>
          </cell>
          <cell r="S177">
            <v>8385</v>
          </cell>
          <cell r="V177">
            <v>8385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15</v>
          </cell>
          <cell r="L178">
            <v>8385</v>
          </cell>
          <cell r="S178">
            <v>8385</v>
          </cell>
          <cell r="V178">
            <v>8385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13</v>
          </cell>
          <cell r="L179">
            <v>7267</v>
          </cell>
          <cell r="S179">
            <v>7267</v>
          </cell>
          <cell r="V179">
            <v>7267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14</v>
          </cell>
          <cell r="L180">
            <v>7826</v>
          </cell>
          <cell r="S180">
            <v>7826</v>
          </cell>
          <cell r="V180">
            <v>7826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11</v>
          </cell>
          <cell r="L181">
            <v>6149</v>
          </cell>
          <cell r="S181">
            <v>6149</v>
          </cell>
          <cell r="V181">
            <v>6149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11</v>
          </cell>
          <cell r="L182">
            <v>6149</v>
          </cell>
          <cell r="S182">
            <v>6149</v>
          </cell>
          <cell r="V182">
            <v>6149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20</v>
          </cell>
          <cell r="L183">
            <v>11180</v>
          </cell>
          <cell r="S183">
            <v>11180</v>
          </cell>
          <cell r="V183">
            <v>11180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32</v>
          </cell>
          <cell r="L184">
            <v>17888</v>
          </cell>
          <cell r="S184">
            <v>17888</v>
          </cell>
          <cell r="V184">
            <v>17888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37</v>
          </cell>
          <cell r="L185">
            <v>20683</v>
          </cell>
          <cell r="S185">
            <v>20683</v>
          </cell>
          <cell r="V185">
            <v>20683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38</v>
          </cell>
          <cell r="L186">
            <v>21242</v>
          </cell>
          <cell r="S186">
            <v>21242</v>
          </cell>
          <cell r="V186">
            <v>21242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12</v>
          </cell>
          <cell r="L187">
            <v>6708</v>
          </cell>
          <cell r="S187">
            <v>6708</v>
          </cell>
          <cell r="V187">
            <v>6708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23</v>
          </cell>
          <cell r="L188">
            <v>12857</v>
          </cell>
          <cell r="S188">
            <v>12857</v>
          </cell>
          <cell r="V188">
            <v>12857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18</v>
          </cell>
          <cell r="L189">
            <v>10062</v>
          </cell>
          <cell r="S189">
            <v>10062</v>
          </cell>
          <cell r="V189">
            <v>10062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26</v>
          </cell>
          <cell r="L190">
            <v>14534</v>
          </cell>
          <cell r="S190">
            <v>14534</v>
          </cell>
          <cell r="V190">
            <v>14534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14</v>
          </cell>
          <cell r="L191">
            <v>7826</v>
          </cell>
          <cell r="S191">
            <v>7826</v>
          </cell>
          <cell r="V191">
            <v>7826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19</v>
          </cell>
          <cell r="L192">
            <v>10620</v>
          </cell>
          <cell r="S192">
            <v>10620</v>
          </cell>
          <cell r="V192">
            <v>10620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17</v>
          </cell>
          <cell r="L193">
            <v>9503</v>
          </cell>
          <cell r="S193">
            <v>9503</v>
          </cell>
          <cell r="V193">
            <v>9503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20</v>
          </cell>
          <cell r="L194">
            <v>11180</v>
          </cell>
          <cell r="S194">
            <v>11180</v>
          </cell>
          <cell r="V194">
            <v>11180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19</v>
          </cell>
          <cell r="L195">
            <v>10620</v>
          </cell>
          <cell r="S195">
            <v>10620</v>
          </cell>
          <cell r="V195">
            <v>10620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20</v>
          </cell>
          <cell r="L196">
            <v>11180</v>
          </cell>
          <cell r="S196">
            <v>11180</v>
          </cell>
          <cell r="V196">
            <v>11180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25</v>
          </cell>
          <cell r="L197">
            <v>13975</v>
          </cell>
          <cell r="S197">
            <v>13975</v>
          </cell>
          <cell r="V197">
            <v>13975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23</v>
          </cell>
          <cell r="L198">
            <v>12857</v>
          </cell>
          <cell r="S198">
            <v>12857</v>
          </cell>
          <cell r="V198">
            <v>12857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23</v>
          </cell>
          <cell r="L199">
            <v>12857</v>
          </cell>
          <cell r="S199">
            <v>12857</v>
          </cell>
          <cell r="V199">
            <v>12857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25</v>
          </cell>
          <cell r="L200">
            <v>13975</v>
          </cell>
          <cell r="M200"/>
          <cell r="N200"/>
          <cell r="O200"/>
          <cell r="P200"/>
          <cell r="Q200"/>
          <cell r="R200"/>
          <cell r="S200">
            <v>13975</v>
          </cell>
          <cell r="V200">
            <v>13975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22</v>
          </cell>
          <cell r="L201">
            <v>12298</v>
          </cell>
          <cell r="M201"/>
          <cell r="N201"/>
          <cell r="O201"/>
          <cell r="P201"/>
          <cell r="Q201"/>
          <cell r="R201"/>
          <cell r="S201">
            <v>12298</v>
          </cell>
          <cell r="V201">
            <v>12298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15</v>
          </cell>
          <cell r="L202">
            <v>8385</v>
          </cell>
          <cell r="M202"/>
          <cell r="N202"/>
          <cell r="O202"/>
          <cell r="P202"/>
          <cell r="Q202"/>
          <cell r="R202"/>
          <cell r="S202">
            <v>8385</v>
          </cell>
          <cell r="V202">
            <v>8385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19</v>
          </cell>
          <cell r="L203">
            <v>10621</v>
          </cell>
          <cell r="M203"/>
          <cell r="N203"/>
          <cell r="O203"/>
          <cell r="P203"/>
          <cell r="Q203"/>
          <cell r="R203"/>
          <cell r="S203">
            <v>10621</v>
          </cell>
          <cell r="V203"/>
          <cell r="W203">
            <v>10621</v>
          </cell>
        </row>
        <row r="204">
          <cell r="E204">
            <v>0</v>
          </cell>
          <cell r="G204">
            <v>0</v>
          </cell>
          <cell r="J204">
            <v>-6222</v>
          </cell>
          <cell r="L204">
            <v>-3478098</v>
          </cell>
          <cell r="M204"/>
          <cell r="N204"/>
          <cell r="O204"/>
          <cell r="P204"/>
          <cell r="Q204"/>
          <cell r="R204"/>
          <cell r="S204">
            <v>-3478098</v>
          </cell>
          <cell r="V204"/>
          <cell r="W204">
            <v>-3467477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/>
          <cell r="N205"/>
          <cell r="O205"/>
          <cell r="P205"/>
          <cell r="Q205"/>
          <cell r="R205"/>
          <cell r="S205">
            <v>0</v>
          </cell>
          <cell r="V205"/>
          <cell r="W205">
            <v>-3467477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/>
          <cell r="N206"/>
          <cell r="O206"/>
          <cell r="P206"/>
          <cell r="Q206"/>
          <cell r="R206"/>
          <cell r="S206">
            <v>0</v>
          </cell>
          <cell r="V206"/>
          <cell r="W206">
            <v>-3467477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/>
          <cell r="N207"/>
          <cell r="O207"/>
          <cell r="P207"/>
          <cell r="Q207"/>
          <cell r="R207"/>
          <cell r="S207">
            <v>0</v>
          </cell>
          <cell r="V207"/>
          <cell r="W207">
            <v>-3467477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/>
          <cell r="N208"/>
          <cell r="O208"/>
          <cell r="P208"/>
          <cell r="Q208"/>
          <cell r="R208"/>
          <cell r="S208">
            <v>0</v>
          </cell>
          <cell r="V208"/>
          <cell r="W208">
            <v>-3467477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/>
          <cell r="N209"/>
          <cell r="O209"/>
          <cell r="P209"/>
          <cell r="Q209"/>
          <cell r="R209"/>
          <cell r="S209">
            <v>0</v>
          </cell>
          <cell r="V209"/>
          <cell r="W209">
            <v>-3467477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/>
          <cell r="N210"/>
          <cell r="O210"/>
          <cell r="P210"/>
          <cell r="Q210"/>
          <cell r="R210"/>
          <cell r="S210">
            <v>0</v>
          </cell>
          <cell r="V210"/>
          <cell r="W210">
            <v>-3467477</v>
          </cell>
        </row>
      </sheetData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B-b (1)"/>
      <sheetName val="LB-b (2)"/>
      <sheetName val="LB-b (3)"/>
      <sheetName val="LB-b (4)"/>
      <sheetName val="LB-b (5)"/>
      <sheetName val="LB-b (5C9-B)"/>
      <sheetName val="LB-b (6)"/>
      <sheetName val="LB-b (7)"/>
      <sheetName val="LB-b (8)"/>
      <sheetName val="LB-b (9)"/>
      <sheetName val="LB-b (10)"/>
      <sheetName val="LB-b (11)"/>
      <sheetName val="LB-b (12)"/>
      <sheetName val="LB-b (13)"/>
      <sheetName val="LB-b (14)"/>
      <sheetName val="LB-b (15)"/>
      <sheetName val="LB-b (16)"/>
      <sheetName val="LB-b (17)"/>
      <sheetName val="LB-b (18)"/>
      <sheetName val="LB-b (19)"/>
      <sheetName val="LB-b (20)"/>
      <sheetName val="LB-b (21)"/>
      <sheetName val="LB-b (22)"/>
      <sheetName val="LB-b (23)"/>
      <sheetName val="LB-b (24)"/>
      <sheetName val="LB-b (26)"/>
      <sheetName val="LB-b (25)"/>
      <sheetName val="LB-b (27A)"/>
      <sheetName val="LB-b (27B)"/>
      <sheetName val="LB-b (28)"/>
      <sheetName val="LB-b (29)"/>
      <sheetName val="LB-b (30)"/>
      <sheetName val="LB-b (31)"/>
      <sheetName val="LB-b (32A)"/>
      <sheetName val="LB-b (32B)"/>
      <sheetName val="LB-b (33)"/>
      <sheetName val="LB-b (34)"/>
      <sheetName val="LB-b (35A)"/>
      <sheetName val="LB-b (35B)"/>
      <sheetName val="LB-b (36)"/>
      <sheetName val="LB-b (38)"/>
      <sheetName val="LB-b (39)"/>
      <sheetName val="LB-b (40)"/>
      <sheetName val="LB-b (41)"/>
      <sheetName val="LB-b (42)"/>
      <sheetName val="LB-b (43)"/>
      <sheetName val="LB-b 5K-L1 A"/>
      <sheetName val="LB-b5KL1 B"/>
      <sheetName val="final"/>
      <sheetName val="Hoja1"/>
      <sheetName val="LB-b (22"/>
      <sheetName val="LP (1-A)P2"/>
      <sheetName val="LP (2-A)P2"/>
      <sheetName val="LP (3-A)P2  "/>
      <sheetName val="LP (4-A)P2 "/>
      <sheetName val="LP (5-A)P2 "/>
      <sheetName val="LP (1)P2"/>
      <sheetName val="LP (2)P2"/>
      <sheetName val="LP (3)P2"/>
      <sheetName val="LP (4)P2"/>
      <sheetName val="LP (5)P2"/>
      <sheetName val="LP (6-A)P2"/>
      <sheetName val="LP (6)P2"/>
      <sheetName val="LP (7-A)P2 "/>
      <sheetName val="LP (7)P2 "/>
      <sheetName val="LP (8)P2 "/>
      <sheetName val="LP (9)P2"/>
      <sheetName val="LP (10)P2"/>
      <sheetName val="LP (11)P2"/>
      <sheetName val="LP (12)P2"/>
      <sheetName val="LP (13)P2"/>
      <sheetName val="LP (14)P2"/>
      <sheetName val="LP (15)P2"/>
    </sheetNames>
    <sheetDataSet>
      <sheetData sheetId="0"/>
      <sheetData sheetId="1"/>
      <sheetData sheetId="2"/>
      <sheetData sheetId="3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981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680361</v>
          </cell>
        </row>
      </sheetData>
      <sheetData sheetId="4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5">
        <row r="176">
          <cell r="E176">
            <v>258</v>
          </cell>
          <cell r="G176">
            <v>37668</v>
          </cell>
          <cell r="J176">
            <v>16</v>
          </cell>
          <cell r="L176">
            <v>8944</v>
          </cell>
          <cell r="M176">
            <v>3731</v>
          </cell>
          <cell r="O176"/>
          <cell r="P176"/>
          <cell r="Q176">
            <v>76410</v>
          </cell>
          <cell r="W176">
            <v>-705543.2</v>
          </cell>
        </row>
        <row r="177">
          <cell r="E177">
            <v>212</v>
          </cell>
          <cell r="G177">
            <v>30952</v>
          </cell>
          <cell r="J177">
            <v>16</v>
          </cell>
          <cell r="L177">
            <v>8944</v>
          </cell>
          <cell r="M177">
            <v>3731</v>
          </cell>
          <cell r="O177"/>
          <cell r="P177"/>
          <cell r="Q177">
            <v>76410</v>
          </cell>
          <cell r="W177">
            <v>-578506.19999999995</v>
          </cell>
        </row>
        <row r="178">
          <cell r="E178">
            <v>99</v>
          </cell>
          <cell r="G178">
            <v>14454</v>
          </cell>
          <cell r="J178">
            <v>10</v>
          </cell>
          <cell r="L178">
            <v>5590</v>
          </cell>
          <cell r="M178">
            <v>3731</v>
          </cell>
          <cell r="O178"/>
          <cell r="P178"/>
          <cell r="Q178">
            <v>76410</v>
          </cell>
          <cell r="W178">
            <v>-471321.19999999995</v>
          </cell>
        </row>
        <row r="179">
          <cell r="E179">
            <v>99</v>
          </cell>
          <cell r="G179">
            <v>14454</v>
          </cell>
          <cell r="J179">
            <v>6</v>
          </cell>
          <cell r="L179">
            <v>3354</v>
          </cell>
          <cell r="M179">
            <v>3731</v>
          </cell>
          <cell r="O179"/>
          <cell r="P179"/>
          <cell r="Q179">
            <v>76410</v>
          </cell>
          <cell r="W179">
            <v>-366372.19999999995</v>
          </cell>
        </row>
        <row r="180">
          <cell r="E180">
            <v>88</v>
          </cell>
          <cell r="G180">
            <v>12848</v>
          </cell>
          <cell r="J180">
            <v>25</v>
          </cell>
          <cell r="L180">
            <v>13975</v>
          </cell>
          <cell r="M180">
            <v>3731</v>
          </cell>
          <cell r="O180"/>
          <cell r="P180"/>
          <cell r="Q180">
            <v>76410</v>
          </cell>
          <cell r="W180">
            <v>-252408.19999999995</v>
          </cell>
        </row>
        <row r="181">
          <cell r="E181">
            <v>85</v>
          </cell>
          <cell r="G181">
            <v>12410</v>
          </cell>
          <cell r="J181">
            <v>2</v>
          </cell>
          <cell r="L181">
            <v>1118</v>
          </cell>
          <cell r="M181">
            <v>3731</v>
          </cell>
          <cell r="O181"/>
          <cell r="P181"/>
          <cell r="Q181">
            <v>76410</v>
          </cell>
          <cell r="W181">
            <v>-151739.19999999995</v>
          </cell>
        </row>
        <row r="182">
          <cell r="E182">
            <v>94</v>
          </cell>
          <cell r="G182">
            <v>13724</v>
          </cell>
          <cell r="J182">
            <v>4</v>
          </cell>
          <cell r="L182">
            <v>2236</v>
          </cell>
          <cell r="M182">
            <v>3731</v>
          </cell>
          <cell r="O182"/>
          <cell r="P182"/>
          <cell r="Q182">
            <v>76410</v>
          </cell>
          <cell r="W182">
            <v>-47657.199999999953</v>
          </cell>
        </row>
        <row r="183">
          <cell r="E183">
            <v>128</v>
          </cell>
          <cell r="G183">
            <v>18688</v>
          </cell>
          <cell r="J183">
            <v>18</v>
          </cell>
          <cell r="L183">
            <v>10062</v>
          </cell>
          <cell r="M183">
            <v>3731</v>
          </cell>
          <cell r="O183"/>
          <cell r="P183"/>
          <cell r="Q183">
            <v>76410</v>
          </cell>
          <cell r="W183">
            <v>-430769.19999999995</v>
          </cell>
        </row>
        <row r="184">
          <cell r="E184">
            <v>192</v>
          </cell>
          <cell r="G184">
            <v>28032</v>
          </cell>
          <cell r="J184">
            <v>8</v>
          </cell>
          <cell r="L184">
            <v>4472</v>
          </cell>
          <cell r="M184">
            <v>3731</v>
          </cell>
          <cell r="O184"/>
          <cell r="P184"/>
          <cell r="Q184">
            <v>76410</v>
          </cell>
          <cell r="W184">
            <v>-310134.19999999995</v>
          </cell>
        </row>
        <row r="185">
          <cell r="E185">
            <v>215</v>
          </cell>
          <cell r="G185">
            <v>31390</v>
          </cell>
          <cell r="J185">
            <v>20</v>
          </cell>
          <cell r="L185">
            <v>11180</v>
          </cell>
          <cell r="M185">
            <v>3731</v>
          </cell>
          <cell r="O185"/>
          <cell r="P185"/>
          <cell r="Q185">
            <v>76410</v>
          </cell>
          <cell r="W185">
            <v>-179404.19999999995</v>
          </cell>
        </row>
        <row r="186">
          <cell r="E186">
            <v>216</v>
          </cell>
          <cell r="G186">
            <v>31536</v>
          </cell>
          <cell r="J186">
            <v>24</v>
          </cell>
          <cell r="L186">
            <v>13416</v>
          </cell>
          <cell r="M186">
            <v>3731</v>
          </cell>
          <cell r="O186"/>
          <cell r="P186"/>
          <cell r="Q186">
            <v>76410</v>
          </cell>
          <cell r="W186">
            <v>-46272.199999999953</v>
          </cell>
        </row>
        <row r="187">
          <cell r="E187">
            <v>301</v>
          </cell>
          <cell r="G187">
            <v>43946</v>
          </cell>
          <cell r="J187">
            <v>22</v>
          </cell>
          <cell r="L187">
            <v>12298</v>
          </cell>
          <cell r="M187">
            <v>3731</v>
          </cell>
          <cell r="O187"/>
          <cell r="P187"/>
          <cell r="Q187">
            <v>78144</v>
          </cell>
          <cell r="W187">
            <v>-400106.19999999995</v>
          </cell>
        </row>
        <row r="188">
          <cell r="E188">
            <v>219</v>
          </cell>
          <cell r="G188">
            <v>31974</v>
          </cell>
          <cell r="J188">
            <v>25</v>
          </cell>
          <cell r="L188">
            <v>13975</v>
          </cell>
          <cell r="M188">
            <v>3731</v>
          </cell>
          <cell r="O188"/>
          <cell r="P188"/>
          <cell r="Q188">
            <v>78144</v>
          </cell>
          <cell r="W188">
            <v>-264205.19999999995</v>
          </cell>
        </row>
        <row r="189">
          <cell r="E189">
            <v>131</v>
          </cell>
          <cell r="G189">
            <v>19126</v>
          </cell>
          <cell r="J189">
            <v>65</v>
          </cell>
          <cell r="L189">
            <v>36335</v>
          </cell>
          <cell r="M189">
            <v>3731</v>
          </cell>
          <cell r="O189"/>
          <cell r="P189"/>
          <cell r="Q189">
            <v>78144</v>
          </cell>
          <cell r="W189">
            <v>-118779.19999999995</v>
          </cell>
        </row>
        <row r="190">
          <cell r="E190">
            <v>151</v>
          </cell>
          <cell r="G190">
            <v>22046</v>
          </cell>
          <cell r="J190">
            <v>10</v>
          </cell>
          <cell r="L190">
            <v>5590</v>
          </cell>
          <cell r="M190">
            <v>3731</v>
          </cell>
          <cell r="O190"/>
          <cell r="P190"/>
          <cell r="Q190">
            <v>78144</v>
          </cell>
          <cell r="W190">
            <v>-1167.1999999999534</v>
          </cell>
        </row>
        <row r="191">
          <cell r="E191">
            <v>125</v>
          </cell>
          <cell r="G191">
            <v>18250</v>
          </cell>
          <cell r="J191">
            <v>10</v>
          </cell>
          <cell r="L191">
            <v>5590</v>
          </cell>
          <cell r="M191">
            <v>3731</v>
          </cell>
          <cell r="O191"/>
          <cell r="P191"/>
          <cell r="Q191">
            <v>78144</v>
          </cell>
          <cell r="W191">
            <v>-387329.19999999995</v>
          </cell>
        </row>
        <row r="192">
          <cell r="E192">
            <v>76</v>
          </cell>
          <cell r="G192">
            <v>11096</v>
          </cell>
          <cell r="J192">
            <v>2</v>
          </cell>
          <cell r="L192">
            <v>1118</v>
          </cell>
          <cell r="M192">
            <v>3731</v>
          </cell>
          <cell r="O192"/>
          <cell r="P192"/>
          <cell r="Q192">
            <v>78144</v>
          </cell>
          <cell r="W192">
            <v>-285092.19999999995</v>
          </cell>
        </row>
        <row r="193">
          <cell r="E193">
            <v>85</v>
          </cell>
          <cell r="G193">
            <v>12410</v>
          </cell>
          <cell r="J193">
            <v>4</v>
          </cell>
          <cell r="L193">
            <v>2236</v>
          </cell>
          <cell r="M193">
            <v>3731</v>
          </cell>
          <cell r="O193"/>
          <cell r="P193"/>
          <cell r="Q193">
            <v>78144</v>
          </cell>
          <cell r="W193">
            <v>-180410.19999999995</v>
          </cell>
        </row>
        <row r="194">
          <cell r="E194">
            <v>141</v>
          </cell>
          <cell r="G194">
            <v>20586</v>
          </cell>
          <cell r="J194">
            <v>8</v>
          </cell>
          <cell r="L194">
            <v>4472</v>
          </cell>
          <cell r="M194">
            <v>3731</v>
          </cell>
          <cell r="O194"/>
          <cell r="P194"/>
          <cell r="Q194">
            <v>78144</v>
          </cell>
          <cell r="W194">
            <v>-65291.199999999953</v>
          </cell>
        </row>
        <row r="195">
          <cell r="E195">
            <v>98</v>
          </cell>
          <cell r="G195">
            <v>14308</v>
          </cell>
          <cell r="J195">
            <v>9</v>
          </cell>
          <cell r="L195">
            <v>5031</v>
          </cell>
          <cell r="M195">
            <v>3731</v>
          </cell>
          <cell r="O195"/>
          <cell r="P195"/>
          <cell r="Q195">
            <v>78144</v>
          </cell>
          <cell r="W195">
            <v>-455870.19999999995</v>
          </cell>
        </row>
        <row r="196">
          <cell r="E196">
            <v>107</v>
          </cell>
          <cell r="G196">
            <v>15622</v>
          </cell>
          <cell r="J196">
            <v>1</v>
          </cell>
          <cell r="L196">
            <v>559</v>
          </cell>
          <cell r="M196">
            <v>3731</v>
          </cell>
          <cell r="O196"/>
          <cell r="P196"/>
          <cell r="Q196">
            <v>78144</v>
          </cell>
          <cell r="W196">
            <v>-1349584.2</v>
          </cell>
        </row>
        <row r="197">
          <cell r="E197">
            <v>184</v>
          </cell>
          <cell r="G197">
            <v>26864</v>
          </cell>
          <cell r="J197">
            <v>9</v>
          </cell>
          <cell r="L197">
            <v>5031</v>
          </cell>
          <cell r="M197">
            <v>3731</v>
          </cell>
          <cell r="O197"/>
          <cell r="P197"/>
          <cell r="Q197">
            <v>78144</v>
          </cell>
          <cell r="W197">
            <v>-1227554.2</v>
          </cell>
        </row>
        <row r="198">
          <cell r="E198">
            <v>195</v>
          </cell>
          <cell r="G198">
            <v>28470</v>
          </cell>
          <cell r="J198">
            <v>21</v>
          </cell>
          <cell r="L198">
            <v>11739</v>
          </cell>
          <cell r="M198">
            <v>3731</v>
          </cell>
          <cell r="O198"/>
          <cell r="P198"/>
          <cell r="Q198">
            <v>78144</v>
          </cell>
          <cell r="W198">
            <v>-1097200.2</v>
          </cell>
        </row>
        <row r="199">
          <cell r="E199">
            <v>214</v>
          </cell>
          <cell r="G199">
            <v>31244</v>
          </cell>
          <cell r="J199">
            <v>0</v>
          </cell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-973688.2</v>
          </cell>
        </row>
        <row r="200">
          <cell r="E200">
            <v>212</v>
          </cell>
          <cell r="G200">
            <v>30952</v>
          </cell>
          <cell r="J200">
            <v>9</v>
          </cell>
          <cell r="L200">
            <v>5031</v>
          </cell>
          <cell r="M200">
            <v>3828</v>
          </cell>
          <cell r="O200"/>
          <cell r="P200"/>
          <cell r="Q200">
            <v>80176</v>
          </cell>
          <cell r="W200">
            <v>-845434.2</v>
          </cell>
        </row>
        <row r="201">
          <cell r="E201">
            <v>180</v>
          </cell>
          <cell r="G201">
            <v>26280</v>
          </cell>
          <cell r="J201">
            <v>9.75</v>
          </cell>
          <cell r="L201">
            <v>5450.25</v>
          </cell>
          <cell r="M201">
            <v>3828</v>
          </cell>
          <cell r="O201"/>
          <cell r="P201"/>
          <cell r="Q201">
            <v>80176</v>
          </cell>
          <cell r="W201">
            <v>-721429.95</v>
          </cell>
        </row>
        <row r="202">
          <cell r="E202">
            <v>152</v>
          </cell>
          <cell r="G202">
            <v>22192</v>
          </cell>
          <cell r="J202">
            <v>6</v>
          </cell>
          <cell r="L202">
            <v>3354</v>
          </cell>
          <cell r="M202">
            <v>3828</v>
          </cell>
          <cell r="O202">
            <v>115000</v>
          </cell>
          <cell r="P202"/>
          <cell r="Q202">
            <v>80176</v>
          </cell>
          <cell r="W202">
            <v>-988580.95</v>
          </cell>
        </row>
        <row r="203">
          <cell r="E203">
            <v>89</v>
          </cell>
          <cell r="G203">
            <v>12994</v>
          </cell>
          <cell r="J203">
            <v>19</v>
          </cell>
          <cell r="L203">
            <v>10621</v>
          </cell>
          <cell r="M203">
            <v>3828</v>
          </cell>
          <cell r="O203"/>
          <cell r="P203"/>
          <cell r="Q203">
            <v>80176</v>
          </cell>
          <cell r="W203">
            <v>-872632.95</v>
          </cell>
        </row>
        <row r="204">
          <cell r="E204">
            <v>-6057</v>
          </cell>
          <cell r="G204">
            <v>-884322</v>
          </cell>
          <cell r="J204">
            <v>-25</v>
          </cell>
          <cell r="L204">
            <v>-13975</v>
          </cell>
          <cell r="M204">
            <v>3828</v>
          </cell>
          <cell r="O204"/>
          <cell r="P204"/>
          <cell r="Q204">
            <v>80176</v>
          </cell>
          <cell r="W204">
            <v>-1686925.95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-1602921.95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-1518917.95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-1434913.95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-1350909.95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-1266905.95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-1182901.95</v>
          </cell>
        </row>
      </sheetData>
      <sheetData sheetId="6">
        <row r="176">
          <cell r="E176">
            <v>370</v>
          </cell>
          <cell r="G176">
            <v>54020</v>
          </cell>
          <cell r="J176">
            <v>35</v>
          </cell>
          <cell r="L176">
            <v>19565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422</v>
          </cell>
          <cell r="G177">
            <v>61612</v>
          </cell>
          <cell r="J177">
            <v>32</v>
          </cell>
          <cell r="L177">
            <v>17888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267</v>
          </cell>
          <cell r="G178">
            <v>38982</v>
          </cell>
          <cell r="J178">
            <v>46</v>
          </cell>
          <cell r="L178">
            <v>25714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326</v>
          </cell>
          <cell r="G179">
            <v>47596</v>
          </cell>
          <cell r="J179">
            <v>20</v>
          </cell>
          <cell r="L179">
            <v>11180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226</v>
          </cell>
          <cell r="G180">
            <v>32996</v>
          </cell>
          <cell r="J180">
            <v>16</v>
          </cell>
          <cell r="L180">
            <v>8944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310</v>
          </cell>
          <cell r="G181">
            <v>45260</v>
          </cell>
          <cell r="J181">
            <v>18</v>
          </cell>
          <cell r="L181">
            <v>10062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376</v>
          </cell>
          <cell r="G182">
            <v>54896</v>
          </cell>
          <cell r="J182">
            <v>23</v>
          </cell>
          <cell r="L182">
            <v>12857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662</v>
          </cell>
          <cell r="G183">
            <v>96652</v>
          </cell>
          <cell r="J183">
            <v>21</v>
          </cell>
          <cell r="L183">
            <v>11739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160</v>
          </cell>
          <cell r="G184">
            <v>23360</v>
          </cell>
          <cell r="J184">
            <v>27</v>
          </cell>
          <cell r="L184">
            <v>15093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473</v>
          </cell>
          <cell r="G185">
            <v>69058</v>
          </cell>
          <cell r="J185">
            <v>44</v>
          </cell>
          <cell r="L185">
            <v>24596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276</v>
          </cell>
          <cell r="G186">
            <v>40296</v>
          </cell>
          <cell r="J186">
            <v>50</v>
          </cell>
          <cell r="L186">
            <v>27950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269</v>
          </cell>
          <cell r="G187">
            <v>39274</v>
          </cell>
          <cell r="J187">
            <v>63</v>
          </cell>
          <cell r="L187">
            <v>35217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295</v>
          </cell>
          <cell r="G188">
            <v>43070</v>
          </cell>
          <cell r="J188">
            <v>37</v>
          </cell>
          <cell r="L188">
            <v>20683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262</v>
          </cell>
          <cell r="G189">
            <v>38252</v>
          </cell>
          <cell r="J189">
            <v>44</v>
          </cell>
          <cell r="L189">
            <v>24596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152813</v>
          </cell>
        </row>
        <row r="190">
          <cell r="E190">
            <v>244</v>
          </cell>
          <cell r="G190">
            <v>35624</v>
          </cell>
          <cell r="J190">
            <v>15</v>
          </cell>
          <cell r="L190">
            <v>8385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90</v>
          </cell>
        </row>
        <row r="191">
          <cell r="E191">
            <v>353</v>
          </cell>
          <cell r="G191">
            <v>51538</v>
          </cell>
          <cell r="J191">
            <v>13</v>
          </cell>
          <cell r="L191">
            <v>7267</v>
          </cell>
          <cell r="M191">
            <v>3731</v>
          </cell>
          <cell r="O191">
            <v>33333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448</v>
          </cell>
          <cell r="G192">
            <v>65408</v>
          </cell>
          <cell r="J192">
            <v>12</v>
          </cell>
          <cell r="L192">
            <v>6708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160</v>
          </cell>
          <cell r="G193">
            <v>23360</v>
          </cell>
          <cell r="J193">
            <v>2</v>
          </cell>
          <cell r="L193">
            <v>1118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5</v>
          </cell>
          <cell r="G194">
            <v>730</v>
          </cell>
          <cell r="J194">
            <v>0</v>
          </cell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18</v>
          </cell>
          <cell r="G195">
            <v>2628</v>
          </cell>
          <cell r="J195">
            <v>4</v>
          </cell>
          <cell r="L195">
            <v>2236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21</v>
          </cell>
          <cell r="G196">
            <v>3066</v>
          </cell>
          <cell r="J196">
            <v>5</v>
          </cell>
          <cell r="L196">
            <v>2795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28</v>
          </cell>
          <cell r="G197">
            <v>4088</v>
          </cell>
          <cell r="J197">
            <v>4</v>
          </cell>
          <cell r="L197">
            <v>2236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493</v>
          </cell>
        </row>
        <row r="198">
          <cell r="E198">
            <v>27</v>
          </cell>
          <cell r="G198">
            <v>3942</v>
          </cell>
          <cell r="J198">
            <v>52</v>
          </cell>
          <cell r="L198">
            <v>29068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249</v>
          </cell>
          <cell r="G199">
            <v>36354</v>
          </cell>
          <cell r="J199">
            <v>27</v>
          </cell>
          <cell r="L199">
            <v>15093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143715</v>
          </cell>
        </row>
        <row r="200">
          <cell r="E200">
            <v>465</v>
          </cell>
          <cell r="G200">
            <v>67890</v>
          </cell>
          <cell r="J200">
            <v>25</v>
          </cell>
          <cell r="L200">
            <v>13975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398</v>
          </cell>
          <cell r="G201">
            <v>58108</v>
          </cell>
          <cell r="J201">
            <v>24</v>
          </cell>
          <cell r="L201">
            <v>13416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402</v>
          </cell>
          <cell r="G202">
            <v>58692</v>
          </cell>
          <cell r="J202">
            <v>25</v>
          </cell>
          <cell r="L202">
            <v>13975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164970</v>
          </cell>
        </row>
        <row r="203">
          <cell r="E203">
            <v>411</v>
          </cell>
          <cell r="G203">
            <v>60006</v>
          </cell>
          <cell r="J203">
            <v>29</v>
          </cell>
          <cell r="L203">
            <v>16211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333520</v>
          </cell>
        </row>
        <row r="204">
          <cell r="E204">
            <v>-19066</v>
          </cell>
          <cell r="G204">
            <v>-2783636</v>
          </cell>
          <cell r="J204">
            <v>-1752</v>
          </cell>
          <cell r="L204">
            <v>-979368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-3345480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-3261476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-3177472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-3093468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-3009464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-2925460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-2841456</v>
          </cell>
        </row>
      </sheetData>
      <sheetData sheetId="7"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1</v>
          </cell>
          <cell r="G183">
            <v>146</v>
          </cell>
          <cell r="J183">
            <v>1</v>
          </cell>
          <cell r="L183">
            <v>559</v>
          </cell>
          <cell r="M183">
            <v>3731</v>
          </cell>
          <cell r="O183"/>
          <cell r="P183"/>
          <cell r="Q183">
            <v>76410</v>
          </cell>
          <cell r="W183">
            <v>88843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6</v>
          </cell>
          <cell r="L195">
            <v>3354</v>
          </cell>
          <cell r="M195">
            <v>3731</v>
          </cell>
          <cell r="O195"/>
          <cell r="P195"/>
          <cell r="Q195">
            <v>78144</v>
          </cell>
          <cell r="W195">
            <v>93436</v>
          </cell>
        </row>
        <row r="196">
          <cell r="E196">
            <v>2</v>
          </cell>
          <cell r="G196">
            <v>292</v>
          </cell>
          <cell r="J196">
            <v>0</v>
          </cell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</v>
          </cell>
          <cell r="G197">
            <v>146</v>
          </cell>
          <cell r="J197">
            <v>-6</v>
          </cell>
          <cell r="L197">
            <v>-3354</v>
          </cell>
          <cell r="M197">
            <v>3731</v>
          </cell>
          <cell r="O197"/>
          <cell r="P197"/>
          <cell r="Q197">
            <v>78144</v>
          </cell>
          <cell r="W197">
            <v>86927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>
            <v>-80</v>
          </cell>
          <cell r="G204">
            <v>-11680</v>
          </cell>
          <cell r="J204">
            <v>-82</v>
          </cell>
          <cell r="L204">
            <v>-45838</v>
          </cell>
          <cell r="M204">
            <v>3828</v>
          </cell>
          <cell r="O204"/>
          <cell r="P204"/>
          <cell r="Q204">
            <v>80176</v>
          </cell>
          <cell r="W204">
            <v>118819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202823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286827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370831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454835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538839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622843</v>
          </cell>
        </row>
      </sheetData>
      <sheetData sheetId="8">
        <row r="176">
          <cell r="E176"/>
          <cell r="G176"/>
          <cell r="J176"/>
          <cell r="L176"/>
          <cell r="M176">
            <v>3731</v>
          </cell>
          <cell r="O176"/>
          <cell r="P176"/>
          <cell r="Q176">
            <v>76410</v>
          </cell>
          <cell r="W176">
            <v>10796026</v>
          </cell>
        </row>
        <row r="177">
          <cell r="E177"/>
          <cell r="G177"/>
          <cell r="J177"/>
          <cell r="L177"/>
          <cell r="M177">
            <v>3731</v>
          </cell>
          <cell r="O177"/>
          <cell r="P177"/>
          <cell r="Q177">
            <v>76410</v>
          </cell>
          <cell r="W177">
            <v>10929111</v>
          </cell>
        </row>
        <row r="178">
          <cell r="E178"/>
          <cell r="G178"/>
          <cell r="J178"/>
          <cell r="L178"/>
          <cell r="M178">
            <v>3731</v>
          </cell>
          <cell r="O178"/>
          <cell r="P178"/>
          <cell r="Q178">
            <v>76410</v>
          </cell>
          <cell r="W178">
            <v>11062375</v>
          </cell>
        </row>
        <row r="179">
          <cell r="E179"/>
          <cell r="G179"/>
          <cell r="J179"/>
          <cell r="L179"/>
          <cell r="M179">
            <v>3731</v>
          </cell>
          <cell r="O179"/>
          <cell r="P179"/>
          <cell r="Q179">
            <v>76410</v>
          </cell>
          <cell r="W179">
            <v>11195778</v>
          </cell>
        </row>
        <row r="180">
          <cell r="E180"/>
          <cell r="G180"/>
          <cell r="J180"/>
          <cell r="L180"/>
          <cell r="M180">
            <v>3731</v>
          </cell>
          <cell r="O180"/>
          <cell r="P180"/>
          <cell r="Q180">
            <v>76410</v>
          </cell>
          <cell r="W180">
            <v>11329249</v>
          </cell>
        </row>
        <row r="181">
          <cell r="E181"/>
          <cell r="G181"/>
          <cell r="J181"/>
          <cell r="L181"/>
          <cell r="M181">
            <v>3731</v>
          </cell>
          <cell r="O181"/>
          <cell r="P181"/>
          <cell r="Q181">
            <v>76410</v>
          </cell>
          <cell r="W181">
            <v>11462585</v>
          </cell>
        </row>
        <row r="182">
          <cell r="E182"/>
          <cell r="G182"/>
          <cell r="J182"/>
          <cell r="L182"/>
          <cell r="M182">
            <v>3731</v>
          </cell>
          <cell r="O182"/>
          <cell r="P182"/>
          <cell r="Q182">
            <v>76410</v>
          </cell>
          <cell r="W182">
            <v>11595934</v>
          </cell>
        </row>
        <row r="183">
          <cell r="E183"/>
          <cell r="G183"/>
          <cell r="J183"/>
          <cell r="L183"/>
          <cell r="M183">
            <v>3731</v>
          </cell>
          <cell r="O183"/>
          <cell r="P183"/>
          <cell r="Q183">
            <v>76410</v>
          </cell>
          <cell r="W183">
            <v>11729389</v>
          </cell>
        </row>
        <row r="184">
          <cell r="E184"/>
          <cell r="G184"/>
          <cell r="J184"/>
          <cell r="L184"/>
          <cell r="M184">
            <v>3731</v>
          </cell>
          <cell r="O184"/>
          <cell r="P184"/>
          <cell r="Q184">
            <v>76410</v>
          </cell>
          <cell r="W184">
            <v>11862800</v>
          </cell>
        </row>
        <row r="185">
          <cell r="E185"/>
          <cell r="G185"/>
          <cell r="J185"/>
          <cell r="L185"/>
          <cell r="M185">
            <v>3731</v>
          </cell>
          <cell r="O185"/>
          <cell r="P185"/>
          <cell r="Q185">
            <v>76410</v>
          </cell>
          <cell r="W185">
            <v>11996403</v>
          </cell>
        </row>
        <row r="186">
          <cell r="E186"/>
          <cell r="G186"/>
          <cell r="J186"/>
          <cell r="L186"/>
          <cell r="M186">
            <v>3731</v>
          </cell>
          <cell r="O186"/>
          <cell r="P186"/>
          <cell r="Q186">
            <v>76410</v>
          </cell>
          <cell r="W186">
            <v>12130194</v>
          </cell>
        </row>
        <row r="187">
          <cell r="E187"/>
          <cell r="G187"/>
          <cell r="J187"/>
          <cell r="L187"/>
          <cell r="M187">
            <v>3731</v>
          </cell>
          <cell r="O187"/>
          <cell r="P187"/>
          <cell r="Q187">
            <v>78144</v>
          </cell>
          <cell r="W187">
            <v>12265916</v>
          </cell>
        </row>
        <row r="188">
          <cell r="E188"/>
          <cell r="G188"/>
          <cell r="J188"/>
          <cell r="L188"/>
          <cell r="M188">
            <v>3731</v>
          </cell>
          <cell r="O188"/>
          <cell r="P188"/>
          <cell r="Q188">
            <v>78144</v>
          </cell>
          <cell r="W188">
            <v>12401725</v>
          </cell>
        </row>
        <row r="189">
          <cell r="E189"/>
          <cell r="G189"/>
          <cell r="J189"/>
          <cell r="L189"/>
          <cell r="M189">
            <v>3731</v>
          </cell>
          <cell r="O189"/>
          <cell r="P189"/>
          <cell r="Q189">
            <v>78144</v>
          </cell>
          <cell r="W189">
            <v>12537609</v>
          </cell>
        </row>
        <row r="190">
          <cell r="E190"/>
          <cell r="G190"/>
          <cell r="J190"/>
          <cell r="L190"/>
          <cell r="M190">
            <v>3731</v>
          </cell>
          <cell r="O190"/>
          <cell r="P190"/>
          <cell r="Q190">
            <v>78144</v>
          </cell>
          <cell r="W190">
            <v>12673641</v>
          </cell>
        </row>
        <row r="191">
          <cell r="E191"/>
          <cell r="G191"/>
          <cell r="J191"/>
          <cell r="L191"/>
          <cell r="M191">
            <v>3731</v>
          </cell>
          <cell r="O191"/>
          <cell r="P191"/>
          <cell r="Q191">
            <v>78144</v>
          </cell>
          <cell r="W191">
            <v>12809834</v>
          </cell>
        </row>
        <row r="192">
          <cell r="E192"/>
          <cell r="G192"/>
          <cell r="J192"/>
          <cell r="L192"/>
          <cell r="M192">
            <v>3731</v>
          </cell>
          <cell r="O192"/>
          <cell r="P192"/>
          <cell r="Q192">
            <v>78144</v>
          </cell>
          <cell r="W192">
            <v>12946114</v>
          </cell>
        </row>
        <row r="193">
          <cell r="E193"/>
          <cell r="G193"/>
          <cell r="J193"/>
          <cell r="L193"/>
          <cell r="M193">
            <v>3731</v>
          </cell>
          <cell r="O193"/>
          <cell r="P193"/>
          <cell r="Q193">
            <v>78144</v>
          </cell>
          <cell r="W193">
            <v>13082564</v>
          </cell>
        </row>
        <row r="194">
          <cell r="E194"/>
          <cell r="G194"/>
          <cell r="J194"/>
          <cell r="L194"/>
          <cell r="M194">
            <v>3731</v>
          </cell>
          <cell r="O194"/>
          <cell r="P194"/>
          <cell r="Q194">
            <v>78144</v>
          </cell>
          <cell r="W194">
            <v>13219154</v>
          </cell>
        </row>
        <row r="195">
          <cell r="E195"/>
          <cell r="G195"/>
          <cell r="J195"/>
          <cell r="L195"/>
          <cell r="M195">
            <v>3731</v>
          </cell>
          <cell r="O195"/>
          <cell r="P195"/>
          <cell r="Q195">
            <v>78144</v>
          </cell>
          <cell r="W195">
            <v>13355893</v>
          </cell>
        </row>
        <row r="196">
          <cell r="E196"/>
          <cell r="G196"/>
          <cell r="J196"/>
          <cell r="L196"/>
          <cell r="M196">
            <v>3731</v>
          </cell>
          <cell r="O196"/>
          <cell r="P196"/>
          <cell r="Q196">
            <v>78144</v>
          </cell>
          <cell r="W196">
            <v>13492834</v>
          </cell>
        </row>
        <row r="197">
          <cell r="E197"/>
          <cell r="G197"/>
          <cell r="J197"/>
          <cell r="L197"/>
          <cell r="M197">
            <v>3731</v>
          </cell>
          <cell r="O197"/>
          <cell r="P197"/>
          <cell r="Q197">
            <v>78144</v>
          </cell>
          <cell r="W197">
            <v>13629841</v>
          </cell>
        </row>
        <row r="198">
          <cell r="E198"/>
          <cell r="G198"/>
          <cell r="J198"/>
          <cell r="L198"/>
          <cell r="M198">
            <v>3731</v>
          </cell>
          <cell r="O198"/>
          <cell r="P198"/>
          <cell r="Q198">
            <v>78144</v>
          </cell>
          <cell r="W198">
            <v>13766808</v>
          </cell>
        </row>
        <row r="199">
          <cell r="E199"/>
          <cell r="G199"/>
          <cell r="J199"/>
          <cell r="L199"/>
          <cell r="M199">
            <v>3828</v>
          </cell>
          <cell r="O199"/>
          <cell r="P199"/>
          <cell r="Q199">
            <v>80176</v>
          </cell>
          <cell r="W199">
            <v>13850812</v>
          </cell>
        </row>
        <row r="200">
          <cell r="E200"/>
          <cell r="G200"/>
          <cell r="J200"/>
          <cell r="L200"/>
          <cell r="M200">
            <v>3828</v>
          </cell>
          <cell r="O200"/>
          <cell r="P200"/>
          <cell r="Q200">
            <v>80176</v>
          </cell>
          <cell r="W200">
            <v>14045022</v>
          </cell>
        </row>
        <row r="201">
          <cell r="E201"/>
          <cell r="G201"/>
          <cell r="J201"/>
          <cell r="L201"/>
          <cell r="M201">
            <v>3828</v>
          </cell>
          <cell r="O201"/>
          <cell r="P201"/>
          <cell r="Q201">
            <v>80176</v>
          </cell>
          <cell r="W201">
            <v>14184158</v>
          </cell>
        </row>
        <row r="202">
          <cell r="E202"/>
          <cell r="G202"/>
          <cell r="J202"/>
          <cell r="L202"/>
          <cell r="M202">
            <v>3828</v>
          </cell>
          <cell r="O202"/>
          <cell r="P202"/>
          <cell r="Q202">
            <v>80176</v>
          </cell>
          <cell r="W202">
            <v>14323486</v>
          </cell>
        </row>
        <row r="203">
          <cell r="E203"/>
          <cell r="G203"/>
          <cell r="J203"/>
          <cell r="L203"/>
          <cell r="M203">
            <v>3828</v>
          </cell>
          <cell r="O203"/>
          <cell r="P203"/>
          <cell r="Q203">
            <v>80176</v>
          </cell>
          <cell r="W203">
            <v>14407490</v>
          </cell>
        </row>
        <row r="204">
          <cell r="E204"/>
          <cell r="G204"/>
          <cell r="J204"/>
          <cell r="L204"/>
          <cell r="M204">
            <v>3828</v>
          </cell>
          <cell r="O204"/>
          <cell r="P204"/>
          <cell r="Q204">
            <v>80176</v>
          </cell>
          <cell r="W204">
            <v>14491494</v>
          </cell>
        </row>
        <row r="205">
          <cell r="E205"/>
          <cell r="G205"/>
          <cell r="J205"/>
          <cell r="L205"/>
          <cell r="M205">
            <v>3828</v>
          </cell>
          <cell r="O205"/>
          <cell r="P205"/>
          <cell r="Q205">
            <v>80176</v>
          </cell>
          <cell r="W205">
            <v>14575498</v>
          </cell>
        </row>
        <row r="206">
          <cell r="E206"/>
          <cell r="G206"/>
          <cell r="J206"/>
          <cell r="L206"/>
          <cell r="M206">
            <v>3828</v>
          </cell>
          <cell r="O206"/>
          <cell r="P206"/>
          <cell r="Q206">
            <v>80176</v>
          </cell>
          <cell r="W206">
            <v>14659502</v>
          </cell>
        </row>
        <row r="207">
          <cell r="E207"/>
          <cell r="G207"/>
          <cell r="J207"/>
          <cell r="L207"/>
          <cell r="M207">
            <v>3828</v>
          </cell>
          <cell r="O207"/>
          <cell r="P207"/>
          <cell r="Q207">
            <v>80176</v>
          </cell>
          <cell r="W207">
            <v>14743506</v>
          </cell>
        </row>
        <row r="208">
          <cell r="E208"/>
          <cell r="G208"/>
          <cell r="J208"/>
          <cell r="L208"/>
          <cell r="M208">
            <v>3828</v>
          </cell>
          <cell r="O208"/>
          <cell r="P208"/>
          <cell r="Q208">
            <v>80176</v>
          </cell>
          <cell r="W208">
            <v>14827510</v>
          </cell>
        </row>
        <row r="209">
          <cell r="E209"/>
          <cell r="G209"/>
          <cell r="J209"/>
          <cell r="L209"/>
          <cell r="M209">
            <v>3828</v>
          </cell>
          <cell r="O209"/>
          <cell r="P209"/>
          <cell r="Q209">
            <v>80176</v>
          </cell>
          <cell r="W209">
            <v>14911514</v>
          </cell>
        </row>
        <row r="210">
          <cell r="E210"/>
          <cell r="G210"/>
          <cell r="J210"/>
          <cell r="L210"/>
          <cell r="M210">
            <v>3828</v>
          </cell>
          <cell r="O210"/>
          <cell r="P210"/>
          <cell r="Q210">
            <v>80176</v>
          </cell>
          <cell r="W210">
            <v>14995518</v>
          </cell>
        </row>
      </sheetData>
      <sheetData sheetId="9">
        <row r="176">
          <cell r="E176">
            <v>335</v>
          </cell>
          <cell r="G176">
            <v>48910</v>
          </cell>
          <cell r="J176">
            <v>71</v>
          </cell>
          <cell r="L176">
            <v>39689</v>
          </cell>
          <cell r="M176">
            <v>3731</v>
          </cell>
          <cell r="O176">
            <v>0</v>
          </cell>
          <cell r="P176">
            <v>20000</v>
          </cell>
          <cell r="Q176">
            <v>76410</v>
          </cell>
          <cell r="W176">
            <v>0</v>
          </cell>
        </row>
        <row r="177">
          <cell r="E177">
            <v>344</v>
          </cell>
          <cell r="G177">
            <v>50224</v>
          </cell>
          <cell r="J177">
            <v>84</v>
          </cell>
          <cell r="L177">
            <v>46956</v>
          </cell>
          <cell r="M177">
            <v>3731</v>
          </cell>
          <cell r="O177">
            <v>0</v>
          </cell>
          <cell r="P177">
            <v>20000</v>
          </cell>
          <cell r="Q177">
            <v>76410</v>
          </cell>
          <cell r="W177">
            <v>0</v>
          </cell>
        </row>
        <row r="178">
          <cell r="E178">
            <v>181</v>
          </cell>
          <cell r="G178">
            <v>26426</v>
          </cell>
          <cell r="J178">
            <v>57</v>
          </cell>
          <cell r="L178">
            <v>31863</v>
          </cell>
          <cell r="M178">
            <v>3731</v>
          </cell>
          <cell r="O178">
            <v>0</v>
          </cell>
          <cell r="P178">
            <v>20000</v>
          </cell>
          <cell r="Q178">
            <v>76410</v>
          </cell>
          <cell r="W178">
            <v>0</v>
          </cell>
        </row>
        <row r="179">
          <cell r="E179">
            <v>142</v>
          </cell>
          <cell r="G179">
            <v>20732</v>
          </cell>
          <cell r="J179">
            <v>30</v>
          </cell>
          <cell r="L179">
            <v>16770</v>
          </cell>
          <cell r="M179">
            <v>3731</v>
          </cell>
          <cell r="O179">
            <v>0</v>
          </cell>
          <cell r="P179">
            <v>20000</v>
          </cell>
          <cell r="Q179">
            <v>76410</v>
          </cell>
          <cell r="W179">
            <v>3731</v>
          </cell>
        </row>
        <row r="180">
          <cell r="E180">
            <v>76</v>
          </cell>
          <cell r="G180">
            <v>11096</v>
          </cell>
          <cell r="J180">
            <v>0</v>
          </cell>
          <cell r="L180">
            <v>0</v>
          </cell>
          <cell r="M180">
            <v>3731</v>
          </cell>
          <cell r="O180">
            <v>0</v>
          </cell>
          <cell r="P180">
            <v>20000</v>
          </cell>
          <cell r="Q180">
            <v>76410</v>
          </cell>
          <cell r="W180">
            <v>3731</v>
          </cell>
        </row>
        <row r="181">
          <cell r="E181">
            <v>83</v>
          </cell>
          <cell r="G181">
            <v>12118</v>
          </cell>
          <cell r="J181">
            <v>0</v>
          </cell>
          <cell r="L181">
            <v>0</v>
          </cell>
          <cell r="M181">
            <v>3731</v>
          </cell>
          <cell r="O181">
            <v>0</v>
          </cell>
          <cell r="P181">
            <v>20000</v>
          </cell>
          <cell r="Q181">
            <v>76410</v>
          </cell>
          <cell r="W181">
            <v>0</v>
          </cell>
        </row>
        <row r="182">
          <cell r="E182">
            <v>127</v>
          </cell>
          <cell r="G182">
            <v>18542</v>
          </cell>
          <cell r="J182">
            <v>1</v>
          </cell>
          <cell r="L182">
            <v>559</v>
          </cell>
          <cell r="M182">
            <v>3731</v>
          </cell>
          <cell r="O182">
            <v>0</v>
          </cell>
          <cell r="P182">
            <v>20000</v>
          </cell>
          <cell r="Q182">
            <v>76410</v>
          </cell>
          <cell r="W182">
            <v>127223</v>
          </cell>
        </row>
        <row r="183">
          <cell r="E183">
            <v>68</v>
          </cell>
          <cell r="G183">
            <v>9928</v>
          </cell>
          <cell r="J183">
            <v>15</v>
          </cell>
          <cell r="L183">
            <v>8385</v>
          </cell>
          <cell r="M183">
            <v>3731</v>
          </cell>
          <cell r="O183">
            <v>0</v>
          </cell>
          <cell r="P183">
            <v>20000</v>
          </cell>
          <cell r="Q183">
            <v>76410</v>
          </cell>
          <cell r="W183">
            <v>20</v>
          </cell>
        </row>
        <row r="184">
          <cell r="E184">
            <v>133</v>
          </cell>
          <cell r="G184">
            <v>19418</v>
          </cell>
          <cell r="J184">
            <v>21</v>
          </cell>
          <cell r="L184">
            <v>11739</v>
          </cell>
          <cell r="M184">
            <v>3731</v>
          </cell>
          <cell r="O184">
            <v>0</v>
          </cell>
          <cell r="P184">
            <v>20000</v>
          </cell>
          <cell r="Q184">
            <v>76410</v>
          </cell>
          <cell r="W184">
            <v>0</v>
          </cell>
        </row>
        <row r="185">
          <cell r="E185">
            <v>191</v>
          </cell>
          <cell r="G185">
            <v>27886</v>
          </cell>
          <cell r="J185">
            <v>60</v>
          </cell>
          <cell r="L185">
            <v>33540</v>
          </cell>
          <cell r="M185">
            <v>3731</v>
          </cell>
          <cell r="O185">
            <v>0</v>
          </cell>
          <cell r="P185">
            <v>20000</v>
          </cell>
          <cell r="Q185">
            <v>76410</v>
          </cell>
          <cell r="W185">
            <v>0</v>
          </cell>
        </row>
        <row r="186">
          <cell r="E186">
            <v>90</v>
          </cell>
          <cell r="G186">
            <v>13140</v>
          </cell>
          <cell r="J186">
            <v>88</v>
          </cell>
          <cell r="L186">
            <v>49192</v>
          </cell>
          <cell r="M186">
            <v>3731</v>
          </cell>
          <cell r="O186">
            <v>0</v>
          </cell>
          <cell r="P186">
            <v>20000</v>
          </cell>
          <cell r="Q186">
            <v>76410</v>
          </cell>
          <cell r="W186">
            <v>170512</v>
          </cell>
        </row>
        <row r="187">
          <cell r="E187">
            <v>104</v>
          </cell>
          <cell r="G187">
            <v>15184</v>
          </cell>
          <cell r="J187">
            <v>93</v>
          </cell>
          <cell r="L187">
            <v>51987</v>
          </cell>
          <cell r="M187">
            <v>3731</v>
          </cell>
          <cell r="O187">
            <v>0</v>
          </cell>
          <cell r="P187">
            <v>20000</v>
          </cell>
          <cell r="Q187">
            <v>78144</v>
          </cell>
          <cell r="W187">
            <v>0</v>
          </cell>
        </row>
        <row r="188">
          <cell r="E188">
            <v>155</v>
          </cell>
          <cell r="G188">
            <v>22630</v>
          </cell>
          <cell r="J188">
            <v>90</v>
          </cell>
          <cell r="L188">
            <v>50310</v>
          </cell>
          <cell r="M188">
            <v>3731</v>
          </cell>
          <cell r="O188">
            <v>0</v>
          </cell>
          <cell r="P188">
            <v>20000</v>
          </cell>
          <cell r="Q188">
            <v>78144</v>
          </cell>
          <cell r="W188">
            <v>182892</v>
          </cell>
        </row>
        <row r="189">
          <cell r="E189">
            <v>103</v>
          </cell>
          <cell r="G189">
            <v>15038</v>
          </cell>
          <cell r="J189">
            <v>118</v>
          </cell>
          <cell r="L189">
            <v>65962</v>
          </cell>
          <cell r="M189">
            <v>3731</v>
          </cell>
          <cell r="O189">
            <v>0</v>
          </cell>
          <cell r="P189">
            <v>20000</v>
          </cell>
          <cell r="Q189">
            <v>78144</v>
          </cell>
          <cell r="W189">
            <v>5</v>
          </cell>
        </row>
        <row r="190">
          <cell r="E190">
            <v>168</v>
          </cell>
          <cell r="G190">
            <v>24528</v>
          </cell>
          <cell r="J190">
            <v>94</v>
          </cell>
          <cell r="L190">
            <v>52546</v>
          </cell>
          <cell r="M190">
            <v>3731</v>
          </cell>
          <cell r="O190">
            <v>0</v>
          </cell>
          <cell r="P190">
            <v>20000</v>
          </cell>
          <cell r="Q190">
            <v>78144</v>
          </cell>
          <cell r="W190">
            <v>0</v>
          </cell>
        </row>
        <row r="191">
          <cell r="E191">
            <v>69</v>
          </cell>
          <cell r="G191">
            <v>10074</v>
          </cell>
          <cell r="J191">
            <v>71</v>
          </cell>
          <cell r="L191">
            <v>39689</v>
          </cell>
          <cell r="M191">
            <v>3731</v>
          </cell>
          <cell r="O191">
            <v>0</v>
          </cell>
          <cell r="P191">
            <v>20000</v>
          </cell>
          <cell r="Q191">
            <v>78144</v>
          </cell>
          <cell r="W191">
            <v>159761</v>
          </cell>
        </row>
        <row r="192">
          <cell r="E192">
            <v>55</v>
          </cell>
          <cell r="G192">
            <v>8030</v>
          </cell>
          <cell r="J192">
            <v>6</v>
          </cell>
          <cell r="L192">
            <v>3354</v>
          </cell>
          <cell r="M192">
            <v>3731</v>
          </cell>
          <cell r="O192">
            <v>0</v>
          </cell>
          <cell r="P192">
            <v>20000</v>
          </cell>
          <cell r="Q192">
            <v>78144</v>
          </cell>
          <cell r="W192">
            <v>-100</v>
          </cell>
        </row>
        <row r="193">
          <cell r="E193">
            <v>46</v>
          </cell>
          <cell r="G193">
            <v>6716</v>
          </cell>
          <cell r="J193">
            <v>0</v>
          </cell>
          <cell r="L193">
            <v>0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96652</v>
          </cell>
        </row>
        <row r="194">
          <cell r="E194">
            <v>42</v>
          </cell>
          <cell r="G194">
            <v>6132</v>
          </cell>
          <cell r="J194">
            <v>0</v>
          </cell>
          <cell r="L194">
            <v>0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302</v>
          </cell>
          <cell r="G195">
            <v>44092</v>
          </cell>
          <cell r="J195">
            <v>5</v>
          </cell>
          <cell r="L195">
            <v>2795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136969</v>
          </cell>
        </row>
        <row r="196">
          <cell r="E196">
            <v>51</v>
          </cell>
          <cell r="G196">
            <v>7446</v>
          </cell>
          <cell r="J196">
            <v>24</v>
          </cell>
          <cell r="L196">
            <v>13416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188</v>
          </cell>
          <cell r="G197">
            <v>27448</v>
          </cell>
          <cell r="J197">
            <v>57</v>
          </cell>
          <cell r="L197">
            <v>31863</v>
          </cell>
          <cell r="M197">
            <v>3731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91</v>
          </cell>
          <cell r="G198">
            <v>13286</v>
          </cell>
          <cell r="J198">
            <v>81</v>
          </cell>
          <cell r="L198">
            <v>45279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132</v>
          </cell>
          <cell r="G199">
            <v>19272</v>
          </cell>
          <cell r="J199">
            <v>73</v>
          </cell>
          <cell r="L199">
            <v>40807</v>
          </cell>
          <cell r="M199">
            <v>3828</v>
          </cell>
          <cell r="O199"/>
          <cell r="P199"/>
          <cell r="Q199">
            <v>80176</v>
          </cell>
          <cell r="W199">
            <v>152347</v>
          </cell>
        </row>
        <row r="200">
          <cell r="E200">
            <v>211</v>
          </cell>
          <cell r="G200">
            <v>30806</v>
          </cell>
          <cell r="J200">
            <v>105</v>
          </cell>
          <cell r="L200">
            <v>58695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116</v>
          </cell>
          <cell r="G201">
            <v>16936</v>
          </cell>
          <cell r="J201">
            <v>77</v>
          </cell>
          <cell r="L201">
            <v>43043</v>
          </cell>
          <cell r="M201">
            <v>3828</v>
          </cell>
          <cell r="O201"/>
          <cell r="P201"/>
          <cell r="Q201">
            <v>80176</v>
          </cell>
          <cell r="W201">
            <v>-29519</v>
          </cell>
        </row>
        <row r="202">
          <cell r="E202">
            <v>54</v>
          </cell>
          <cell r="G202">
            <v>7884</v>
          </cell>
          <cell r="J202">
            <v>75</v>
          </cell>
          <cell r="L202">
            <v>41925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55</v>
          </cell>
          <cell r="G203">
            <v>8030</v>
          </cell>
          <cell r="J203">
            <v>74</v>
          </cell>
          <cell r="L203">
            <v>41366</v>
          </cell>
          <cell r="M203">
            <v>3828</v>
          </cell>
          <cell r="O203"/>
          <cell r="P203"/>
          <cell r="Q203">
            <v>80176</v>
          </cell>
          <cell r="W203">
            <v>141729</v>
          </cell>
        </row>
        <row r="204">
          <cell r="E204">
            <v>-35510</v>
          </cell>
          <cell r="G204">
            <v>-5184460</v>
          </cell>
          <cell r="J204">
            <v>-8503</v>
          </cell>
          <cell r="L204">
            <v>-4753177</v>
          </cell>
          <cell r="M204">
            <v>3828</v>
          </cell>
          <cell r="O204"/>
          <cell r="P204"/>
          <cell r="Q204">
            <v>80176</v>
          </cell>
          <cell r="W204">
            <v>-9711904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-9627900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-9543896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-9459892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-9375888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-9291884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-9207880</v>
          </cell>
        </row>
      </sheetData>
      <sheetData sheetId="10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>
            <v>5000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>
            <v>5000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>
            <v>5000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>
            <v>5000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>
            <v>5000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>
            <v>5000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>
            <v>5000</v>
          </cell>
          <cell r="Q182">
            <v>76410</v>
          </cell>
          <cell r="W182">
            <v>93122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>
            <v>5000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>
            <v>5000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>
            <v>5000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>
            <v>5000</v>
          </cell>
          <cell r="Q186">
            <v>76410</v>
          </cell>
          <cell r="W186">
            <v>20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>
            <v>5000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>
            <v>5000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>
            <v>5000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>
            <v>5000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>
            <v>5000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>
            <v>5000</v>
          </cell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90145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182413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4600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96874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189177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281510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365514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449518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533522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617526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701530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785534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869538</v>
          </cell>
        </row>
      </sheetData>
      <sheetData sheetId="11">
        <row r="176">
          <cell r="E176">
            <v>115</v>
          </cell>
          <cell r="G176">
            <v>16790</v>
          </cell>
          <cell r="J176">
            <v>37</v>
          </cell>
          <cell r="L176">
            <v>20683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0.15000000002328306</v>
          </cell>
        </row>
        <row r="177">
          <cell r="E177">
            <v>86</v>
          </cell>
          <cell r="G177">
            <v>12556</v>
          </cell>
          <cell r="J177">
            <v>51</v>
          </cell>
          <cell r="L177">
            <v>28509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0.15000000002328306</v>
          </cell>
        </row>
        <row r="178">
          <cell r="E178">
            <v>54</v>
          </cell>
          <cell r="G178">
            <v>7884</v>
          </cell>
          <cell r="J178">
            <v>23</v>
          </cell>
          <cell r="L178">
            <v>12857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0.15000000002328306</v>
          </cell>
        </row>
        <row r="179">
          <cell r="E179">
            <v>45</v>
          </cell>
          <cell r="G179">
            <v>6570</v>
          </cell>
          <cell r="J179">
            <v>9</v>
          </cell>
          <cell r="L179">
            <v>5031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0.15000000002328306</v>
          </cell>
        </row>
        <row r="180">
          <cell r="E180">
            <v>43</v>
          </cell>
          <cell r="G180">
            <v>6278</v>
          </cell>
          <cell r="J180">
            <v>0</v>
          </cell>
          <cell r="L180"/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0.15000000002328306</v>
          </cell>
        </row>
        <row r="181">
          <cell r="E181">
            <v>40</v>
          </cell>
          <cell r="G181">
            <v>5840</v>
          </cell>
          <cell r="J181">
            <v>8</v>
          </cell>
          <cell r="L181">
            <v>4472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0.15000000002328306</v>
          </cell>
        </row>
        <row r="182">
          <cell r="E182">
            <v>48</v>
          </cell>
          <cell r="G182">
            <v>7008</v>
          </cell>
          <cell r="J182">
            <v>5</v>
          </cell>
          <cell r="L182">
            <v>2795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0.15000000002328306</v>
          </cell>
        </row>
        <row r="183">
          <cell r="E183">
            <v>51</v>
          </cell>
          <cell r="G183">
            <v>7446</v>
          </cell>
          <cell r="J183">
            <v>11</v>
          </cell>
          <cell r="L183">
            <v>6149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0.15000000002328306</v>
          </cell>
        </row>
        <row r="184">
          <cell r="E184">
            <v>59</v>
          </cell>
          <cell r="G184">
            <v>8614</v>
          </cell>
          <cell r="J184">
            <v>9</v>
          </cell>
          <cell r="L184">
            <v>5031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6.1500000000232831</v>
          </cell>
        </row>
        <row r="185">
          <cell r="E185">
            <v>94</v>
          </cell>
          <cell r="G185">
            <v>13724</v>
          </cell>
          <cell r="J185">
            <v>31</v>
          </cell>
          <cell r="L185">
            <v>17329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0.15000000002328306</v>
          </cell>
        </row>
        <row r="186">
          <cell r="E186">
            <v>55</v>
          </cell>
          <cell r="G186">
            <v>8030</v>
          </cell>
          <cell r="J186">
            <v>52</v>
          </cell>
          <cell r="L186">
            <v>29068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0.15000000002328306</v>
          </cell>
        </row>
        <row r="187">
          <cell r="E187">
            <v>91</v>
          </cell>
          <cell r="G187">
            <v>13286</v>
          </cell>
          <cell r="J187">
            <v>57</v>
          </cell>
          <cell r="L187">
            <v>31863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0.15000000002328306</v>
          </cell>
        </row>
        <row r="188">
          <cell r="E188">
            <v>102</v>
          </cell>
          <cell r="G188">
            <v>14892</v>
          </cell>
          <cell r="J188">
            <v>39</v>
          </cell>
          <cell r="L188">
            <v>21801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0.15000000002328306</v>
          </cell>
        </row>
        <row r="189">
          <cell r="E189">
            <v>89</v>
          </cell>
          <cell r="G189">
            <v>12994</v>
          </cell>
          <cell r="J189">
            <v>36</v>
          </cell>
          <cell r="L189">
            <v>20124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0.15000000002328306</v>
          </cell>
        </row>
        <row r="190">
          <cell r="E190">
            <v>79</v>
          </cell>
          <cell r="G190">
            <v>11534</v>
          </cell>
          <cell r="J190">
            <v>38</v>
          </cell>
          <cell r="L190">
            <v>21242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0.15000000002328306</v>
          </cell>
        </row>
        <row r="191">
          <cell r="E191">
            <v>78</v>
          </cell>
          <cell r="G191">
            <v>11388</v>
          </cell>
          <cell r="J191">
            <v>25</v>
          </cell>
          <cell r="L191">
            <v>13975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0.15000000002328306</v>
          </cell>
        </row>
        <row r="192">
          <cell r="E192">
            <v>54</v>
          </cell>
          <cell r="G192">
            <v>7884</v>
          </cell>
          <cell r="J192">
            <v>2</v>
          </cell>
          <cell r="L192">
            <v>1118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0.15000000002328306</v>
          </cell>
        </row>
        <row r="193">
          <cell r="E193">
            <v>36</v>
          </cell>
          <cell r="G193">
            <v>5256</v>
          </cell>
          <cell r="J193">
            <v>8</v>
          </cell>
          <cell r="L193">
            <v>4472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0.15000000002328306</v>
          </cell>
        </row>
        <row r="194">
          <cell r="E194">
            <v>84</v>
          </cell>
          <cell r="G194">
            <v>12264</v>
          </cell>
          <cell r="J194">
            <v>7</v>
          </cell>
          <cell r="L194">
            <v>3913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0.15000000002328306</v>
          </cell>
        </row>
        <row r="195">
          <cell r="E195">
            <v>68</v>
          </cell>
          <cell r="G195">
            <v>9928</v>
          </cell>
          <cell r="J195">
            <v>12</v>
          </cell>
          <cell r="L195">
            <v>6708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0.15000000002328306</v>
          </cell>
        </row>
        <row r="196">
          <cell r="E196">
            <v>76</v>
          </cell>
          <cell r="G196">
            <v>11096</v>
          </cell>
          <cell r="J196">
            <v>16</v>
          </cell>
          <cell r="L196">
            <v>8944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0.15000000002328306</v>
          </cell>
        </row>
        <row r="197">
          <cell r="E197">
            <v>66</v>
          </cell>
          <cell r="G197">
            <v>9636</v>
          </cell>
          <cell r="J197">
            <v>28</v>
          </cell>
          <cell r="L197">
            <v>15652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0.15000000002328306</v>
          </cell>
        </row>
        <row r="198">
          <cell r="E198">
            <v>76</v>
          </cell>
          <cell r="G198">
            <v>11096</v>
          </cell>
          <cell r="J198">
            <v>75</v>
          </cell>
          <cell r="L198">
            <v>41925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0.15000000002328306</v>
          </cell>
        </row>
        <row r="199">
          <cell r="E199">
            <v>136</v>
          </cell>
          <cell r="G199">
            <v>19856</v>
          </cell>
          <cell r="J199">
            <v>44</v>
          </cell>
          <cell r="L199">
            <v>24596</v>
          </cell>
          <cell r="M199">
            <v>3828</v>
          </cell>
          <cell r="O199"/>
          <cell r="P199"/>
          <cell r="Q199">
            <v>80176</v>
          </cell>
          <cell r="W199">
            <v>128456.15000000002</v>
          </cell>
        </row>
        <row r="200">
          <cell r="E200">
            <v>216</v>
          </cell>
          <cell r="G200">
            <v>31536</v>
          </cell>
          <cell r="J200">
            <v>49</v>
          </cell>
          <cell r="L200">
            <v>27391</v>
          </cell>
          <cell r="M200">
            <v>3828</v>
          </cell>
          <cell r="O200"/>
          <cell r="P200"/>
          <cell r="Q200">
            <v>80176</v>
          </cell>
          <cell r="W200">
            <v>0.15000000002328306</v>
          </cell>
        </row>
        <row r="201">
          <cell r="E201">
            <v>198</v>
          </cell>
          <cell r="G201">
            <v>28908</v>
          </cell>
          <cell r="J201">
            <v>40</v>
          </cell>
          <cell r="L201">
            <v>22360</v>
          </cell>
          <cell r="M201">
            <v>3828</v>
          </cell>
          <cell r="O201"/>
          <cell r="P201"/>
          <cell r="Q201">
            <v>80176</v>
          </cell>
          <cell r="W201">
            <v>2.1500000000232831</v>
          </cell>
        </row>
        <row r="202">
          <cell r="E202">
            <v>52</v>
          </cell>
          <cell r="G202">
            <v>7592</v>
          </cell>
          <cell r="J202">
            <v>21</v>
          </cell>
          <cell r="L202">
            <v>11739</v>
          </cell>
          <cell r="M202">
            <v>3828</v>
          </cell>
          <cell r="O202"/>
          <cell r="P202"/>
          <cell r="Q202">
            <v>80176</v>
          </cell>
          <cell r="W202">
            <v>-2.8499999999767169</v>
          </cell>
        </row>
        <row r="203">
          <cell r="E203">
            <v>54</v>
          </cell>
          <cell r="G203">
            <v>7884</v>
          </cell>
          <cell r="J203">
            <v>17</v>
          </cell>
          <cell r="L203">
            <v>9503</v>
          </cell>
          <cell r="M203">
            <v>3828</v>
          </cell>
          <cell r="O203"/>
          <cell r="P203"/>
          <cell r="Q203">
            <v>80176</v>
          </cell>
          <cell r="W203">
            <v>101388.15000000002</v>
          </cell>
        </row>
        <row r="204">
          <cell r="E204">
            <v>-10064</v>
          </cell>
          <cell r="G204">
            <v>-1469344</v>
          </cell>
          <cell r="J204">
            <v>-7877</v>
          </cell>
          <cell r="L204">
            <v>-4403243</v>
          </cell>
          <cell r="M204">
            <v>3828</v>
          </cell>
          <cell r="O204"/>
          <cell r="P204"/>
          <cell r="Q204">
            <v>80176</v>
          </cell>
          <cell r="W204">
            <v>-5687194.8499999996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-5603190.8499999996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-5519186.8499999996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-5435182.8499999996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-5351178.8499999996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-5267174.8499999996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-5183170.8499999996</v>
          </cell>
        </row>
      </sheetData>
      <sheetData sheetId="12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87141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87141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88138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89922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89965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89998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90036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145171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290438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92271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92303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184636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268640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352644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436648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520652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604656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688660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772664</v>
          </cell>
        </row>
      </sheetData>
      <sheetData sheetId="13">
        <row r="176">
          <cell r="E176">
            <v>251</v>
          </cell>
          <cell r="G176">
            <v>36646</v>
          </cell>
          <cell r="J176">
            <v>99</v>
          </cell>
          <cell r="L176">
            <v>55341</v>
          </cell>
          <cell r="M176">
            <v>3731</v>
          </cell>
          <cell r="O176">
            <v>0</v>
          </cell>
          <cell r="P176">
            <v>5000</v>
          </cell>
          <cell r="Q176">
            <v>76410</v>
          </cell>
          <cell r="W176">
            <v>0</v>
          </cell>
        </row>
        <row r="177">
          <cell r="E177">
            <v>280</v>
          </cell>
          <cell r="G177">
            <v>40880</v>
          </cell>
          <cell r="J177">
            <v>97</v>
          </cell>
          <cell r="L177">
            <v>54223</v>
          </cell>
          <cell r="M177">
            <v>3731</v>
          </cell>
          <cell r="O177">
            <v>0</v>
          </cell>
          <cell r="P177">
            <v>5000</v>
          </cell>
          <cell r="Q177">
            <v>76410</v>
          </cell>
          <cell r="W177">
            <v>0</v>
          </cell>
        </row>
        <row r="178">
          <cell r="E178">
            <v>171</v>
          </cell>
          <cell r="G178">
            <v>24966</v>
          </cell>
          <cell r="J178">
            <v>86</v>
          </cell>
          <cell r="L178">
            <v>48074</v>
          </cell>
          <cell r="M178">
            <v>3731</v>
          </cell>
          <cell r="O178">
            <v>0</v>
          </cell>
          <cell r="P178">
            <v>5000</v>
          </cell>
          <cell r="Q178">
            <v>76410</v>
          </cell>
          <cell r="W178">
            <v>0</v>
          </cell>
        </row>
        <row r="179">
          <cell r="E179">
            <v>189</v>
          </cell>
          <cell r="G179">
            <v>27594</v>
          </cell>
          <cell r="J179">
            <v>36</v>
          </cell>
          <cell r="L179">
            <v>20124</v>
          </cell>
          <cell r="M179">
            <v>3731</v>
          </cell>
          <cell r="O179">
            <v>0</v>
          </cell>
          <cell r="P179">
            <v>5000</v>
          </cell>
          <cell r="Q179">
            <v>76410</v>
          </cell>
          <cell r="W179">
            <v>0</v>
          </cell>
        </row>
        <row r="180">
          <cell r="E180">
            <v>232</v>
          </cell>
          <cell r="G180">
            <v>33872</v>
          </cell>
          <cell r="J180">
            <v>9</v>
          </cell>
          <cell r="L180">
            <v>5031</v>
          </cell>
          <cell r="M180">
            <v>3731</v>
          </cell>
          <cell r="O180">
            <v>0</v>
          </cell>
          <cell r="P180">
            <v>5000</v>
          </cell>
          <cell r="Q180">
            <v>76410</v>
          </cell>
          <cell r="W180">
            <v>0</v>
          </cell>
        </row>
        <row r="181">
          <cell r="E181">
            <v>229</v>
          </cell>
          <cell r="G181">
            <v>33434</v>
          </cell>
          <cell r="J181">
            <v>14</v>
          </cell>
          <cell r="L181">
            <v>7826</v>
          </cell>
          <cell r="M181">
            <v>3731</v>
          </cell>
          <cell r="O181">
            <v>0</v>
          </cell>
          <cell r="P181">
            <v>5000</v>
          </cell>
          <cell r="Q181">
            <v>76410</v>
          </cell>
          <cell r="W181">
            <v>0</v>
          </cell>
        </row>
        <row r="182">
          <cell r="E182">
            <v>258</v>
          </cell>
          <cell r="G182">
            <v>37668</v>
          </cell>
          <cell r="J182">
            <v>11</v>
          </cell>
          <cell r="L182">
            <v>6149</v>
          </cell>
          <cell r="M182">
            <v>3731</v>
          </cell>
          <cell r="O182">
            <v>0</v>
          </cell>
          <cell r="P182">
            <v>5000</v>
          </cell>
          <cell r="Q182">
            <v>76410</v>
          </cell>
          <cell r="W182">
            <v>0</v>
          </cell>
        </row>
        <row r="183">
          <cell r="E183">
            <v>253</v>
          </cell>
          <cell r="G183">
            <v>36938</v>
          </cell>
          <cell r="J183">
            <v>16</v>
          </cell>
          <cell r="L183">
            <v>8944</v>
          </cell>
          <cell r="M183">
            <v>3731</v>
          </cell>
          <cell r="O183">
            <v>0</v>
          </cell>
          <cell r="P183">
            <v>5000</v>
          </cell>
          <cell r="Q183">
            <v>76410</v>
          </cell>
          <cell r="W183">
            <v>0</v>
          </cell>
        </row>
        <row r="184">
          <cell r="E184">
            <v>203</v>
          </cell>
          <cell r="G184">
            <v>29638</v>
          </cell>
          <cell r="J184">
            <v>56</v>
          </cell>
          <cell r="L184">
            <v>31304</v>
          </cell>
          <cell r="M184">
            <v>3731</v>
          </cell>
          <cell r="O184">
            <v>0</v>
          </cell>
          <cell r="P184">
            <v>5000</v>
          </cell>
          <cell r="Q184">
            <v>76410</v>
          </cell>
          <cell r="W184">
            <v>0</v>
          </cell>
        </row>
        <row r="185">
          <cell r="E185">
            <v>162</v>
          </cell>
          <cell r="G185">
            <v>23652</v>
          </cell>
          <cell r="J185">
            <v>139</v>
          </cell>
          <cell r="L185">
            <v>81121</v>
          </cell>
          <cell r="M185">
            <v>3731</v>
          </cell>
          <cell r="O185">
            <v>0</v>
          </cell>
          <cell r="P185">
            <v>5000</v>
          </cell>
          <cell r="Q185">
            <v>76410</v>
          </cell>
          <cell r="W185">
            <v>0</v>
          </cell>
        </row>
        <row r="186">
          <cell r="E186">
            <v>236</v>
          </cell>
          <cell r="G186">
            <v>34456</v>
          </cell>
          <cell r="J186">
            <v>103</v>
          </cell>
          <cell r="L186">
            <v>57577</v>
          </cell>
          <cell r="M186">
            <v>3731</v>
          </cell>
          <cell r="O186">
            <v>0</v>
          </cell>
          <cell r="P186">
            <v>5000</v>
          </cell>
          <cell r="Q186">
            <v>76410</v>
          </cell>
          <cell r="W186">
            <v>0</v>
          </cell>
        </row>
        <row r="187">
          <cell r="E187">
            <v>210</v>
          </cell>
          <cell r="G187">
            <v>30660</v>
          </cell>
          <cell r="J187">
            <v>140</v>
          </cell>
          <cell r="L187">
            <v>81860</v>
          </cell>
          <cell r="M187">
            <v>3731</v>
          </cell>
          <cell r="O187">
            <v>0</v>
          </cell>
          <cell r="P187">
            <v>5000</v>
          </cell>
          <cell r="Q187">
            <v>78144</v>
          </cell>
          <cell r="W187">
            <v>0</v>
          </cell>
        </row>
        <row r="188">
          <cell r="E188">
            <v>193</v>
          </cell>
          <cell r="G188">
            <v>28178</v>
          </cell>
          <cell r="J188">
            <v>102</v>
          </cell>
          <cell r="L188">
            <v>57018</v>
          </cell>
          <cell r="M188">
            <v>3731</v>
          </cell>
          <cell r="O188">
            <v>0</v>
          </cell>
          <cell r="P188">
            <v>5000</v>
          </cell>
          <cell r="Q188">
            <v>78144</v>
          </cell>
          <cell r="W188">
            <v>0</v>
          </cell>
        </row>
        <row r="189">
          <cell r="E189">
            <v>255</v>
          </cell>
          <cell r="G189">
            <v>37230</v>
          </cell>
          <cell r="J189">
            <v>110</v>
          </cell>
          <cell r="L189">
            <v>61490</v>
          </cell>
          <cell r="M189">
            <v>3731</v>
          </cell>
          <cell r="O189">
            <v>0</v>
          </cell>
          <cell r="P189">
            <v>5000</v>
          </cell>
          <cell r="Q189">
            <v>78144</v>
          </cell>
          <cell r="W189">
            <v>0</v>
          </cell>
        </row>
        <row r="190">
          <cell r="E190">
            <v>222</v>
          </cell>
          <cell r="G190">
            <v>32412</v>
          </cell>
          <cell r="J190">
            <v>88</v>
          </cell>
          <cell r="L190">
            <v>49192</v>
          </cell>
          <cell r="M190">
            <v>3731</v>
          </cell>
          <cell r="O190">
            <v>0</v>
          </cell>
          <cell r="P190">
            <v>5000</v>
          </cell>
          <cell r="Q190">
            <v>78144</v>
          </cell>
          <cell r="W190">
            <v>0</v>
          </cell>
        </row>
        <row r="191">
          <cell r="E191">
            <v>259</v>
          </cell>
          <cell r="G191">
            <v>37814</v>
          </cell>
          <cell r="J191">
            <v>74</v>
          </cell>
          <cell r="L191">
            <v>41366</v>
          </cell>
          <cell r="M191">
            <v>3731</v>
          </cell>
          <cell r="O191">
            <v>0</v>
          </cell>
          <cell r="P191">
            <v>5000</v>
          </cell>
          <cell r="Q191">
            <v>78144</v>
          </cell>
          <cell r="W191">
            <v>0</v>
          </cell>
        </row>
        <row r="192">
          <cell r="E192">
            <v>252</v>
          </cell>
          <cell r="G192">
            <v>36792</v>
          </cell>
          <cell r="J192">
            <v>74</v>
          </cell>
          <cell r="L192">
            <v>41366</v>
          </cell>
          <cell r="M192">
            <v>3731</v>
          </cell>
          <cell r="O192">
            <v>0</v>
          </cell>
          <cell r="P192">
            <v>5000</v>
          </cell>
          <cell r="Q192">
            <v>78144</v>
          </cell>
          <cell r="W192">
            <v>0</v>
          </cell>
        </row>
        <row r="193">
          <cell r="E193">
            <v>216</v>
          </cell>
          <cell r="G193">
            <v>31536</v>
          </cell>
          <cell r="J193">
            <v>37</v>
          </cell>
          <cell r="L193">
            <v>20683</v>
          </cell>
          <cell r="M193">
            <v>3731</v>
          </cell>
          <cell r="O193">
            <v>0</v>
          </cell>
          <cell r="P193">
            <v>5000</v>
          </cell>
          <cell r="Q193">
            <v>78144</v>
          </cell>
          <cell r="W193">
            <v>0</v>
          </cell>
        </row>
        <row r="194">
          <cell r="E194">
            <v>241</v>
          </cell>
          <cell r="G194">
            <v>35186</v>
          </cell>
          <cell r="J194">
            <v>26</v>
          </cell>
          <cell r="L194">
            <v>14534</v>
          </cell>
          <cell r="M194">
            <v>3731</v>
          </cell>
          <cell r="O194">
            <v>0</v>
          </cell>
          <cell r="P194">
            <v>4032</v>
          </cell>
          <cell r="Q194">
            <v>78144</v>
          </cell>
          <cell r="W194">
            <v>0</v>
          </cell>
        </row>
        <row r="195">
          <cell r="E195">
            <v>201</v>
          </cell>
          <cell r="G195">
            <v>29346</v>
          </cell>
          <cell r="J195">
            <v>20</v>
          </cell>
          <cell r="L195">
            <v>11180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162</v>
          </cell>
          <cell r="G196">
            <v>23652</v>
          </cell>
          <cell r="J196">
            <v>34</v>
          </cell>
          <cell r="L196">
            <v>19006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189</v>
          </cell>
          <cell r="G197">
            <v>27594</v>
          </cell>
          <cell r="J197">
            <v>81</v>
          </cell>
          <cell r="L197">
            <v>45279</v>
          </cell>
          <cell r="M197">
            <v>3731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227</v>
          </cell>
          <cell r="G198">
            <v>33142</v>
          </cell>
          <cell r="J198">
            <v>100</v>
          </cell>
          <cell r="L198">
            <v>55900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179187</v>
          </cell>
        </row>
        <row r="199">
          <cell r="E199">
            <v>192</v>
          </cell>
          <cell r="G199">
            <v>28032</v>
          </cell>
          <cell r="J199">
            <v>99</v>
          </cell>
          <cell r="L199">
            <v>55341</v>
          </cell>
          <cell r="M199">
            <v>3828</v>
          </cell>
          <cell r="O199"/>
          <cell r="P199"/>
          <cell r="Q199">
            <v>80176</v>
          </cell>
          <cell r="W199">
            <v>354828</v>
          </cell>
        </row>
        <row r="200">
          <cell r="E200">
            <v>202</v>
          </cell>
          <cell r="G200">
            <v>29492</v>
          </cell>
          <cell r="J200">
            <v>101</v>
          </cell>
          <cell r="L200">
            <v>56459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184</v>
          </cell>
          <cell r="G201">
            <v>26864</v>
          </cell>
          <cell r="J201">
            <v>87</v>
          </cell>
          <cell r="L201">
            <v>48633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213</v>
          </cell>
          <cell r="G202">
            <v>31098</v>
          </cell>
          <cell r="J202">
            <v>76</v>
          </cell>
          <cell r="L202">
            <v>42484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253</v>
          </cell>
          <cell r="G203">
            <v>36938</v>
          </cell>
          <cell r="J203">
            <v>71</v>
          </cell>
          <cell r="L203">
            <v>39689</v>
          </cell>
          <cell r="M203">
            <v>3828</v>
          </cell>
          <cell r="O203"/>
          <cell r="P203"/>
          <cell r="Q203">
            <v>80176</v>
          </cell>
          <cell r="W203">
            <v>168960</v>
          </cell>
        </row>
        <row r="204">
          <cell r="E204">
            <v>-27426</v>
          </cell>
          <cell r="G204">
            <v>-4004196</v>
          </cell>
          <cell r="J204">
            <v>-9357</v>
          </cell>
          <cell r="L204">
            <v>-5230563</v>
          </cell>
          <cell r="M204">
            <v>3828</v>
          </cell>
          <cell r="O204"/>
          <cell r="P204"/>
          <cell r="Q204">
            <v>80176</v>
          </cell>
          <cell r="W204">
            <v>-8981795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-8897791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-8813787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-8729783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-8645779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-8561775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-8477771</v>
          </cell>
        </row>
      </sheetData>
      <sheetData sheetId="14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1734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3468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84004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84004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168008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252012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336016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420020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504024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588028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672032</v>
          </cell>
        </row>
      </sheetData>
      <sheetData sheetId="15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>
            <v>0</v>
          </cell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16">
        <row r="176">
          <cell r="E176">
            <v>151</v>
          </cell>
          <cell r="G176">
            <v>22046</v>
          </cell>
          <cell r="J176">
            <v>79</v>
          </cell>
          <cell r="L176">
            <v>44161</v>
          </cell>
          <cell r="M176">
            <v>3731</v>
          </cell>
          <cell r="O176">
            <v>0</v>
          </cell>
          <cell r="P176">
            <v>10000</v>
          </cell>
          <cell r="Q176">
            <v>76410</v>
          </cell>
          <cell r="W176">
            <v>0</v>
          </cell>
        </row>
        <row r="177">
          <cell r="E177">
            <v>113</v>
          </cell>
          <cell r="G177">
            <v>16498</v>
          </cell>
          <cell r="J177">
            <v>78</v>
          </cell>
          <cell r="L177">
            <v>43602</v>
          </cell>
          <cell r="M177">
            <v>3731</v>
          </cell>
          <cell r="O177">
            <v>0</v>
          </cell>
          <cell r="P177">
            <v>10000</v>
          </cell>
          <cell r="Q177">
            <v>76410</v>
          </cell>
          <cell r="W177">
            <v>0</v>
          </cell>
        </row>
        <row r="178">
          <cell r="E178">
            <v>103</v>
          </cell>
          <cell r="G178">
            <v>15038</v>
          </cell>
          <cell r="J178">
            <v>71</v>
          </cell>
          <cell r="L178">
            <v>39689</v>
          </cell>
          <cell r="M178">
            <v>3731</v>
          </cell>
          <cell r="O178">
            <v>0</v>
          </cell>
          <cell r="P178">
            <v>10000</v>
          </cell>
          <cell r="Q178">
            <v>76410</v>
          </cell>
          <cell r="W178">
            <v>0</v>
          </cell>
        </row>
        <row r="179">
          <cell r="E179">
            <v>130</v>
          </cell>
          <cell r="G179">
            <v>18980</v>
          </cell>
          <cell r="J179">
            <v>69</v>
          </cell>
          <cell r="L179">
            <v>38571</v>
          </cell>
          <cell r="M179">
            <v>3731</v>
          </cell>
          <cell r="O179">
            <v>0</v>
          </cell>
          <cell r="P179">
            <v>10000</v>
          </cell>
          <cell r="Q179">
            <v>76410</v>
          </cell>
          <cell r="W179">
            <v>0</v>
          </cell>
        </row>
        <row r="180">
          <cell r="E180">
            <v>109</v>
          </cell>
          <cell r="G180">
            <v>15914</v>
          </cell>
          <cell r="J180">
            <v>56</v>
          </cell>
          <cell r="L180">
            <v>31304</v>
          </cell>
          <cell r="M180">
            <v>3731</v>
          </cell>
          <cell r="O180">
            <v>0</v>
          </cell>
          <cell r="P180">
            <v>10000</v>
          </cell>
          <cell r="Q180">
            <v>76410</v>
          </cell>
          <cell r="W180">
            <v>0</v>
          </cell>
        </row>
        <row r="181">
          <cell r="E181">
            <v>106</v>
          </cell>
          <cell r="G181">
            <v>15476</v>
          </cell>
          <cell r="J181">
            <v>56</v>
          </cell>
          <cell r="L181">
            <v>31304</v>
          </cell>
          <cell r="M181">
            <v>3731</v>
          </cell>
          <cell r="O181">
            <v>0</v>
          </cell>
          <cell r="P181"/>
          <cell r="Q181">
            <v>76410</v>
          </cell>
          <cell r="W181">
            <v>0</v>
          </cell>
        </row>
        <row r="182">
          <cell r="E182">
            <v>95</v>
          </cell>
          <cell r="G182">
            <v>13870</v>
          </cell>
          <cell r="J182">
            <v>62</v>
          </cell>
          <cell r="L182">
            <v>34658</v>
          </cell>
          <cell r="M182">
            <v>3731</v>
          </cell>
          <cell r="O182">
            <v>0</v>
          </cell>
          <cell r="P182"/>
          <cell r="Q182">
            <v>76410</v>
          </cell>
          <cell r="W182">
            <v>0</v>
          </cell>
        </row>
        <row r="183">
          <cell r="E183">
            <v>209</v>
          </cell>
          <cell r="G183">
            <v>30514</v>
          </cell>
          <cell r="J183">
            <v>53</v>
          </cell>
          <cell r="L183">
            <v>29627</v>
          </cell>
          <cell r="M183">
            <v>3731</v>
          </cell>
          <cell r="O183">
            <v>0</v>
          </cell>
          <cell r="P183"/>
          <cell r="Q183">
            <v>76410</v>
          </cell>
          <cell r="W183">
            <v>0</v>
          </cell>
        </row>
        <row r="184">
          <cell r="E184">
            <v>256</v>
          </cell>
          <cell r="G184">
            <v>37376</v>
          </cell>
          <cell r="J184">
            <v>38</v>
          </cell>
          <cell r="L184">
            <v>21242</v>
          </cell>
          <cell r="M184">
            <v>3731</v>
          </cell>
          <cell r="O184">
            <v>0</v>
          </cell>
          <cell r="P184"/>
          <cell r="Q184">
            <v>76410</v>
          </cell>
          <cell r="W184">
            <v>0</v>
          </cell>
        </row>
        <row r="185">
          <cell r="E185">
            <v>288</v>
          </cell>
          <cell r="G185">
            <v>42048</v>
          </cell>
          <cell r="J185">
            <v>34</v>
          </cell>
          <cell r="L185">
            <v>19006</v>
          </cell>
          <cell r="M185">
            <v>3731</v>
          </cell>
          <cell r="O185">
            <v>0</v>
          </cell>
          <cell r="P185"/>
          <cell r="Q185">
            <v>76410</v>
          </cell>
          <cell r="W185">
            <v>0</v>
          </cell>
        </row>
        <row r="186">
          <cell r="E186">
            <v>270</v>
          </cell>
          <cell r="G186">
            <v>39420</v>
          </cell>
          <cell r="J186">
            <v>99</v>
          </cell>
          <cell r="L186">
            <v>55341</v>
          </cell>
          <cell r="M186">
            <v>3731</v>
          </cell>
          <cell r="O186">
            <v>0</v>
          </cell>
          <cell r="P186"/>
          <cell r="Q186">
            <v>76410</v>
          </cell>
          <cell r="W186">
            <v>450</v>
          </cell>
        </row>
        <row r="187">
          <cell r="E187">
            <v>257</v>
          </cell>
          <cell r="G187">
            <v>37522</v>
          </cell>
          <cell r="J187">
            <v>155</v>
          </cell>
          <cell r="L187">
            <v>95645</v>
          </cell>
          <cell r="M187">
            <v>3731</v>
          </cell>
          <cell r="O187">
            <v>0</v>
          </cell>
          <cell r="P187"/>
          <cell r="Q187">
            <v>78144</v>
          </cell>
          <cell r="W187">
            <v>43539</v>
          </cell>
        </row>
        <row r="188">
          <cell r="E188">
            <v>226</v>
          </cell>
          <cell r="G188">
            <v>32996</v>
          </cell>
          <cell r="J188">
            <v>65</v>
          </cell>
          <cell r="L188">
            <v>36335</v>
          </cell>
          <cell r="M188">
            <v>3731</v>
          </cell>
          <cell r="O188">
            <v>0</v>
          </cell>
          <cell r="P188"/>
          <cell r="Q188">
            <v>78144</v>
          </cell>
          <cell r="W188">
            <v>32822</v>
          </cell>
        </row>
        <row r="189">
          <cell r="E189">
            <v>204</v>
          </cell>
          <cell r="G189">
            <v>29784</v>
          </cell>
          <cell r="J189">
            <v>74</v>
          </cell>
          <cell r="L189">
            <v>41366</v>
          </cell>
          <cell r="M189">
            <v>3731</v>
          </cell>
          <cell r="O189">
            <v>0</v>
          </cell>
          <cell r="P189"/>
          <cell r="Q189">
            <v>78144</v>
          </cell>
          <cell r="W189">
            <v>23937</v>
          </cell>
        </row>
        <row r="190">
          <cell r="E190">
            <v>134</v>
          </cell>
          <cell r="G190">
            <v>19564</v>
          </cell>
          <cell r="J190">
            <v>65</v>
          </cell>
          <cell r="L190">
            <v>36335</v>
          </cell>
          <cell r="M190">
            <v>3731</v>
          </cell>
          <cell r="O190">
            <v>0</v>
          </cell>
          <cell r="P190"/>
          <cell r="Q190">
            <v>78144</v>
          </cell>
          <cell r="W190">
            <v>19812</v>
          </cell>
        </row>
        <row r="191">
          <cell r="E191">
            <v>202</v>
          </cell>
          <cell r="G191">
            <v>29492</v>
          </cell>
          <cell r="J191">
            <v>49</v>
          </cell>
          <cell r="L191">
            <v>27391</v>
          </cell>
          <cell r="M191">
            <v>3731</v>
          </cell>
          <cell r="O191">
            <v>0</v>
          </cell>
          <cell r="P191"/>
          <cell r="Q191">
            <v>78144</v>
          </cell>
          <cell r="W191">
            <v>46693</v>
          </cell>
        </row>
        <row r="192">
          <cell r="E192">
            <v>418</v>
          </cell>
          <cell r="G192">
            <v>61028</v>
          </cell>
          <cell r="J192">
            <v>35</v>
          </cell>
          <cell r="L192">
            <v>19565</v>
          </cell>
          <cell r="M192">
            <v>3731</v>
          </cell>
          <cell r="O192">
            <v>0</v>
          </cell>
          <cell r="P192"/>
          <cell r="Q192">
            <v>78144</v>
          </cell>
          <cell r="W192">
            <v>97309</v>
          </cell>
        </row>
        <row r="193">
          <cell r="E193">
            <v>333</v>
          </cell>
          <cell r="G193">
            <v>48618</v>
          </cell>
          <cell r="J193">
            <v>38</v>
          </cell>
          <cell r="L193">
            <v>21242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137205</v>
          </cell>
        </row>
        <row r="194">
          <cell r="E194">
            <v>268</v>
          </cell>
          <cell r="G194">
            <v>39128</v>
          </cell>
          <cell r="J194">
            <v>35</v>
          </cell>
          <cell r="L194">
            <v>19565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165959</v>
          </cell>
        </row>
        <row r="195">
          <cell r="E195">
            <v>212</v>
          </cell>
          <cell r="G195">
            <v>30952</v>
          </cell>
          <cell r="J195">
            <v>36</v>
          </cell>
          <cell r="L195">
            <v>20124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234</v>
          </cell>
          <cell r="G196">
            <v>34164</v>
          </cell>
          <cell r="J196">
            <v>21</v>
          </cell>
          <cell r="L196">
            <v>11739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231</v>
          </cell>
          <cell r="G197">
            <v>33726</v>
          </cell>
          <cell r="J197">
            <v>44</v>
          </cell>
          <cell r="L197">
            <v>24596</v>
          </cell>
          <cell r="M197">
            <v>3731</v>
          </cell>
          <cell r="O197">
            <v>0</v>
          </cell>
          <cell r="P197"/>
          <cell r="Q197">
            <v>78144</v>
          </cell>
          <cell r="W197">
            <v>18457</v>
          </cell>
        </row>
        <row r="198">
          <cell r="E198">
            <v>199</v>
          </cell>
          <cell r="G198">
            <v>29054</v>
          </cell>
          <cell r="J198">
            <v>55</v>
          </cell>
          <cell r="L198">
            <v>30745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181</v>
          </cell>
          <cell r="G199">
            <v>26426</v>
          </cell>
          <cell r="J199">
            <v>60</v>
          </cell>
          <cell r="L199">
            <v>33540</v>
          </cell>
          <cell r="M199">
            <v>3828</v>
          </cell>
          <cell r="O199">
            <v>0</v>
          </cell>
          <cell r="P199"/>
          <cell r="Q199">
            <v>80176</v>
          </cell>
          <cell r="W199">
            <v>152234</v>
          </cell>
        </row>
        <row r="200">
          <cell r="E200">
            <v>271</v>
          </cell>
          <cell r="G200">
            <v>39566</v>
          </cell>
          <cell r="J200">
            <v>65</v>
          </cell>
          <cell r="L200">
            <v>36335</v>
          </cell>
          <cell r="M200">
            <v>3828</v>
          </cell>
          <cell r="O200">
            <v>0</v>
          </cell>
          <cell r="P200"/>
          <cell r="Q200">
            <v>80176</v>
          </cell>
          <cell r="W200">
            <v>0</v>
          </cell>
        </row>
        <row r="201">
          <cell r="E201">
            <v>172</v>
          </cell>
          <cell r="G201">
            <v>25112</v>
          </cell>
          <cell r="J201">
            <v>44</v>
          </cell>
          <cell r="L201">
            <v>24596</v>
          </cell>
          <cell r="M201">
            <v>3828</v>
          </cell>
          <cell r="O201">
            <v>0</v>
          </cell>
          <cell r="P201"/>
          <cell r="Q201">
            <v>80176</v>
          </cell>
          <cell r="W201">
            <v>197114</v>
          </cell>
        </row>
        <row r="202">
          <cell r="E202">
            <v>102</v>
          </cell>
          <cell r="G202">
            <v>14892</v>
          </cell>
          <cell r="J202">
            <v>30</v>
          </cell>
          <cell r="L202">
            <v>16770</v>
          </cell>
          <cell r="M202">
            <v>3828</v>
          </cell>
          <cell r="O202">
            <v>0</v>
          </cell>
          <cell r="P202"/>
          <cell r="Q202">
            <v>80176</v>
          </cell>
          <cell r="W202">
            <v>376403</v>
          </cell>
        </row>
        <row r="203">
          <cell r="E203">
            <v>58</v>
          </cell>
          <cell r="G203">
            <v>8468</v>
          </cell>
          <cell r="J203">
            <v>19</v>
          </cell>
          <cell r="L203">
            <v>10621</v>
          </cell>
          <cell r="M203">
            <v>3828</v>
          </cell>
          <cell r="O203">
            <v>0</v>
          </cell>
          <cell r="P203"/>
          <cell r="Q203">
            <v>80176</v>
          </cell>
          <cell r="W203">
            <v>487825</v>
          </cell>
        </row>
        <row r="204">
          <cell r="E204">
            <v>-32946</v>
          </cell>
          <cell r="G204">
            <v>-4810116</v>
          </cell>
          <cell r="J204">
            <v>-9839</v>
          </cell>
          <cell r="L204">
            <v>-5500001</v>
          </cell>
          <cell r="M204">
            <v>3828</v>
          </cell>
          <cell r="O204">
            <v>0</v>
          </cell>
          <cell r="P204"/>
          <cell r="Q204">
            <v>80176</v>
          </cell>
          <cell r="W204">
            <v>-9738288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/>
          <cell r="Q205">
            <v>80176</v>
          </cell>
          <cell r="W205">
            <v>-9654284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/>
          <cell r="Q206">
            <v>80176</v>
          </cell>
          <cell r="W206">
            <v>-9570280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/>
          <cell r="Q207">
            <v>80176</v>
          </cell>
          <cell r="W207">
            <v>-9486276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/>
          <cell r="Q208">
            <v>80176</v>
          </cell>
          <cell r="W208">
            <v>-9402272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/>
          <cell r="Q209">
            <v>80176</v>
          </cell>
          <cell r="W209">
            <v>-9318268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/>
          <cell r="Q210">
            <v>80176</v>
          </cell>
          <cell r="W210">
            <v>-9234264</v>
          </cell>
        </row>
      </sheetData>
      <sheetData sheetId="17">
        <row r="176">
          <cell r="E176">
            <v>264</v>
          </cell>
          <cell r="G176">
            <v>38544</v>
          </cell>
          <cell r="J176">
            <v>77</v>
          </cell>
          <cell r="L176">
            <v>43043</v>
          </cell>
          <cell r="M176">
            <v>3731</v>
          </cell>
          <cell r="O176"/>
          <cell r="P176"/>
          <cell r="Q176">
            <v>76410</v>
          </cell>
          <cell r="W176">
            <v>-0.20000000006984919</v>
          </cell>
        </row>
        <row r="177">
          <cell r="E177">
            <v>201</v>
          </cell>
          <cell r="G177">
            <v>29346</v>
          </cell>
          <cell r="J177">
            <v>85</v>
          </cell>
          <cell r="L177">
            <v>47515</v>
          </cell>
          <cell r="M177">
            <v>3731</v>
          </cell>
          <cell r="O177"/>
          <cell r="P177"/>
          <cell r="Q177">
            <v>76410</v>
          </cell>
          <cell r="W177">
            <v>-10.200000000069849</v>
          </cell>
        </row>
        <row r="178">
          <cell r="E178">
            <v>114</v>
          </cell>
          <cell r="G178">
            <v>16644</v>
          </cell>
          <cell r="J178">
            <v>76</v>
          </cell>
          <cell r="L178">
            <v>42484</v>
          </cell>
          <cell r="M178">
            <v>3731</v>
          </cell>
          <cell r="O178"/>
          <cell r="P178"/>
          <cell r="Q178">
            <v>76410</v>
          </cell>
          <cell r="W178">
            <v>-0.20000000006984919</v>
          </cell>
        </row>
        <row r="179">
          <cell r="E179">
            <v>94</v>
          </cell>
          <cell r="G179">
            <v>13724</v>
          </cell>
          <cell r="J179">
            <v>31</v>
          </cell>
          <cell r="L179">
            <v>17329</v>
          </cell>
          <cell r="M179">
            <v>3731</v>
          </cell>
          <cell r="O179"/>
          <cell r="P179"/>
          <cell r="Q179">
            <v>76410</v>
          </cell>
          <cell r="W179">
            <v>-0.20000000006984919</v>
          </cell>
        </row>
        <row r="180">
          <cell r="E180">
            <v>169</v>
          </cell>
          <cell r="G180">
            <v>24674</v>
          </cell>
          <cell r="J180">
            <v>12</v>
          </cell>
          <cell r="L180">
            <v>6708</v>
          </cell>
          <cell r="M180">
            <v>3731</v>
          </cell>
          <cell r="O180"/>
          <cell r="P180"/>
          <cell r="Q180">
            <v>76410</v>
          </cell>
          <cell r="W180">
            <v>-0.20000000006984919</v>
          </cell>
        </row>
        <row r="181">
          <cell r="E181">
            <v>140</v>
          </cell>
          <cell r="G181">
            <v>20440</v>
          </cell>
          <cell r="J181">
            <v>0</v>
          </cell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-0.20000000006984919</v>
          </cell>
        </row>
        <row r="182">
          <cell r="E182">
            <v>168</v>
          </cell>
          <cell r="G182">
            <v>24528</v>
          </cell>
          <cell r="J182">
            <v>3</v>
          </cell>
          <cell r="L182">
            <v>1677</v>
          </cell>
          <cell r="M182">
            <v>3731</v>
          </cell>
          <cell r="O182"/>
          <cell r="P182"/>
          <cell r="Q182">
            <v>76410</v>
          </cell>
          <cell r="W182">
            <v>-0.20000000006984919</v>
          </cell>
        </row>
        <row r="183">
          <cell r="E183">
            <v>245</v>
          </cell>
          <cell r="G183">
            <v>35770</v>
          </cell>
          <cell r="J183">
            <v>28</v>
          </cell>
          <cell r="L183">
            <v>15652</v>
          </cell>
          <cell r="M183">
            <v>3731</v>
          </cell>
          <cell r="O183"/>
          <cell r="P183"/>
          <cell r="Q183">
            <v>76410</v>
          </cell>
          <cell r="W183">
            <v>-0.20000000006984919</v>
          </cell>
        </row>
        <row r="184">
          <cell r="E184">
            <v>190</v>
          </cell>
          <cell r="G184">
            <v>27740</v>
          </cell>
          <cell r="J184">
            <v>31</v>
          </cell>
          <cell r="L184">
            <v>17329</v>
          </cell>
          <cell r="M184">
            <v>3731</v>
          </cell>
          <cell r="O184"/>
          <cell r="P184"/>
          <cell r="Q184">
            <v>76410</v>
          </cell>
          <cell r="W184">
            <v>-0.20000000006984919</v>
          </cell>
        </row>
        <row r="185">
          <cell r="E185">
            <v>222</v>
          </cell>
          <cell r="G185">
            <v>32412</v>
          </cell>
          <cell r="J185">
            <v>53</v>
          </cell>
          <cell r="L185">
            <v>29627</v>
          </cell>
          <cell r="M185">
            <v>3731</v>
          </cell>
          <cell r="O185"/>
          <cell r="P185"/>
          <cell r="Q185">
            <v>76410</v>
          </cell>
          <cell r="W185">
            <v>-0.20000000006984919</v>
          </cell>
        </row>
        <row r="186">
          <cell r="E186">
            <v>179</v>
          </cell>
          <cell r="G186">
            <v>26134</v>
          </cell>
          <cell r="J186">
            <v>88</v>
          </cell>
          <cell r="L186">
            <v>49192</v>
          </cell>
          <cell r="M186">
            <v>3731</v>
          </cell>
          <cell r="O186"/>
          <cell r="P186"/>
          <cell r="Q186">
            <v>76410</v>
          </cell>
          <cell r="W186">
            <v>-0.20000000006984919</v>
          </cell>
        </row>
        <row r="187">
          <cell r="E187">
            <v>218</v>
          </cell>
          <cell r="G187">
            <v>31828</v>
          </cell>
          <cell r="J187">
            <v>88</v>
          </cell>
          <cell r="L187">
            <v>49192</v>
          </cell>
          <cell r="M187">
            <v>3731</v>
          </cell>
          <cell r="O187"/>
          <cell r="P187"/>
          <cell r="Q187">
            <v>78144</v>
          </cell>
          <cell r="W187">
            <v>-0.20000000006984919</v>
          </cell>
        </row>
        <row r="188">
          <cell r="E188">
            <v>193</v>
          </cell>
          <cell r="G188">
            <v>28178</v>
          </cell>
          <cell r="J188">
            <v>64</v>
          </cell>
          <cell r="L188">
            <v>35776</v>
          </cell>
          <cell r="M188">
            <v>3731</v>
          </cell>
          <cell r="O188"/>
          <cell r="P188"/>
          <cell r="Q188">
            <v>78144</v>
          </cell>
          <cell r="W188">
            <v>-0.20000000006984919</v>
          </cell>
        </row>
        <row r="189">
          <cell r="E189">
            <v>224</v>
          </cell>
          <cell r="G189">
            <v>32704</v>
          </cell>
          <cell r="J189">
            <v>63</v>
          </cell>
          <cell r="L189">
            <v>35217</v>
          </cell>
          <cell r="M189">
            <v>3731</v>
          </cell>
          <cell r="O189"/>
          <cell r="P189"/>
          <cell r="Q189">
            <v>78144</v>
          </cell>
          <cell r="W189">
            <v>-0.20000000006984919</v>
          </cell>
        </row>
        <row r="190">
          <cell r="E190">
            <v>213</v>
          </cell>
          <cell r="G190">
            <v>31098</v>
          </cell>
          <cell r="J190">
            <v>57</v>
          </cell>
          <cell r="L190">
            <v>31863</v>
          </cell>
          <cell r="M190">
            <v>3731</v>
          </cell>
          <cell r="O190"/>
          <cell r="P190"/>
          <cell r="Q190">
            <v>78144</v>
          </cell>
          <cell r="W190">
            <v>-0.20000000006984919</v>
          </cell>
        </row>
        <row r="191">
          <cell r="E191">
            <v>162</v>
          </cell>
          <cell r="G191">
            <v>23652</v>
          </cell>
          <cell r="J191">
            <v>64</v>
          </cell>
          <cell r="L191">
            <v>35776</v>
          </cell>
          <cell r="M191">
            <v>3731</v>
          </cell>
          <cell r="O191"/>
          <cell r="P191"/>
          <cell r="Q191">
            <v>78144</v>
          </cell>
          <cell r="W191">
            <v>-0.20000000006984919</v>
          </cell>
        </row>
        <row r="192">
          <cell r="E192">
            <v>175</v>
          </cell>
          <cell r="G192">
            <v>25550</v>
          </cell>
          <cell r="J192">
            <v>5</v>
          </cell>
          <cell r="L192">
            <v>2795</v>
          </cell>
          <cell r="M192">
            <v>3731</v>
          </cell>
          <cell r="O192"/>
          <cell r="P192"/>
          <cell r="Q192">
            <v>78144</v>
          </cell>
          <cell r="W192">
            <v>-0.20000000006984919</v>
          </cell>
        </row>
        <row r="193">
          <cell r="E193">
            <v>164</v>
          </cell>
          <cell r="G193">
            <v>23944</v>
          </cell>
          <cell r="J193">
            <v>4</v>
          </cell>
          <cell r="L193">
            <v>2236</v>
          </cell>
          <cell r="M193">
            <v>3731</v>
          </cell>
          <cell r="O193"/>
          <cell r="P193"/>
          <cell r="Q193">
            <v>78144</v>
          </cell>
          <cell r="W193">
            <v>-0.20000000006984919</v>
          </cell>
        </row>
        <row r="194">
          <cell r="E194">
            <v>199</v>
          </cell>
          <cell r="G194">
            <v>29054</v>
          </cell>
          <cell r="J194">
            <v>12</v>
          </cell>
          <cell r="L194">
            <v>6708</v>
          </cell>
          <cell r="M194">
            <v>3731</v>
          </cell>
          <cell r="O194"/>
          <cell r="P194"/>
          <cell r="Q194">
            <v>78144</v>
          </cell>
          <cell r="W194">
            <v>-0.20000000006984919</v>
          </cell>
        </row>
        <row r="195">
          <cell r="E195">
            <v>209</v>
          </cell>
          <cell r="G195">
            <v>30514</v>
          </cell>
          <cell r="J195">
            <v>27</v>
          </cell>
          <cell r="L195">
            <v>15093</v>
          </cell>
          <cell r="M195">
            <v>3731</v>
          </cell>
          <cell r="O195"/>
          <cell r="P195"/>
          <cell r="Q195">
            <v>78144</v>
          </cell>
          <cell r="W195">
            <v>-180.20000000006985</v>
          </cell>
        </row>
        <row r="196">
          <cell r="E196">
            <v>148</v>
          </cell>
          <cell r="G196">
            <v>21608</v>
          </cell>
          <cell r="J196">
            <v>22</v>
          </cell>
          <cell r="L196">
            <v>12298</v>
          </cell>
          <cell r="M196">
            <v>3731</v>
          </cell>
          <cell r="O196"/>
          <cell r="P196"/>
          <cell r="Q196">
            <v>78144</v>
          </cell>
          <cell r="W196">
            <v>-0.20000000006984919</v>
          </cell>
        </row>
        <row r="197">
          <cell r="E197">
            <v>175</v>
          </cell>
          <cell r="G197">
            <v>25550</v>
          </cell>
          <cell r="J197">
            <v>44</v>
          </cell>
          <cell r="L197">
            <v>24596</v>
          </cell>
          <cell r="M197">
            <v>3731</v>
          </cell>
          <cell r="O197"/>
          <cell r="P197"/>
          <cell r="Q197">
            <v>78144</v>
          </cell>
          <cell r="W197">
            <v>-0.20000000006984919</v>
          </cell>
        </row>
        <row r="198">
          <cell r="E198">
            <v>181</v>
          </cell>
          <cell r="G198">
            <v>26426</v>
          </cell>
          <cell r="J198">
            <v>56</v>
          </cell>
          <cell r="L198">
            <v>31304</v>
          </cell>
          <cell r="M198">
            <v>3731</v>
          </cell>
          <cell r="O198"/>
          <cell r="P198"/>
          <cell r="Q198">
            <v>78144</v>
          </cell>
          <cell r="W198">
            <v>-0.20000000006984919</v>
          </cell>
        </row>
        <row r="199">
          <cell r="E199">
            <v>218</v>
          </cell>
          <cell r="G199">
            <v>31828</v>
          </cell>
          <cell r="J199">
            <v>74</v>
          </cell>
          <cell r="L199">
            <v>41366</v>
          </cell>
          <cell r="M199">
            <v>3828</v>
          </cell>
          <cell r="O199"/>
          <cell r="P199"/>
          <cell r="Q199">
            <v>80176</v>
          </cell>
          <cell r="W199">
            <v>165461.79999999993</v>
          </cell>
        </row>
        <row r="200">
          <cell r="E200">
            <v>224</v>
          </cell>
          <cell r="G200">
            <v>32704</v>
          </cell>
          <cell r="J200">
            <v>68</v>
          </cell>
          <cell r="L200">
            <v>38012</v>
          </cell>
          <cell r="M200">
            <v>3828</v>
          </cell>
          <cell r="O200"/>
          <cell r="P200"/>
          <cell r="Q200">
            <v>80176</v>
          </cell>
          <cell r="W200">
            <v>-0.20000000006984919</v>
          </cell>
        </row>
        <row r="201">
          <cell r="E201">
            <v>209</v>
          </cell>
          <cell r="G201">
            <v>30514</v>
          </cell>
          <cell r="J201">
            <v>70</v>
          </cell>
          <cell r="L201">
            <v>39130</v>
          </cell>
          <cell r="M201">
            <v>3828</v>
          </cell>
          <cell r="O201"/>
          <cell r="P201"/>
          <cell r="Q201">
            <v>80176</v>
          </cell>
          <cell r="W201">
            <v>-0.20000000006984919</v>
          </cell>
        </row>
        <row r="202">
          <cell r="E202">
            <v>158</v>
          </cell>
          <cell r="G202">
            <v>23068</v>
          </cell>
          <cell r="J202">
            <v>63</v>
          </cell>
          <cell r="L202">
            <v>35217</v>
          </cell>
          <cell r="M202">
            <v>3828</v>
          </cell>
          <cell r="O202"/>
          <cell r="P202"/>
          <cell r="Q202">
            <v>80176</v>
          </cell>
          <cell r="W202">
            <v>-0.20000000006984919</v>
          </cell>
        </row>
        <row r="203">
          <cell r="E203">
            <v>169</v>
          </cell>
          <cell r="G203">
            <v>24674</v>
          </cell>
          <cell r="J203">
            <v>45</v>
          </cell>
          <cell r="L203">
            <v>25155</v>
          </cell>
          <cell r="M203">
            <v>3828</v>
          </cell>
          <cell r="O203"/>
          <cell r="P203"/>
          <cell r="Q203">
            <v>80176</v>
          </cell>
          <cell r="W203">
            <v>142161.79999999993</v>
          </cell>
        </row>
        <row r="204">
          <cell r="E204">
            <v>-48637</v>
          </cell>
          <cell r="G204">
            <v>-7101002</v>
          </cell>
          <cell r="J204">
            <v>-17868</v>
          </cell>
          <cell r="L204">
            <v>-9988212</v>
          </cell>
          <cell r="M204">
            <v>3828</v>
          </cell>
          <cell r="O204"/>
          <cell r="P204"/>
          <cell r="Q204">
            <v>80176</v>
          </cell>
          <cell r="W204">
            <v>-16863048.199999999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-16779044.199999999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-16695040.199999999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-16611036.199999999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-16527032.199999999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-16443028.199999999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-16359024.199999999</v>
          </cell>
        </row>
      </sheetData>
      <sheetData sheetId="18">
        <row r="176">
          <cell r="E176">
            <v>189</v>
          </cell>
          <cell r="G176">
            <v>27594</v>
          </cell>
          <cell r="J176">
            <v>84</v>
          </cell>
          <cell r="L176">
            <v>46956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196</v>
          </cell>
          <cell r="G177">
            <v>28616</v>
          </cell>
          <cell r="J177">
            <v>95</v>
          </cell>
          <cell r="L177">
            <v>53105</v>
          </cell>
          <cell r="M177">
            <v>3731</v>
          </cell>
          <cell r="O177">
            <v>0</v>
          </cell>
          <cell r="P177"/>
          <cell r="Q177">
            <v>76410</v>
          </cell>
          <cell r="W177">
            <v>0</v>
          </cell>
        </row>
        <row r="178">
          <cell r="E178">
            <v>172</v>
          </cell>
          <cell r="G178">
            <v>25112</v>
          </cell>
          <cell r="J178">
            <v>64</v>
          </cell>
          <cell r="L178">
            <v>35776</v>
          </cell>
          <cell r="M178">
            <v>3731</v>
          </cell>
          <cell r="O178">
            <v>0</v>
          </cell>
          <cell r="P178"/>
          <cell r="Q178">
            <v>76410</v>
          </cell>
          <cell r="W178">
            <v>0</v>
          </cell>
        </row>
        <row r="179">
          <cell r="E179">
            <v>319</v>
          </cell>
          <cell r="G179">
            <v>46574</v>
          </cell>
          <cell r="J179">
            <v>7</v>
          </cell>
          <cell r="L179">
            <v>3913</v>
          </cell>
          <cell r="M179">
            <v>3731</v>
          </cell>
          <cell r="O179">
            <v>0</v>
          </cell>
          <cell r="P179"/>
          <cell r="Q179">
            <v>76410</v>
          </cell>
          <cell r="W179">
            <v>0</v>
          </cell>
        </row>
        <row r="180">
          <cell r="E180">
            <v>346</v>
          </cell>
          <cell r="G180">
            <v>50516</v>
          </cell>
          <cell r="J180">
            <v>2</v>
          </cell>
          <cell r="L180">
            <v>1118</v>
          </cell>
          <cell r="M180">
            <v>3731</v>
          </cell>
          <cell r="O180">
            <v>0</v>
          </cell>
          <cell r="P180"/>
          <cell r="Q180">
            <v>76410</v>
          </cell>
          <cell r="W180">
            <v>0</v>
          </cell>
        </row>
        <row r="181">
          <cell r="E181">
            <v>305</v>
          </cell>
          <cell r="G181">
            <v>44530</v>
          </cell>
          <cell r="J181">
            <v>10</v>
          </cell>
          <cell r="L181">
            <v>5590</v>
          </cell>
          <cell r="M181">
            <v>3731</v>
          </cell>
          <cell r="O181">
            <v>0</v>
          </cell>
          <cell r="P181"/>
          <cell r="Q181">
            <v>76410</v>
          </cell>
          <cell r="W181">
            <v>0</v>
          </cell>
        </row>
        <row r="182">
          <cell r="E182">
            <v>298</v>
          </cell>
          <cell r="G182">
            <v>43508</v>
          </cell>
          <cell r="J182"/>
          <cell r="L182">
            <v>0</v>
          </cell>
          <cell r="M182">
            <v>3731</v>
          </cell>
          <cell r="O182">
            <v>0</v>
          </cell>
          <cell r="P182"/>
          <cell r="Q182">
            <v>76410</v>
          </cell>
          <cell r="W182">
            <v>5031</v>
          </cell>
        </row>
        <row r="183">
          <cell r="E183">
            <v>324</v>
          </cell>
          <cell r="G183">
            <v>47304</v>
          </cell>
          <cell r="J183">
            <v>30</v>
          </cell>
          <cell r="L183">
            <v>16770</v>
          </cell>
          <cell r="M183">
            <v>3731</v>
          </cell>
          <cell r="O183">
            <v>0</v>
          </cell>
          <cell r="P183"/>
          <cell r="Q183">
            <v>76410</v>
          </cell>
          <cell r="W183">
            <v>0</v>
          </cell>
        </row>
        <row r="184">
          <cell r="E184">
            <v>211</v>
          </cell>
          <cell r="G184">
            <v>30806</v>
          </cell>
          <cell r="J184">
            <v>17</v>
          </cell>
          <cell r="L184">
            <v>9503</v>
          </cell>
          <cell r="M184">
            <v>3731</v>
          </cell>
          <cell r="O184">
            <v>0</v>
          </cell>
          <cell r="P184"/>
          <cell r="Q184">
            <v>76410</v>
          </cell>
          <cell r="W184">
            <v>0</v>
          </cell>
        </row>
        <row r="185">
          <cell r="E185">
            <v>206</v>
          </cell>
          <cell r="G185">
            <v>30076</v>
          </cell>
          <cell r="J185">
            <v>66</v>
          </cell>
          <cell r="L185">
            <v>36894</v>
          </cell>
          <cell r="M185">
            <v>3731</v>
          </cell>
          <cell r="O185">
            <v>0</v>
          </cell>
          <cell r="P185"/>
          <cell r="Q185">
            <v>76410</v>
          </cell>
          <cell r="W185">
            <v>0</v>
          </cell>
        </row>
        <row r="186">
          <cell r="E186">
            <v>147</v>
          </cell>
          <cell r="G186">
            <v>21462</v>
          </cell>
          <cell r="J186">
            <v>64</v>
          </cell>
          <cell r="L186">
            <v>35776</v>
          </cell>
          <cell r="M186">
            <v>3731</v>
          </cell>
          <cell r="O186">
            <v>0</v>
          </cell>
          <cell r="P186"/>
          <cell r="Q186">
            <v>76410</v>
          </cell>
          <cell r="W186">
            <v>145418</v>
          </cell>
        </row>
        <row r="187">
          <cell r="E187">
            <v>180</v>
          </cell>
          <cell r="G187">
            <v>26280</v>
          </cell>
          <cell r="J187">
            <v>84</v>
          </cell>
          <cell r="L187">
            <v>46956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138</v>
          </cell>
          <cell r="G188">
            <v>20148</v>
          </cell>
          <cell r="J188">
            <v>75</v>
          </cell>
          <cell r="L188">
            <v>41925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187</v>
          </cell>
          <cell r="G189">
            <v>27302</v>
          </cell>
          <cell r="J189">
            <v>79</v>
          </cell>
          <cell r="L189">
            <v>44161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201</v>
          </cell>
          <cell r="G190">
            <v>29346</v>
          </cell>
          <cell r="J190">
            <v>78</v>
          </cell>
          <cell r="L190">
            <v>43602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426</v>
          </cell>
          <cell r="G191">
            <v>62196</v>
          </cell>
          <cell r="J191">
            <v>70</v>
          </cell>
          <cell r="L191">
            <v>39130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291</v>
          </cell>
          <cell r="G192">
            <v>42486</v>
          </cell>
          <cell r="J192">
            <v>1</v>
          </cell>
          <cell r="L192">
            <v>559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336</v>
          </cell>
          <cell r="G193">
            <v>49056</v>
          </cell>
          <cell r="J193">
            <v>2</v>
          </cell>
          <cell r="L193">
            <v>1118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332</v>
          </cell>
          <cell r="G194">
            <v>48472</v>
          </cell>
          <cell r="J194">
            <v>1</v>
          </cell>
          <cell r="L194">
            <v>559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352</v>
          </cell>
          <cell r="G195">
            <v>51392</v>
          </cell>
          <cell r="J195">
            <v>13</v>
          </cell>
          <cell r="L195">
            <v>7267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254</v>
          </cell>
          <cell r="G196">
            <v>37084</v>
          </cell>
          <cell r="J196">
            <v>42</v>
          </cell>
          <cell r="L196">
            <v>23478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205</v>
          </cell>
          <cell r="G197">
            <v>29930</v>
          </cell>
          <cell r="J197">
            <v>89</v>
          </cell>
          <cell r="L197">
            <v>49751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161</v>
          </cell>
          <cell r="G198">
            <v>23506</v>
          </cell>
          <cell r="J198">
            <v>62</v>
          </cell>
          <cell r="L198">
            <v>34658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152</v>
          </cell>
          <cell r="G199">
            <v>22192</v>
          </cell>
          <cell r="J199">
            <v>63</v>
          </cell>
          <cell r="L199">
            <v>35217</v>
          </cell>
          <cell r="M199">
            <v>3828</v>
          </cell>
          <cell r="O199"/>
          <cell r="P199"/>
          <cell r="Q199">
            <v>80176</v>
          </cell>
          <cell r="W199">
            <v>149677</v>
          </cell>
        </row>
        <row r="200">
          <cell r="E200">
            <v>223</v>
          </cell>
          <cell r="G200">
            <v>32558</v>
          </cell>
          <cell r="J200">
            <v>51</v>
          </cell>
          <cell r="L200">
            <v>28509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96</v>
          </cell>
          <cell r="G201">
            <v>14016</v>
          </cell>
          <cell r="J201">
            <v>41</v>
          </cell>
          <cell r="L201">
            <v>22919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7</v>
          </cell>
          <cell r="G202">
            <v>1022</v>
          </cell>
          <cell r="J202">
            <v>76</v>
          </cell>
          <cell r="L202">
            <v>42484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8</v>
          </cell>
          <cell r="G203">
            <v>1168</v>
          </cell>
          <cell r="J203">
            <v>83</v>
          </cell>
          <cell r="L203">
            <v>46397</v>
          </cell>
          <cell r="M203">
            <v>3828</v>
          </cell>
          <cell r="O203"/>
          <cell r="P203"/>
          <cell r="Q203">
            <v>80176</v>
          </cell>
          <cell r="W203">
            <v>139898</v>
          </cell>
        </row>
        <row r="204">
          <cell r="E204">
            <v>-42046</v>
          </cell>
          <cell r="G204">
            <v>-6138716</v>
          </cell>
          <cell r="J204">
            <v>-11175</v>
          </cell>
          <cell r="L204">
            <v>-6246825</v>
          </cell>
          <cell r="M204">
            <v>3828</v>
          </cell>
          <cell r="O204"/>
          <cell r="P204"/>
          <cell r="Q204">
            <v>80176</v>
          </cell>
          <cell r="W204">
            <v>-12161639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-12077635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-11993631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-11909627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-11825623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-11741619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-11657615</v>
          </cell>
        </row>
      </sheetData>
      <sheetData sheetId="19">
        <row r="176">
          <cell r="E176">
            <v>174</v>
          </cell>
          <cell r="G176">
            <v>25404</v>
          </cell>
          <cell r="J176">
            <v>64</v>
          </cell>
          <cell r="L176">
            <v>35776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215</v>
          </cell>
          <cell r="G177">
            <v>31390</v>
          </cell>
          <cell r="J177">
            <v>58</v>
          </cell>
          <cell r="L177">
            <v>32422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194</v>
          </cell>
          <cell r="G178">
            <v>28324</v>
          </cell>
          <cell r="J178">
            <v>62</v>
          </cell>
          <cell r="L178">
            <v>34658</v>
          </cell>
          <cell r="M178">
            <v>3731</v>
          </cell>
          <cell r="O178"/>
          <cell r="P178"/>
          <cell r="Q178">
            <v>76410</v>
          </cell>
          <cell r="W178">
            <v>3731</v>
          </cell>
        </row>
        <row r="179">
          <cell r="E179">
            <v>208</v>
          </cell>
          <cell r="G179">
            <v>30368</v>
          </cell>
          <cell r="J179">
            <v>10</v>
          </cell>
          <cell r="L179">
            <v>5590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189</v>
          </cell>
          <cell r="G180">
            <v>27594</v>
          </cell>
          <cell r="J180">
            <v>0</v>
          </cell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187</v>
          </cell>
          <cell r="G181">
            <v>27302</v>
          </cell>
          <cell r="J181">
            <v>2</v>
          </cell>
          <cell r="L181">
            <v>1118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235</v>
          </cell>
          <cell r="G182">
            <v>34310</v>
          </cell>
          <cell r="J182">
            <v>7</v>
          </cell>
          <cell r="L182">
            <v>3913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154</v>
          </cell>
          <cell r="G183">
            <v>22484</v>
          </cell>
          <cell r="J183">
            <v>7</v>
          </cell>
          <cell r="L183">
            <v>3913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149</v>
          </cell>
          <cell r="G184">
            <v>21754</v>
          </cell>
          <cell r="J184">
            <v>13</v>
          </cell>
          <cell r="L184">
            <v>7267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211</v>
          </cell>
          <cell r="G185">
            <v>30806</v>
          </cell>
          <cell r="J185">
            <v>53</v>
          </cell>
          <cell r="L185">
            <v>29627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227</v>
          </cell>
          <cell r="G186">
            <v>33142</v>
          </cell>
          <cell r="J186">
            <v>83</v>
          </cell>
          <cell r="L186">
            <v>46397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392</v>
          </cell>
          <cell r="G187">
            <v>57232</v>
          </cell>
          <cell r="J187">
            <v>116</v>
          </cell>
          <cell r="L187">
            <v>64844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311</v>
          </cell>
          <cell r="G188">
            <v>45406</v>
          </cell>
          <cell r="J188">
            <v>65</v>
          </cell>
          <cell r="L188">
            <v>36335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341</v>
          </cell>
          <cell r="G189">
            <v>49786</v>
          </cell>
          <cell r="J189">
            <v>63</v>
          </cell>
          <cell r="L189">
            <v>35217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265</v>
          </cell>
          <cell r="G190">
            <v>38690</v>
          </cell>
          <cell r="J190">
            <v>59</v>
          </cell>
          <cell r="L190">
            <v>32981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254</v>
          </cell>
          <cell r="G191">
            <v>37084</v>
          </cell>
          <cell r="J191">
            <v>270</v>
          </cell>
          <cell r="L191">
            <v>150930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160</v>
          </cell>
          <cell r="G192">
            <v>23360</v>
          </cell>
          <cell r="J192">
            <v>4</v>
          </cell>
          <cell r="L192">
            <v>2236</v>
          </cell>
          <cell r="M192">
            <v>3731</v>
          </cell>
          <cell r="O192"/>
          <cell r="P192"/>
          <cell r="Q192">
            <v>78144</v>
          </cell>
          <cell r="W192">
            <v>-278012</v>
          </cell>
        </row>
        <row r="193">
          <cell r="E193">
            <v>138</v>
          </cell>
          <cell r="G193">
            <v>20148</v>
          </cell>
          <cell r="J193">
            <v>0</v>
          </cell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-167828</v>
          </cell>
        </row>
        <row r="194">
          <cell r="E194">
            <v>163</v>
          </cell>
          <cell r="G194">
            <v>23798</v>
          </cell>
          <cell r="J194">
            <v>1</v>
          </cell>
          <cell r="L194">
            <v>559</v>
          </cell>
          <cell r="M194">
            <v>3731</v>
          </cell>
          <cell r="O194"/>
          <cell r="P194"/>
          <cell r="Q194">
            <v>78144</v>
          </cell>
          <cell r="W194">
            <v>-53410</v>
          </cell>
        </row>
        <row r="195">
          <cell r="E195">
            <v>137</v>
          </cell>
          <cell r="G195">
            <v>20002</v>
          </cell>
          <cell r="J195">
            <v>4</v>
          </cell>
          <cell r="L195">
            <v>2236</v>
          </cell>
          <cell r="M195">
            <v>3731</v>
          </cell>
          <cell r="O195"/>
          <cell r="P195"/>
          <cell r="Q195">
            <v>78144</v>
          </cell>
          <cell r="W195">
            <v>58910</v>
          </cell>
        </row>
        <row r="196">
          <cell r="E196">
            <v>155</v>
          </cell>
          <cell r="G196">
            <v>22630</v>
          </cell>
          <cell r="J196">
            <v>23</v>
          </cell>
          <cell r="L196">
            <v>12857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193</v>
          </cell>
          <cell r="G197">
            <v>28178</v>
          </cell>
          <cell r="J197">
            <v>60</v>
          </cell>
          <cell r="L197">
            <v>33540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212</v>
          </cell>
          <cell r="G198">
            <v>30952</v>
          </cell>
          <cell r="J198">
            <v>80</v>
          </cell>
          <cell r="L198">
            <v>44720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332</v>
          </cell>
          <cell r="G199">
            <v>48472</v>
          </cell>
          <cell r="J199">
            <v>78</v>
          </cell>
          <cell r="L199">
            <v>43602</v>
          </cell>
          <cell r="M199">
            <v>3828</v>
          </cell>
          <cell r="O199"/>
          <cell r="P199"/>
          <cell r="Q199">
            <v>80176</v>
          </cell>
          <cell r="W199">
            <v>184342</v>
          </cell>
        </row>
        <row r="200">
          <cell r="E200">
            <v>369</v>
          </cell>
          <cell r="G200">
            <v>53874</v>
          </cell>
          <cell r="J200">
            <v>97</v>
          </cell>
          <cell r="L200">
            <v>54223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326</v>
          </cell>
          <cell r="G201">
            <v>47596</v>
          </cell>
          <cell r="J201">
            <v>83</v>
          </cell>
          <cell r="L201">
            <v>46397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337</v>
          </cell>
          <cell r="G202">
            <v>49202</v>
          </cell>
          <cell r="J202">
            <v>70</v>
          </cell>
          <cell r="L202">
            <v>39130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357</v>
          </cell>
          <cell r="G203">
            <v>52122</v>
          </cell>
          <cell r="J203">
            <v>72</v>
          </cell>
          <cell r="L203">
            <v>40248</v>
          </cell>
          <cell r="M203">
            <v>3828</v>
          </cell>
          <cell r="O203"/>
          <cell r="P203"/>
          <cell r="Q203">
            <v>80176</v>
          </cell>
          <cell r="W203">
            <v>184703</v>
          </cell>
        </row>
        <row r="204">
          <cell r="E204">
            <v>-27702</v>
          </cell>
          <cell r="G204">
            <v>-4044492</v>
          </cell>
          <cell r="J204">
            <v>-9271</v>
          </cell>
          <cell r="L204">
            <v>-5182489</v>
          </cell>
          <cell r="M204">
            <v>3828</v>
          </cell>
          <cell r="O204"/>
          <cell r="P204"/>
          <cell r="Q204">
            <v>80176</v>
          </cell>
          <cell r="W204">
            <v>-8958274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-8874270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-8790266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-8706262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-8622258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-8538254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-8454250</v>
          </cell>
        </row>
      </sheetData>
      <sheetData sheetId="20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-27250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59891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147032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234173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321314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88122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176260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264391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352551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440731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530653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620605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710570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800546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890544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980567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1070603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1160664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1250746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1340851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1430986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876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93144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295621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443027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590654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682987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766991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850995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934999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1019003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1103007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1187011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1271015</v>
          </cell>
        </row>
      </sheetData>
      <sheetData sheetId="21">
        <row r="176">
          <cell r="E176">
            <v>252</v>
          </cell>
          <cell r="G176">
            <v>36792</v>
          </cell>
          <cell r="J176">
            <v>30</v>
          </cell>
          <cell r="L176">
            <v>16770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140703</v>
          </cell>
        </row>
        <row r="177">
          <cell r="E177">
            <v>231</v>
          </cell>
          <cell r="G177">
            <v>33726</v>
          </cell>
          <cell r="J177">
            <v>16</v>
          </cell>
          <cell r="L177">
            <v>8944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169</v>
          </cell>
          <cell r="G178">
            <v>24674</v>
          </cell>
          <cell r="J178">
            <v>25</v>
          </cell>
          <cell r="L178">
            <v>13975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125790</v>
          </cell>
        </row>
        <row r="179">
          <cell r="E179">
            <v>158</v>
          </cell>
          <cell r="G179">
            <v>23068</v>
          </cell>
          <cell r="J179">
            <v>12</v>
          </cell>
          <cell r="L179">
            <v>6708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136</v>
          </cell>
          <cell r="G180">
            <v>19856</v>
          </cell>
          <cell r="J180">
            <v>10</v>
          </cell>
          <cell r="L180">
            <v>5590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112587</v>
          </cell>
        </row>
        <row r="181">
          <cell r="E181">
            <v>105</v>
          </cell>
          <cell r="G181">
            <v>15330</v>
          </cell>
          <cell r="J181">
            <v>6</v>
          </cell>
          <cell r="L181">
            <v>3354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104</v>
          </cell>
          <cell r="G182">
            <v>15184</v>
          </cell>
          <cell r="J182">
            <v>0</v>
          </cell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103306</v>
          </cell>
        </row>
        <row r="183">
          <cell r="E183">
            <v>131</v>
          </cell>
          <cell r="G183">
            <v>19126</v>
          </cell>
          <cell r="J183">
            <v>6</v>
          </cell>
          <cell r="L183">
            <v>3354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110</v>
          </cell>
          <cell r="G184">
            <v>16060</v>
          </cell>
          <cell r="J184">
            <v>5</v>
          </cell>
          <cell r="L184">
            <v>2795</v>
          </cell>
          <cell r="M184">
            <v>3731</v>
          </cell>
          <cell r="O184">
            <v>123409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163</v>
          </cell>
          <cell r="G185">
            <v>23798</v>
          </cell>
          <cell r="J185">
            <v>25</v>
          </cell>
          <cell r="L185">
            <v>13975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125933</v>
          </cell>
        </row>
        <row r="186">
          <cell r="E186">
            <v>164</v>
          </cell>
          <cell r="G186">
            <v>23944</v>
          </cell>
          <cell r="J186">
            <v>16</v>
          </cell>
          <cell r="L186">
            <v>8944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163</v>
          </cell>
          <cell r="G187">
            <v>23798</v>
          </cell>
          <cell r="J187">
            <v>27</v>
          </cell>
          <cell r="L187">
            <v>15093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128813</v>
          </cell>
        </row>
        <row r="188">
          <cell r="E188">
            <v>158</v>
          </cell>
          <cell r="G188">
            <v>23068</v>
          </cell>
          <cell r="J188">
            <v>25</v>
          </cell>
          <cell r="L188">
            <v>13975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143</v>
          </cell>
          <cell r="G189">
            <v>20878</v>
          </cell>
          <cell r="J189">
            <v>22</v>
          </cell>
          <cell r="L189">
            <v>12298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123141</v>
          </cell>
        </row>
        <row r="190">
          <cell r="E190">
            <v>102</v>
          </cell>
          <cell r="G190">
            <v>14892</v>
          </cell>
          <cell r="J190">
            <v>15</v>
          </cell>
          <cell r="L190">
            <v>8385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85</v>
          </cell>
          <cell r="G191">
            <v>12410</v>
          </cell>
          <cell r="J191">
            <v>16</v>
          </cell>
          <cell r="L191">
            <v>8944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111352</v>
          </cell>
        </row>
        <row r="192">
          <cell r="E192">
            <v>78</v>
          </cell>
          <cell r="G192">
            <v>11388</v>
          </cell>
          <cell r="J192">
            <v>11</v>
          </cell>
          <cell r="L192">
            <v>6149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-88</v>
          </cell>
        </row>
        <row r="193">
          <cell r="E193">
            <v>65</v>
          </cell>
          <cell r="G193">
            <v>9490</v>
          </cell>
          <cell r="J193">
            <v>7</v>
          </cell>
          <cell r="L193">
            <v>3913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103351</v>
          </cell>
        </row>
        <row r="194">
          <cell r="E194">
            <v>80</v>
          </cell>
          <cell r="G194">
            <v>11680</v>
          </cell>
          <cell r="J194">
            <v>9</v>
          </cell>
          <cell r="L194">
            <v>5031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-877</v>
          </cell>
        </row>
        <row r="195">
          <cell r="E195">
            <v>89</v>
          </cell>
          <cell r="G195">
            <v>12994</v>
          </cell>
          <cell r="J195">
            <v>12</v>
          </cell>
          <cell r="L195">
            <v>6708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108907</v>
          </cell>
        </row>
        <row r="196">
          <cell r="E196">
            <v>117</v>
          </cell>
          <cell r="G196">
            <v>17082</v>
          </cell>
          <cell r="J196">
            <v>15</v>
          </cell>
          <cell r="L196">
            <v>8385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140</v>
          </cell>
          <cell r="G197">
            <v>20440</v>
          </cell>
          <cell r="J197">
            <v>21</v>
          </cell>
          <cell r="L197">
            <v>11739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122314</v>
          </cell>
        </row>
        <row r="198">
          <cell r="E198">
            <v>194</v>
          </cell>
          <cell r="G198">
            <v>28324</v>
          </cell>
          <cell r="J198">
            <v>28</v>
          </cell>
          <cell r="L198">
            <v>15652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435</v>
          </cell>
        </row>
        <row r="199">
          <cell r="E199">
            <v>130</v>
          </cell>
          <cell r="G199">
            <v>18980</v>
          </cell>
          <cell r="J199">
            <v>27</v>
          </cell>
          <cell r="L199">
            <v>15093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126776</v>
          </cell>
        </row>
        <row r="200">
          <cell r="E200">
            <v>165</v>
          </cell>
          <cell r="G200">
            <v>24090</v>
          </cell>
          <cell r="J200">
            <v>35</v>
          </cell>
          <cell r="L200">
            <v>19565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133</v>
          </cell>
          <cell r="G201">
            <v>19418</v>
          </cell>
          <cell r="J201">
            <v>18</v>
          </cell>
          <cell r="L201">
            <v>10062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121754</v>
          </cell>
        </row>
        <row r="202">
          <cell r="E202">
            <v>77</v>
          </cell>
          <cell r="G202">
            <v>11242</v>
          </cell>
          <cell r="J202">
            <v>9</v>
          </cell>
          <cell r="L202">
            <v>5031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63</v>
          </cell>
          <cell r="G203">
            <v>9198</v>
          </cell>
          <cell r="J203">
            <v>5</v>
          </cell>
          <cell r="L203">
            <v>2795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104326</v>
          </cell>
        </row>
        <row r="204">
          <cell r="E204">
            <v>-35278</v>
          </cell>
          <cell r="G204">
            <v>-5150588</v>
          </cell>
          <cell r="J204">
            <v>-348</v>
          </cell>
          <cell r="L204">
            <v>-194532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-5156790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-5072786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-4988782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-4904778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-4820774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-4736770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-4652766</v>
          </cell>
        </row>
      </sheetData>
      <sheetData sheetId="22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680361</v>
          </cell>
        </row>
      </sheetData>
      <sheetData sheetId="23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8472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148736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289139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-90390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-3249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84873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-53195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88206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141830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285599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429485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573459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717592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861908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1006336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1150947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1295723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1440669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1585840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1731107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1821252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0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92271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84545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176848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269181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353185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437189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521193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605197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689201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773205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857209</v>
          </cell>
        </row>
      </sheetData>
      <sheetData sheetId="24">
        <row r="176">
          <cell r="E176">
            <v>644</v>
          </cell>
          <cell r="G176">
            <v>94024</v>
          </cell>
          <cell r="J176">
            <v>105</v>
          </cell>
          <cell r="L176">
            <v>58695</v>
          </cell>
          <cell r="M176">
            <v>3731</v>
          </cell>
          <cell r="O176"/>
          <cell r="P176"/>
          <cell r="Q176">
            <v>76410</v>
          </cell>
          <cell r="W176">
            <v>3731</v>
          </cell>
        </row>
        <row r="177">
          <cell r="E177">
            <v>517</v>
          </cell>
          <cell r="G177">
            <v>75482</v>
          </cell>
          <cell r="J177">
            <v>102</v>
          </cell>
          <cell r="L177">
            <v>57018</v>
          </cell>
          <cell r="M177">
            <v>3731</v>
          </cell>
          <cell r="O177"/>
          <cell r="P177"/>
          <cell r="Q177">
            <v>76410</v>
          </cell>
          <cell r="W177">
            <v>3731</v>
          </cell>
        </row>
        <row r="178">
          <cell r="E178">
            <v>277</v>
          </cell>
          <cell r="G178">
            <v>40442</v>
          </cell>
          <cell r="J178">
            <v>60</v>
          </cell>
          <cell r="L178">
            <v>33540</v>
          </cell>
          <cell r="M178">
            <v>3731</v>
          </cell>
          <cell r="O178"/>
          <cell r="P178"/>
          <cell r="Q178">
            <v>76410</v>
          </cell>
          <cell r="W178">
            <v>-7462</v>
          </cell>
        </row>
        <row r="179">
          <cell r="E179">
            <v>326</v>
          </cell>
          <cell r="G179">
            <v>47596</v>
          </cell>
          <cell r="J179">
            <v>18</v>
          </cell>
          <cell r="L179">
            <v>10062</v>
          </cell>
          <cell r="M179">
            <v>3731</v>
          </cell>
          <cell r="O179"/>
          <cell r="P179"/>
          <cell r="Q179">
            <v>76410</v>
          </cell>
          <cell r="W179">
            <v>137337</v>
          </cell>
        </row>
        <row r="180">
          <cell r="E180">
            <v>266</v>
          </cell>
          <cell r="G180">
            <v>38836</v>
          </cell>
          <cell r="J180">
            <v>1</v>
          </cell>
          <cell r="L180">
            <v>559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363</v>
          </cell>
          <cell r="G181">
            <v>52998</v>
          </cell>
          <cell r="J181">
            <v>8</v>
          </cell>
          <cell r="L181">
            <v>4472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306</v>
          </cell>
          <cell r="G182">
            <v>44676</v>
          </cell>
          <cell r="J182">
            <v>2</v>
          </cell>
          <cell r="L182">
            <v>1118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325</v>
          </cell>
          <cell r="G183">
            <v>47450</v>
          </cell>
          <cell r="J183">
            <v>18</v>
          </cell>
          <cell r="L183">
            <v>10062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319</v>
          </cell>
          <cell r="G184">
            <v>46574</v>
          </cell>
          <cell r="J184">
            <v>17</v>
          </cell>
          <cell r="L184">
            <v>9503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368</v>
          </cell>
          <cell r="G185">
            <v>53728</v>
          </cell>
          <cell r="J185">
            <v>63</v>
          </cell>
          <cell r="L185">
            <v>35217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374</v>
          </cell>
          <cell r="G186">
            <v>54604</v>
          </cell>
          <cell r="J186">
            <v>80</v>
          </cell>
          <cell r="L186">
            <v>44720</v>
          </cell>
          <cell r="M186">
            <v>3731</v>
          </cell>
          <cell r="O186"/>
          <cell r="P186"/>
          <cell r="Q186">
            <v>76410</v>
          </cell>
          <cell r="W186">
            <v>33476</v>
          </cell>
        </row>
        <row r="187">
          <cell r="E187">
            <v>573</v>
          </cell>
          <cell r="G187">
            <v>83658</v>
          </cell>
          <cell r="J187">
            <v>125</v>
          </cell>
          <cell r="L187">
            <v>70775</v>
          </cell>
          <cell r="M187">
            <v>3731</v>
          </cell>
          <cell r="O187"/>
          <cell r="P187"/>
          <cell r="Q187">
            <v>78144</v>
          </cell>
          <cell r="W187">
            <v>33476</v>
          </cell>
        </row>
        <row r="188">
          <cell r="E188">
            <v>423</v>
          </cell>
          <cell r="G188">
            <v>61758</v>
          </cell>
          <cell r="J188">
            <v>71</v>
          </cell>
          <cell r="L188">
            <v>39689</v>
          </cell>
          <cell r="M188">
            <v>3731</v>
          </cell>
          <cell r="O188"/>
          <cell r="P188"/>
          <cell r="Q188">
            <v>78144</v>
          </cell>
          <cell r="W188">
            <v>20264</v>
          </cell>
        </row>
        <row r="189">
          <cell r="E189">
            <v>433</v>
          </cell>
          <cell r="G189">
            <v>63218</v>
          </cell>
          <cell r="J189">
            <v>92</v>
          </cell>
          <cell r="L189">
            <v>51428</v>
          </cell>
          <cell r="M189">
            <v>3731</v>
          </cell>
          <cell r="O189"/>
          <cell r="P189"/>
          <cell r="Q189">
            <v>78144</v>
          </cell>
          <cell r="W189">
            <v>33302</v>
          </cell>
        </row>
        <row r="190">
          <cell r="E190">
            <v>256</v>
          </cell>
          <cell r="G190">
            <v>37376</v>
          </cell>
          <cell r="J190">
            <v>55</v>
          </cell>
          <cell r="L190">
            <v>30745</v>
          </cell>
          <cell r="M190">
            <v>3731</v>
          </cell>
          <cell r="O190"/>
          <cell r="P190"/>
          <cell r="Q190">
            <v>78144</v>
          </cell>
          <cell r="W190">
            <v>14692</v>
          </cell>
        </row>
        <row r="191">
          <cell r="E191">
            <v>368</v>
          </cell>
          <cell r="G191">
            <v>53728</v>
          </cell>
          <cell r="J191">
            <v>59</v>
          </cell>
          <cell r="L191">
            <v>32981</v>
          </cell>
          <cell r="M191">
            <v>3731</v>
          </cell>
          <cell r="O191"/>
          <cell r="P191"/>
          <cell r="Q191">
            <v>78144</v>
          </cell>
          <cell r="W191">
            <v>78433</v>
          </cell>
        </row>
        <row r="192">
          <cell r="E192">
            <v>138</v>
          </cell>
          <cell r="G192">
            <v>20148</v>
          </cell>
          <cell r="J192">
            <v>5</v>
          </cell>
          <cell r="L192">
            <v>2795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203</v>
          </cell>
          <cell r="G193">
            <v>29638</v>
          </cell>
          <cell r="J193">
            <v>17</v>
          </cell>
          <cell r="L193">
            <v>9503</v>
          </cell>
          <cell r="M193">
            <v>3731</v>
          </cell>
          <cell r="O193"/>
          <cell r="P193"/>
          <cell r="Q193">
            <v>78144</v>
          </cell>
          <cell r="W193">
            <v>129177</v>
          </cell>
        </row>
        <row r="194">
          <cell r="E194">
            <v>146</v>
          </cell>
          <cell r="G194">
            <v>21316</v>
          </cell>
          <cell r="J194">
            <v>8</v>
          </cell>
          <cell r="L194">
            <v>4472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158</v>
          </cell>
          <cell r="G195">
            <v>23068</v>
          </cell>
          <cell r="J195">
            <v>14</v>
          </cell>
          <cell r="L195">
            <v>7826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116</v>
          </cell>
          <cell r="G196">
            <v>16936</v>
          </cell>
          <cell r="J196">
            <v>15</v>
          </cell>
          <cell r="L196">
            <v>8385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195</v>
          </cell>
          <cell r="G197">
            <v>28470</v>
          </cell>
          <cell r="J197">
            <v>54</v>
          </cell>
          <cell r="L197">
            <v>30186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398</v>
          </cell>
          <cell r="G198">
            <v>58108</v>
          </cell>
          <cell r="J198">
            <v>71</v>
          </cell>
          <cell r="L198">
            <v>39689</v>
          </cell>
          <cell r="M198">
            <v>3731</v>
          </cell>
          <cell r="O198"/>
          <cell r="P198"/>
          <cell r="Q198">
            <v>78144</v>
          </cell>
          <cell r="W198">
            <v>187942</v>
          </cell>
        </row>
        <row r="199">
          <cell r="E199">
            <v>521</v>
          </cell>
          <cell r="G199">
            <v>76066</v>
          </cell>
          <cell r="J199">
            <v>88</v>
          </cell>
          <cell r="L199">
            <v>49192</v>
          </cell>
          <cell r="M199">
            <v>3828</v>
          </cell>
          <cell r="O199"/>
          <cell r="P199"/>
          <cell r="Q199">
            <v>80176</v>
          </cell>
          <cell r="W199">
            <v>405468</v>
          </cell>
        </row>
        <row r="200">
          <cell r="E200">
            <v>804</v>
          </cell>
          <cell r="G200">
            <v>117384</v>
          </cell>
          <cell r="J200">
            <v>91</v>
          </cell>
          <cell r="L200">
            <v>50869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316</v>
          </cell>
          <cell r="G201">
            <v>46136</v>
          </cell>
          <cell r="J201">
            <v>61</v>
          </cell>
          <cell r="L201">
            <v>34099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272</v>
          </cell>
          <cell r="G202">
            <v>39712</v>
          </cell>
          <cell r="J202">
            <v>34</v>
          </cell>
          <cell r="L202">
            <v>19006</v>
          </cell>
          <cell r="M202">
            <v>3828</v>
          </cell>
          <cell r="O202"/>
          <cell r="P202"/>
          <cell r="Q202">
            <v>80176</v>
          </cell>
          <cell r="W202">
            <v>151021</v>
          </cell>
        </row>
        <row r="203">
          <cell r="E203">
            <v>278</v>
          </cell>
          <cell r="G203">
            <v>40588</v>
          </cell>
          <cell r="J203">
            <v>37</v>
          </cell>
          <cell r="L203">
            <v>20683</v>
          </cell>
          <cell r="M203">
            <v>3828</v>
          </cell>
          <cell r="O203"/>
          <cell r="P203"/>
          <cell r="Q203">
            <v>80176</v>
          </cell>
          <cell r="W203">
            <v>304625</v>
          </cell>
        </row>
        <row r="204">
          <cell r="E204">
            <v>-27650</v>
          </cell>
          <cell r="G204">
            <v>-4036900</v>
          </cell>
          <cell r="J204">
            <v>-6389</v>
          </cell>
          <cell r="L204">
            <v>-3571451</v>
          </cell>
          <cell r="M204">
            <v>3828</v>
          </cell>
          <cell r="O204"/>
          <cell r="P204"/>
          <cell r="Q204">
            <v>80176</v>
          </cell>
          <cell r="W204">
            <v>-7219722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-7135718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-7051714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-6967710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-6883706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-6799702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-6715698</v>
          </cell>
        </row>
      </sheetData>
      <sheetData sheetId="25">
        <row r="200">
          <cell r="E200">
            <v>544</v>
          </cell>
          <cell r="G200">
            <v>79424</v>
          </cell>
          <cell r="J200">
            <v>57</v>
          </cell>
          <cell r="L200">
            <v>31863</v>
          </cell>
          <cell r="M200">
            <v>3828</v>
          </cell>
          <cell r="O200"/>
          <cell r="P200">
            <v>5000</v>
          </cell>
          <cell r="Q200">
            <v>80176</v>
          </cell>
          <cell r="W200">
            <v>4000.0200000000186</v>
          </cell>
        </row>
        <row r="201">
          <cell r="E201">
            <v>541</v>
          </cell>
          <cell r="G201">
            <v>78986</v>
          </cell>
          <cell r="J201">
            <v>11</v>
          </cell>
          <cell r="L201">
            <v>6149</v>
          </cell>
          <cell r="M201">
            <v>3828</v>
          </cell>
          <cell r="O201"/>
          <cell r="P201">
            <v>5000</v>
          </cell>
          <cell r="Q201">
            <v>80176</v>
          </cell>
          <cell r="W201">
            <v>2.0000000018626451E-2</v>
          </cell>
        </row>
        <row r="202">
          <cell r="E202">
            <v>425</v>
          </cell>
          <cell r="G202">
            <v>62050</v>
          </cell>
          <cell r="J202">
            <v>8</v>
          </cell>
          <cell r="L202">
            <v>4472</v>
          </cell>
          <cell r="M202">
            <v>3828</v>
          </cell>
          <cell r="O202"/>
          <cell r="P202">
            <v>5000</v>
          </cell>
          <cell r="Q202">
            <v>80176</v>
          </cell>
          <cell r="W202">
            <v>163825.02000000002</v>
          </cell>
        </row>
        <row r="203">
          <cell r="E203">
            <v>424</v>
          </cell>
          <cell r="G203">
            <v>61904</v>
          </cell>
          <cell r="J203">
            <v>14</v>
          </cell>
          <cell r="L203">
            <v>7826</v>
          </cell>
          <cell r="M203">
            <v>3828</v>
          </cell>
          <cell r="O203"/>
          <cell r="P203">
            <v>5000</v>
          </cell>
          <cell r="Q203">
            <v>80176</v>
          </cell>
          <cell r="W203">
            <v>330888.02</v>
          </cell>
        </row>
        <row r="204">
          <cell r="E204">
            <v>-54989</v>
          </cell>
          <cell r="G204">
            <v>-8028394</v>
          </cell>
          <cell r="J204">
            <v>-8217</v>
          </cell>
          <cell r="L204">
            <v>-4593303</v>
          </cell>
          <cell r="M204">
            <v>3828</v>
          </cell>
          <cell r="O204"/>
          <cell r="P204">
            <v>5000</v>
          </cell>
          <cell r="Q204">
            <v>80176</v>
          </cell>
          <cell r="W204">
            <v>-12201804.98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>
            <v>5000</v>
          </cell>
          <cell r="Q205">
            <v>80176</v>
          </cell>
          <cell r="W205">
            <v>-12112800.98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>
            <v>5000</v>
          </cell>
          <cell r="Q206">
            <v>80176</v>
          </cell>
          <cell r="W206">
            <v>-12023796.98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>
            <v>5000</v>
          </cell>
          <cell r="Q207">
            <v>80176</v>
          </cell>
          <cell r="W207">
            <v>-11934792.98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>
            <v>5000</v>
          </cell>
          <cell r="Q208">
            <v>80176</v>
          </cell>
          <cell r="W208">
            <v>-11845788.98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>
            <v>5000</v>
          </cell>
          <cell r="Q209">
            <v>80176</v>
          </cell>
          <cell r="W209">
            <v>-11756784.98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>
            <v>5000</v>
          </cell>
          <cell r="Q210">
            <v>80176</v>
          </cell>
          <cell r="W210">
            <v>-11667780.98</v>
          </cell>
        </row>
      </sheetData>
      <sheetData sheetId="26">
        <row r="176">
          <cell r="E176">
            <v>418</v>
          </cell>
          <cell r="G176">
            <v>61028</v>
          </cell>
          <cell r="J176">
            <v>74</v>
          </cell>
          <cell r="L176">
            <v>41366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40</v>
          </cell>
        </row>
        <row r="177">
          <cell r="E177">
            <v>455</v>
          </cell>
          <cell r="G177">
            <v>66430</v>
          </cell>
          <cell r="J177">
            <v>93</v>
          </cell>
          <cell r="L177">
            <v>51987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258542</v>
          </cell>
        </row>
        <row r="178">
          <cell r="E178">
            <v>45</v>
          </cell>
          <cell r="G178">
            <v>6570</v>
          </cell>
          <cell r="J178">
            <v>12</v>
          </cell>
          <cell r="L178">
            <v>6708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328</v>
          </cell>
          <cell r="G179">
            <v>47888</v>
          </cell>
          <cell r="J179">
            <v>54</v>
          </cell>
          <cell r="L179">
            <v>30186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218477</v>
          </cell>
        </row>
        <row r="180">
          <cell r="E180">
            <v>219</v>
          </cell>
          <cell r="G180">
            <v>31974</v>
          </cell>
          <cell r="J180">
            <v>49</v>
          </cell>
          <cell r="L180">
            <v>27391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208</v>
          </cell>
          <cell r="G181">
            <v>30368</v>
          </cell>
          <cell r="J181">
            <v>57</v>
          </cell>
          <cell r="L181">
            <v>31863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335</v>
          </cell>
          <cell r="G182">
            <v>48910</v>
          </cell>
          <cell r="J182">
            <v>48</v>
          </cell>
          <cell r="L182">
            <v>26832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252</v>
          </cell>
          <cell r="G183">
            <v>36792</v>
          </cell>
          <cell r="J183">
            <v>36</v>
          </cell>
          <cell r="L183">
            <v>20124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198368</v>
          </cell>
        </row>
        <row r="184">
          <cell r="E184">
            <v>358</v>
          </cell>
          <cell r="G184">
            <v>52268</v>
          </cell>
          <cell r="J184">
            <v>48</v>
          </cell>
          <cell r="L184">
            <v>26832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440</v>
          </cell>
          <cell r="G185">
            <v>64240</v>
          </cell>
          <cell r="J185">
            <v>58</v>
          </cell>
          <cell r="L185">
            <v>32422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344</v>
          </cell>
          <cell r="G186">
            <v>50224</v>
          </cell>
          <cell r="J186">
            <v>114</v>
          </cell>
          <cell r="L186">
            <v>63726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255780</v>
          </cell>
        </row>
        <row r="187">
          <cell r="E187">
            <v>460</v>
          </cell>
          <cell r="G187">
            <v>67160</v>
          </cell>
          <cell r="J187">
            <v>106</v>
          </cell>
          <cell r="L187">
            <v>59254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385</v>
          </cell>
          <cell r="G188">
            <v>56210</v>
          </cell>
          <cell r="J188">
            <v>76</v>
          </cell>
          <cell r="L188">
            <v>42484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242580</v>
          </cell>
        </row>
        <row r="189">
          <cell r="E189">
            <v>419</v>
          </cell>
          <cell r="G189">
            <v>61174</v>
          </cell>
          <cell r="J189">
            <v>110</v>
          </cell>
          <cell r="L189">
            <v>61490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509218</v>
          </cell>
        </row>
        <row r="190">
          <cell r="E190">
            <v>379</v>
          </cell>
          <cell r="G190">
            <v>55334</v>
          </cell>
          <cell r="J190">
            <v>44</v>
          </cell>
          <cell r="L190">
            <v>24596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733281</v>
          </cell>
        </row>
        <row r="191">
          <cell r="E191">
            <v>83</v>
          </cell>
          <cell r="G191">
            <v>12118</v>
          </cell>
          <cell r="J191">
            <v>3</v>
          </cell>
          <cell r="L191">
            <v>1677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144428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289039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433815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578761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723932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869199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1014436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1106704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2</v>
          </cell>
          <cell r="G201">
            <v>292</v>
          </cell>
          <cell r="J201">
            <v>1</v>
          </cell>
          <cell r="L201">
            <v>559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11</v>
          </cell>
          <cell r="G202">
            <v>1606</v>
          </cell>
          <cell r="J202">
            <v>56</v>
          </cell>
          <cell r="L202">
            <v>31304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32</v>
          </cell>
          <cell r="G203">
            <v>4672</v>
          </cell>
          <cell r="J203">
            <v>5</v>
          </cell>
          <cell r="L203">
            <v>2795</v>
          </cell>
          <cell r="M203">
            <v>3828</v>
          </cell>
          <cell r="O203"/>
          <cell r="P203"/>
          <cell r="Q203">
            <v>80176</v>
          </cell>
          <cell r="W203">
            <v>99800</v>
          </cell>
        </row>
        <row r="204">
          <cell r="E204">
            <v>-15401</v>
          </cell>
          <cell r="G204">
            <v>-2248546</v>
          </cell>
          <cell r="J204">
            <v>-6014</v>
          </cell>
          <cell r="L204">
            <v>-3361826</v>
          </cell>
          <cell r="M204">
            <v>3828</v>
          </cell>
          <cell r="O204"/>
          <cell r="P204"/>
          <cell r="Q204">
            <v>80176</v>
          </cell>
          <cell r="W204">
            <v>-5426568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-5342564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-5258560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-5174556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-5090552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-5006548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-4922544</v>
          </cell>
        </row>
      </sheetData>
      <sheetData sheetId="27">
        <row r="176">
          <cell r="E176">
            <v>175</v>
          </cell>
          <cell r="G176">
            <v>25550</v>
          </cell>
          <cell r="J176">
            <v>80</v>
          </cell>
          <cell r="L176">
            <v>44720</v>
          </cell>
          <cell r="M176">
            <v>3731</v>
          </cell>
          <cell r="O176">
            <v>0</v>
          </cell>
          <cell r="P176"/>
          <cell r="Q176">
            <v>76410</v>
          </cell>
          <cell r="W176">
            <v>0</v>
          </cell>
        </row>
        <row r="177">
          <cell r="E177">
            <v>212</v>
          </cell>
          <cell r="G177">
            <v>30952</v>
          </cell>
          <cell r="J177">
            <v>70</v>
          </cell>
          <cell r="L177">
            <v>39130</v>
          </cell>
          <cell r="M177">
            <v>3731</v>
          </cell>
          <cell r="O177">
            <v>0</v>
          </cell>
          <cell r="P177"/>
          <cell r="Q177">
            <v>76410</v>
          </cell>
          <cell r="W177">
            <v>0</v>
          </cell>
        </row>
        <row r="178">
          <cell r="E178">
            <v>128</v>
          </cell>
          <cell r="G178">
            <v>18688</v>
          </cell>
          <cell r="J178">
            <v>51</v>
          </cell>
          <cell r="L178">
            <v>28509</v>
          </cell>
          <cell r="M178">
            <v>3731</v>
          </cell>
          <cell r="O178">
            <v>0</v>
          </cell>
          <cell r="P178"/>
          <cell r="Q178">
            <v>76410</v>
          </cell>
          <cell r="W178">
            <v>0</v>
          </cell>
        </row>
        <row r="179">
          <cell r="E179">
            <v>162</v>
          </cell>
          <cell r="G179">
            <v>23652</v>
          </cell>
          <cell r="J179">
            <v>34</v>
          </cell>
          <cell r="L179">
            <v>19006</v>
          </cell>
          <cell r="M179">
            <v>3731</v>
          </cell>
          <cell r="O179">
            <v>0</v>
          </cell>
          <cell r="P179"/>
          <cell r="Q179">
            <v>76410</v>
          </cell>
          <cell r="W179">
            <v>0</v>
          </cell>
        </row>
        <row r="180">
          <cell r="E180">
            <v>144</v>
          </cell>
          <cell r="G180">
            <v>21024</v>
          </cell>
          <cell r="J180">
            <v>16</v>
          </cell>
          <cell r="L180">
            <v>8944</v>
          </cell>
          <cell r="M180">
            <v>3731</v>
          </cell>
          <cell r="O180">
            <v>0</v>
          </cell>
          <cell r="P180"/>
          <cell r="Q180">
            <v>76410</v>
          </cell>
          <cell r="W180">
            <v>0</v>
          </cell>
        </row>
        <row r="181">
          <cell r="E181">
            <v>313</v>
          </cell>
          <cell r="G181">
            <v>45698</v>
          </cell>
          <cell r="J181">
            <v>24</v>
          </cell>
          <cell r="L181">
            <v>13416</v>
          </cell>
          <cell r="M181">
            <v>3731</v>
          </cell>
          <cell r="O181">
            <v>0</v>
          </cell>
          <cell r="P181"/>
          <cell r="Q181">
            <v>76410</v>
          </cell>
          <cell r="W181">
            <v>0</v>
          </cell>
        </row>
        <row r="182">
          <cell r="E182">
            <v>184</v>
          </cell>
          <cell r="G182">
            <v>26864</v>
          </cell>
          <cell r="J182">
            <v>9</v>
          </cell>
          <cell r="L182">
            <v>5031</v>
          </cell>
          <cell r="M182">
            <v>3731</v>
          </cell>
          <cell r="O182">
            <v>0</v>
          </cell>
          <cell r="P182"/>
          <cell r="Q182">
            <v>76410</v>
          </cell>
          <cell r="W182">
            <v>0</v>
          </cell>
        </row>
        <row r="183">
          <cell r="E183">
            <v>176</v>
          </cell>
          <cell r="G183">
            <v>25696</v>
          </cell>
          <cell r="J183">
            <v>38</v>
          </cell>
          <cell r="L183">
            <v>21242</v>
          </cell>
          <cell r="M183">
            <v>3731</v>
          </cell>
          <cell r="O183">
            <v>0</v>
          </cell>
          <cell r="P183"/>
          <cell r="Q183">
            <v>76410</v>
          </cell>
          <cell r="W183">
            <v>0</v>
          </cell>
        </row>
        <row r="184">
          <cell r="E184">
            <v>139</v>
          </cell>
          <cell r="G184">
            <v>20294</v>
          </cell>
          <cell r="J184">
            <v>38</v>
          </cell>
          <cell r="L184">
            <v>21242</v>
          </cell>
          <cell r="M184">
            <v>3731</v>
          </cell>
          <cell r="O184">
            <v>0</v>
          </cell>
          <cell r="P184"/>
          <cell r="Q184">
            <v>76410</v>
          </cell>
          <cell r="W184">
            <v>0</v>
          </cell>
        </row>
        <row r="185">
          <cell r="E185">
            <v>128</v>
          </cell>
          <cell r="G185">
            <v>18688</v>
          </cell>
          <cell r="J185">
            <v>56</v>
          </cell>
          <cell r="L185">
            <v>31304</v>
          </cell>
          <cell r="M185">
            <v>3731</v>
          </cell>
          <cell r="O185">
            <v>0</v>
          </cell>
          <cell r="P185"/>
          <cell r="Q185">
            <v>76410</v>
          </cell>
          <cell r="W185">
            <v>0</v>
          </cell>
        </row>
        <row r="186">
          <cell r="E186">
            <v>155</v>
          </cell>
          <cell r="G186">
            <v>22630</v>
          </cell>
          <cell r="J186">
            <v>58</v>
          </cell>
          <cell r="L186">
            <v>32422</v>
          </cell>
          <cell r="M186">
            <v>3731</v>
          </cell>
          <cell r="O186">
            <v>0</v>
          </cell>
          <cell r="P186"/>
          <cell r="Q186">
            <v>76410</v>
          </cell>
          <cell r="W186">
            <v>0</v>
          </cell>
        </row>
        <row r="187">
          <cell r="E187">
            <v>213</v>
          </cell>
          <cell r="G187">
            <v>31098</v>
          </cell>
          <cell r="J187">
            <v>63</v>
          </cell>
          <cell r="L187">
            <v>35217</v>
          </cell>
          <cell r="M187">
            <v>3731</v>
          </cell>
          <cell r="O187">
            <v>0</v>
          </cell>
          <cell r="P187"/>
          <cell r="Q187">
            <v>78144</v>
          </cell>
          <cell r="W187">
            <v>0</v>
          </cell>
        </row>
        <row r="188">
          <cell r="E188">
            <v>193</v>
          </cell>
          <cell r="G188">
            <v>28178</v>
          </cell>
          <cell r="J188">
            <v>95</v>
          </cell>
          <cell r="L188">
            <v>53105</v>
          </cell>
          <cell r="M188">
            <v>3731</v>
          </cell>
          <cell r="O188">
            <v>0</v>
          </cell>
          <cell r="P188"/>
          <cell r="Q188">
            <v>78144</v>
          </cell>
          <cell r="W188">
            <v>-3</v>
          </cell>
        </row>
        <row r="189">
          <cell r="E189">
            <v>192</v>
          </cell>
          <cell r="G189">
            <v>28032</v>
          </cell>
          <cell r="J189">
            <v>53</v>
          </cell>
          <cell r="L189">
            <v>29627</v>
          </cell>
          <cell r="M189">
            <v>3731</v>
          </cell>
          <cell r="O189">
            <v>0</v>
          </cell>
          <cell r="P189"/>
          <cell r="Q189">
            <v>78144</v>
          </cell>
          <cell r="W189">
            <v>0</v>
          </cell>
        </row>
        <row r="190">
          <cell r="E190">
            <v>131</v>
          </cell>
          <cell r="G190">
            <v>19126</v>
          </cell>
          <cell r="J190">
            <v>82</v>
          </cell>
          <cell r="L190">
            <v>45838</v>
          </cell>
          <cell r="M190">
            <v>3731</v>
          </cell>
          <cell r="O190">
            <v>0</v>
          </cell>
          <cell r="P190"/>
          <cell r="Q190">
            <v>78144</v>
          </cell>
          <cell r="W190">
            <v>0</v>
          </cell>
        </row>
        <row r="191">
          <cell r="E191">
            <v>134</v>
          </cell>
          <cell r="G191">
            <v>19564</v>
          </cell>
          <cell r="J191">
            <v>40</v>
          </cell>
          <cell r="L191">
            <v>22360</v>
          </cell>
          <cell r="M191">
            <v>3731</v>
          </cell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85</v>
          </cell>
          <cell r="G192">
            <v>12410</v>
          </cell>
          <cell r="J192">
            <v>10</v>
          </cell>
          <cell r="L192">
            <v>5590</v>
          </cell>
          <cell r="M192">
            <v>3731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171</v>
          </cell>
          <cell r="G193">
            <v>24966</v>
          </cell>
          <cell r="J193">
            <v>13</v>
          </cell>
          <cell r="L193">
            <v>7267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98</v>
          </cell>
          <cell r="G194">
            <v>14308</v>
          </cell>
          <cell r="J194">
            <v>7</v>
          </cell>
          <cell r="L194">
            <v>3913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100</v>
          </cell>
          <cell r="G195">
            <v>14600</v>
          </cell>
          <cell r="J195">
            <v>12</v>
          </cell>
          <cell r="L195">
            <v>6708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80</v>
          </cell>
          <cell r="G196">
            <v>11680</v>
          </cell>
          <cell r="J196">
            <v>17</v>
          </cell>
          <cell r="L196">
            <v>9503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85</v>
          </cell>
          <cell r="G197">
            <v>12410</v>
          </cell>
          <cell r="J197">
            <v>32</v>
          </cell>
          <cell r="L197">
            <v>17888</v>
          </cell>
          <cell r="M197">
            <v>3731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115</v>
          </cell>
          <cell r="G198">
            <v>16790</v>
          </cell>
          <cell r="J198">
            <v>38</v>
          </cell>
          <cell r="L198">
            <v>21242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132</v>
          </cell>
          <cell r="G199">
            <v>19272</v>
          </cell>
          <cell r="J199">
            <v>62</v>
          </cell>
          <cell r="L199">
            <v>34658</v>
          </cell>
          <cell r="M199">
            <v>3828</v>
          </cell>
          <cell r="O199"/>
          <cell r="P199"/>
          <cell r="Q199">
            <v>80176</v>
          </cell>
          <cell r="W199">
            <v>146198</v>
          </cell>
        </row>
        <row r="200">
          <cell r="E200">
            <v>168</v>
          </cell>
          <cell r="G200">
            <v>24528</v>
          </cell>
          <cell r="J200">
            <v>89</v>
          </cell>
          <cell r="L200">
            <v>49751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110</v>
          </cell>
          <cell r="G201">
            <v>16060</v>
          </cell>
          <cell r="J201">
            <v>43</v>
          </cell>
          <cell r="L201">
            <v>24037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99</v>
          </cell>
          <cell r="G202">
            <v>14454</v>
          </cell>
          <cell r="J202">
            <v>48</v>
          </cell>
          <cell r="L202">
            <v>26832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43</v>
          </cell>
          <cell r="G203">
            <v>6278</v>
          </cell>
          <cell r="J203">
            <v>6</v>
          </cell>
          <cell r="L203">
            <v>3354</v>
          </cell>
          <cell r="M203">
            <v>3828</v>
          </cell>
          <cell r="O203"/>
          <cell r="P203"/>
          <cell r="Q203">
            <v>80176</v>
          </cell>
          <cell r="W203">
            <v>101965</v>
          </cell>
        </row>
        <row r="204">
          <cell r="E204">
            <v>-29372</v>
          </cell>
          <cell r="G204">
            <v>-4288312</v>
          </cell>
          <cell r="J204">
            <v>-9090</v>
          </cell>
          <cell r="L204">
            <v>-5081310</v>
          </cell>
          <cell r="M204">
            <v>3828</v>
          </cell>
          <cell r="O204"/>
          <cell r="P204"/>
          <cell r="Q204">
            <v>80176</v>
          </cell>
          <cell r="W204">
            <v>-9183653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-9099649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-9015645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-8931641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-8847637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-8763633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-8679629</v>
          </cell>
        </row>
      </sheetData>
      <sheetData sheetId="28">
        <row r="176">
          <cell r="E176">
            <v>793</v>
          </cell>
          <cell r="G176">
            <v>115778</v>
          </cell>
          <cell r="J176">
            <v>105</v>
          </cell>
          <cell r="L176">
            <v>58695</v>
          </cell>
          <cell r="M176">
            <v>3731</v>
          </cell>
          <cell r="O176">
            <v>0</v>
          </cell>
          <cell r="P176">
            <v>10000</v>
          </cell>
          <cell r="Q176">
            <v>76410</v>
          </cell>
          <cell r="W176">
            <v>271614</v>
          </cell>
        </row>
        <row r="177">
          <cell r="E177">
            <v>720</v>
          </cell>
          <cell r="G177">
            <v>105120</v>
          </cell>
          <cell r="J177">
            <v>102</v>
          </cell>
          <cell r="L177">
            <v>57018</v>
          </cell>
          <cell r="M177">
            <v>3731</v>
          </cell>
          <cell r="O177">
            <v>0</v>
          </cell>
          <cell r="P177">
            <v>10000</v>
          </cell>
          <cell r="Q177">
            <v>76410</v>
          </cell>
          <cell r="W177">
            <v>0</v>
          </cell>
        </row>
        <row r="178">
          <cell r="E178">
            <v>482</v>
          </cell>
          <cell r="G178">
            <v>70372</v>
          </cell>
          <cell r="J178">
            <v>82</v>
          </cell>
          <cell r="L178">
            <v>45838</v>
          </cell>
          <cell r="M178">
            <v>3731</v>
          </cell>
          <cell r="O178">
            <v>0</v>
          </cell>
          <cell r="P178">
            <v>10000</v>
          </cell>
          <cell r="Q178">
            <v>76410</v>
          </cell>
          <cell r="W178">
            <v>213351</v>
          </cell>
        </row>
        <row r="179">
          <cell r="E179">
            <v>600</v>
          </cell>
          <cell r="G179">
            <v>87600</v>
          </cell>
          <cell r="J179">
            <v>53</v>
          </cell>
          <cell r="L179">
            <v>29627</v>
          </cell>
          <cell r="M179">
            <v>3731</v>
          </cell>
          <cell r="O179">
            <v>0</v>
          </cell>
          <cell r="P179">
            <v>10000</v>
          </cell>
          <cell r="Q179">
            <v>76410</v>
          </cell>
          <cell r="W179">
            <v>-2281</v>
          </cell>
        </row>
        <row r="180">
          <cell r="E180">
            <v>521</v>
          </cell>
          <cell r="G180">
            <v>76066</v>
          </cell>
          <cell r="J180">
            <v>46</v>
          </cell>
          <cell r="L180">
            <v>25714</v>
          </cell>
          <cell r="M180">
            <v>3731</v>
          </cell>
          <cell r="O180">
            <v>0</v>
          </cell>
          <cell r="P180">
            <v>10000</v>
          </cell>
          <cell r="Q180">
            <v>76410</v>
          </cell>
          <cell r="W180">
            <v>196640</v>
          </cell>
        </row>
        <row r="181">
          <cell r="E181">
            <v>486</v>
          </cell>
          <cell r="G181">
            <v>70956</v>
          </cell>
          <cell r="J181">
            <v>25</v>
          </cell>
          <cell r="L181">
            <v>13975</v>
          </cell>
          <cell r="M181">
            <v>3731</v>
          </cell>
          <cell r="O181">
            <v>0</v>
          </cell>
          <cell r="P181">
            <v>10000</v>
          </cell>
          <cell r="Q181">
            <v>76410</v>
          </cell>
          <cell r="W181">
            <v>-21288</v>
          </cell>
        </row>
        <row r="182">
          <cell r="E182">
            <v>579</v>
          </cell>
          <cell r="G182">
            <v>84534</v>
          </cell>
          <cell r="J182">
            <v>38</v>
          </cell>
          <cell r="L182">
            <v>21242</v>
          </cell>
          <cell r="M182">
            <v>3731</v>
          </cell>
          <cell r="O182">
            <v>0</v>
          </cell>
          <cell r="P182">
            <v>10000</v>
          </cell>
          <cell r="Q182">
            <v>76410</v>
          </cell>
          <cell r="W182">
            <v>182610</v>
          </cell>
        </row>
        <row r="183">
          <cell r="E183">
            <v>527</v>
          </cell>
          <cell r="G183">
            <v>76942</v>
          </cell>
          <cell r="J183">
            <v>49</v>
          </cell>
          <cell r="L183">
            <v>27391</v>
          </cell>
          <cell r="M183">
            <v>3731</v>
          </cell>
          <cell r="O183">
            <v>0</v>
          </cell>
          <cell r="P183">
            <v>10000</v>
          </cell>
          <cell r="Q183">
            <v>76410</v>
          </cell>
          <cell r="W183">
            <v>-14919</v>
          </cell>
        </row>
        <row r="184">
          <cell r="E184">
            <v>440</v>
          </cell>
          <cell r="G184">
            <v>64240</v>
          </cell>
          <cell r="J184">
            <v>43</v>
          </cell>
          <cell r="L184">
            <v>24037</v>
          </cell>
          <cell r="M184">
            <v>3731</v>
          </cell>
          <cell r="O184">
            <v>0</v>
          </cell>
          <cell r="P184">
            <v>10000</v>
          </cell>
          <cell r="Q184">
            <v>76410</v>
          </cell>
          <cell r="W184">
            <v>171489</v>
          </cell>
        </row>
        <row r="185">
          <cell r="E185">
            <v>533</v>
          </cell>
          <cell r="G185">
            <v>77818</v>
          </cell>
          <cell r="J185">
            <v>73</v>
          </cell>
          <cell r="L185">
            <v>40807</v>
          </cell>
          <cell r="M185">
            <v>3731</v>
          </cell>
          <cell r="O185">
            <v>0</v>
          </cell>
          <cell r="P185">
            <v>10000</v>
          </cell>
          <cell r="Q185">
            <v>76410</v>
          </cell>
          <cell r="W185">
            <v>-11726</v>
          </cell>
        </row>
        <row r="186">
          <cell r="E186">
            <v>499</v>
          </cell>
          <cell r="G186">
            <v>72854</v>
          </cell>
          <cell r="J186">
            <v>100</v>
          </cell>
          <cell r="L186">
            <v>55900</v>
          </cell>
          <cell r="M186">
            <v>3731</v>
          </cell>
          <cell r="O186">
            <v>0</v>
          </cell>
          <cell r="P186">
            <v>10000</v>
          </cell>
          <cell r="Q186">
            <v>76410</v>
          </cell>
          <cell r="W186">
            <v>215208</v>
          </cell>
        </row>
        <row r="187">
          <cell r="E187">
            <v>608</v>
          </cell>
          <cell r="G187">
            <v>88768</v>
          </cell>
          <cell r="J187">
            <v>106</v>
          </cell>
          <cell r="L187">
            <v>59254</v>
          </cell>
          <cell r="M187">
            <v>3731</v>
          </cell>
          <cell r="O187">
            <v>0</v>
          </cell>
          <cell r="P187">
            <v>10000</v>
          </cell>
          <cell r="Q187">
            <v>78144</v>
          </cell>
          <cell r="W187">
            <v>-6848</v>
          </cell>
        </row>
        <row r="188">
          <cell r="E188">
            <v>472</v>
          </cell>
          <cell r="G188">
            <v>68912</v>
          </cell>
          <cell r="J188">
            <v>69</v>
          </cell>
          <cell r="L188">
            <v>38571</v>
          </cell>
          <cell r="M188">
            <v>3731</v>
          </cell>
          <cell r="O188">
            <v>0</v>
          </cell>
          <cell r="P188">
            <v>10000</v>
          </cell>
          <cell r="Q188">
            <v>78144</v>
          </cell>
          <cell r="W188">
            <v>-99413</v>
          </cell>
        </row>
        <row r="189">
          <cell r="E189">
            <v>531</v>
          </cell>
          <cell r="G189">
            <v>77526</v>
          </cell>
          <cell r="J189">
            <v>99</v>
          </cell>
          <cell r="L189">
            <v>55341</v>
          </cell>
          <cell r="M189">
            <v>3731</v>
          </cell>
          <cell r="O189">
            <v>0</v>
          </cell>
          <cell r="P189">
            <v>10000</v>
          </cell>
          <cell r="Q189">
            <v>78144</v>
          </cell>
          <cell r="W189">
            <v>-16581</v>
          </cell>
        </row>
        <row r="190">
          <cell r="E190">
            <v>517</v>
          </cell>
          <cell r="G190">
            <v>75482</v>
          </cell>
          <cell r="J190">
            <v>87</v>
          </cell>
          <cell r="L190">
            <v>48633</v>
          </cell>
          <cell r="M190">
            <v>3731</v>
          </cell>
          <cell r="O190">
            <v>0</v>
          </cell>
          <cell r="P190">
            <v>10000</v>
          </cell>
          <cell r="Q190">
            <v>78144</v>
          </cell>
          <cell r="W190">
            <v>207510</v>
          </cell>
        </row>
        <row r="191">
          <cell r="E191">
            <v>685</v>
          </cell>
          <cell r="G191">
            <v>100010</v>
          </cell>
          <cell r="J191">
            <v>71</v>
          </cell>
          <cell r="L191">
            <v>39689</v>
          </cell>
          <cell r="M191">
            <v>3731</v>
          </cell>
          <cell r="O191">
            <v>0</v>
          </cell>
          <cell r="P191">
            <v>10000</v>
          </cell>
          <cell r="Q191">
            <v>78144</v>
          </cell>
          <cell r="W191">
            <v>-2793</v>
          </cell>
        </row>
        <row r="192">
          <cell r="E192">
            <v>600</v>
          </cell>
          <cell r="G192">
            <v>87600</v>
          </cell>
          <cell r="J192">
            <v>39</v>
          </cell>
          <cell r="L192">
            <v>21801</v>
          </cell>
          <cell r="M192">
            <v>3731</v>
          </cell>
          <cell r="O192">
            <v>0</v>
          </cell>
          <cell r="P192">
            <v>10000</v>
          </cell>
          <cell r="Q192">
            <v>78144</v>
          </cell>
          <cell r="W192">
            <v>206631</v>
          </cell>
        </row>
        <row r="193">
          <cell r="E193">
            <v>545</v>
          </cell>
          <cell r="G193">
            <v>79570</v>
          </cell>
          <cell r="J193">
            <v>37</v>
          </cell>
          <cell r="L193">
            <v>20683</v>
          </cell>
          <cell r="M193">
            <v>3731</v>
          </cell>
          <cell r="O193">
            <v>0</v>
          </cell>
          <cell r="P193">
            <v>10000</v>
          </cell>
          <cell r="Q193">
            <v>78144</v>
          </cell>
          <cell r="W193">
            <v>-3080</v>
          </cell>
        </row>
        <row r="194">
          <cell r="E194">
            <v>590</v>
          </cell>
          <cell r="G194">
            <v>86140</v>
          </cell>
          <cell r="J194">
            <v>44</v>
          </cell>
          <cell r="L194">
            <v>24596</v>
          </cell>
          <cell r="M194">
            <v>3731</v>
          </cell>
          <cell r="O194">
            <v>0</v>
          </cell>
          <cell r="P194">
            <v>10000</v>
          </cell>
          <cell r="Q194">
            <v>78144</v>
          </cell>
          <cell r="W194">
            <v>207717</v>
          </cell>
        </row>
        <row r="195">
          <cell r="E195">
            <v>485</v>
          </cell>
          <cell r="G195">
            <v>70810</v>
          </cell>
          <cell r="J195">
            <v>38</v>
          </cell>
          <cell r="L195">
            <v>21242</v>
          </cell>
          <cell r="M195">
            <v>3731</v>
          </cell>
          <cell r="O195">
            <v>0</v>
          </cell>
          <cell r="P195">
            <v>10000</v>
          </cell>
          <cell r="Q195">
            <v>78144</v>
          </cell>
          <cell r="W195">
            <v>-149</v>
          </cell>
        </row>
        <row r="196">
          <cell r="E196">
            <v>454</v>
          </cell>
          <cell r="G196">
            <v>66284</v>
          </cell>
          <cell r="J196">
            <v>48</v>
          </cell>
          <cell r="L196">
            <v>26832</v>
          </cell>
          <cell r="M196">
            <v>3731</v>
          </cell>
          <cell r="O196">
            <v>0</v>
          </cell>
          <cell r="P196">
            <v>10000</v>
          </cell>
          <cell r="Q196">
            <v>78144</v>
          </cell>
          <cell r="W196">
            <v>-6928</v>
          </cell>
        </row>
        <row r="197">
          <cell r="E197">
            <v>451</v>
          </cell>
          <cell r="G197">
            <v>65846</v>
          </cell>
          <cell r="J197">
            <v>82</v>
          </cell>
          <cell r="L197">
            <v>45838</v>
          </cell>
          <cell r="M197">
            <v>3731</v>
          </cell>
          <cell r="O197">
            <v>0</v>
          </cell>
          <cell r="P197">
            <v>10000</v>
          </cell>
          <cell r="Q197">
            <v>78144</v>
          </cell>
          <cell r="W197">
            <v>-5109</v>
          </cell>
        </row>
        <row r="198">
          <cell r="E198">
            <v>500</v>
          </cell>
          <cell r="G198">
            <v>73000</v>
          </cell>
          <cell r="J198">
            <v>17</v>
          </cell>
          <cell r="L198">
            <v>9503</v>
          </cell>
          <cell r="M198">
            <v>3731</v>
          </cell>
          <cell r="O198">
            <v>0</v>
          </cell>
          <cell r="P198">
            <v>10000</v>
          </cell>
          <cell r="Q198">
            <v>78144</v>
          </cell>
          <cell r="W198">
            <v>177539</v>
          </cell>
        </row>
        <row r="199">
          <cell r="E199">
            <v>487</v>
          </cell>
          <cell r="G199">
            <v>71102</v>
          </cell>
          <cell r="J199">
            <v>74</v>
          </cell>
          <cell r="L199">
            <v>41366</v>
          </cell>
          <cell r="M199">
            <v>3828</v>
          </cell>
          <cell r="O199">
            <v>0</v>
          </cell>
          <cell r="P199">
            <v>10000</v>
          </cell>
          <cell r="Q199">
            <v>80176</v>
          </cell>
          <cell r="W199">
            <v>392275</v>
          </cell>
        </row>
        <row r="200">
          <cell r="E200">
            <v>565</v>
          </cell>
          <cell r="G200">
            <v>82490</v>
          </cell>
          <cell r="J200">
            <v>71</v>
          </cell>
          <cell r="L200">
            <v>39689</v>
          </cell>
          <cell r="M200">
            <v>3828</v>
          </cell>
          <cell r="O200">
            <v>0</v>
          </cell>
          <cell r="P200">
            <v>10000</v>
          </cell>
          <cell r="Q200">
            <v>80176</v>
          </cell>
          <cell r="W200">
            <v>-53275</v>
          </cell>
        </row>
        <row r="201">
          <cell r="E201">
            <v>617</v>
          </cell>
          <cell r="G201">
            <v>90082</v>
          </cell>
          <cell r="J201">
            <v>79</v>
          </cell>
          <cell r="L201">
            <v>44161</v>
          </cell>
          <cell r="M201">
            <v>3828</v>
          </cell>
          <cell r="O201">
            <v>0</v>
          </cell>
          <cell r="P201">
            <v>10000</v>
          </cell>
          <cell r="Q201">
            <v>80176</v>
          </cell>
          <cell r="W201">
            <v>183242</v>
          </cell>
        </row>
        <row r="202">
          <cell r="E202">
            <v>678</v>
          </cell>
          <cell r="G202">
            <v>98988</v>
          </cell>
          <cell r="J202">
            <v>45</v>
          </cell>
          <cell r="L202">
            <v>25155</v>
          </cell>
          <cell r="M202">
            <v>3828</v>
          </cell>
          <cell r="O202">
            <v>0</v>
          </cell>
          <cell r="P202">
            <v>10000</v>
          </cell>
          <cell r="Q202">
            <v>80176</v>
          </cell>
          <cell r="W202">
            <v>-50312</v>
          </cell>
        </row>
        <row r="203">
          <cell r="E203">
            <v>715</v>
          </cell>
          <cell r="G203">
            <v>104390</v>
          </cell>
          <cell r="J203">
            <v>43</v>
          </cell>
          <cell r="L203">
            <v>24037</v>
          </cell>
          <cell r="M203">
            <v>3828</v>
          </cell>
          <cell r="O203">
            <v>0</v>
          </cell>
          <cell r="P203">
            <v>10000</v>
          </cell>
          <cell r="Q203">
            <v>80176</v>
          </cell>
          <cell r="W203">
            <v>180448</v>
          </cell>
        </row>
        <row r="204">
          <cell r="E204">
            <v>-49252</v>
          </cell>
          <cell r="G204">
            <v>-7190792</v>
          </cell>
          <cell r="J204">
            <v>-7741</v>
          </cell>
          <cell r="L204">
            <v>-4327219</v>
          </cell>
          <cell r="M204">
            <v>3828</v>
          </cell>
          <cell r="O204">
            <v>0</v>
          </cell>
          <cell r="P204">
            <v>10000</v>
          </cell>
          <cell r="Q204">
            <v>80176</v>
          </cell>
          <cell r="W204">
            <v>-11243559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10000</v>
          </cell>
          <cell r="Q205">
            <v>80176</v>
          </cell>
          <cell r="W205">
            <v>-11149555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10000</v>
          </cell>
          <cell r="Q206">
            <v>80176</v>
          </cell>
          <cell r="W206">
            <v>-11055551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10000</v>
          </cell>
          <cell r="Q207">
            <v>80176</v>
          </cell>
          <cell r="W207">
            <v>-10961547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10000</v>
          </cell>
          <cell r="Q208">
            <v>80176</v>
          </cell>
          <cell r="W208">
            <v>-10867543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10000</v>
          </cell>
          <cell r="Q209">
            <v>80176</v>
          </cell>
          <cell r="W209">
            <v>-10773539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10000</v>
          </cell>
          <cell r="Q210">
            <v>80176</v>
          </cell>
          <cell r="W210">
            <v>-10679535</v>
          </cell>
        </row>
      </sheetData>
      <sheetData sheetId="29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87141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87141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80141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-306981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-225106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-143231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-61356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20519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81875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84004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84004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168008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252012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336016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420020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504024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588028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672032</v>
          </cell>
        </row>
      </sheetData>
      <sheetData sheetId="30">
        <row r="176">
          <cell r="E176">
            <v>564</v>
          </cell>
          <cell r="G176">
            <v>82344</v>
          </cell>
          <cell r="J176">
            <v>85</v>
          </cell>
          <cell r="L176">
            <v>47515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-38631</v>
          </cell>
        </row>
        <row r="177">
          <cell r="E177">
            <v>359</v>
          </cell>
          <cell r="G177">
            <v>52414</v>
          </cell>
          <cell r="J177">
            <v>90</v>
          </cell>
          <cell r="L177">
            <v>50310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151234</v>
          </cell>
        </row>
        <row r="178">
          <cell r="E178">
            <v>328</v>
          </cell>
          <cell r="G178">
            <v>47888</v>
          </cell>
          <cell r="J178">
            <v>49</v>
          </cell>
          <cell r="L178">
            <v>27391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-346</v>
          </cell>
        </row>
        <row r="179">
          <cell r="E179">
            <v>271</v>
          </cell>
          <cell r="G179">
            <v>39566</v>
          </cell>
          <cell r="J179">
            <v>30</v>
          </cell>
          <cell r="L179">
            <v>16770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143131</v>
          </cell>
        </row>
        <row r="180">
          <cell r="E180">
            <v>340</v>
          </cell>
          <cell r="G180">
            <v>49640</v>
          </cell>
          <cell r="J180">
            <v>17</v>
          </cell>
          <cell r="L180">
            <v>9503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89415</v>
          </cell>
        </row>
        <row r="181">
          <cell r="E181">
            <v>320</v>
          </cell>
          <cell r="G181">
            <v>46720</v>
          </cell>
          <cell r="J181">
            <v>8</v>
          </cell>
          <cell r="L181">
            <v>4472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227748</v>
          </cell>
        </row>
        <row r="182">
          <cell r="E182">
            <v>331</v>
          </cell>
          <cell r="G182">
            <v>48326</v>
          </cell>
          <cell r="J182">
            <v>16</v>
          </cell>
          <cell r="L182">
            <v>8944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73140</v>
          </cell>
        </row>
        <row r="183">
          <cell r="E183">
            <v>275</v>
          </cell>
          <cell r="G183">
            <v>40150</v>
          </cell>
          <cell r="J183">
            <v>20</v>
          </cell>
          <cell r="L183">
            <v>11180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212608</v>
          </cell>
        </row>
        <row r="184">
          <cell r="E184">
            <v>247</v>
          </cell>
          <cell r="G184">
            <v>36062</v>
          </cell>
          <cell r="J184">
            <v>13</v>
          </cell>
          <cell r="L184">
            <v>7267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-5932</v>
          </cell>
        </row>
        <row r="185">
          <cell r="E185">
            <v>228</v>
          </cell>
          <cell r="G185">
            <v>33288</v>
          </cell>
          <cell r="J185">
            <v>32</v>
          </cell>
          <cell r="L185">
            <v>17888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133404</v>
          </cell>
        </row>
        <row r="186">
          <cell r="E186">
            <v>370</v>
          </cell>
          <cell r="G186">
            <v>54020</v>
          </cell>
          <cell r="J186">
            <v>30</v>
          </cell>
          <cell r="L186">
            <v>16770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92374</v>
          </cell>
        </row>
        <row r="187">
          <cell r="E187">
            <v>441</v>
          </cell>
          <cell r="G187">
            <v>64386</v>
          </cell>
          <cell r="J187">
            <v>79</v>
          </cell>
          <cell r="L187">
            <v>44161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-9157</v>
          </cell>
        </row>
        <row r="188">
          <cell r="E188">
            <v>428</v>
          </cell>
          <cell r="G188">
            <v>62488</v>
          </cell>
          <cell r="J188">
            <v>46</v>
          </cell>
          <cell r="L188">
            <v>25714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-31003</v>
          </cell>
        </row>
        <row r="189">
          <cell r="E189">
            <v>306</v>
          </cell>
          <cell r="G189">
            <v>44676</v>
          </cell>
          <cell r="J189">
            <v>39</v>
          </cell>
          <cell r="L189">
            <v>21801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-24561</v>
          </cell>
        </row>
        <row r="190">
          <cell r="E190">
            <v>158</v>
          </cell>
          <cell r="G190">
            <v>23068</v>
          </cell>
          <cell r="J190">
            <v>49</v>
          </cell>
          <cell r="L190">
            <v>27391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115874</v>
          </cell>
        </row>
        <row r="191">
          <cell r="E191">
            <v>69</v>
          </cell>
          <cell r="G191">
            <v>10074</v>
          </cell>
          <cell r="J191">
            <v>31</v>
          </cell>
          <cell r="L191">
            <v>17329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284</v>
          </cell>
          <cell r="G192">
            <v>41464</v>
          </cell>
          <cell r="J192">
            <v>16</v>
          </cell>
          <cell r="L192">
            <v>8944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140431</v>
          </cell>
        </row>
        <row r="193">
          <cell r="E193">
            <v>209</v>
          </cell>
          <cell r="G193">
            <v>30514</v>
          </cell>
          <cell r="J193">
            <v>13</v>
          </cell>
          <cell r="L193">
            <v>7267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68248</v>
          </cell>
        </row>
        <row r="194">
          <cell r="E194">
            <v>51</v>
          </cell>
          <cell r="G194">
            <v>7446</v>
          </cell>
          <cell r="J194">
            <v>4</v>
          </cell>
          <cell r="L194">
            <v>2236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-2009</v>
          </cell>
        </row>
        <row r="195">
          <cell r="E195">
            <v>187</v>
          </cell>
          <cell r="G195">
            <v>27302</v>
          </cell>
          <cell r="J195">
            <v>30</v>
          </cell>
          <cell r="L195">
            <v>16770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187009</v>
          </cell>
        </row>
        <row r="196">
          <cell r="E196">
            <v>172</v>
          </cell>
          <cell r="G196">
            <v>25112</v>
          </cell>
          <cell r="J196">
            <v>27</v>
          </cell>
          <cell r="L196">
            <v>15093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-2009</v>
          </cell>
        </row>
        <row r="197">
          <cell r="E197">
            <v>215</v>
          </cell>
          <cell r="G197">
            <v>31390</v>
          </cell>
          <cell r="J197">
            <v>26</v>
          </cell>
          <cell r="L197">
            <v>14534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-37373</v>
          </cell>
        </row>
        <row r="198">
          <cell r="E198">
            <v>246</v>
          </cell>
          <cell r="G198">
            <v>35916</v>
          </cell>
          <cell r="J198">
            <v>38</v>
          </cell>
          <cell r="L198">
            <v>21242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109930</v>
          </cell>
        </row>
        <row r="199">
          <cell r="E199">
            <v>246</v>
          </cell>
          <cell r="G199">
            <v>35916</v>
          </cell>
          <cell r="J199">
            <v>38</v>
          </cell>
          <cell r="L199">
            <v>21242</v>
          </cell>
          <cell r="M199">
            <v>3828</v>
          </cell>
          <cell r="O199"/>
          <cell r="P199"/>
          <cell r="Q199">
            <v>80176</v>
          </cell>
          <cell r="W199">
            <v>259356</v>
          </cell>
        </row>
        <row r="200">
          <cell r="E200">
            <v>355</v>
          </cell>
          <cell r="G200">
            <v>51830</v>
          </cell>
          <cell r="J200">
            <v>47</v>
          </cell>
          <cell r="L200">
            <v>26273</v>
          </cell>
          <cell r="M200">
            <v>3828</v>
          </cell>
          <cell r="O200"/>
          <cell r="P200"/>
          <cell r="Q200">
            <v>80176</v>
          </cell>
          <cell r="W200">
            <v>147382</v>
          </cell>
        </row>
        <row r="201">
          <cell r="E201">
            <v>129</v>
          </cell>
          <cell r="G201">
            <v>18834</v>
          </cell>
          <cell r="J201">
            <v>25</v>
          </cell>
          <cell r="L201">
            <v>13975</v>
          </cell>
          <cell r="M201">
            <v>3828</v>
          </cell>
          <cell r="O201"/>
          <cell r="P201"/>
          <cell r="Q201">
            <v>80176</v>
          </cell>
          <cell r="W201">
            <v>-73449</v>
          </cell>
        </row>
        <row r="202">
          <cell r="E202">
            <v>130</v>
          </cell>
          <cell r="G202">
            <v>18980</v>
          </cell>
          <cell r="J202">
            <v>18</v>
          </cell>
          <cell r="L202">
            <v>10062</v>
          </cell>
          <cell r="M202">
            <v>3828</v>
          </cell>
          <cell r="O202"/>
          <cell r="P202"/>
          <cell r="Q202">
            <v>80176</v>
          </cell>
          <cell r="W202">
            <v>47896</v>
          </cell>
        </row>
        <row r="203">
          <cell r="E203">
            <v>203</v>
          </cell>
          <cell r="G203">
            <v>29638</v>
          </cell>
          <cell r="J203">
            <v>16</v>
          </cell>
          <cell r="L203">
            <v>8944</v>
          </cell>
          <cell r="M203">
            <v>3828</v>
          </cell>
          <cell r="O203"/>
          <cell r="P203"/>
          <cell r="Q203">
            <v>80176</v>
          </cell>
          <cell r="W203">
            <v>178811</v>
          </cell>
        </row>
        <row r="204">
          <cell r="E204">
            <v>-40016</v>
          </cell>
          <cell r="G204">
            <v>-5842336</v>
          </cell>
          <cell r="J204">
            <v>-8756</v>
          </cell>
          <cell r="L204">
            <v>-4894604</v>
          </cell>
          <cell r="M204">
            <v>3828</v>
          </cell>
          <cell r="O204"/>
          <cell r="P204"/>
          <cell r="Q204">
            <v>80176</v>
          </cell>
          <cell r="W204">
            <v>-10474125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-10390121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-10306117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-10222113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-10138109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-10054105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-9970101</v>
          </cell>
        </row>
      </sheetData>
      <sheetData sheetId="31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88122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89998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680361</v>
          </cell>
        </row>
      </sheetData>
      <sheetData sheetId="32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-450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0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84004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168008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252012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336016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420020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504024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588028</v>
          </cell>
        </row>
      </sheetData>
      <sheetData sheetId="33">
        <row r="176">
          <cell r="E176">
            <v>0</v>
          </cell>
          <cell r="G176">
            <v>0</v>
          </cell>
          <cell r="J176">
            <v>5</v>
          </cell>
          <cell r="L176">
            <v>2795</v>
          </cell>
          <cell r="M176">
            <v>3731</v>
          </cell>
          <cell r="O176"/>
          <cell r="P176"/>
          <cell r="Q176">
            <v>76410</v>
          </cell>
          <cell r="W176">
            <v>-237</v>
          </cell>
        </row>
        <row r="177">
          <cell r="E177">
            <v>3</v>
          </cell>
          <cell r="G177">
            <v>438</v>
          </cell>
          <cell r="J177">
            <v>7</v>
          </cell>
          <cell r="L177">
            <v>3913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4</v>
          </cell>
          <cell r="G178">
            <v>584</v>
          </cell>
          <cell r="J178">
            <v>2</v>
          </cell>
          <cell r="L178">
            <v>1118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2</v>
          </cell>
          <cell r="G179">
            <v>292</v>
          </cell>
          <cell r="J179">
            <v>2</v>
          </cell>
          <cell r="L179">
            <v>1118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3</v>
          </cell>
          <cell r="G181">
            <v>438</v>
          </cell>
          <cell r="J181">
            <v>0</v>
          </cell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5</v>
          </cell>
          <cell r="G182">
            <v>730</v>
          </cell>
          <cell r="J182">
            <v>0</v>
          </cell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4</v>
          </cell>
          <cell r="G183">
            <v>584</v>
          </cell>
          <cell r="J183">
            <v>0</v>
          </cell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5</v>
          </cell>
          <cell r="G184">
            <v>730</v>
          </cell>
          <cell r="J184">
            <v>0</v>
          </cell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4</v>
          </cell>
          <cell r="G185">
            <v>584</v>
          </cell>
          <cell r="J185">
            <v>3</v>
          </cell>
          <cell r="L185">
            <v>1677</v>
          </cell>
          <cell r="M185">
            <v>3731</v>
          </cell>
          <cell r="O185"/>
          <cell r="P185"/>
          <cell r="Q185">
            <v>76410</v>
          </cell>
          <cell r="W185">
            <v>180</v>
          </cell>
        </row>
        <row r="186">
          <cell r="E186">
            <v>5</v>
          </cell>
          <cell r="G186">
            <v>730</v>
          </cell>
          <cell r="J186">
            <v>4</v>
          </cell>
          <cell r="L186">
            <v>2236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</v>
          </cell>
          <cell r="G187">
            <v>438</v>
          </cell>
          <cell r="J187">
            <v>4</v>
          </cell>
          <cell r="L187">
            <v>2236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17</v>
          </cell>
          <cell r="G188">
            <v>2482</v>
          </cell>
          <cell r="J188">
            <v>2</v>
          </cell>
          <cell r="L188">
            <v>1118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11</v>
          </cell>
          <cell r="G189">
            <v>1606</v>
          </cell>
          <cell r="J189">
            <v>4</v>
          </cell>
          <cell r="L189">
            <v>2236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8</v>
          </cell>
          <cell r="G190">
            <v>1168</v>
          </cell>
          <cell r="J190">
            <v>4</v>
          </cell>
          <cell r="L190">
            <v>2236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4</v>
          </cell>
          <cell r="G191">
            <v>584</v>
          </cell>
          <cell r="J191">
            <v>2</v>
          </cell>
          <cell r="L191">
            <v>1118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2</v>
          </cell>
          <cell r="G194">
            <v>292</v>
          </cell>
          <cell r="J194">
            <v>6</v>
          </cell>
          <cell r="L194">
            <v>3354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4</v>
          </cell>
          <cell r="G195">
            <v>584</v>
          </cell>
          <cell r="J195">
            <v>6</v>
          </cell>
          <cell r="L195">
            <v>3354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1</v>
          </cell>
          <cell r="L196">
            <v>559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</v>
          </cell>
          <cell r="G197">
            <v>146</v>
          </cell>
          <cell r="J197">
            <v>10</v>
          </cell>
          <cell r="L197">
            <v>5590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8</v>
          </cell>
          <cell r="G198">
            <v>1168</v>
          </cell>
          <cell r="J198">
            <v>2</v>
          </cell>
          <cell r="L198">
            <v>1118</v>
          </cell>
          <cell r="M198">
            <v>3731</v>
          </cell>
          <cell r="O198">
            <v>19040</v>
          </cell>
          <cell r="P198"/>
          <cell r="Q198">
            <v>78144</v>
          </cell>
          <cell r="W198">
            <v>0</v>
          </cell>
        </row>
        <row r="199">
          <cell r="E199">
            <v>13</v>
          </cell>
          <cell r="G199">
            <v>1898</v>
          </cell>
          <cell r="J199">
            <v>18</v>
          </cell>
          <cell r="L199">
            <v>10062</v>
          </cell>
          <cell r="M199">
            <v>3828</v>
          </cell>
          <cell r="O199"/>
          <cell r="P199"/>
          <cell r="Q199">
            <v>80176</v>
          </cell>
          <cell r="W199">
            <v>104228</v>
          </cell>
        </row>
        <row r="200">
          <cell r="E200">
            <v>20</v>
          </cell>
          <cell r="G200">
            <v>2920</v>
          </cell>
          <cell r="J200">
            <v>19</v>
          </cell>
          <cell r="L200">
            <v>10621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7</v>
          </cell>
          <cell r="G201">
            <v>1022</v>
          </cell>
          <cell r="J201">
            <v>92</v>
          </cell>
          <cell r="L201">
            <v>51428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6</v>
          </cell>
          <cell r="G202">
            <v>876</v>
          </cell>
          <cell r="J202">
            <v>16</v>
          </cell>
          <cell r="L202">
            <v>8944</v>
          </cell>
          <cell r="M202">
            <v>3828</v>
          </cell>
          <cell r="O202"/>
          <cell r="P202"/>
          <cell r="Q202">
            <v>80176</v>
          </cell>
          <cell r="W202">
            <v>102123</v>
          </cell>
        </row>
        <row r="203">
          <cell r="E203">
            <v>7</v>
          </cell>
          <cell r="G203">
            <v>1022</v>
          </cell>
          <cell r="J203">
            <v>9</v>
          </cell>
          <cell r="L203">
            <v>5031</v>
          </cell>
          <cell r="M203">
            <v>3828</v>
          </cell>
          <cell r="O203"/>
          <cell r="P203"/>
          <cell r="Q203">
            <v>80176</v>
          </cell>
          <cell r="W203">
            <v>200509</v>
          </cell>
        </row>
        <row r="204">
          <cell r="E204">
            <v>-152</v>
          </cell>
          <cell r="G204">
            <v>-22192</v>
          </cell>
          <cell r="J204">
            <v>-237</v>
          </cell>
          <cell r="L204">
            <v>-132483</v>
          </cell>
          <cell r="M204">
            <v>3828</v>
          </cell>
          <cell r="O204"/>
          <cell r="P204"/>
          <cell r="Q204">
            <v>80176</v>
          </cell>
          <cell r="W204">
            <v>129838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213842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297846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381850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465854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549858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633862</v>
          </cell>
        </row>
      </sheetData>
      <sheetData sheetId="34">
        <row r="176">
          <cell r="E176">
            <v>258</v>
          </cell>
          <cell r="G176">
            <v>37668</v>
          </cell>
          <cell r="J176">
            <v>79</v>
          </cell>
          <cell r="L176">
            <v>44161</v>
          </cell>
          <cell r="M176">
            <v>3731</v>
          </cell>
          <cell r="O176">
            <v>0</v>
          </cell>
          <cell r="P176">
            <v>10000</v>
          </cell>
          <cell r="Q176">
            <v>76410</v>
          </cell>
          <cell r="W176">
            <v>0</v>
          </cell>
        </row>
        <row r="177">
          <cell r="E177">
            <v>250</v>
          </cell>
          <cell r="G177">
            <v>36500</v>
          </cell>
          <cell r="J177">
            <v>90</v>
          </cell>
          <cell r="L177">
            <v>50310</v>
          </cell>
          <cell r="M177">
            <v>3731</v>
          </cell>
          <cell r="O177">
            <v>0</v>
          </cell>
          <cell r="P177">
            <v>10000</v>
          </cell>
          <cell r="Q177">
            <v>76410</v>
          </cell>
          <cell r="W177">
            <v>0</v>
          </cell>
        </row>
        <row r="178">
          <cell r="E178">
            <v>212</v>
          </cell>
          <cell r="G178">
            <v>30952</v>
          </cell>
          <cell r="J178">
            <v>87</v>
          </cell>
          <cell r="L178">
            <v>48633</v>
          </cell>
          <cell r="M178">
            <v>3731</v>
          </cell>
          <cell r="O178">
            <v>0</v>
          </cell>
          <cell r="P178">
            <v>10000</v>
          </cell>
          <cell r="Q178">
            <v>76410</v>
          </cell>
          <cell r="W178">
            <v>0</v>
          </cell>
        </row>
        <row r="179">
          <cell r="E179">
            <v>209</v>
          </cell>
          <cell r="G179">
            <v>30514</v>
          </cell>
          <cell r="J179">
            <v>5</v>
          </cell>
          <cell r="L179">
            <v>2795</v>
          </cell>
          <cell r="M179">
            <v>3731</v>
          </cell>
          <cell r="O179">
            <v>0</v>
          </cell>
          <cell r="P179">
            <v>10000</v>
          </cell>
          <cell r="Q179">
            <v>76410</v>
          </cell>
          <cell r="W179">
            <v>0</v>
          </cell>
        </row>
        <row r="180">
          <cell r="E180">
            <v>184</v>
          </cell>
          <cell r="G180">
            <v>26864</v>
          </cell>
          <cell r="J180">
            <v>7</v>
          </cell>
          <cell r="L180">
            <v>3913</v>
          </cell>
          <cell r="M180">
            <v>3731</v>
          </cell>
          <cell r="O180">
            <v>0</v>
          </cell>
          <cell r="P180">
            <v>10000</v>
          </cell>
          <cell r="Q180">
            <v>76410</v>
          </cell>
          <cell r="W180">
            <v>0</v>
          </cell>
        </row>
        <row r="181">
          <cell r="E181">
            <v>86</v>
          </cell>
          <cell r="G181">
            <v>12556</v>
          </cell>
          <cell r="J181">
            <v>6</v>
          </cell>
          <cell r="L181">
            <v>3354</v>
          </cell>
          <cell r="M181">
            <v>3731</v>
          </cell>
          <cell r="O181">
            <v>0</v>
          </cell>
          <cell r="P181">
            <v>10000</v>
          </cell>
          <cell r="Q181">
            <v>76410</v>
          </cell>
          <cell r="W181">
            <v>113051</v>
          </cell>
        </row>
        <row r="182">
          <cell r="E182">
            <v>89</v>
          </cell>
          <cell r="G182">
            <v>12994</v>
          </cell>
          <cell r="J182">
            <v>8</v>
          </cell>
          <cell r="L182">
            <v>4472</v>
          </cell>
          <cell r="M182">
            <v>3731</v>
          </cell>
          <cell r="O182">
            <v>0</v>
          </cell>
          <cell r="P182">
            <v>10000</v>
          </cell>
          <cell r="Q182">
            <v>76410</v>
          </cell>
          <cell r="W182">
            <v>0</v>
          </cell>
        </row>
        <row r="183">
          <cell r="E183">
            <v>107</v>
          </cell>
          <cell r="G183">
            <v>15622</v>
          </cell>
          <cell r="J183">
            <v>10</v>
          </cell>
          <cell r="L183">
            <v>5590</v>
          </cell>
          <cell r="M183">
            <v>3731</v>
          </cell>
          <cell r="O183">
            <v>0</v>
          </cell>
          <cell r="P183">
            <v>10000</v>
          </cell>
          <cell r="Q183">
            <v>76410</v>
          </cell>
          <cell r="W183">
            <v>119350</v>
          </cell>
        </row>
        <row r="184">
          <cell r="E184">
            <v>118</v>
          </cell>
          <cell r="G184">
            <v>17228</v>
          </cell>
          <cell r="J184">
            <v>23</v>
          </cell>
          <cell r="L184">
            <v>12857</v>
          </cell>
          <cell r="M184">
            <v>3731</v>
          </cell>
          <cell r="O184">
            <v>0</v>
          </cell>
          <cell r="P184">
            <v>10000</v>
          </cell>
          <cell r="Q184">
            <v>76410</v>
          </cell>
          <cell r="W184">
            <v>0</v>
          </cell>
        </row>
        <row r="185">
          <cell r="E185">
            <v>142</v>
          </cell>
          <cell r="G185">
            <v>20732</v>
          </cell>
          <cell r="J185">
            <v>53</v>
          </cell>
          <cell r="L185">
            <v>29627</v>
          </cell>
          <cell r="M185">
            <v>3731</v>
          </cell>
          <cell r="O185">
            <v>0</v>
          </cell>
          <cell r="P185">
            <v>10000</v>
          </cell>
          <cell r="Q185">
            <v>76410</v>
          </cell>
          <cell r="W185">
            <v>0</v>
          </cell>
        </row>
        <row r="186">
          <cell r="E186">
            <v>169</v>
          </cell>
          <cell r="G186">
            <v>24674</v>
          </cell>
          <cell r="J186">
            <v>139</v>
          </cell>
          <cell r="L186">
            <v>81121</v>
          </cell>
          <cell r="M186">
            <v>3731</v>
          </cell>
          <cell r="O186">
            <v>0</v>
          </cell>
          <cell r="P186">
            <v>10000</v>
          </cell>
          <cell r="Q186">
            <v>76410</v>
          </cell>
          <cell r="W186">
            <v>0</v>
          </cell>
        </row>
        <row r="187">
          <cell r="E187">
            <v>202</v>
          </cell>
          <cell r="G187">
            <v>29492</v>
          </cell>
          <cell r="J187">
            <v>139</v>
          </cell>
          <cell r="L187">
            <v>81121</v>
          </cell>
          <cell r="M187">
            <v>3731</v>
          </cell>
          <cell r="O187">
            <v>0</v>
          </cell>
          <cell r="P187">
            <v>10000</v>
          </cell>
          <cell r="Q187">
            <v>78144</v>
          </cell>
          <cell r="W187">
            <v>0</v>
          </cell>
        </row>
        <row r="188">
          <cell r="E188">
            <v>168</v>
          </cell>
          <cell r="G188">
            <v>24528</v>
          </cell>
          <cell r="J188">
            <v>55</v>
          </cell>
          <cell r="L188">
            <v>30745</v>
          </cell>
          <cell r="M188">
            <v>3731</v>
          </cell>
          <cell r="O188">
            <v>0</v>
          </cell>
          <cell r="P188">
            <v>10000</v>
          </cell>
          <cell r="Q188">
            <v>78144</v>
          </cell>
          <cell r="W188">
            <v>0</v>
          </cell>
        </row>
        <row r="189">
          <cell r="E189">
            <v>194</v>
          </cell>
          <cell r="G189">
            <v>28324</v>
          </cell>
          <cell r="J189">
            <v>73</v>
          </cell>
          <cell r="L189">
            <v>40807</v>
          </cell>
          <cell r="M189">
            <v>3731</v>
          </cell>
          <cell r="O189">
            <v>0</v>
          </cell>
          <cell r="P189">
            <v>10000</v>
          </cell>
          <cell r="Q189">
            <v>78144</v>
          </cell>
          <cell r="W189">
            <v>0</v>
          </cell>
        </row>
        <row r="190">
          <cell r="E190">
            <v>149</v>
          </cell>
          <cell r="G190">
            <v>21754</v>
          </cell>
          <cell r="J190">
            <v>52</v>
          </cell>
          <cell r="L190">
            <v>29068</v>
          </cell>
          <cell r="M190">
            <v>3731</v>
          </cell>
          <cell r="O190">
            <v>0</v>
          </cell>
          <cell r="P190">
            <v>10000</v>
          </cell>
          <cell r="Q190">
            <v>78144</v>
          </cell>
          <cell r="W190">
            <v>0</v>
          </cell>
        </row>
        <row r="191">
          <cell r="E191">
            <v>130</v>
          </cell>
          <cell r="G191">
            <v>18980</v>
          </cell>
          <cell r="J191">
            <v>23</v>
          </cell>
          <cell r="L191">
            <v>12857</v>
          </cell>
          <cell r="M191">
            <v>3731</v>
          </cell>
          <cell r="O191">
            <v>0</v>
          </cell>
          <cell r="P191">
            <v>10000</v>
          </cell>
          <cell r="Q191">
            <v>78144</v>
          </cell>
          <cell r="W191">
            <v>0</v>
          </cell>
        </row>
        <row r="192">
          <cell r="E192">
            <v>116</v>
          </cell>
          <cell r="G192">
            <v>16936</v>
          </cell>
          <cell r="J192">
            <v>6</v>
          </cell>
          <cell r="L192">
            <v>3354</v>
          </cell>
          <cell r="M192">
            <v>3731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135</v>
          </cell>
          <cell r="G193">
            <v>19710</v>
          </cell>
          <cell r="J193">
            <v>11</v>
          </cell>
          <cell r="L193">
            <v>6149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115895</v>
          </cell>
        </row>
        <row r="194">
          <cell r="E194">
            <v>169</v>
          </cell>
          <cell r="G194">
            <v>24674</v>
          </cell>
          <cell r="J194">
            <v>22</v>
          </cell>
          <cell r="L194">
            <v>12298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124</v>
          </cell>
          <cell r="G195">
            <v>18104</v>
          </cell>
          <cell r="J195">
            <v>32</v>
          </cell>
          <cell r="L195">
            <v>17888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126</v>
          </cell>
          <cell r="G196">
            <v>18396</v>
          </cell>
          <cell r="J196">
            <v>52</v>
          </cell>
          <cell r="L196">
            <v>29068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192635</v>
          </cell>
        </row>
        <row r="197">
          <cell r="E197">
            <v>140</v>
          </cell>
          <cell r="G197">
            <v>20440</v>
          </cell>
          <cell r="J197">
            <v>64</v>
          </cell>
          <cell r="L197">
            <v>35776</v>
          </cell>
          <cell r="M197">
            <v>3731</v>
          </cell>
          <cell r="O197">
            <v>19040</v>
          </cell>
          <cell r="P197"/>
          <cell r="Q197">
            <v>78144</v>
          </cell>
          <cell r="W197">
            <v>413158</v>
          </cell>
        </row>
        <row r="198">
          <cell r="E198">
            <v>105</v>
          </cell>
          <cell r="G198">
            <v>15330</v>
          </cell>
          <cell r="J198">
            <v>54</v>
          </cell>
          <cell r="L198">
            <v>30186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128</v>
          </cell>
          <cell r="G199">
            <v>18688</v>
          </cell>
          <cell r="J199">
            <v>68</v>
          </cell>
          <cell r="L199">
            <v>38012</v>
          </cell>
          <cell r="M199">
            <v>3828</v>
          </cell>
          <cell r="O199">
            <v>0</v>
          </cell>
          <cell r="P199"/>
          <cell r="Q199">
            <v>80176</v>
          </cell>
          <cell r="W199">
            <v>148968</v>
          </cell>
        </row>
        <row r="200">
          <cell r="E200">
            <v>128</v>
          </cell>
          <cell r="G200">
            <v>18688</v>
          </cell>
          <cell r="J200">
            <v>66</v>
          </cell>
          <cell r="L200">
            <v>36894</v>
          </cell>
          <cell r="M200">
            <v>3828</v>
          </cell>
          <cell r="O200">
            <v>0</v>
          </cell>
          <cell r="P200"/>
          <cell r="Q200">
            <v>80176</v>
          </cell>
          <cell r="W200">
            <v>0</v>
          </cell>
        </row>
        <row r="201">
          <cell r="E201">
            <v>113</v>
          </cell>
          <cell r="G201">
            <v>16498</v>
          </cell>
          <cell r="J201">
            <v>62</v>
          </cell>
          <cell r="L201">
            <v>34658</v>
          </cell>
          <cell r="M201">
            <v>3828</v>
          </cell>
          <cell r="O201">
            <v>0</v>
          </cell>
          <cell r="P201"/>
          <cell r="Q201">
            <v>80176</v>
          </cell>
          <cell r="W201">
            <v>0</v>
          </cell>
        </row>
        <row r="202">
          <cell r="E202">
            <v>115</v>
          </cell>
          <cell r="G202">
            <v>16790</v>
          </cell>
          <cell r="J202">
            <v>63</v>
          </cell>
          <cell r="L202">
            <v>35217</v>
          </cell>
          <cell r="M202">
            <v>3828</v>
          </cell>
          <cell r="O202">
            <v>0</v>
          </cell>
          <cell r="P202"/>
          <cell r="Q202">
            <v>80176</v>
          </cell>
          <cell r="W202">
            <v>0</v>
          </cell>
        </row>
        <row r="203">
          <cell r="E203">
            <v>98</v>
          </cell>
          <cell r="G203">
            <v>14308</v>
          </cell>
          <cell r="J203">
            <v>64</v>
          </cell>
          <cell r="L203">
            <v>35776</v>
          </cell>
          <cell r="M203">
            <v>3828</v>
          </cell>
          <cell r="O203">
            <v>0</v>
          </cell>
          <cell r="P203"/>
          <cell r="Q203">
            <v>80176</v>
          </cell>
          <cell r="W203">
            <v>142417</v>
          </cell>
        </row>
        <row r="204">
          <cell r="E204">
            <v>-22039</v>
          </cell>
          <cell r="G204">
            <v>-3217694</v>
          </cell>
          <cell r="J204">
            <v>-727</v>
          </cell>
          <cell r="L204">
            <v>-406393</v>
          </cell>
          <cell r="M204">
            <v>3828</v>
          </cell>
          <cell r="O204">
            <v>0</v>
          </cell>
          <cell r="P204"/>
          <cell r="Q204">
            <v>80176</v>
          </cell>
          <cell r="W204">
            <v>-3397666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/>
          <cell r="Q205">
            <v>80176</v>
          </cell>
          <cell r="W205">
            <v>-3313662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/>
          <cell r="Q206">
            <v>80176</v>
          </cell>
          <cell r="W206">
            <v>-3229658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/>
          <cell r="Q207">
            <v>80176</v>
          </cell>
          <cell r="W207">
            <v>-3145654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/>
          <cell r="Q208">
            <v>80176</v>
          </cell>
          <cell r="W208">
            <v>-3061650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/>
          <cell r="Q209">
            <v>80176</v>
          </cell>
          <cell r="W209">
            <v>-2977646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/>
          <cell r="Q210">
            <v>80176</v>
          </cell>
          <cell r="W210">
            <v>-2893642</v>
          </cell>
        </row>
      </sheetData>
      <sheetData sheetId="35">
        <row r="176">
          <cell r="E176">
            <v>429</v>
          </cell>
          <cell r="G176">
            <v>62634</v>
          </cell>
          <cell r="J176">
            <v>71</v>
          </cell>
          <cell r="L176">
            <v>39689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-32613</v>
          </cell>
        </row>
        <row r="177">
          <cell r="E177">
            <v>514</v>
          </cell>
          <cell r="G177">
            <v>75044</v>
          </cell>
          <cell r="J177">
            <v>47</v>
          </cell>
          <cell r="L177">
            <v>26273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-155</v>
          </cell>
        </row>
        <row r="178">
          <cell r="E178">
            <v>429</v>
          </cell>
          <cell r="G178">
            <v>62634</v>
          </cell>
          <cell r="J178">
            <v>91</v>
          </cell>
          <cell r="L178">
            <v>50869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427</v>
          </cell>
          <cell r="G179">
            <v>62342</v>
          </cell>
          <cell r="J179">
            <v>19</v>
          </cell>
          <cell r="L179">
            <v>10621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367</v>
          </cell>
          <cell r="G180">
            <v>53582</v>
          </cell>
          <cell r="J180">
            <v>7</v>
          </cell>
          <cell r="L180">
            <v>3913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-364</v>
          </cell>
        </row>
        <row r="181">
          <cell r="E181">
            <v>606</v>
          </cell>
          <cell r="G181">
            <v>88476</v>
          </cell>
          <cell r="J181">
            <v>6</v>
          </cell>
          <cell r="L181">
            <v>3354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178607</v>
          </cell>
        </row>
        <row r="182">
          <cell r="E182">
            <v>913</v>
          </cell>
          <cell r="G182">
            <v>133298</v>
          </cell>
          <cell r="J182">
            <v>10</v>
          </cell>
          <cell r="L182">
            <v>5590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-383</v>
          </cell>
        </row>
        <row r="183">
          <cell r="E183">
            <v>1533</v>
          </cell>
          <cell r="G183">
            <v>223818</v>
          </cell>
          <cell r="J183">
            <v>26</v>
          </cell>
          <cell r="L183">
            <v>14534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-23893</v>
          </cell>
        </row>
        <row r="184">
          <cell r="E184">
            <v>1140</v>
          </cell>
          <cell r="G184">
            <v>166440</v>
          </cell>
          <cell r="J184">
            <v>63</v>
          </cell>
          <cell r="L184">
            <v>35217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265895</v>
          </cell>
        </row>
        <row r="185">
          <cell r="E185">
            <v>1123</v>
          </cell>
          <cell r="G185">
            <v>163958</v>
          </cell>
          <cell r="J185">
            <v>79</v>
          </cell>
          <cell r="L185">
            <v>44161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-37826</v>
          </cell>
        </row>
        <row r="186">
          <cell r="E186">
            <v>1081</v>
          </cell>
          <cell r="G186">
            <v>157826</v>
          </cell>
          <cell r="J186">
            <v>96</v>
          </cell>
          <cell r="L186">
            <v>53664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261844</v>
          </cell>
        </row>
        <row r="187">
          <cell r="E187">
            <v>1260</v>
          </cell>
          <cell r="G187">
            <v>183960</v>
          </cell>
          <cell r="J187">
            <v>94</v>
          </cell>
          <cell r="L187">
            <v>52546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-11728</v>
          </cell>
        </row>
        <row r="188">
          <cell r="E188">
            <v>989</v>
          </cell>
          <cell r="G188">
            <v>144394</v>
          </cell>
          <cell r="J188">
            <v>59</v>
          </cell>
          <cell r="L188">
            <v>32981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255599</v>
          </cell>
        </row>
        <row r="189">
          <cell r="E189">
            <v>1402</v>
          </cell>
          <cell r="G189">
            <v>204692</v>
          </cell>
          <cell r="J189">
            <v>134</v>
          </cell>
          <cell r="L189">
            <v>77426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-2318</v>
          </cell>
        </row>
        <row r="190">
          <cell r="E190">
            <v>1403</v>
          </cell>
          <cell r="G190">
            <v>204838</v>
          </cell>
          <cell r="J190">
            <v>197</v>
          </cell>
          <cell r="L190">
            <v>149363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441859</v>
          </cell>
        </row>
        <row r="191">
          <cell r="E191">
            <v>1761</v>
          </cell>
          <cell r="G191">
            <v>257106</v>
          </cell>
          <cell r="J191">
            <v>164</v>
          </cell>
          <cell r="L191">
            <v>107156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-3881</v>
          </cell>
        </row>
        <row r="192">
          <cell r="E192">
            <v>728</v>
          </cell>
          <cell r="G192">
            <v>106288</v>
          </cell>
          <cell r="J192">
            <v>40</v>
          </cell>
          <cell r="L192">
            <v>22360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-210</v>
          </cell>
        </row>
        <row r="193">
          <cell r="E193">
            <v>646</v>
          </cell>
          <cell r="G193">
            <v>94316</v>
          </cell>
          <cell r="J193">
            <v>5</v>
          </cell>
          <cell r="L193">
            <v>2795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-3063</v>
          </cell>
        </row>
        <row r="194">
          <cell r="E194">
            <v>1489</v>
          </cell>
          <cell r="G194">
            <v>217394</v>
          </cell>
          <cell r="J194">
            <v>11</v>
          </cell>
          <cell r="L194">
            <v>6149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310541</v>
          </cell>
        </row>
        <row r="195">
          <cell r="E195">
            <v>1199</v>
          </cell>
          <cell r="G195">
            <v>175054</v>
          </cell>
          <cell r="J195">
            <v>45</v>
          </cell>
          <cell r="L195">
            <v>25155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-9168</v>
          </cell>
        </row>
        <row r="196">
          <cell r="E196">
            <v>995</v>
          </cell>
          <cell r="G196">
            <v>145270</v>
          </cell>
          <cell r="J196">
            <v>208</v>
          </cell>
          <cell r="L196">
            <v>172072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-1721</v>
          </cell>
        </row>
        <row r="197">
          <cell r="E197">
            <v>655</v>
          </cell>
          <cell r="G197">
            <v>95630</v>
          </cell>
          <cell r="J197">
            <v>236</v>
          </cell>
          <cell r="L197">
            <v>238124</v>
          </cell>
          <cell r="M197">
            <v>3731</v>
          </cell>
          <cell r="O197">
            <v>38080</v>
          </cell>
          <cell r="P197">
            <v>0</v>
          </cell>
          <cell r="Q197">
            <v>78144</v>
          </cell>
          <cell r="W197">
            <v>460248</v>
          </cell>
        </row>
        <row r="198">
          <cell r="E198">
            <v>472</v>
          </cell>
          <cell r="G198">
            <v>68912</v>
          </cell>
          <cell r="J198">
            <v>128</v>
          </cell>
          <cell r="L198">
            <v>72992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-7703</v>
          </cell>
        </row>
        <row r="199">
          <cell r="E199">
            <v>495</v>
          </cell>
          <cell r="G199">
            <v>72270</v>
          </cell>
          <cell r="J199">
            <v>256</v>
          </cell>
          <cell r="L199">
            <v>285304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442139</v>
          </cell>
        </row>
        <row r="200">
          <cell r="E200">
            <v>527</v>
          </cell>
          <cell r="G200">
            <v>76942</v>
          </cell>
          <cell r="J200">
            <v>93</v>
          </cell>
          <cell r="L200">
            <v>51987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268453</v>
          </cell>
        </row>
        <row r="201">
          <cell r="E201">
            <v>352</v>
          </cell>
          <cell r="G201">
            <v>51392</v>
          </cell>
          <cell r="J201">
            <v>88</v>
          </cell>
          <cell r="L201">
            <v>49192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-3557</v>
          </cell>
        </row>
        <row r="202">
          <cell r="E202">
            <v>497</v>
          </cell>
          <cell r="G202">
            <v>72562</v>
          </cell>
          <cell r="J202">
            <v>123</v>
          </cell>
          <cell r="L202">
            <v>69297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230605</v>
          </cell>
        </row>
        <row r="203">
          <cell r="E203">
            <v>438</v>
          </cell>
          <cell r="G203">
            <v>63948</v>
          </cell>
          <cell r="J203">
            <v>40</v>
          </cell>
          <cell r="L203">
            <v>22360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409246</v>
          </cell>
        </row>
        <row r="204">
          <cell r="E204">
            <v>-85671</v>
          </cell>
          <cell r="G204">
            <v>-12507966</v>
          </cell>
          <cell r="J204">
            <v>-12148</v>
          </cell>
          <cell r="L204">
            <v>-6790732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-18805448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-18721444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-18637440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-18553436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-18469432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-18385428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-18301424</v>
          </cell>
        </row>
      </sheetData>
      <sheetData sheetId="36">
        <row r="176">
          <cell r="E176">
            <v>307</v>
          </cell>
          <cell r="G176">
            <v>44822</v>
          </cell>
          <cell r="J176">
            <v>21</v>
          </cell>
          <cell r="L176">
            <v>11739</v>
          </cell>
          <cell r="M176">
            <v>3731</v>
          </cell>
          <cell r="O176">
            <v>0</v>
          </cell>
          <cell r="P176">
            <v>5000</v>
          </cell>
          <cell r="Q176">
            <v>76410</v>
          </cell>
          <cell r="W176">
            <v>0</v>
          </cell>
        </row>
        <row r="177">
          <cell r="E177">
            <v>313</v>
          </cell>
          <cell r="G177">
            <v>45698</v>
          </cell>
          <cell r="J177">
            <v>28</v>
          </cell>
          <cell r="L177">
            <v>15652</v>
          </cell>
          <cell r="M177">
            <v>3731</v>
          </cell>
          <cell r="O177">
            <v>0</v>
          </cell>
          <cell r="P177">
            <v>5000</v>
          </cell>
          <cell r="Q177">
            <v>76410</v>
          </cell>
          <cell r="W177">
            <v>0</v>
          </cell>
        </row>
        <row r="178">
          <cell r="E178">
            <v>220</v>
          </cell>
          <cell r="G178">
            <v>32120</v>
          </cell>
          <cell r="J178">
            <v>21</v>
          </cell>
          <cell r="L178">
            <v>11739</v>
          </cell>
          <cell r="M178">
            <v>3731</v>
          </cell>
          <cell r="O178">
            <v>0</v>
          </cell>
          <cell r="P178">
            <v>5000</v>
          </cell>
          <cell r="Q178">
            <v>76410</v>
          </cell>
          <cell r="W178">
            <v>3731</v>
          </cell>
        </row>
        <row r="179">
          <cell r="E179">
            <v>249</v>
          </cell>
          <cell r="G179">
            <v>36354</v>
          </cell>
          <cell r="J179">
            <v>4</v>
          </cell>
          <cell r="L179">
            <v>2236</v>
          </cell>
          <cell r="M179">
            <v>3731</v>
          </cell>
          <cell r="O179">
            <v>0</v>
          </cell>
          <cell r="P179">
            <v>5000</v>
          </cell>
          <cell r="Q179">
            <v>76410</v>
          </cell>
          <cell r="W179">
            <v>0</v>
          </cell>
        </row>
        <row r="180">
          <cell r="E180">
            <v>351</v>
          </cell>
          <cell r="G180">
            <v>51246</v>
          </cell>
          <cell r="J180">
            <v>17</v>
          </cell>
          <cell r="L180">
            <v>9503</v>
          </cell>
          <cell r="M180">
            <v>3731</v>
          </cell>
          <cell r="O180">
            <v>0</v>
          </cell>
          <cell r="P180">
            <v>5000</v>
          </cell>
          <cell r="Q180">
            <v>76410</v>
          </cell>
          <cell r="W180">
            <v>0</v>
          </cell>
        </row>
        <row r="181">
          <cell r="E181">
            <v>269</v>
          </cell>
          <cell r="G181">
            <v>39274</v>
          </cell>
          <cell r="J181">
            <v>10</v>
          </cell>
          <cell r="L181">
            <v>5590</v>
          </cell>
          <cell r="M181">
            <v>3731</v>
          </cell>
          <cell r="O181">
            <v>0</v>
          </cell>
          <cell r="P181">
            <v>5000</v>
          </cell>
          <cell r="Q181">
            <v>76410</v>
          </cell>
          <cell r="W181">
            <v>0</v>
          </cell>
        </row>
        <row r="182">
          <cell r="E182">
            <v>305</v>
          </cell>
          <cell r="G182">
            <v>44530</v>
          </cell>
          <cell r="J182">
            <v>17</v>
          </cell>
          <cell r="L182">
            <v>9503</v>
          </cell>
          <cell r="M182">
            <v>3731</v>
          </cell>
          <cell r="O182">
            <v>0</v>
          </cell>
          <cell r="P182">
            <v>5000</v>
          </cell>
          <cell r="Q182">
            <v>76410</v>
          </cell>
          <cell r="W182">
            <v>0</v>
          </cell>
        </row>
        <row r="183">
          <cell r="E183">
            <v>371</v>
          </cell>
          <cell r="G183">
            <v>54166</v>
          </cell>
          <cell r="J183">
            <v>13</v>
          </cell>
          <cell r="L183">
            <v>7267</v>
          </cell>
          <cell r="M183">
            <v>3731</v>
          </cell>
          <cell r="O183">
            <v>0</v>
          </cell>
          <cell r="P183">
            <v>5000</v>
          </cell>
          <cell r="Q183">
            <v>76410</v>
          </cell>
          <cell r="W183">
            <v>0</v>
          </cell>
        </row>
        <row r="184">
          <cell r="E184">
            <v>240</v>
          </cell>
          <cell r="G184">
            <v>35040</v>
          </cell>
          <cell r="J184">
            <v>8</v>
          </cell>
          <cell r="L184">
            <v>4472</v>
          </cell>
          <cell r="M184">
            <v>3731</v>
          </cell>
          <cell r="O184">
            <v>0</v>
          </cell>
          <cell r="P184">
            <v>5000</v>
          </cell>
          <cell r="Q184">
            <v>76410</v>
          </cell>
          <cell r="W184">
            <v>0</v>
          </cell>
        </row>
        <row r="185">
          <cell r="E185">
            <v>281</v>
          </cell>
          <cell r="G185">
            <v>41026</v>
          </cell>
          <cell r="J185">
            <v>35</v>
          </cell>
          <cell r="L185">
            <v>19565</v>
          </cell>
          <cell r="M185">
            <v>3731</v>
          </cell>
          <cell r="O185">
            <v>0</v>
          </cell>
          <cell r="P185">
            <v>5000</v>
          </cell>
          <cell r="Q185">
            <v>76410</v>
          </cell>
          <cell r="W185">
            <v>0</v>
          </cell>
        </row>
        <row r="186">
          <cell r="E186">
            <v>343</v>
          </cell>
          <cell r="G186">
            <v>50078</v>
          </cell>
          <cell r="J186">
            <v>17</v>
          </cell>
          <cell r="L186">
            <v>9503</v>
          </cell>
          <cell r="M186">
            <v>3731</v>
          </cell>
          <cell r="O186">
            <v>0</v>
          </cell>
          <cell r="P186">
            <v>5000</v>
          </cell>
          <cell r="Q186">
            <v>76410</v>
          </cell>
          <cell r="W186">
            <v>0</v>
          </cell>
        </row>
        <row r="187">
          <cell r="E187">
            <v>382</v>
          </cell>
          <cell r="G187">
            <v>55772</v>
          </cell>
          <cell r="J187">
            <v>22</v>
          </cell>
          <cell r="L187">
            <v>12298</v>
          </cell>
          <cell r="M187">
            <v>3731</v>
          </cell>
          <cell r="O187">
            <v>0</v>
          </cell>
          <cell r="P187">
            <v>5000</v>
          </cell>
          <cell r="Q187">
            <v>78144</v>
          </cell>
          <cell r="W187">
            <v>0</v>
          </cell>
        </row>
        <row r="188">
          <cell r="E188">
            <v>291</v>
          </cell>
          <cell r="G188">
            <v>42486</v>
          </cell>
          <cell r="J188">
            <v>15</v>
          </cell>
          <cell r="L188">
            <v>8385</v>
          </cell>
          <cell r="M188">
            <v>3731</v>
          </cell>
          <cell r="O188">
            <v>0</v>
          </cell>
          <cell r="P188">
            <v>5000</v>
          </cell>
          <cell r="Q188">
            <v>78144</v>
          </cell>
          <cell r="W188">
            <v>145823</v>
          </cell>
        </row>
        <row r="189">
          <cell r="E189">
            <v>293</v>
          </cell>
          <cell r="G189">
            <v>42778</v>
          </cell>
          <cell r="J189">
            <v>13</v>
          </cell>
          <cell r="L189">
            <v>7267</v>
          </cell>
          <cell r="M189">
            <v>3731</v>
          </cell>
          <cell r="O189">
            <v>0</v>
          </cell>
          <cell r="P189">
            <v>5000</v>
          </cell>
          <cell r="Q189">
            <v>78144</v>
          </cell>
          <cell r="W189">
            <v>0</v>
          </cell>
        </row>
        <row r="190">
          <cell r="E190">
            <v>240</v>
          </cell>
          <cell r="G190">
            <v>35040</v>
          </cell>
          <cell r="J190">
            <v>9</v>
          </cell>
          <cell r="L190">
            <v>5031</v>
          </cell>
          <cell r="M190">
            <v>3731</v>
          </cell>
          <cell r="O190">
            <v>0</v>
          </cell>
          <cell r="P190">
            <v>5000</v>
          </cell>
          <cell r="Q190">
            <v>78144</v>
          </cell>
          <cell r="W190">
            <v>0</v>
          </cell>
        </row>
        <row r="191">
          <cell r="E191">
            <v>249</v>
          </cell>
          <cell r="G191">
            <v>36354</v>
          </cell>
          <cell r="J191">
            <v>7</v>
          </cell>
          <cell r="L191">
            <v>3913</v>
          </cell>
          <cell r="M191">
            <v>3731</v>
          </cell>
          <cell r="O191">
            <v>0</v>
          </cell>
          <cell r="P191">
            <v>5000</v>
          </cell>
          <cell r="Q191">
            <v>78144</v>
          </cell>
          <cell r="W191">
            <v>135265</v>
          </cell>
        </row>
        <row r="192">
          <cell r="E192">
            <v>209</v>
          </cell>
          <cell r="G192">
            <v>30514</v>
          </cell>
          <cell r="J192">
            <v>5</v>
          </cell>
          <cell r="L192">
            <v>2795</v>
          </cell>
          <cell r="M192">
            <v>3731</v>
          </cell>
          <cell r="O192">
            <v>0</v>
          </cell>
          <cell r="P192">
            <v>5000</v>
          </cell>
          <cell r="Q192">
            <v>78144</v>
          </cell>
          <cell r="W192">
            <v>0</v>
          </cell>
        </row>
        <row r="193">
          <cell r="E193">
            <v>261</v>
          </cell>
          <cell r="G193">
            <v>38106</v>
          </cell>
          <cell r="J193">
            <v>3</v>
          </cell>
          <cell r="L193">
            <v>1677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129819</v>
          </cell>
        </row>
        <row r="194">
          <cell r="E194">
            <v>332</v>
          </cell>
          <cell r="G194">
            <v>48472</v>
          </cell>
          <cell r="J194">
            <v>7</v>
          </cell>
          <cell r="L194">
            <v>3913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225</v>
          </cell>
          <cell r="G195">
            <v>32850</v>
          </cell>
          <cell r="J195">
            <v>7</v>
          </cell>
          <cell r="L195">
            <v>3913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288</v>
          </cell>
          <cell r="G196">
            <v>42048</v>
          </cell>
          <cell r="J196">
            <v>16</v>
          </cell>
          <cell r="L196">
            <v>8944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272</v>
          </cell>
          <cell r="G197">
            <v>39712</v>
          </cell>
          <cell r="J197">
            <v>31</v>
          </cell>
          <cell r="L197">
            <v>17329</v>
          </cell>
          <cell r="M197">
            <v>3731</v>
          </cell>
          <cell r="O197">
            <v>19040</v>
          </cell>
          <cell r="P197"/>
          <cell r="Q197">
            <v>78144</v>
          </cell>
          <cell r="W197">
            <v>166216</v>
          </cell>
        </row>
        <row r="198">
          <cell r="E198">
            <v>253</v>
          </cell>
          <cell r="G198">
            <v>36938</v>
          </cell>
          <cell r="J198">
            <v>13</v>
          </cell>
          <cell r="L198">
            <v>7267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241</v>
          </cell>
          <cell r="G199">
            <v>35186</v>
          </cell>
          <cell r="J199">
            <v>14</v>
          </cell>
          <cell r="L199">
            <v>7826</v>
          </cell>
          <cell r="M199">
            <v>3828</v>
          </cell>
          <cell r="O199">
            <v>0</v>
          </cell>
          <cell r="P199"/>
          <cell r="Q199">
            <v>80176</v>
          </cell>
          <cell r="W199">
            <v>135280</v>
          </cell>
        </row>
        <row r="200">
          <cell r="E200">
            <v>369</v>
          </cell>
          <cell r="G200">
            <v>53874</v>
          </cell>
          <cell r="J200">
            <v>23</v>
          </cell>
          <cell r="L200">
            <v>12857</v>
          </cell>
          <cell r="M200">
            <v>3828</v>
          </cell>
          <cell r="O200">
            <v>0</v>
          </cell>
          <cell r="P200"/>
          <cell r="Q200">
            <v>80176</v>
          </cell>
          <cell r="W200">
            <v>0</v>
          </cell>
        </row>
        <row r="201">
          <cell r="E201">
            <v>246</v>
          </cell>
          <cell r="G201">
            <v>35916</v>
          </cell>
          <cell r="J201">
            <v>17</v>
          </cell>
          <cell r="L201">
            <v>9503</v>
          </cell>
          <cell r="M201">
            <v>3828</v>
          </cell>
          <cell r="O201">
            <v>0</v>
          </cell>
          <cell r="P201"/>
          <cell r="Q201">
            <v>80176</v>
          </cell>
          <cell r="W201">
            <v>0</v>
          </cell>
        </row>
        <row r="202">
          <cell r="E202">
            <v>265</v>
          </cell>
          <cell r="G202">
            <v>38690</v>
          </cell>
          <cell r="J202">
            <v>53</v>
          </cell>
          <cell r="L202">
            <v>29627</v>
          </cell>
          <cell r="M202">
            <v>3828</v>
          </cell>
          <cell r="O202">
            <v>0</v>
          </cell>
          <cell r="P202"/>
          <cell r="Q202">
            <v>80176</v>
          </cell>
          <cell r="W202">
            <v>0</v>
          </cell>
        </row>
        <row r="203">
          <cell r="E203">
            <v>417</v>
          </cell>
          <cell r="G203">
            <v>60882</v>
          </cell>
          <cell r="J203">
            <v>8</v>
          </cell>
          <cell r="L203">
            <v>4472</v>
          </cell>
          <cell r="M203">
            <v>3828</v>
          </cell>
          <cell r="O203">
            <v>0</v>
          </cell>
          <cell r="P203"/>
          <cell r="Q203">
            <v>80176</v>
          </cell>
          <cell r="W203">
            <v>157687</v>
          </cell>
        </row>
        <row r="204">
          <cell r="E204">
            <v>-10174</v>
          </cell>
          <cell r="G204">
            <v>-1485404</v>
          </cell>
          <cell r="J204">
            <v>-580</v>
          </cell>
          <cell r="L204">
            <v>-324220</v>
          </cell>
          <cell r="M204">
            <v>3828</v>
          </cell>
          <cell r="O204">
            <v>0</v>
          </cell>
          <cell r="P204"/>
          <cell r="Q204">
            <v>80176</v>
          </cell>
          <cell r="W204">
            <v>-1567933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/>
          <cell r="Q205">
            <v>80176</v>
          </cell>
          <cell r="W205">
            <v>-1483929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/>
          <cell r="Q206">
            <v>80176</v>
          </cell>
          <cell r="W206">
            <v>-1399925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/>
          <cell r="Q207">
            <v>80176</v>
          </cell>
          <cell r="W207">
            <v>-1315921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/>
          <cell r="Q208">
            <v>80176</v>
          </cell>
          <cell r="W208">
            <v>-1231917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/>
          <cell r="Q209">
            <v>80176</v>
          </cell>
          <cell r="W209">
            <v>-1147913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/>
          <cell r="Q210">
            <v>80176</v>
          </cell>
          <cell r="W210">
            <v>-1063909</v>
          </cell>
        </row>
      </sheetData>
      <sheetData sheetId="37">
        <row r="176">
          <cell r="E176">
            <v>382</v>
          </cell>
          <cell r="G176">
            <v>55772</v>
          </cell>
          <cell r="J176">
            <v>34</v>
          </cell>
          <cell r="L176">
            <v>19006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161919</v>
          </cell>
        </row>
        <row r="177">
          <cell r="E177">
            <v>458</v>
          </cell>
          <cell r="G177">
            <v>66868</v>
          </cell>
          <cell r="J177">
            <v>44</v>
          </cell>
          <cell r="L177">
            <v>24596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337</v>
          </cell>
          <cell r="G178">
            <v>49202</v>
          </cell>
          <cell r="J178">
            <v>32</v>
          </cell>
          <cell r="L178">
            <v>17888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154231</v>
          </cell>
        </row>
        <row r="179">
          <cell r="E179">
            <v>502</v>
          </cell>
          <cell r="G179">
            <v>73292</v>
          </cell>
          <cell r="J179">
            <v>12</v>
          </cell>
          <cell r="L179">
            <v>6708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354</v>
          </cell>
          <cell r="G180">
            <v>51684</v>
          </cell>
          <cell r="J180">
            <v>12</v>
          </cell>
          <cell r="L180">
            <v>6708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145533</v>
          </cell>
        </row>
        <row r="181">
          <cell r="E181">
            <v>201</v>
          </cell>
          <cell r="G181">
            <v>29346</v>
          </cell>
          <cell r="J181">
            <v>1</v>
          </cell>
          <cell r="L181">
            <v>559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247</v>
          </cell>
          <cell r="G182">
            <v>36062</v>
          </cell>
          <cell r="J182">
            <v>3</v>
          </cell>
          <cell r="L182">
            <v>1677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125861</v>
          </cell>
        </row>
        <row r="183">
          <cell r="E183">
            <v>368</v>
          </cell>
          <cell r="G183">
            <v>53728</v>
          </cell>
          <cell r="J183">
            <v>18</v>
          </cell>
          <cell r="L183">
            <v>10062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288</v>
          </cell>
          <cell r="G184">
            <v>42048</v>
          </cell>
          <cell r="J184">
            <v>20</v>
          </cell>
          <cell r="L184">
            <v>11180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141359</v>
          </cell>
        </row>
        <row r="185">
          <cell r="E185">
            <v>428</v>
          </cell>
          <cell r="G185">
            <v>62488</v>
          </cell>
          <cell r="J185">
            <v>61</v>
          </cell>
          <cell r="L185">
            <v>34099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384</v>
          </cell>
          <cell r="G186">
            <v>56064</v>
          </cell>
          <cell r="J186">
            <v>76</v>
          </cell>
          <cell r="L186">
            <v>42484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391</v>
          </cell>
          <cell r="G187">
            <v>57086</v>
          </cell>
          <cell r="J187">
            <v>53</v>
          </cell>
          <cell r="L187">
            <v>29627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339</v>
          </cell>
          <cell r="G188">
            <v>49494</v>
          </cell>
          <cell r="J188">
            <v>33</v>
          </cell>
          <cell r="L188">
            <v>18447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378</v>
          </cell>
          <cell r="G189">
            <v>55188</v>
          </cell>
          <cell r="J189">
            <v>39</v>
          </cell>
          <cell r="L189">
            <v>21801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340</v>
          </cell>
          <cell r="G190">
            <v>49640</v>
          </cell>
          <cell r="J190">
            <v>31</v>
          </cell>
          <cell r="L190">
            <v>17329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211102</v>
          </cell>
        </row>
        <row r="191">
          <cell r="E191">
            <v>249</v>
          </cell>
          <cell r="G191">
            <v>36354</v>
          </cell>
          <cell r="J191">
            <v>19</v>
          </cell>
          <cell r="L191">
            <v>10621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225</v>
          </cell>
          <cell r="G192">
            <v>32850</v>
          </cell>
          <cell r="J192">
            <v>10</v>
          </cell>
          <cell r="L192">
            <v>5590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225</v>
          </cell>
          <cell r="G193">
            <v>32850</v>
          </cell>
          <cell r="J193">
            <v>6</v>
          </cell>
          <cell r="L193">
            <v>3354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126240</v>
          </cell>
        </row>
        <row r="194">
          <cell r="E194">
            <v>281</v>
          </cell>
          <cell r="G194">
            <v>41026</v>
          </cell>
          <cell r="J194">
            <v>14</v>
          </cell>
          <cell r="L194">
            <v>7826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180</v>
          </cell>
          <cell r="G195">
            <v>26280</v>
          </cell>
          <cell r="J195">
            <v>8</v>
          </cell>
          <cell r="L195">
            <v>4472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261</v>
          </cell>
          <cell r="G196">
            <v>38106</v>
          </cell>
          <cell r="J196">
            <v>17</v>
          </cell>
          <cell r="L196">
            <v>9503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137714</v>
          </cell>
        </row>
        <row r="197">
          <cell r="E197">
            <v>321</v>
          </cell>
          <cell r="G197">
            <v>46866</v>
          </cell>
          <cell r="J197">
            <v>26</v>
          </cell>
          <cell r="L197">
            <v>14534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408</v>
          </cell>
          <cell r="G198">
            <v>59568</v>
          </cell>
          <cell r="J198">
            <v>67</v>
          </cell>
          <cell r="L198">
            <v>37453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187166</v>
          </cell>
        </row>
        <row r="199">
          <cell r="E199">
            <v>389</v>
          </cell>
          <cell r="G199">
            <v>56794</v>
          </cell>
          <cell r="J199">
            <v>50</v>
          </cell>
          <cell r="L199">
            <v>27950</v>
          </cell>
          <cell r="M199">
            <v>3828</v>
          </cell>
          <cell r="O199"/>
          <cell r="P199"/>
          <cell r="Q199">
            <v>80176</v>
          </cell>
          <cell r="W199">
            <v>364178</v>
          </cell>
        </row>
        <row r="200">
          <cell r="E200">
            <v>544</v>
          </cell>
          <cell r="G200">
            <v>79424</v>
          </cell>
          <cell r="J200">
            <v>58</v>
          </cell>
          <cell r="L200">
            <v>32422</v>
          </cell>
          <cell r="M200">
            <v>3828</v>
          </cell>
          <cell r="O200"/>
          <cell r="P200"/>
          <cell r="Q200">
            <v>80176</v>
          </cell>
          <cell r="W200">
            <v>259231</v>
          </cell>
        </row>
        <row r="201">
          <cell r="E201">
            <v>389</v>
          </cell>
          <cell r="G201">
            <v>56794</v>
          </cell>
          <cell r="J201">
            <v>42</v>
          </cell>
          <cell r="L201">
            <v>23478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306</v>
          </cell>
          <cell r="G202">
            <v>44676</v>
          </cell>
          <cell r="J202">
            <v>34</v>
          </cell>
          <cell r="L202">
            <v>19006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358</v>
          </cell>
          <cell r="G203">
            <v>52268</v>
          </cell>
          <cell r="J203">
            <v>39</v>
          </cell>
          <cell r="L203">
            <v>21801</v>
          </cell>
          <cell r="M203">
            <v>3828</v>
          </cell>
          <cell r="O203"/>
          <cell r="P203"/>
          <cell r="Q203">
            <v>80176</v>
          </cell>
          <cell r="W203">
            <v>166402</v>
          </cell>
        </row>
        <row r="204">
          <cell r="E204">
            <v>-27094</v>
          </cell>
          <cell r="G204">
            <v>-3955724</v>
          </cell>
          <cell r="J204">
            <v>-4235</v>
          </cell>
          <cell r="L204">
            <v>-2367365</v>
          </cell>
          <cell r="M204">
            <v>3828</v>
          </cell>
          <cell r="O204"/>
          <cell r="P204"/>
          <cell r="Q204">
            <v>80176</v>
          </cell>
          <cell r="W204">
            <v>-6072683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-5988679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-5904675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-5820671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-5736667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-5652663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-5568659</v>
          </cell>
        </row>
      </sheetData>
      <sheetData sheetId="38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>
            <v>10000</v>
          </cell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>
            <v>10000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>
            <v>10000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>
            <v>10000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>
            <v>10000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>
            <v>10000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>
            <v>10000</v>
          </cell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>
            <v>10000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>
            <v>10000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>
            <v>10000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>
            <v>10000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>
            <v>10000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>
            <v>10000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>
            <v>10000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>
            <v>10000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>
            <v>10000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680361</v>
          </cell>
        </row>
      </sheetData>
      <sheetData sheetId="39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981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27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680361</v>
          </cell>
        </row>
      </sheetData>
      <sheetData sheetId="40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99389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239474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379738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520141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660612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800948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942278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1083730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1225131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>
            <v>0</v>
          </cell>
          <cell r="Q188">
            <v>78144</v>
          </cell>
          <cell r="W188">
            <v>143886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>
            <v>0</v>
          </cell>
          <cell r="Q189">
            <v>78144</v>
          </cell>
          <cell r="W189">
            <v>287860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>
            <v>0</v>
          </cell>
          <cell r="Q190">
            <v>78144</v>
          </cell>
          <cell r="W190">
            <v>431993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>
            <v>0</v>
          </cell>
          <cell r="Q191">
            <v>78144</v>
          </cell>
          <cell r="W191">
            <v>576309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>
            <v>0</v>
          </cell>
          <cell r="Q192">
            <v>78144</v>
          </cell>
          <cell r="W192">
            <v>720737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>
            <v>0</v>
          </cell>
          <cell r="Q193">
            <v>78144</v>
          </cell>
          <cell r="W193">
            <v>865348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>
            <v>0</v>
          </cell>
          <cell r="Q194">
            <v>78144</v>
          </cell>
          <cell r="W194">
            <v>1010124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>
            <v>0</v>
          </cell>
          <cell r="Q195">
            <v>78144</v>
          </cell>
          <cell r="W195">
            <v>1155070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>
            <v>0</v>
          </cell>
          <cell r="Q196">
            <v>78144</v>
          </cell>
          <cell r="W196">
            <v>1300241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>
            <v>0</v>
          </cell>
          <cell r="Q197">
            <v>78144</v>
          </cell>
          <cell r="W197">
            <v>1445508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>
            <v>0</v>
          </cell>
          <cell r="Q198">
            <v>78144</v>
          </cell>
          <cell r="W198">
            <v>1590745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1683013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1885490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92303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184636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268640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352644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436648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520652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604656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688660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772664</v>
          </cell>
        </row>
      </sheetData>
      <sheetData sheetId="41">
        <row r="176">
          <cell r="E176">
            <v>47</v>
          </cell>
          <cell r="G176">
            <v>6862</v>
          </cell>
          <cell r="J176">
            <v>7</v>
          </cell>
          <cell r="L176">
            <v>3913</v>
          </cell>
          <cell r="M176">
            <v>3731</v>
          </cell>
          <cell r="O176"/>
          <cell r="P176"/>
          <cell r="Q176">
            <v>76410</v>
          </cell>
          <cell r="W176">
            <v>97916</v>
          </cell>
        </row>
        <row r="177">
          <cell r="E177">
            <v>55</v>
          </cell>
          <cell r="G177">
            <v>8030</v>
          </cell>
          <cell r="J177">
            <v>6</v>
          </cell>
          <cell r="L177">
            <v>3354</v>
          </cell>
          <cell r="M177">
            <v>3731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29</v>
          </cell>
          <cell r="G178">
            <v>4234</v>
          </cell>
          <cell r="J178">
            <v>0</v>
          </cell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91375</v>
          </cell>
        </row>
        <row r="179">
          <cell r="E179">
            <v>27</v>
          </cell>
          <cell r="G179">
            <v>3942</v>
          </cell>
          <cell r="J179">
            <v>1</v>
          </cell>
          <cell r="L179">
            <v>559</v>
          </cell>
          <cell r="M179">
            <v>3731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19</v>
          </cell>
          <cell r="G180">
            <v>2774</v>
          </cell>
          <cell r="J180">
            <v>0</v>
          </cell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89915</v>
          </cell>
        </row>
        <row r="181">
          <cell r="E181">
            <v>17</v>
          </cell>
          <cell r="G181">
            <v>2482</v>
          </cell>
          <cell r="J181">
            <v>0</v>
          </cell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21</v>
          </cell>
          <cell r="G182">
            <v>3066</v>
          </cell>
          <cell r="J182">
            <v>0</v>
          </cell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91188</v>
          </cell>
        </row>
        <row r="183">
          <cell r="E183">
            <v>20</v>
          </cell>
          <cell r="G183">
            <v>2920</v>
          </cell>
          <cell r="J183">
            <v>0</v>
          </cell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21</v>
          </cell>
          <cell r="G184">
            <v>3066</v>
          </cell>
          <cell r="J184">
            <v>0</v>
          </cell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91197</v>
          </cell>
        </row>
        <row r="185">
          <cell r="E185">
            <v>28</v>
          </cell>
          <cell r="G185">
            <v>4088</v>
          </cell>
          <cell r="J185">
            <v>0</v>
          </cell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29</v>
          </cell>
          <cell r="G186">
            <v>4234</v>
          </cell>
          <cell r="J186">
            <v>0</v>
          </cell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36</v>
          </cell>
          <cell r="G187">
            <v>5256</v>
          </cell>
          <cell r="J187">
            <v>0</v>
          </cell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29</v>
          </cell>
          <cell r="G188">
            <v>4234</v>
          </cell>
          <cell r="J188">
            <v>0</v>
          </cell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30</v>
          </cell>
          <cell r="G189">
            <v>4380</v>
          </cell>
          <cell r="J189">
            <v>0</v>
          </cell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23</v>
          </cell>
          <cell r="G190">
            <v>3358</v>
          </cell>
          <cell r="J190">
            <v>0</v>
          </cell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-2000</v>
          </cell>
        </row>
        <row r="191">
          <cell r="E191">
            <v>20</v>
          </cell>
          <cell r="G191">
            <v>2920</v>
          </cell>
          <cell r="J191">
            <v>0</v>
          </cell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20</v>
          </cell>
          <cell r="G192">
            <v>2920</v>
          </cell>
          <cell r="J192">
            <v>0</v>
          </cell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19</v>
          </cell>
          <cell r="G193">
            <v>2774</v>
          </cell>
          <cell r="J193">
            <v>0</v>
          </cell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21</v>
          </cell>
          <cell r="G194">
            <v>3066</v>
          </cell>
          <cell r="J194">
            <v>0</v>
          </cell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19</v>
          </cell>
          <cell r="G195">
            <v>2774</v>
          </cell>
          <cell r="J195">
            <v>0</v>
          </cell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92856</v>
          </cell>
        </row>
        <row r="196">
          <cell r="E196">
            <v>22</v>
          </cell>
          <cell r="G196">
            <v>3212</v>
          </cell>
          <cell r="J196">
            <v>1</v>
          </cell>
          <cell r="L196">
            <v>559</v>
          </cell>
          <cell r="M196">
            <v>3731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29</v>
          </cell>
          <cell r="G197">
            <v>4234</v>
          </cell>
          <cell r="J197">
            <v>0</v>
          </cell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30</v>
          </cell>
          <cell r="G198">
            <v>4380</v>
          </cell>
          <cell r="J198">
            <v>1</v>
          </cell>
          <cell r="L198">
            <v>559</v>
          </cell>
          <cell r="M198">
            <v>3731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33</v>
          </cell>
          <cell r="G199">
            <v>4818</v>
          </cell>
          <cell r="J199">
            <v>0</v>
          </cell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97086</v>
          </cell>
        </row>
        <row r="200">
          <cell r="E200">
            <v>36</v>
          </cell>
          <cell r="G200">
            <v>5256</v>
          </cell>
          <cell r="J200">
            <v>0</v>
          </cell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97527</v>
          </cell>
        </row>
        <row r="201">
          <cell r="E201">
            <v>27</v>
          </cell>
          <cell r="G201">
            <v>3942</v>
          </cell>
          <cell r="J201">
            <v>0</v>
          </cell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24</v>
          </cell>
          <cell r="G202">
            <v>3504</v>
          </cell>
          <cell r="J202">
            <v>0</v>
          </cell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20</v>
          </cell>
          <cell r="G203">
            <v>2920</v>
          </cell>
          <cell r="J203">
            <v>0</v>
          </cell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95253</v>
          </cell>
        </row>
        <row r="204">
          <cell r="E204">
            <v>-2908</v>
          </cell>
          <cell r="G204">
            <v>-424568</v>
          </cell>
          <cell r="J204">
            <v>-134</v>
          </cell>
          <cell r="L204">
            <v>-74906</v>
          </cell>
          <cell r="M204">
            <v>3828</v>
          </cell>
          <cell r="O204"/>
          <cell r="P204"/>
          <cell r="Q204">
            <v>80176</v>
          </cell>
          <cell r="W204">
            <v>-320217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-236213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-152209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-68205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15799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99803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183807</v>
          </cell>
        </row>
      </sheetData>
      <sheetData sheetId="42">
        <row r="176">
          <cell r="E176">
            <v>43</v>
          </cell>
          <cell r="G176">
            <v>6278</v>
          </cell>
          <cell r="J176">
            <v>7</v>
          </cell>
          <cell r="L176">
            <v>3913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79</v>
          </cell>
          <cell r="G177">
            <v>11534</v>
          </cell>
          <cell r="J177">
            <v>10</v>
          </cell>
          <cell r="L177">
            <v>5590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104265</v>
          </cell>
        </row>
        <row r="178">
          <cell r="E178">
            <v>63</v>
          </cell>
          <cell r="G178">
            <v>9198</v>
          </cell>
          <cell r="J178">
            <v>7</v>
          </cell>
          <cell r="L178">
            <v>3913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4517</v>
          </cell>
        </row>
        <row r="179">
          <cell r="E179">
            <v>64</v>
          </cell>
          <cell r="G179">
            <v>9344</v>
          </cell>
          <cell r="J179">
            <v>3</v>
          </cell>
          <cell r="L179">
            <v>1677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-47321</v>
          </cell>
        </row>
        <row r="180">
          <cell r="E180">
            <v>51</v>
          </cell>
          <cell r="G180">
            <v>7446</v>
          </cell>
          <cell r="J180">
            <v>5</v>
          </cell>
          <cell r="L180">
            <v>2795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50061</v>
          </cell>
        </row>
        <row r="181">
          <cell r="E181">
            <v>50</v>
          </cell>
          <cell r="G181">
            <v>7300</v>
          </cell>
          <cell r="J181">
            <v>2</v>
          </cell>
          <cell r="L181">
            <v>1118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32</v>
          </cell>
          <cell r="G182">
            <v>4672</v>
          </cell>
          <cell r="J182">
            <v>1</v>
          </cell>
          <cell r="L182">
            <v>559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-6647</v>
          </cell>
        </row>
        <row r="183">
          <cell r="E183">
            <v>95</v>
          </cell>
          <cell r="G183">
            <v>13870</v>
          </cell>
          <cell r="J183">
            <v>8</v>
          </cell>
          <cell r="L183">
            <v>4472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66</v>
          </cell>
          <cell r="G184">
            <v>9636</v>
          </cell>
          <cell r="J184">
            <v>1</v>
          </cell>
          <cell r="L184">
            <v>559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98326</v>
          </cell>
        </row>
        <row r="185">
          <cell r="E185">
            <v>122</v>
          </cell>
          <cell r="G185">
            <v>17812</v>
          </cell>
          <cell r="J185">
            <v>10</v>
          </cell>
          <cell r="L185">
            <v>5590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-112</v>
          </cell>
        </row>
        <row r="186">
          <cell r="E186">
            <v>71</v>
          </cell>
          <cell r="G186">
            <v>10366</v>
          </cell>
          <cell r="J186">
            <v>2</v>
          </cell>
          <cell r="L186">
            <v>1118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99552</v>
          </cell>
        </row>
        <row r="187">
          <cell r="E187">
            <v>135</v>
          </cell>
          <cell r="G187">
            <v>19710</v>
          </cell>
          <cell r="J187">
            <v>11</v>
          </cell>
          <cell r="L187">
            <v>6149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-667</v>
          </cell>
        </row>
        <row r="188">
          <cell r="E188">
            <v>72</v>
          </cell>
          <cell r="G188">
            <v>10512</v>
          </cell>
          <cell r="J188">
            <v>1</v>
          </cell>
          <cell r="L188">
            <v>559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100356</v>
          </cell>
        </row>
        <row r="189">
          <cell r="E189">
            <v>79</v>
          </cell>
          <cell r="G189">
            <v>11534</v>
          </cell>
          <cell r="J189">
            <v>3</v>
          </cell>
          <cell r="L189">
            <v>1677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46</v>
          </cell>
          <cell r="G190">
            <v>6716</v>
          </cell>
          <cell r="J190">
            <v>0</v>
          </cell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150849</v>
          </cell>
        </row>
        <row r="191">
          <cell r="E191">
            <v>97</v>
          </cell>
          <cell r="G191">
            <v>14162</v>
          </cell>
          <cell r="J191">
            <v>4</v>
          </cell>
          <cell r="L191">
            <v>2236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311563</v>
          </cell>
        </row>
        <row r="192">
          <cell r="E192">
            <v>28</v>
          </cell>
          <cell r="G192">
            <v>4088</v>
          </cell>
          <cell r="J192">
            <v>0</v>
          </cell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60079</v>
          </cell>
        </row>
        <row r="193">
          <cell r="E193">
            <v>7</v>
          </cell>
          <cell r="G193">
            <v>1022</v>
          </cell>
          <cell r="J193">
            <v>0</v>
          </cell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151137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11</v>
          </cell>
          <cell r="G195">
            <v>1606</v>
          </cell>
          <cell r="J195">
            <v>0</v>
          </cell>
          <cell r="L195">
            <v>0</v>
          </cell>
          <cell r="M195">
            <v>3731</v>
          </cell>
          <cell r="O195"/>
          <cell r="P195">
            <v>0</v>
          </cell>
          <cell r="Q195">
            <v>78144</v>
          </cell>
          <cell r="W195">
            <v>273392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273392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418659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563896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656164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858641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1006047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1153674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1246007</v>
          </cell>
        </row>
        <row r="204">
          <cell r="E204">
            <v>-14196</v>
          </cell>
          <cell r="G204">
            <v>-2072616</v>
          </cell>
          <cell r="J204">
            <v>-5119</v>
          </cell>
          <cell r="L204">
            <v>-2861521</v>
          </cell>
          <cell r="M204">
            <v>3828</v>
          </cell>
          <cell r="O204"/>
          <cell r="P204"/>
          <cell r="Q204">
            <v>80176</v>
          </cell>
          <cell r="W204">
            <v>-3604126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-3520122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-3436118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-3352114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-3268110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-3184106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-3100102</v>
          </cell>
        </row>
      </sheetData>
      <sheetData sheetId="43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87141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44">
        <row r="176">
          <cell r="E176">
            <v>200</v>
          </cell>
          <cell r="G176">
            <v>29200</v>
          </cell>
          <cell r="J176">
            <v>13</v>
          </cell>
          <cell r="L176">
            <v>7267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233</v>
          </cell>
          <cell r="G177">
            <v>34018</v>
          </cell>
          <cell r="J177">
            <v>21</v>
          </cell>
          <cell r="L177">
            <v>11739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176</v>
          </cell>
          <cell r="G178">
            <v>25696</v>
          </cell>
          <cell r="J178">
            <v>16</v>
          </cell>
          <cell r="L178">
            <v>8944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200</v>
          </cell>
          <cell r="G179">
            <v>29200</v>
          </cell>
          <cell r="J179">
            <v>14</v>
          </cell>
          <cell r="L179">
            <v>7826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170</v>
          </cell>
          <cell r="G180">
            <v>24820</v>
          </cell>
          <cell r="J180">
            <v>14</v>
          </cell>
          <cell r="L180">
            <v>7826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176</v>
          </cell>
          <cell r="G181">
            <v>25696</v>
          </cell>
          <cell r="J181">
            <v>13</v>
          </cell>
          <cell r="L181">
            <v>7267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209</v>
          </cell>
          <cell r="G182">
            <v>30514</v>
          </cell>
          <cell r="J182">
            <v>17</v>
          </cell>
          <cell r="L182">
            <v>9503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179</v>
          </cell>
          <cell r="G183">
            <v>26134</v>
          </cell>
          <cell r="J183">
            <v>14</v>
          </cell>
          <cell r="L183">
            <v>7826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163</v>
          </cell>
          <cell r="G184">
            <v>23798</v>
          </cell>
          <cell r="J184">
            <v>14</v>
          </cell>
          <cell r="L184">
            <v>7826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206</v>
          </cell>
          <cell r="G185">
            <v>30076</v>
          </cell>
          <cell r="J185">
            <v>16</v>
          </cell>
          <cell r="L185">
            <v>8944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207</v>
          </cell>
          <cell r="G186">
            <v>30222</v>
          </cell>
          <cell r="J186">
            <v>13</v>
          </cell>
          <cell r="L186">
            <v>7267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269</v>
          </cell>
          <cell r="G187">
            <v>39274</v>
          </cell>
          <cell r="J187">
            <v>18</v>
          </cell>
          <cell r="L187">
            <v>10062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195</v>
          </cell>
          <cell r="G188">
            <v>28470</v>
          </cell>
          <cell r="J188">
            <v>14</v>
          </cell>
          <cell r="L188">
            <v>7826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214</v>
          </cell>
          <cell r="G189">
            <v>31244</v>
          </cell>
          <cell r="J189">
            <v>17</v>
          </cell>
          <cell r="L189">
            <v>9503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175</v>
          </cell>
          <cell r="G190">
            <v>25550</v>
          </cell>
          <cell r="J190">
            <v>17</v>
          </cell>
          <cell r="L190">
            <v>9503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181</v>
          </cell>
          <cell r="G191">
            <v>26426</v>
          </cell>
          <cell r="J191">
            <v>16</v>
          </cell>
          <cell r="L191">
            <v>8944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183</v>
          </cell>
          <cell r="G192">
            <v>26718</v>
          </cell>
          <cell r="J192">
            <v>11</v>
          </cell>
          <cell r="L192">
            <v>6149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163</v>
          </cell>
          <cell r="G193">
            <v>23798</v>
          </cell>
          <cell r="J193">
            <v>10</v>
          </cell>
          <cell r="L193">
            <v>5590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187</v>
          </cell>
          <cell r="G194">
            <v>27302</v>
          </cell>
          <cell r="J194">
            <v>14</v>
          </cell>
          <cell r="L194">
            <v>7826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151</v>
          </cell>
          <cell r="G195">
            <v>22046</v>
          </cell>
          <cell r="J195">
            <v>13</v>
          </cell>
          <cell r="L195">
            <v>7267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175</v>
          </cell>
          <cell r="G196">
            <v>25550</v>
          </cell>
          <cell r="J196">
            <v>14</v>
          </cell>
          <cell r="L196">
            <v>7826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201</v>
          </cell>
          <cell r="G197">
            <v>29346</v>
          </cell>
          <cell r="J197">
            <v>16</v>
          </cell>
          <cell r="L197">
            <v>8944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196</v>
          </cell>
          <cell r="G198">
            <v>28616</v>
          </cell>
          <cell r="J198">
            <v>18</v>
          </cell>
          <cell r="L198">
            <v>10062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223</v>
          </cell>
          <cell r="G199">
            <v>32558</v>
          </cell>
          <cell r="J199">
            <v>12</v>
          </cell>
          <cell r="L199">
            <v>6708</v>
          </cell>
          <cell r="M199">
            <v>3828</v>
          </cell>
          <cell r="O199"/>
          <cell r="P199"/>
          <cell r="Q199">
            <v>80176</v>
          </cell>
          <cell r="W199">
            <v>0</v>
          </cell>
        </row>
        <row r="200">
          <cell r="E200">
            <v>222</v>
          </cell>
          <cell r="G200">
            <v>32412</v>
          </cell>
          <cell r="J200">
            <v>14</v>
          </cell>
          <cell r="L200">
            <v>7826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182</v>
          </cell>
          <cell r="G201">
            <v>26572</v>
          </cell>
          <cell r="J201">
            <v>12</v>
          </cell>
          <cell r="L201">
            <v>6708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170</v>
          </cell>
          <cell r="G202">
            <v>24820</v>
          </cell>
          <cell r="J202">
            <v>11</v>
          </cell>
          <cell r="L202">
            <v>6149</v>
          </cell>
          <cell r="M202">
            <v>3828</v>
          </cell>
          <cell r="O202"/>
          <cell r="P202"/>
          <cell r="Q202">
            <v>80176</v>
          </cell>
          <cell r="W202">
            <v>123272</v>
          </cell>
        </row>
        <row r="203">
          <cell r="E203">
            <v>177</v>
          </cell>
          <cell r="G203">
            <v>25842</v>
          </cell>
          <cell r="J203">
            <v>13</v>
          </cell>
          <cell r="L203">
            <v>7267</v>
          </cell>
          <cell r="M203">
            <v>3828</v>
          </cell>
          <cell r="O203"/>
          <cell r="P203"/>
          <cell r="Q203">
            <v>80176</v>
          </cell>
          <cell r="W203">
            <v>248714</v>
          </cell>
        </row>
        <row r="204">
          <cell r="E204">
            <v>-26931</v>
          </cell>
          <cell r="G204">
            <v>-3931926</v>
          </cell>
          <cell r="J204">
            <v>-2724</v>
          </cell>
          <cell r="L204">
            <v>-1522716</v>
          </cell>
          <cell r="M204">
            <v>3828</v>
          </cell>
          <cell r="O204"/>
          <cell r="P204"/>
          <cell r="Q204">
            <v>80176</v>
          </cell>
          <cell r="W204">
            <v>-5121924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-5037920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-4953916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-4869912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-4785908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-4701904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-4617900</v>
          </cell>
        </row>
      </sheetData>
      <sheetData sheetId="45">
        <row r="176">
          <cell r="E176">
            <v>89</v>
          </cell>
          <cell r="G176">
            <v>12994</v>
          </cell>
          <cell r="J176">
            <v>14</v>
          </cell>
          <cell r="L176">
            <v>7826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36</v>
          </cell>
          <cell r="G177">
            <v>5256</v>
          </cell>
          <cell r="J177">
            <v>2</v>
          </cell>
          <cell r="L177">
            <v>1118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28</v>
          </cell>
          <cell r="G178">
            <v>4088</v>
          </cell>
          <cell r="J178">
            <v>3</v>
          </cell>
          <cell r="L178">
            <v>1677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18</v>
          </cell>
          <cell r="G179">
            <v>2628</v>
          </cell>
          <cell r="J179">
            <v>1</v>
          </cell>
          <cell r="L179">
            <v>559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30</v>
          </cell>
          <cell r="G180">
            <v>4380</v>
          </cell>
          <cell r="J180">
            <v>4</v>
          </cell>
          <cell r="L180">
            <v>2236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26</v>
          </cell>
          <cell r="G181">
            <v>3796</v>
          </cell>
          <cell r="J181">
            <v>3</v>
          </cell>
          <cell r="L181">
            <v>1677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12</v>
          </cell>
          <cell r="G182">
            <v>1752</v>
          </cell>
          <cell r="J182">
            <v>1</v>
          </cell>
          <cell r="L182">
            <v>559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47</v>
          </cell>
          <cell r="G183">
            <v>6862</v>
          </cell>
          <cell r="J183">
            <v>5</v>
          </cell>
          <cell r="L183">
            <v>2795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12</v>
          </cell>
          <cell r="G184">
            <v>1752</v>
          </cell>
          <cell r="J184">
            <v>0</v>
          </cell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50</v>
          </cell>
          <cell r="G185">
            <v>7300</v>
          </cell>
          <cell r="J185">
            <v>3</v>
          </cell>
          <cell r="L185">
            <v>1677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20</v>
          </cell>
          <cell r="G186">
            <v>2920</v>
          </cell>
          <cell r="J186">
            <v>0</v>
          </cell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50</v>
          </cell>
          <cell r="G187">
            <v>7300</v>
          </cell>
          <cell r="J187">
            <v>5</v>
          </cell>
          <cell r="L187">
            <v>2795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61</v>
          </cell>
          <cell r="G188">
            <v>8906</v>
          </cell>
          <cell r="J188">
            <v>5</v>
          </cell>
          <cell r="L188">
            <v>2795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31</v>
          </cell>
          <cell r="G189">
            <v>4526</v>
          </cell>
          <cell r="J189">
            <v>0</v>
          </cell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46</v>
          </cell>
          <cell r="G190">
            <v>6716</v>
          </cell>
          <cell r="J190">
            <v>5</v>
          </cell>
          <cell r="L190">
            <v>2795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35</v>
          </cell>
          <cell r="G191">
            <v>5110</v>
          </cell>
          <cell r="J191">
            <v>2</v>
          </cell>
          <cell r="L191">
            <v>1118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9</v>
          </cell>
          <cell r="G192">
            <v>1314</v>
          </cell>
          <cell r="J192">
            <v>0</v>
          </cell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23</v>
          </cell>
          <cell r="G193">
            <v>3358</v>
          </cell>
          <cell r="J193">
            <v>2</v>
          </cell>
          <cell r="L193">
            <v>1118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36</v>
          </cell>
          <cell r="G194">
            <v>5256</v>
          </cell>
          <cell r="J194">
            <v>4</v>
          </cell>
          <cell r="L194">
            <v>2236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52</v>
          </cell>
          <cell r="G195">
            <v>7592</v>
          </cell>
          <cell r="J195">
            <v>12</v>
          </cell>
          <cell r="L195">
            <v>6708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25</v>
          </cell>
          <cell r="G196">
            <v>3650</v>
          </cell>
          <cell r="J196">
            <v>7</v>
          </cell>
          <cell r="L196">
            <v>3913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30</v>
          </cell>
          <cell r="G197">
            <v>4380</v>
          </cell>
          <cell r="J197">
            <v>11</v>
          </cell>
          <cell r="L197">
            <v>6149</v>
          </cell>
          <cell r="M197">
            <v>3731</v>
          </cell>
          <cell r="O197">
            <v>38080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102</v>
          </cell>
          <cell r="G198">
            <v>14892</v>
          </cell>
          <cell r="J198">
            <v>59</v>
          </cell>
          <cell r="L198">
            <v>32981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159</v>
          </cell>
          <cell r="G199">
            <v>23214</v>
          </cell>
          <cell r="J199">
            <v>15</v>
          </cell>
          <cell r="L199">
            <v>8385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123867</v>
          </cell>
        </row>
        <row r="200">
          <cell r="E200">
            <v>194</v>
          </cell>
          <cell r="G200">
            <v>28324</v>
          </cell>
          <cell r="J200">
            <v>19</v>
          </cell>
          <cell r="L200">
            <v>10621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116</v>
          </cell>
          <cell r="G201">
            <v>16936</v>
          </cell>
          <cell r="J201">
            <v>6</v>
          </cell>
          <cell r="L201">
            <v>3354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129</v>
          </cell>
          <cell r="G202">
            <v>18834</v>
          </cell>
          <cell r="J202">
            <v>8</v>
          </cell>
          <cell r="L202">
            <v>4472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131</v>
          </cell>
          <cell r="G203">
            <v>19126</v>
          </cell>
          <cell r="J203">
            <v>4</v>
          </cell>
          <cell r="L203">
            <v>2236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113695</v>
          </cell>
        </row>
        <row r="204">
          <cell r="E204">
            <v>-4515</v>
          </cell>
          <cell r="G204">
            <v>-659190</v>
          </cell>
          <cell r="J204">
            <v>-607</v>
          </cell>
          <cell r="L204">
            <v>-339313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-800804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-716800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-632796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-548792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-464788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-380784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-296780</v>
          </cell>
        </row>
      </sheetData>
      <sheetData sheetId="46">
        <row r="176">
          <cell r="E176">
            <v>16</v>
          </cell>
          <cell r="G176">
            <v>2336</v>
          </cell>
          <cell r="J176">
            <v>198</v>
          </cell>
          <cell r="L176">
            <v>124770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64247</v>
          </cell>
        </row>
        <row r="177">
          <cell r="E177">
            <v>4</v>
          </cell>
          <cell r="G177">
            <v>584</v>
          </cell>
          <cell r="J177">
            <v>25</v>
          </cell>
          <cell r="L177">
            <v>13975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3</v>
          </cell>
          <cell r="G178">
            <v>438</v>
          </cell>
          <cell r="J178">
            <v>38</v>
          </cell>
          <cell r="L178">
            <v>21242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</v>
          </cell>
          <cell r="G179">
            <v>146</v>
          </cell>
          <cell r="J179">
            <v>29</v>
          </cell>
          <cell r="L179">
            <v>16211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14</v>
          </cell>
          <cell r="L180">
            <v>7826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1</v>
          </cell>
          <cell r="G181">
            <v>146</v>
          </cell>
          <cell r="J181">
            <v>7</v>
          </cell>
          <cell r="L181">
            <v>3913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6</v>
          </cell>
          <cell r="G182">
            <v>876</v>
          </cell>
          <cell r="J182">
            <v>12</v>
          </cell>
          <cell r="L182">
            <v>6708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19</v>
          </cell>
          <cell r="G183">
            <v>2774</v>
          </cell>
          <cell r="J183">
            <v>12</v>
          </cell>
          <cell r="L183">
            <v>6708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8</v>
          </cell>
          <cell r="G184">
            <v>1168</v>
          </cell>
          <cell r="J184">
            <v>11</v>
          </cell>
          <cell r="L184">
            <v>6149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10</v>
          </cell>
          <cell r="G185">
            <v>1460</v>
          </cell>
          <cell r="J185">
            <v>25</v>
          </cell>
          <cell r="L185">
            <v>13975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34</v>
          </cell>
          <cell r="L186">
            <v>19006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5</v>
          </cell>
          <cell r="G187">
            <v>730</v>
          </cell>
          <cell r="J187">
            <v>38</v>
          </cell>
          <cell r="L187">
            <v>21242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9</v>
          </cell>
          <cell r="G188">
            <v>1314</v>
          </cell>
          <cell r="J188">
            <v>49</v>
          </cell>
          <cell r="L188">
            <v>27391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-10</v>
          </cell>
          <cell r="L189">
            <v>-5590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5</v>
          </cell>
          <cell r="G190">
            <v>730</v>
          </cell>
          <cell r="J190">
            <v>100</v>
          </cell>
          <cell r="L190">
            <v>55900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2</v>
          </cell>
          <cell r="G191">
            <v>292</v>
          </cell>
          <cell r="J191">
            <v>25</v>
          </cell>
          <cell r="L191">
            <v>13975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1</v>
          </cell>
          <cell r="G192">
            <v>146</v>
          </cell>
          <cell r="J192">
            <v>20</v>
          </cell>
          <cell r="L192">
            <v>11180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2</v>
          </cell>
          <cell r="G193">
            <v>292</v>
          </cell>
          <cell r="J193">
            <v>42</v>
          </cell>
          <cell r="L193">
            <v>23478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1</v>
          </cell>
          <cell r="G194">
            <v>146</v>
          </cell>
          <cell r="J194">
            <v>21</v>
          </cell>
          <cell r="L194">
            <v>11739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</v>
          </cell>
          <cell r="G195">
            <v>146</v>
          </cell>
          <cell r="J195">
            <v>17</v>
          </cell>
          <cell r="L195">
            <v>9503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</v>
          </cell>
          <cell r="G196">
            <v>292</v>
          </cell>
          <cell r="J196">
            <v>59</v>
          </cell>
          <cell r="L196">
            <v>32981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4</v>
          </cell>
          <cell r="G197">
            <v>584</v>
          </cell>
          <cell r="J197">
            <v>58</v>
          </cell>
          <cell r="L197">
            <v>32422</v>
          </cell>
          <cell r="M197">
            <v>3731</v>
          </cell>
          <cell r="O197">
            <v>38080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6</v>
          </cell>
          <cell r="G198">
            <v>876</v>
          </cell>
          <cell r="J198">
            <v>42</v>
          </cell>
          <cell r="L198">
            <v>23478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3</v>
          </cell>
          <cell r="G199">
            <v>438</v>
          </cell>
          <cell r="J199">
            <v>66</v>
          </cell>
          <cell r="L199">
            <v>36894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129600</v>
          </cell>
        </row>
        <row r="200">
          <cell r="E200">
            <v>0</v>
          </cell>
          <cell r="G200">
            <v>0</v>
          </cell>
          <cell r="J200">
            <v>61</v>
          </cell>
          <cell r="L200">
            <v>34099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56</v>
          </cell>
          <cell r="L201">
            <v>31304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9</v>
          </cell>
          <cell r="G202">
            <v>1314</v>
          </cell>
          <cell r="J202">
            <v>67</v>
          </cell>
          <cell r="L202">
            <v>37453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7</v>
          </cell>
          <cell r="G203">
            <v>1022</v>
          </cell>
          <cell r="J203">
            <v>63</v>
          </cell>
          <cell r="L203">
            <v>35217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128572</v>
          </cell>
        </row>
        <row r="204">
          <cell r="E204">
            <v>-2133</v>
          </cell>
          <cell r="G204">
            <v>-311418</v>
          </cell>
          <cell r="J204">
            <v>-5967</v>
          </cell>
          <cell r="L204">
            <v>-3335553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-3434395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-3350391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-3266387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-3182383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-3098379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-3014375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-2930371</v>
          </cell>
        </row>
      </sheetData>
      <sheetData sheetId="47">
        <row r="176">
          <cell r="E176"/>
          <cell r="G176"/>
          <cell r="J176"/>
          <cell r="L176">
            <v>0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193398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215539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22141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19282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16423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14545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12683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10814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8974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7154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7076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7028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6993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6969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6967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6990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7026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7087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7169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7274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7409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7554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>
            <v>0</v>
          </cell>
          <cell r="P199">
            <v>0</v>
          </cell>
          <cell r="Q199">
            <v>80176</v>
          </cell>
          <cell r="W199">
            <v>99822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>
            <v>0</v>
          </cell>
          <cell r="P200">
            <v>0</v>
          </cell>
          <cell r="Q200">
            <v>80176</v>
          </cell>
          <cell r="W200">
            <v>12093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>
            <v>0</v>
          </cell>
          <cell r="P201">
            <v>0</v>
          </cell>
          <cell r="Q201">
            <v>80176</v>
          </cell>
          <cell r="W201">
            <v>159499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>
            <v>0</v>
          </cell>
          <cell r="P202">
            <v>0</v>
          </cell>
          <cell r="Q202">
            <v>80176</v>
          </cell>
          <cell r="W202">
            <v>307126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>
            <v>0</v>
          </cell>
          <cell r="P203">
            <v>0</v>
          </cell>
          <cell r="Q203">
            <v>80176</v>
          </cell>
          <cell r="W203">
            <v>399459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>
            <v>0</v>
          </cell>
          <cell r="P204">
            <v>0</v>
          </cell>
          <cell r="Q204">
            <v>80176</v>
          </cell>
          <cell r="W204">
            <v>483463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>
            <v>0</v>
          </cell>
          <cell r="P205">
            <v>0</v>
          </cell>
          <cell r="Q205">
            <v>80176</v>
          </cell>
          <cell r="W205">
            <v>567467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>
            <v>0</v>
          </cell>
          <cell r="P206">
            <v>0</v>
          </cell>
          <cell r="Q206">
            <v>80176</v>
          </cell>
          <cell r="W206">
            <v>651471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>
            <v>0</v>
          </cell>
          <cell r="P207">
            <v>0</v>
          </cell>
          <cell r="Q207">
            <v>80176</v>
          </cell>
          <cell r="W207">
            <v>735475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>
            <v>0</v>
          </cell>
          <cell r="P208">
            <v>0</v>
          </cell>
          <cell r="Q208">
            <v>80176</v>
          </cell>
          <cell r="W208">
            <v>819479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>
            <v>0</v>
          </cell>
          <cell r="P209">
            <v>0</v>
          </cell>
          <cell r="Q209">
            <v>80176</v>
          </cell>
          <cell r="W209">
            <v>903483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>
            <v>0</v>
          </cell>
          <cell r="P210">
            <v>0</v>
          </cell>
          <cell r="Q210">
            <v>80176</v>
          </cell>
          <cell r="W210">
            <v>987487</v>
          </cell>
        </row>
      </sheetData>
      <sheetData sheetId="48">
        <row r="176">
          <cell r="E176">
            <v>193</v>
          </cell>
          <cell r="G176">
            <v>28178</v>
          </cell>
          <cell r="J176">
            <v>84</v>
          </cell>
          <cell r="L176">
            <v>46956</v>
          </cell>
          <cell r="M176">
            <v>3731</v>
          </cell>
          <cell r="O176">
            <v>0</v>
          </cell>
          <cell r="P176">
            <v>0</v>
          </cell>
          <cell r="Q176">
            <v>76410</v>
          </cell>
          <cell r="W176">
            <v>444383</v>
          </cell>
        </row>
        <row r="177">
          <cell r="E177">
            <v>225</v>
          </cell>
          <cell r="G177">
            <v>32850</v>
          </cell>
          <cell r="J177">
            <v>100</v>
          </cell>
          <cell r="L177">
            <v>55900</v>
          </cell>
          <cell r="M177">
            <v>3731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170</v>
          </cell>
          <cell r="G178">
            <v>24820</v>
          </cell>
          <cell r="J178">
            <v>34</v>
          </cell>
          <cell r="L178">
            <v>19006</v>
          </cell>
          <cell r="M178">
            <v>3731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175</v>
          </cell>
          <cell r="G179">
            <v>25550</v>
          </cell>
          <cell r="J179">
            <v>6</v>
          </cell>
          <cell r="L179">
            <v>3354</v>
          </cell>
          <cell r="M179">
            <v>3731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160</v>
          </cell>
          <cell r="G180">
            <v>23360</v>
          </cell>
          <cell r="J180">
            <v>1</v>
          </cell>
          <cell r="L180">
            <v>559</v>
          </cell>
          <cell r="M180">
            <v>3731</v>
          </cell>
          <cell r="O180">
            <v>0</v>
          </cell>
          <cell r="P180">
            <v>0</v>
          </cell>
          <cell r="Q180">
            <v>76410</v>
          </cell>
          <cell r="W180">
            <v>164390</v>
          </cell>
        </row>
        <row r="181">
          <cell r="E181">
            <v>147</v>
          </cell>
          <cell r="G181">
            <v>21462</v>
          </cell>
          <cell r="J181">
            <v>0</v>
          </cell>
          <cell r="L181">
            <v>0</v>
          </cell>
          <cell r="M181">
            <v>3731</v>
          </cell>
          <cell r="O181">
            <v>0</v>
          </cell>
          <cell r="P181">
            <v>0</v>
          </cell>
          <cell r="Q181">
            <v>76410</v>
          </cell>
          <cell r="W181">
            <v>326188</v>
          </cell>
        </row>
        <row r="182">
          <cell r="E182">
            <v>166</v>
          </cell>
          <cell r="G182">
            <v>24236</v>
          </cell>
          <cell r="J182">
            <v>1</v>
          </cell>
          <cell r="L182">
            <v>559</v>
          </cell>
          <cell r="M182">
            <v>3731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151</v>
          </cell>
          <cell r="G183">
            <v>22046</v>
          </cell>
          <cell r="J183">
            <v>5</v>
          </cell>
          <cell r="L183">
            <v>2795</v>
          </cell>
          <cell r="M183">
            <v>3731</v>
          </cell>
          <cell r="O183">
            <v>0</v>
          </cell>
          <cell r="P183">
            <v>0</v>
          </cell>
          <cell r="Q183">
            <v>76410</v>
          </cell>
          <cell r="W183">
            <v>112979</v>
          </cell>
        </row>
        <row r="184">
          <cell r="E184">
            <v>146</v>
          </cell>
          <cell r="G184">
            <v>21316</v>
          </cell>
          <cell r="J184">
            <v>8</v>
          </cell>
          <cell r="L184">
            <v>4472</v>
          </cell>
          <cell r="M184">
            <v>3731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169</v>
          </cell>
          <cell r="G185">
            <v>24674</v>
          </cell>
          <cell r="J185">
            <v>15</v>
          </cell>
          <cell r="L185">
            <v>8385</v>
          </cell>
          <cell r="M185">
            <v>3731</v>
          </cell>
          <cell r="O185">
            <v>0</v>
          </cell>
          <cell r="P185">
            <v>0</v>
          </cell>
          <cell r="Q185">
            <v>76410</v>
          </cell>
          <cell r="W185">
            <v>121219</v>
          </cell>
        </row>
        <row r="186">
          <cell r="E186">
            <v>173</v>
          </cell>
          <cell r="G186">
            <v>25258</v>
          </cell>
          <cell r="J186">
            <v>106</v>
          </cell>
          <cell r="L186">
            <v>59254</v>
          </cell>
          <cell r="M186">
            <v>3731</v>
          </cell>
          <cell r="O186">
            <v>0</v>
          </cell>
          <cell r="P186">
            <v>0</v>
          </cell>
          <cell r="Q186">
            <v>76410</v>
          </cell>
          <cell r="W186">
            <v>293911</v>
          </cell>
        </row>
        <row r="187">
          <cell r="E187">
            <v>209</v>
          </cell>
          <cell r="G187">
            <v>30514</v>
          </cell>
          <cell r="J187">
            <v>34</v>
          </cell>
          <cell r="L187">
            <v>19006</v>
          </cell>
          <cell r="M187">
            <v>3731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163</v>
          </cell>
          <cell r="G188">
            <v>23798</v>
          </cell>
          <cell r="J188">
            <v>11</v>
          </cell>
          <cell r="L188">
            <v>6149</v>
          </cell>
          <cell r="M188">
            <v>3731</v>
          </cell>
          <cell r="O188">
            <v>0</v>
          </cell>
          <cell r="P188">
            <v>0</v>
          </cell>
          <cell r="Q188">
            <v>78144</v>
          </cell>
          <cell r="W188">
            <v>119899</v>
          </cell>
        </row>
        <row r="189">
          <cell r="E189">
            <v>189</v>
          </cell>
          <cell r="G189">
            <v>27594</v>
          </cell>
          <cell r="J189">
            <v>17</v>
          </cell>
          <cell r="L189">
            <v>9503</v>
          </cell>
          <cell r="M189">
            <v>3731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173</v>
          </cell>
          <cell r="G190">
            <v>25258</v>
          </cell>
          <cell r="J190">
            <v>23</v>
          </cell>
          <cell r="L190">
            <v>12857</v>
          </cell>
          <cell r="M190">
            <v>3731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180</v>
          </cell>
          <cell r="G191">
            <v>26280</v>
          </cell>
          <cell r="J191">
            <v>24</v>
          </cell>
          <cell r="L191">
            <v>13416</v>
          </cell>
          <cell r="M191">
            <v>3731</v>
          </cell>
          <cell r="O191">
            <v>0</v>
          </cell>
          <cell r="P191">
            <v>0</v>
          </cell>
          <cell r="Q191">
            <v>78144</v>
          </cell>
          <cell r="W191">
            <v>129694</v>
          </cell>
        </row>
        <row r="192">
          <cell r="E192">
            <v>149</v>
          </cell>
          <cell r="G192">
            <v>21754</v>
          </cell>
          <cell r="J192">
            <v>6</v>
          </cell>
          <cell r="L192">
            <v>3354</v>
          </cell>
          <cell r="M192">
            <v>3731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150</v>
          </cell>
          <cell r="G193">
            <v>21900</v>
          </cell>
          <cell r="J193">
            <v>0</v>
          </cell>
          <cell r="L193">
            <v>0</v>
          </cell>
          <cell r="M193">
            <v>3731</v>
          </cell>
          <cell r="O193">
            <v>0</v>
          </cell>
          <cell r="P193">
            <v>0</v>
          </cell>
          <cell r="Q193">
            <v>78144</v>
          </cell>
          <cell r="W193">
            <v>111936</v>
          </cell>
        </row>
        <row r="194">
          <cell r="E194">
            <v>181</v>
          </cell>
          <cell r="G194">
            <v>26426</v>
          </cell>
          <cell r="J194">
            <v>0</v>
          </cell>
          <cell r="L194">
            <v>0</v>
          </cell>
          <cell r="M194">
            <v>3731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145</v>
          </cell>
          <cell r="G195">
            <v>21170</v>
          </cell>
          <cell r="J195">
            <v>5</v>
          </cell>
          <cell r="L195">
            <v>2795</v>
          </cell>
          <cell r="M195">
            <v>3731</v>
          </cell>
          <cell r="O195">
            <v>0</v>
          </cell>
          <cell r="P195">
            <v>0</v>
          </cell>
          <cell r="Q195">
            <v>78144</v>
          </cell>
          <cell r="W195">
            <v>168911</v>
          </cell>
        </row>
        <row r="196">
          <cell r="E196">
            <v>164</v>
          </cell>
          <cell r="G196">
            <v>23944</v>
          </cell>
          <cell r="J196">
            <v>8</v>
          </cell>
          <cell r="L196">
            <v>4472</v>
          </cell>
          <cell r="M196">
            <v>3731</v>
          </cell>
          <cell r="O196">
            <v>0</v>
          </cell>
          <cell r="P196">
            <v>0</v>
          </cell>
          <cell r="Q196">
            <v>78144</v>
          </cell>
          <cell r="W196">
            <v>342498</v>
          </cell>
        </row>
        <row r="197">
          <cell r="E197">
            <v>165</v>
          </cell>
          <cell r="G197">
            <v>24090</v>
          </cell>
          <cell r="J197">
            <v>14</v>
          </cell>
          <cell r="L197">
            <v>7826</v>
          </cell>
          <cell r="M197">
            <v>3731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160</v>
          </cell>
          <cell r="G198">
            <v>23360</v>
          </cell>
          <cell r="J198">
            <v>26</v>
          </cell>
          <cell r="L198">
            <v>14534</v>
          </cell>
          <cell r="M198">
            <v>3731</v>
          </cell>
          <cell r="O198">
            <v>0</v>
          </cell>
          <cell r="P198">
            <v>0</v>
          </cell>
          <cell r="Q198">
            <v>78144</v>
          </cell>
          <cell r="W198">
            <v>128039</v>
          </cell>
        </row>
        <row r="199">
          <cell r="E199">
            <v>183</v>
          </cell>
          <cell r="G199">
            <v>26718</v>
          </cell>
          <cell r="J199">
            <v>29</v>
          </cell>
          <cell r="L199">
            <v>16211</v>
          </cell>
          <cell r="M199">
            <v>3828</v>
          </cell>
          <cell r="O199"/>
          <cell r="P199"/>
          <cell r="Q199">
            <v>80176</v>
          </cell>
          <cell r="W199">
            <v>263236</v>
          </cell>
        </row>
        <row r="200">
          <cell r="E200">
            <v>192</v>
          </cell>
          <cell r="G200">
            <v>28032</v>
          </cell>
          <cell r="J200">
            <v>43</v>
          </cell>
          <cell r="L200">
            <v>24037</v>
          </cell>
          <cell r="M200">
            <v>3828</v>
          </cell>
          <cell r="O200"/>
          <cell r="P200"/>
          <cell r="Q200">
            <v>80176</v>
          </cell>
          <cell r="W200">
            <v>199454</v>
          </cell>
        </row>
        <row r="201">
          <cell r="E201">
            <v>175</v>
          </cell>
          <cell r="G201">
            <v>25550</v>
          </cell>
          <cell r="J201">
            <v>49</v>
          </cell>
          <cell r="L201">
            <v>27391</v>
          </cell>
          <cell r="M201">
            <v>3828</v>
          </cell>
          <cell r="O201"/>
          <cell r="P201"/>
          <cell r="Q201">
            <v>80176</v>
          </cell>
          <cell r="W201">
            <v>399801</v>
          </cell>
        </row>
        <row r="202">
          <cell r="E202">
            <v>188</v>
          </cell>
          <cell r="G202">
            <v>27448</v>
          </cell>
          <cell r="J202">
            <v>103</v>
          </cell>
          <cell r="L202">
            <v>57577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177</v>
          </cell>
          <cell r="G203">
            <v>25842</v>
          </cell>
          <cell r="J203">
            <v>20</v>
          </cell>
          <cell r="L203">
            <v>11180</v>
          </cell>
          <cell r="M203">
            <v>3828</v>
          </cell>
          <cell r="O203"/>
          <cell r="P203"/>
          <cell r="Q203">
            <v>80176</v>
          </cell>
          <cell r="W203">
            <v>129355</v>
          </cell>
        </row>
        <row r="204">
          <cell r="E204">
            <v>-25477</v>
          </cell>
          <cell r="G204">
            <v>-3719642</v>
          </cell>
          <cell r="J204">
            <v>-9366</v>
          </cell>
          <cell r="L204">
            <v>-5235594</v>
          </cell>
          <cell r="M204">
            <v>3828</v>
          </cell>
          <cell r="O204"/>
          <cell r="P204"/>
          <cell r="Q204">
            <v>80176</v>
          </cell>
          <cell r="W204">
            <v>-8741877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-8657873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-8573869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-8489865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-8405861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-8321857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-8237853</v>
          </cell>
        </row>
      </sheetData>
      <sheetData sheetId="49">
        <row r="176">
          <cell r="E176">
            <v>104</v>
          </cell>
          <cell r="G176">
            <v>15184</v>
          </cell>
          <cell r="J176">
            <v>71</v>
          </cell>
          <cell r="L176">
            <v>39689</v>
          </cell>
          <cell r="M176">
            <v>3731</v>
          </cell>
          <cell r="O176">
            <v>0</v>
          </cell>
          <cell r="P176"/>
          <cell r="Q176">
            <v>76410</v>
          </cell>
          <cell r="W176">
            <v>0</v>
          </cell>
        </row>
        <row r="177">
          <cell r="E177">
            <v>108</v>
          </cell>
          <cell r="G177">
            <v>15768</v>
          </cell>
          <cell r="J177">
            <v>84</v>
          </cell>
          <cell r="L177">
            <v>46956</v>
          </cell>
          <cell r="M177">
            <v>3731</v>
          </cell>
          <cell r="O177">
            <v>0</v>
          </cell>
          <cell r="P177"/>
          <cell r="Q177">
            <v>76410</v>
          </cell>
          <cell r="W177">
            <v>0</v>
          </cell>
        </row>
        <row r="178">
          <cell r="E178">
            <v>100</v>
          </cell>
          <cell r="G178">
            <v>14600</v>
          </cell>
          <cell r="J178">
            <v>80</v>
          </cell>
          <cell r="L178">
            <v>44720</v>
          </cell>
          <cell r="M178">
            <v>3731</v>
          </cell>
          <cell r="O178">
            <v>0</v>
          </cell>
          <cell r="P178"/>
          <cell r="Q178">
            <v>76410</v>
          </cell>
          <cell r="W178">
            <v>0</v>
          </cell>
        </row>
        <row r="179">
          <cell r="E179">
            <v>48</v>
          </cell>
          <cell r="G179">
            <v>7008</v>
          </cell>
          <cell r="J179">
            <v>42</v>
          </cell>
          <cell r="L179">
            <v>23478</v>
          </cell>
          <cell r="M179">
            <v>3731</v>
          </cell>
          <cell r="O179">
            <v>0</v>
          </cell>
          <cell r="P179"/>
          <cell r="Q179">
            <v>76410</v>
          </cell>
          <cell r="W179">
            <v>0</v>
          </cell>
        </row>
        <row r="180">
          <cell r="E180">
            <v>15</v>
          </cell>
          <cell r="G180">
            <v>2190</v>
          </cell>
          <cell r="J180">
            <v>24</v>
          </cell>
          <cell r="L180">
            <v>13416</v>
          </cell>
          <cell r="M180">
            <v>3731</v>
          </cell>
          <cell r="O180">
            <v>0</v>
          </cell>
          <cell r="P180"/>
          <cell r="Q180">
            <v>76410</v>
          </cell>
          <cell r="W180">
            <v>0</v>
          </cell>
        </row>
        <row r="181">
          <cell r="E181">
            <v>3</v>
          </cell>
          <cell r="G181">
            <v>438</v>
          </cell>
          <cell r="J181">
            <v>22</v>
          </cell>
          <cell r="L181">
            <v>12298</v>
          </cell>
          <cell r="M181">
            <v>3731</v>
          </cell>
          <cell r="O181">
            <v>0</v>
          </cell>
          <cell r="P181"/>
          <cell r="Q181">
            <v>76410</v>
          </cell>
          <cell r="W181">
            <v>0</v>
          </cell>
        </row>
        <row r="182">
          <cell r="E182">
            <v>239</v>
          </cell>
          <cell r="G182">
            <v>34894</v>
          </cell>
          <cell r="J182">
            <v>28</v>
          </cell>
          <cell r="L182">
            <v>15652</v>
          </cell>
          <cell r="M182">
            <v>3731</v>
          </cell>
          <cell r="O182">
            <v>0</v>
          </cell>
          <cell r="P182"/>
          <cell r="Q182">
            <v>76410</v>
          </cell>
          <cell r="W182">
            <v>0</v>
          </cell>
        </row>
        <row r="183">
          <cell r="E183">
            <v>197</v>
          </cell>
          <cell r="G183">
            <v>28762</v>
          </cell>
          <cell r="J183">
            <v>71</v>
          </cell>
          <cell r="L183">
            <v>39689</v>
          </cell>
          <cell r="M183">
            <v>3731</v>
          </cell>
          <cell r="O183">
            <v>0</v>
          </cell>
          <cell r="P183"/>
          <cell r="Q183">
            <v>76410</v>
          </cell>
          <cell r="W183">
            <v>0</v>
          </cell>
        </row>
        <row r="184">
          <cell r="E184">
            <v>264</v>
          </cell>
          <cell r="G184">
            <v>38544</v>
          </cell>
          <cell r="J184">
            <v>31</v>
          </cell>
          <cell r="L184">
            <v>17329</v>
          </cell>
          <cell r="M184">
            <v>3731</v>
          </cell>
          <cell r="O184">
            <v>0</v>
          </cell>
          <cell r="P184"/>
          <cell r="Q184">
            <v>76410</v>
          </cell>
          <cell r="W184">
            <v>-40</v>
          </cell>
        </row>
        <row r="185">
          <cell r="E185">
            <v>326</v>
          </cell>
          <cell r="G185">
            <v>47596</v>
          </cell>
          <cell r="J185">
            <v>93</v>
          </cell>
          <cell r="L185">
            <v>51987</v>
          </cell>
          <cell r="M185">
            <v>3731</v>
          </cell>
          <cell r="O185">
            <v>0</v>
          </cell>
          <cell r="P185"/>
          <cell r="Q185">
            <v>76410</v>
          </cell>
          <cell r="W185">
            <v>0</v>
          </cell>
        </row>
        <row r="186">
          <cell r="E186">
            <v>323</v>
          </cell>
          <cell r="G186">
            <v>47158</v>
          </cell>
          <cell r="J186">
            <v>106</v>
          </cell>
          <cell r="L186">
            <v>59254</v>
          </cell>
          <cell r="M186">
            <v>3731</v>
          </cell>
          <cell r="O186">
            <v>0</v>
          </cell>
          <cell r="P186"/>
          <cell r="Q186">
            <v>76410</v>
          </cell>
          <cell r="W186">
            <v>0</v>
          </cell>
        </row>
        <row r="187">
          <cell r="E187">
            <v>271</v>
          </cell>
          <cell r="G187">
            <v>39566</v>
          </cell>
          <cell r="J187">
            <v>92</v>
          </cell>
          <cell r="L187">
            <v>51428</v>
          </cell>
          <cell r="M187">
            <v>3731</v>
          </cell>
          <cell r="O187">
            <v>0</v>
          </cell>
          <cell r="P187"/>
          <cell r="Q187">
            <v>78144</v>
          </cell>
          <cell r="W187">
            <v>0</v>
          </cell>
        </row>
        <row r="188">
          <cell r="E188">
            <v>230</v>
          </cell>
          <cell r="G188">
            <v>33580</v>
          </cell>
          <cell r="J188">
            <v>57</v>
          </cell>
          <cell r="L188">
            <v>31863</v>
          </cell>
          <cell r="M188">
            <v>3731</v>
          </cell>
          <cell r="O188">
            <v>0</v>
          </cell>
          <cell r="P188"/>
          <cell r="Q188">
            <v>78144</v>
          </cell>
          <cell r="W188">
            <v>0</v>
          </cell>
        </row>
        <row r="189">
          <cell r="E189">
            <v>276</v>
          </cell>
          <cell r="G189">
            <v>40296</v>
          </cell>
          <cell r="J189">
            <v>78</v>
          </cell>
          <cell r="L189">
            <v>43602</v>
          </cell>
          <cell r="M189">
            <v>3731</v>
          </cell>
          <cell r="O189">
            <v>0</v>
          </cell>
          <cell r="P189"/>
          <cell r="Q189">
            <v>78144</v>
          </cell>
          <cell r="W189">
            <v>0</v>
          </cell>
        </row>
        <row r="190">
          <cell r="E190">
            <v>337</v>
          </cell>
          <cell r="G190">
            <v>49202</v>
          </cell>
          <cell r="J190">
            <v>87</v>
          </cell>
          <cell r="L190">
            <v>48633</v>
          </cell>
          <cell r="M190">
            <v>3731</v>
          </cell>
          <cell r="O190">
            <v>0</v>
          </cell>
          <cell r="P190"/>
          <cell r="Q190">
            <v>78144</v>
          </cell>
          <cell r="W190">
            <v>0</v>
          </cell>
        </row>
        <row r="191">
          <cell r="E191">
            <v>329</v>
          </cell>
          <cell r="G191">
            <v>48034</v>
          </cell>
          <cell r="J191">
            <v>89</v>
          </cell>
          <cell r="L191">
            <v>49751</v>
          </cell>
          <cell r="M191">
            <v>3731</v>
          </cell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332</v>
          </cell>
          <cell r="G192">
            <v>48472</v>
          </cell>
          <cell r="J192">
            <v>28</v>
          </cell>
          <cell r="L192">
            <v>15652</v>
          </cell>
          <cell r="M192">
            <v>3731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424</v>
          </cell>
          <cell r="G193">
            <v>61904</v>
          </cell>
          <cell r="J193">
            <v>25</v>
          </cell>
          <cell r="L193">
            <v>13975</v>
          </cell>
          <cell r="M193">
            <v>3731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396</v>
          </cell>
          <cell r="G194">
            <v>57816</v>
          </cell>
          <cell r="J194">
            <v>37</v>
          </cell>
          <cell r="L194">
            <v>20683</v>
          </cell>
          <cell r="M194">
            <v>3731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325</v>
          </cell>
          <cell r="G195">
            <v>47450</v>
          </cell>
          <cell r="J195">
            <v>47</v>
          </cell>
          <cell r="L195">
            <v>26273</v>
          </cell>
          <cell r="M195">
            <v>3731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313</v>
          </cell>
          <cell r="G196">
            <v>45698</v>
          </cell>
          <cell r="J196">
            <v>75</v>
          </cell>
          <cell r="L196">
            <v>41925</v>
          </cell>
          <cell r="M196">
            <v>3731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239</v>
          </cell>
          <cell r="G197">
            <v>34894</v>
          </cell>
          <cell r="J197">
            <v>101</v>
          </cell>
          <cell r="L197">
            <v>56459</v>
          </cell>
          <cell r="M197">
            <v>3731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303</v>
          </cell>
          <cell r="G198">
            <v>44238</v>
          </cell>
          <cell r="J198">
            <v>94</v>
          </cell>
          <cell r="L198">
            <v>52546</v>
          </cell>
          <cell r="M198">
            <v>3731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375</v>
          </cell>
          <cell r="G199">
            <v>54750</v>
          </cell>
          <cell r="J199">
            <v>86</v>
          </cell>
          <cell r="L199">
            <v>48074</v>
          </cell>
          <cell r="M199">
            <v>3828</v>
          </cell>
          <cell r="O199"/>
          <cell r="P199"/>
          <cell r="Q199">
            <v>80176</v>
          </cell>
          <cell r="W199">
            <v>195092</v>
          </cell>
        </row>
        <row r="200">
          <cell r="E200">
            <v>290</v>
          </cell>
          <cell r="G200">
            <v>42340</v>
          </cell>
          <cell r="J200">
            <v>84</v>
          </cell>
          <cell r="L200">
            <v>46956</v>
          </cell>
          <cell r="M200">
            <v>3828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273</v>
          </cell>
          <cell r="G201">
            <v>39858</v>
          </cell>
          <cell r="J201">
            <v>74</v>
          </cell>
          <cell r="L201">
            <v>41366</v>
          </cell>
          <cell r="M201">
            <v>3828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325</v>
          </cell>
          <cell r="G202">
            <v>47450</v>
          </cell>
          <cell r="J202">
            <v>83</v>
          </cell>
          <cell r="L202">
            <v>46397</v>
          </cell>
          <cell r="M202">
            <v>3828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351</v>
          </cell>
          <cell r="G203">
            <v>51246</v>
          </cell>
          <cell r="J203">
            <v>102</v>
          </cell>
          <cell r="L203">
            <v>57018</v>
          </cell>
          <cell r="M203">
            <v>3828</v>
          </cell>
          <cell r="O203"/>
          <cell r="P203"/>
          <cell r="Q203">
            <v>80176</v>
          </cell>
          <cell r="W203">
            <v>200597</v>
          </cell>
        </row>
        <row r="204">
          <cell r="E204">
            <v>-6499</v>
          </cell>
          <cell r="G204">
            <v>-948854</v>
          </cell>
          <cell r="J204">
            <v>-11839</v>
          </cell>
          <cell r="L204">
            <v>-6618001</v>
          </cell>
          <cell r="M204">
            <v>3828</v>
          </cell>
          <cell r="O204"/>
          <cell r="P204"/>
          <cell r="Q204">
            <v>80176</v>
          </cell>
          <cell r="W204">
            <v>-7282254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-7198250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-7114246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-7030242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-6946238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-6862234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-6778230</v>
          </cell>
        </row>
      </sheetData>
      <sheetData sheetId="50">
        <row r="176">
          <cell r="E176"/>
          <cell r="G176"/>
          <cell r="J176"/>
          <cell r="L176">
            <v>0</v>
          </cell>
          <cell r="M176">
            <v>3731</v>
          </cell>
          <cell r="O176"/>
          <cell r="P176"/>
          <cell r="Q176">
            <v>76410</v>
          </cell>
          <cell r="W176">
            <v>129860</v>
          </cell>
        </row>
        <row r="177">
          <cell r="E177"/>
          <cell r="G177"/>
          <cell r="J177"/>
          <cell r="L177">
            <v>0</v>
          </cell>
          <cell r="M177">
            <v>3731</v>
          </cell>
          <cell r="O177"/>
          <cell r="P177"/>
          <cell r="Q177">
            <v>76410</v>
          </cell>
          <cell r="W177">
            <v>135606</v>
          </cell>
        </row>
        <row r="178">
          <cell r="E178"/>
          <cell r="G178"/>
          <cell r="J178"/>
          <cell r="L178">
            <v>0</v>
          </cell>
          <cell r="M178">
            <v>3731</v>
          </cell>
          <cell r="O178"/>
          <cell r="P178"/>
          <cell r="Q178">
            <v>76410</v>
          </cell>
          <cell r="W178">
            <v>141352</v>
          </cell>
        </row>
        <row r="179">
          <cell r="E179"/>
          <cell r="G179"/>
          <cell r="J179"/>
          <cell r="L179">
            <v>0</v>
          </cell>
          <cell r="M179">
            <v>3731</v>
          </cell>
          <cell r="O179"/>
          <cell r="P179"/>
          <cell r="Q179">
            <v>76410</v>
          </cell>
          <cell r="W179">
            <v>147098</v>
          </cell>
        </row>
        <row r="180">
          <cell r="E180"/>
          <cell r="G180"/>
          <cell r="J180"/>
          <cell r="L180">
            <v>0</v>
          </cell>
          <cell r="M180">
            <v>3731</v>
          </cell>
          <cell r="O180"/>
          <cell r="P180"/>
          <cell r="Q180">
            <v>76410</v>
          </cell>
          <cell r="W180">
            <v>152844</v>
          </cell>
        </row>
        <row r="181">
          <cell r="E181"/>
          <cell r="G181"/>
          <cell r="J181"/>
          <cell r="L181">
            <v>0</v>
          </cell>
          <cell r="M181">
            <v>3731</v>
          </cell>
          <cell r="O181"/>
          <cell r="P181"/>
          <cell r="Q181">
            <v>76410</v>
          </cell>
          <cell r="W181">
            <v>158635</v>
          </cell>
        </row>
        <row r="182">
          <cell r="E182"/>
          <cell r="G182"/>
          <cell r="J182"/>
          <cell r="L182">
            <v>0</v>
          </cell>
          <cell r="M182">
            <v>3731</v>
          </cell>
          <cell r="O182"/>
          <cell r="P182"/>
          <cell r="Q182">
            <v>76410</v>
          </cell>
          <cell r="W182">
            <v>138776</v>
          </cell>
        </row>
        <row r="183">
          <cell r="E183"/>
          <cell r="G183"/>
          <cell r="J183"/>
          <cell r="L183">
            <v>0</v>
          </cell>
          <cell r="M183">
            <v>3731</v>
          </cell>
          <cell r="O183"/>
          <cell r="P183"/>
          <cell r="Q183">
            <v>76410</v>
          </cell>
          <cell r="W183">
            <v>138917</v>
          </cell>
        </row>
        <row r="184">
          <cell r="E184"/>
          <cell r="G184"/>
          <cell r="J184"/>
          <cell r="L184">
            <v>0</v>
          </cell>
          <cell r="M184">
            <v>3731</v>
          </cell>
          <cell r="O184"/>
          <cell r="P184"/>
          <cell r="Q184">
            <v>76410</v>
          </cell>
          <cell r="W184">
            <v>73058</v>
          </cell>
        </row>
        <row r="185">
          <cell r="E185"/>
          <cell r="G185"/>
          <cell r="J185"/>
          <cell r="L185">
            <v>0</v>
          </cell>
          <cell r="M185">
            <v>3731</v>
          </cell>
          <cell r="O185"/>
          <cell r="P185"/>
          <cell r="Q185">
            <v>76410</v>
          </cell>
          <cell r="W185">
            <v>70199</v>
          </cell>
        </row>
        <row r="186">
          <cell r="E186"/>
          <cell r="G186"/>
          <cell r="J186"/>
          <cell r="L186">
            <v>0</v>
          </cell>
          <cell r="M186">
            <v>3731</v>
          </cell>
          <cell r="O186"/>
          <cell r="P186"/>
          <cell r="Q186">
            <v>76410</v>
          </cell>
          <cell r="W186">
            <v>67340</v>
          </cell>
        </row>
        <row r="187">
          <cell r="E187"/>
          <cell r="G187"/>
          <cell r="J187"/>
          <cell r="L187">
            <v>0</v>
          </cell>
          <cell r="M187">
            <v>3731</v>
          </cell>
          <cell r="O187"/>
          <cell r="P187"/>
          <cell r="Q187">
            <v>78144</v>
          </cell>
          <cell r="W187">
            <v>65215</v>
          </cell>
        </row>
        <row r="188">
          <cell r="E188"/>
          <cell r="G188"/>
          <cell r="J188"/>
          <cell r="L188">
            <v>0</v>
          </cell>
          <cell r="M188">
            <v>3731</v>
          </cell>
          <cell r="O188"/>
          <cell r="P188"/>
          <cell r="Q188">
            <v>78144</v>
          </cell>
          <cell r="W188">
            <v>63090</v>
          </cell>
        </row>
        <row r="189">
          <cell r="E189"/>
          <cell r="G189"/>
          <cell r="J189"/>
          <cell r="L189">
            <v>0</v>
          </cell>
          <cell r="M189">
            <v>3731</v>
          </cell>
          <cell r="O189"/>
          <cell r="P189"/>
          <cell r="Q189">
            <v>78144</v>
          </cell>
          <cell r="W189">
            <v>114974</v>
          </cell>
        </row>
        <row r="190">
          <cell r="E190"/>
          <cell r="G190"/>
          <cell r="J190"/>
          <cell r="L190">
            <v>0</v>
          </cell>
          <cell r="M190">
            <v>3731</v>
          </cell>
          <cell r="O190"/>
          <cell r="P190"/>
          <cell r="Q190">
            <v>78144</v>
          </cell>
          <cell r="W190">
            <v>168006</v>
          </cell>
        </row>
        <row r="191">
          <cell r="E191"/>
          <cell r="G191"/>
          <cell r="J191"/>
          <cell r="L191">
            <v>0</v>
          </cell>
          <cell r="M191">
            <v>3731</v>
          </cell>
          <cell r="O191"/>
          <cell r="P191"/>
          <cell r="Q191">
            <v>78144</v>
          </cell>
          <cell r="W191">
            <v>168381</v>
          </cell>
        </row>
        <row r="192">
          <cell r="E192"/>
          <cell r="G192"/>
          <cell r="J192"/>
          <cell r="L192">
            <v>0</v>
          </cell>
          <cell r="M192">
            <v>3731</v>
          </cell>
          <cell r="O192"/>
          <cell r="P192"/>
          <cell r="Q192">
            <v>78144</v>
          </cell>
          <cell r="W192">
            <v>138661</v>
          </cell>
        </row>
        <row r="193">
          <cell r="E193"/>
          <cell r="G193"/>
          <cell r="J193"/>
          <cell r="L193">
            <v>0</v>
          </cell>
          <cell r="M193">
            <v>3731</v>
          </cell>
          <cell r="O193"/>
          <cell r="P193"/>
          <cell r="Q193">
            <v>78144</v>
          </cell>
          <cell r="W193">
            <v>191111</v>
          </cell>
        </row>
        <row r="194">
          <cell r="E194"/>
          <cell r="G194"/>
          <cell r="J194"/>
          <cell r="L194">
            <v>0</v>
          </cell>
          <cell r="M194">
            <v>3731</v>
          </cell>
          <cell r="O194"/>
          <cell r="P194"/>
          <cell r="Q194">
            <v>78144</v>
          </cell>
          <cell r="W194">
            <v>327701</v>
          </cell>
        </row>
        <row r="195">
          <cell r="E195"/>
          <cell r="G195"/>
          <cell r="J195"/>
          <cell r="L195">
            <v>0</v>
          </cell>
          <cell r="M195">
            <v>3731</v>
          </cell>
          <cell r="O195"/>
          <cell r="P195"/>
          <cell r="Q195">
            <v>78144</v>
          </cell>
          <cell r="W195">
            <v>464440</v>
          </cell>
        </row>
        <row r="196">
          <cell r="E196"/>
          <cell r="G196"/>
          <cell r="J196"/>
          <cell r="L196">
            <v>0</v>
          </cell>
          <cell r="M196">
            <v>3731</v>
          </cell>
          <cell r="O196"/>
          <cell r="P196"/>
          <cell r="Q196">
            <v>78144</v>
          </cell>
          <cell r="W196">
            <v>601381</v>
          </cell>
        </row>
        <row r="197">
          <cell r="E197"/>
          <cell r="G197"/>
          <cell r="J197"/>
          <cell r="L197">
            <v>0</v>
          </cell>
          <cell r="M197">
            <v>3731</v>
          </cell>
          <cell r="O197"/>
          <cell r="P197"/>
          <cell r="Q197">
            <v>78144</v>
          </cell>
          <cell r="W197">
            <v>738388</v>
          </cell>
        </row>
        <row r="198">
          <cell r="E198"/>
          <cell r="G198"/>
          <cell r="J198"/>
          <cell r="L198">
            <v>0</v>
          </cell>
          <cell r="M198">
            <v>3731</v>
          </cell>
          <cell r="O198"/>
          <cell r="P198"/>
          <cell r="Q198">
            <v>78144</v>
          </cell>
          <cell r="W198">
            <v>875355</v>
          </cell>
        </row>
        <row r="199">
          <cell r="E199"/>
          <cell r="G199"/>
          <cell r="J199"/>
          <cell r="L199">
            <v>0</v>
          </cell>
          <cell r="M199">
            <v>3828</v>
          </cell>
          <cell r="O199"/>
          <cell r="P199"/>
          <cell r="Q199">
            <v>80176</v>
          </cell>
          <cell r="W199">
            <v>959359</v>
          </cell>
        </row>
        <row r="200">
          <cell r="E200"/>
          <cell r="G200"/>
          <cell r="J200"/>
          <cell r="L200">
            <v>0</v>
          </cell>
          <cell r="M200">
            <v>3828</v>
          </cell>
          <cell r="O200"/>
          <cell r="P200"/>
          <cell r="Q200">
            <v>80176</v>
          </cell>
          <cell r="W200">
            <v>1070569</v>
          </cell>
        </row>
        <row r="201">
          <cell r="E201"/>
          <cell r="G201"/>
          <cell r="J201"/>
          <cell r="L201">
            <v>0</v>
          </cell>
          <cell r="M201">
            <v>3828</v>
          </cell>
          <cell r="O201"/>
          <cell r="P201"/>
          <cell r="Q201">
            <v>80176</v>
          </cell>
          <cell r="W201">
            <v>1209705</v>
          </cell>
        </row>
        <row r="202">
          <cell r="E202"/>
          <cell r="G202"/>
          <cell r="J202"/>
          <cell r="L202">
            <v>0</v>
          </cell>
          <cell r="M202">
            <v>3828</v>
          </cell>
          <cell r="O202"/>
          <cell r="P202"/>
          <cell r="Q202">
            <v>80176</v>
          </cell>
          <cell r="W202">
            <v>1349033</v>
          </cell>
        </row>
        <row r="203">
          <cell r="E203"/>
          <cell r="G203"/>
          <cell r="J203"/>
          <cell r="L203">
            <v>0</v>
          </cell>
          <cell r="M203">
            <v>3828</v>
          </cell>
          <cell r="O203"/>
          <cell r="P203"/>
          <cell r="Q203">
            <v>80176</v>
          </cell>
          <cell r="W203">
            <v>1433037</v>
          </cell>
        </row>
        <row r="204">
          <cell r="E204"/>
          <cell r="G204"/>
          <cell r="J204"/>
          <cell r="L204">
            <v>0</v>
          </cell>
          <cell r="M204">
            <v>3828</v>
          </cell>
          <cell r="O204"/>
          <cell r="P204"/>
          <cell r="Q204">
            <v>80176</v>
          </cell>
          <cell r="W204">
            <v>1517041</v>
          </cell>
        </row>
        <row r="205">
          <cell r="E205"/>
          <cell r="G205"/>
          <cell r="J205"/>
          <cell r="L205">
            <v>0</v>
          </cell>
          <cell r="M205">
            <v>3828</v>
          </cell>
          <cell r="O205"/>
          <cell r="P205"/>
          <cell r="Q205">
            <v>80176</v>
          </cell>
          <cell r="W205">
            <v>1601045</v>
          </cell>
        </row>
        <row r="206">
          <cell r="E206"/>
          <cell r="G206"/>
          <cell r="J206"/>
          <cell r="L206">
            <v>0</v>
          </cell>
          <cell r="M206">
            <v>3828</v>
          </cell>
          <cell r="O206"/>
          <cell r="P206"/>
          <cell r="Q206">
            <v>80176</v>
          </cell>
          <cell r="W206">
            <v>1685049</v>
          </cell>
        </row>
        <row r="207">
          <cell r="E207"/>
          <cell r="G207"/>
          <cell r="J207"/>
          <cell r="L207">
            <v>0</v>
          </cell>
          <cell r="M207">
            <v>3828</v>
          </cell>
          <cell r="O207"/>
          <cell r="P207"/>
          <cell r="Q207">
            <v>80176</v>
          </cell>
          <cell r="W207">
            <v>1769053</v>
          </cell>
        </row>
        <row r="208">
          <cell r="E208"/>
          <cell r="G208"/>
          <cell r="J208"/>
          <cell r="L208">
            <v>0</v>
          </cell>
          <cell r="M208">
            <v>3828</v>
          </cell>
          <cell r="O208"/>
          <cell r="P208"/>
          <cell r="Q208">
            <v>80176</v>
          </cell>
          <cell r="W208">
            <v>1853057</v>
          </cell>
        </row>
        <row r="209">
          <cell r="E209"/>
          <cell r="G209"/>
          <cell r="J209"/>
          <cell r="L209">
            <v>0</v>
          </cell>
          <cell r="M209">
            <v>3828</v>
          </cell>
          <cell r="O209"/>
          <cell r="P209"/>
          <cell r="Q209">
            <v>80176</v>
          </cell>
          <cell r="W209">
            <v>1937061</v>
          </cell>
        </row>
        <row r="210">
          <cell r="E210"/>
          <cell r="G210"/>
          <cell r="J210"/>
          <cell r="L210">
            <v>0</v>
          </cell>
          <cell r="M210">
            <v>3828</v>
          </cell>
          <cell r="O210"/>
          <cell r="P210"/>
          <cell r="Q210">
            <v>80176</v>
          </cell>
          <cell r="W210">
            <v>2021065</v>
          </cell>
        </row>
      </sheetData>
      <sheetData sheetId="5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M175">
            <v>0</v>
          </cell>
          <cell r="O175">
            <v>0</v>
          </cell>
          <cell r="P175">
            <v>0</v>
          </cell>
          <cell r="Q175">
            <v>0</v>
          </cell>
          <cell r="W175">
            <v>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M176">
            <v>0</v>
          </cell>
          <cell r="O176">
            <v>0</v>
          </cell>
          <cell r="P176">
            <v>0</v>
          </cell>
          <cell r="Q176">
            <v>0</v>
          </cell>
          <cell r="W176">
            <v>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M177">
            <v>0</v>
          </cell>
          <cell r="O177">
            <v>0</v>
          </cell>
          <cell r="P177">
            <v>0</v>
          </cell>
          <cell r="Q177">
            <v>0</v>
          </cell>
          <cell r="W177">
            <v>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M178">
            <v>0</v>
          </cell>
          <cell r="O178">
            <v>0</v>
          </cell>
          <cell r="P178">
            <v>0</v>
          </cell>
          <cell r="Q178">
            <v>0</v>
          </cell>
          <cell r="W178">
            <v>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M179">
            <v>0</v>
          </cell>
          <cell r="O179">
            <v>0</v>
          </cell>
          <cell r="P179">
            <v>0</v>
          </cell>
          <cell r="Q179">
            <v>0</v>
          </cell>
          <cell r="W179">
            <v>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M180">
            <v>0</v>
          </cell>
          <cell r="O180">
            <v>0</v>
          </cell>
          <cell r="P180">
            <v>0</v>
          </cell>
          <cell r="Q180">
            <v>0</v>
          </cell>
          <cell r="W180">
            <v>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M181">
            <v>0</v>
          </cell>
          <cell r="O181">
            <v>0</v>
          </cell>
          <cell r="P181">
            <v>0</v>
          </cell>
          <cell r="Q181">
            <v>0</v>
          </cell>
          <cell r="W181">
            <v>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M182">
            <v>0</v>
          </cell>
          <cell r="O182">
            <v>0</v>
          </cell>
          <cell r="P182">
            <v>0</v>
          </cell>
          <cell r="Q182">
            <v>0</v>
          </cell>
          <cell r="W182">
            <v>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M183">
            <v>0</v>
          </cell>
          <cell r="O183">
            <v>0</v>
          </cell>
          <cell r="P183">
            <v>0</v>
          </cell>
          <cell r="Q183">
            <v>0</v>
          </cell>
          <cell r="W183">
            <v>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M184">
            <v>0</v>
          </cell>
          <cell r="O184">
            <v>0</v>
          </cell>
          <cell r="P184">
            <v>0</v>
          </cell>
          <cell r="Q184">
            <v>0</v>
          </cell>
          <cell r="W184">
            <v>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M185">
            <v>0</v>
          </cell>
          <cell r="O185">
            <v>0</v>
          </cell>
          <cell r="P185">
            <v>0</v>
          </cell>
          <cell r="Q185">
            <v>0</v>
          </cell>
          <cell r="W185">
            <v>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M186">
            <v>0</v>
          </cell>
          <cell r="O186">
            <v>0</v>
          </cell>
          <cell r="P186">
            <v>0</v>
          </cell>
          <cell r="Q186">
            <v>0</v>
          </cell>
          <cell r="W186">
            <v>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M187">
            <v>0</v>
          </cell>
          <cell r="O187">
            <v>0</v>
          </cell>
          <cell r="P187">
            <v>0</v>
          </cell>
          <cell r="Q187">
            <v>0</v>
          </cell>
          <cell r="W187">
            <v>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M188">
            <v>0</v>
          </cell>
          <cell r="O188">
            <v>0</v>
          </cell>
          <cell r="P188">
            <v>0</v>
          </cell>
          <cell r="Q188">
            <v>0</v>
          </cell>
          <cell r="W188">
            <v>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M189">
            <v>0</v>
          </cell>
          <cell r="O189">
            <v>0</v>
          </cell>
          <cell r="P189">
            <v>0</v>
          </cell>
          <cell r="Q189">
            <v>0</v>
          </cell>
          <cell r="W189">
            <v>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M190">
            <v>0</v>
          </cell>
          <cell r="O190">
            <v>0</v>
          </cell>
          <cell r="P190">
            <v>0</v>
          </cell>
          <cell r="Q190">
            <v>0</v>
          </cell>
          <cell r="W190">
            <v>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M191">
            <v>0</v>
          </cell>
          <cell r="O191">
            <v>0</v>
          </cell>
          <cell r="P191">
            <v>0</v>
          </cell>
          <cell r="Q191">
            <v>0</v>
          </cell>
          <cell r="W191">
            <v>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M192">
            <v>0</v>
          </cell>
          <cell r="O192">
            <v>0</v>
          </cell>
          <cell r="P192">
            <v>0</v>
          </cell>
          <cell r="Q192">
            <v>0</v>
          </cell>
          <cell r="W192">
            <v>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M193">
            <v>0</v>
          </cell>
          <cell r="O193">
            <v>0</v>
          </cell>
          <cell r="P193">
            <v>0</v>
          </cell>
          <cell r="Q193">
            <v>0</v>
          </cell>
          <cell r="W193">
            <v>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M194">
            <v>0</v>
          </cell>
          <cell r="O194">
            <v>0</v>
          </cell>
          <cell r="P194">
            <v>0</v>
          </cell>
          <cell r="Q194">
            <v>0</v>
          </cell>
          <cell r="W194">
            <v>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M195">
            <v>0</v>
          </cell>
          <cell r="O195">
            <v>0</v>
          </cell>
          <cell r="P195">
            <v>0</v>
          </cell>
          <cell r="Q195">
            <v>0</v>
          </cell>
          <cell r="W195">
            <v>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M196">
            <v>0</v>
          </cell>
          <cell r="O196">
            <v>0</v>
          </cell>
          <cell r="P196">
            <v>0</v>
          </cell>
          <cell r="Q196">
            <v>0</v>
          </cell>
          <cell r="W196">
            <v>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M197">
            <v>0</v>
          </cell>
          <cell r="O197">
            <v>0</v>
          </cell>
          <cell r="P197">
            <v>0</v>
          </cell>
          <cell r="Q197">
            <v>0</v>
          </cell>
          <cell r="W197">
            <v>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M198">
            <v>0</v>
          </cell>
          <cell r="O198">
            <v>0</v>
          </cell>
          <cell r="P198">
            <v>0</v>
          </cell>
          <cell r="Q198">
            <v>0</v>
          </cell>
          <cell r="W198">
            <v>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M199">
            <v>0</v>
          </cell>
          <cell r="O199">
            <v>0</v>
          </cell>
          <cell r="P199">
            <v>0</v>
          </cell>
          <cell r="Q199">
            <v>0</v>
          </cell>
          <cell r="W199">
            <v>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M200">
            <v>0</v>
          </cell>
          <cell r="O200">
            <v>0</v>
          </cell>
          <cell r="P200">
            <v>0</v>
          </cell>
          <cell r="Q200">
            <v>0</v>
          </cell>
          <cell r="W200">
            <v>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M201">
            <v>0</v>
          </cell>
          <cell r="O201">
            <v>0</v>
          </cell>
          <cell r="P201">
            <v>0</v>
          </cell>
          <cell r="Q201">
            <v>0</v>
          </cell>
          <cell r="W201">
            <v>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M202">
            <v>0</v>
          </cell>
          <cell r="O202">
            <v>0</v>
          </cell>
          <cell r="P202">
            <v>0</v>
          </cell>
          <cell r="Q202">
            <v>0</v>
          </cell>
          <cell r="W202">
            <v>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M203">
            <v>0</v>
          </cell>
          <cell r="O203">
            <v>0</v>
          </cell>
          <cell r="P203">
            <v>0</v>
          </cell>
          <cell r="Q203">
            <v>0</v>
          </cell>
          <cell r="W203">
            <v>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M204">
            <v>0</v>
          </cell>
          <cell r="O204">
            <v>0</v>
          </cell>
          <cell r="P204">
            <v>0</v>
          </cell>
          <cell r="Q204">
            <v>0</v>
          </cell>
          <cell r="W204">
            <v>0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M205">
            <v>0</v>
          </cell>
          <cell r="O205">
            <v>0</v>
          </cell>
          <cell r="P205">
            <v>0</v>
          </cell>
          <cell r="Q205">
            <v>0</v>
          </cell>
          <cell r="W205">
            <v>0</v>
          </cell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M206">
            <v>0</v>
          </cell>
          <cell r="O206">
            <v>0</v>
          </cell>
          <cell r="P206">
            <v>0</v>
          </cell>
          <cell r="Q206">
            <v>0</v>
          </cell>
          <cell r="W206">
            <v>0</v>
          </cell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M207">
            <v>0</v>
          </cell>
          <cell r="O207">
            <v>0</v>
          </cell>
          <cell r="P207">
            <v>0</v>
          </cell>
          <cell r="Q207">
            <v>0</v>
          </cell>
          <cell r="W207">
            <v>0</v>
          </cell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M208">
            <v>0</v>
          </cell>
          <cell r="O208">
            <v>0</v>
          </cell>
          <cell r="P208">
            <v>0</v>
          </cell>
          <cell r="Q208">
            <v>0</v>
          </cell>
          <cell r="W208">
            <v>0</v>
          </cell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M209">
            <v>0</v>
          </cell>
          <cell r="O209">
            <v>0</v>
          </cell>
          <cell r="P209">
            <v>0</v>
          </cell>
          <cell r="Q209">
            <v>0</v>
          </cell>
          <cell r="W209">
            <v>0</v>
          </cell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M210">
            <v>0</v>
          </cell>
          <cell r="O210">
            <v>0</v>
          </cell>
          <cell r="P210">
            <v>0</v>
          </cell>
          <cell r="Q210">
            <v>0</v>
          </cell>
          <cell r="W210">
            <v>0</v>
          </cell>
        </row>
      </sheetData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B-b (1)"/>
      <sheetName val="LB-b (2)"/>
      <sheetName val="LB-b (3)"/>
      <sheetName val="LB-b (4)"/>
      <sheetName val="LB-b (5)"/>
      <sheetName val="LB-b (5C9-B)"/>
      <sheetName val="LB-b (6)"/>
      <sheetName val="LB-b (7)"/>
      <sheetName val="LB-b (8)"/>
      <sheetName val="LB-b (9)"/>
      <sheetName val="LB-b (10)"/>
      <sheetName val="LB-b (11)"/>
      <sheetName val="LB-b (12)"/>
      <sheetName val="LB-b (13)"/>
      <sheetName val="LB-b (14)"/>
      <sheetName val="LB-b (15)"/>
      <sheetName val="LB-b (16)"/>
      <sheetName val="LB-b (17)"/>
      <sheetName val="LB-b (18)"/>
      <sheetName val="LB-b (19)"/>
      <sheetName val="LB-b (20)"/>
      <sheetName val="LB-b (21)"/>
      <sheetName val="LB-b (22)"/>
      <sheetName val="LB-b (23)"/>
      <sheetName val="LB-b (24)"/>
      <sheetName val="LB-b (26)"/>
      <sheetName val="LB-b (25)"/>
      <sheetName val="LB-b (27A)"/>
      <sheetName val="LB-b (27B)"/>
      <sheetName val="LB-b (28)"/>
      <sheetName val="LB-b (29)"/>
      <sheetName val="LB-b (30)"/>
      <sheetName val="LB-b (31)"/>
      <sheetName val="LB-b (32A)"/>
      <sheetName val="LB-b (32B)"/>
      <sheetName val="LB-b (33)"/>
      <sheetName val="LB-b (34)"/>
      <sheetName val="LB-b (35A)"/>
      <sheetName val="LB-b (35B)"/>
      <sheetName val="LB-b (36)"/>
      <sheetName val="LB-b (38)"/>
      <sheetName val="LB-b (39)"/>
      <sheetName val="LB-b (40)"/>
      <sheetName val="LB-b (41)"/>
      <sheetName val="LB-b (42)"/>
      <sheetName val="LB-b (43)"/>
      <sheetName val="LB-b 5K-L1 A"/>
      <sheetName val="LB-b5KL1 B"/>
      <sheetName val="final"/>
      <sheetName val="Hoja1"/>
    </sheetNames>
    <sheetDataSet>
      <sheetData sheetId="0">
        <row r="245">
          <cell r="C245">
            <v>5533756</v>
          </cell>
          <cell r="D245">
            <v>5312904</v>
          </cell>
        </row>
        <row r="246">
          <cell r="C246">
            <v>5990632</v>
          </cell>
          <cell r="D246">
            <v>4867709</v>
          </cell>
        </row>
        <row r="247">
          <cell r="C247">
            <v>6038862</v>
          </cell>
          <cell r="D247">
            <v>6439851</v>
          </cell>
        </row>
        <row r="248">
          <cell r="C248">
            <v>6393077</v>
          </cell>
          <cell r="D248">
            <v>4602878</v>
          </cell>
        </row>
        <row r="249">
          <cell r="C249">
            <v>6427112</v>
          </cell>
          <cell r="D249">
            <v>7855707</v>
          </cell>
        </row>
      </sheetData>
      <sheetData sheetId="1"/>
      <sheetData sheetId="2"/>
      <sheetData sheetId="3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87141</v>
          </cell>
        </row>
        <row r="183">
          <cell r="N183">
            <v>7997</v>
          </cell>
          <cell r="R183"/>
          <cell r="S183">
            <v>88138</v>
          </cell>
          <cell r="V183">
            <v>89119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>
            <v>7997</v>
          </cell>
          <cell r="R183"/>
          <cell r="S183">
            <v>88138</v>
          </cell>
          <cell r="V183">
            <v>88138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5">
        <row r="175">
          <cell r="N175">
            <v>7000</v>
          </cell>
          <cell r="R175"/>
          <cell r="S175">
            <v>147818</v>
          </cell>
          <cell r="V175"/>
        </row>
        <row r="176">
          <cell r="N176">
            <v>7000</v>
          </cell>
          <cell r="R176"/>
          <cell r="S176">
            <v>133753</v>
          </cell>
          <cell r="V176"/>
        </row>
        <row r="177">
          <cell r="N177">
            <v>7000</v>
          </cell>
          <cell r="R177"/>
          <cell r="S177">
            <v>127037</v>
          </cell>
          <cell r="V177"/>
        </row>
        <row r="178">
          <cell r="N178">
            <v>7000</v>
          </cell>
          <cell r="R178"/>
          <cell r="S178">
            <v>107185</v>
          </cell>
          <cell r="V178"/>
        </row>
        <row r="179">
          <cell r="N179">
            <v>7000</v>
          </cell>
          <cell r="R179"/>
          <cell r="S179">
            <v>104949</v>
          </cell>
          <cell r="V179"/>
        </row>
        <row r="180">
          <cell r="N180">
            <v>7000</v>
          </cell>
          <cell r="R180"/>
          <cell r="S180">
            <v>113964</v>
          </cell>
          <cell r="V180"/>
        </row>
        <row r="181">
          <cell r="N181">
            <v>7000</v>
          </cell>
          <cell r="R181"/>
          <cell r="S181">
            <v>100669</v>
          </cell>
          <cell r="V181"/>
        </row>
        <row r="182">
          <cell r="N182">
            <v>7981</v>
          </cell>
          <cell r="R182"/>
          <cell r="S182">
            <v>104082</v>
          </cell>
          <cell r="V182"/>
        </row>
        <row r="183">
          <cell r="N183">
            <v>7997</v>
          </cell>
          <cell r="R183"/>
          <cell r="S183">
            <v>116888</v>
          </cell>
          <cell r="V183">
            <v>500000</v>
          </cell>
        </row>
        <row r="184">
          <cell r="N184">
            <v>7990</v>
          </cell>
          <cell r="R184"/>
          <cell r="S184">
            <v>120635</v>
          </cell>
          <cell r="V184"/>
        </row>
        <row r="185">
          <cell r="N185">
            <v>8019</v>
          </cell>
          <cell r="R185"/>
          <cell r="S185">
            <v>130730</v>
          </cell>
          <cell r="V185"/>
        </row>
        <row r="186">
          <cell r="N186">
            <v>8039</v>
          </cell>
          <cell r="R186"/>
          <cell r="S186">
            <v>133132</v>
          </cell>
          <cell r="V186"/>
        </row>
        <row r="187">
          <cell r="N187">
            <v>8047</v>
          </cell>
          <cell r="R187"/>
          <cell r="S187">
            <v>146166</v>
          </cell>
          <cell r="V187">
            <v>500000</v>
          </cell>
        </row>
        <row r="188">
          <cell r="N188">
            <v>8077</v>
          </cell>
          <cell r="R188"/>
          <cell r="S188">
            <v>135901</v>
          </cell>
          <cell r="V188"/>
        </row>
        <row r="189">
          <cell r="N189">
            <v>8090</v>
          </cell>
          <cell r="R189"/>
          <cell r="S189">
            <v>145426</v>
          </cell>
          <cell r="V189"/>
        </row>
        <row r="190">
          <cell r="N190">
            <v>8101</v>
          </cell>
          <cell r="R190"/>
          <cell r="S190">
            <v>117612</v>
          </cell>
          <cell r="V190"/>
        </row>
        <row r="191">
          <cell r="N191">
            <v>8123</v>
          </cell>
          <cell r="R191"/>
          <cell r="S191">
            <v>113838</v>
          </cell>
          <cell r="V191">
            <v>500000</v>
          </cell>
        </row>
        <row r="192">
          <cell r="N192">
            <v>8148</v>
          </cell>
          <cell r="R192"/>
          <cell r="S192">
            <v>102237</v>
          </cell>
          <cell r="V192"/>
        </row>
        <row r="193">
          <cell r="N193">
            <v>8161</v>
          </cell>
          <cell r="R193"/>
          <cell r="S193">
            <v>104682</v>
          </cell>
          <cell r="V193"/>
        </row>
        <row r="194">
          <cell r="N194">
            <v>8186</v>
          </cell>
          <cell r="R194"/>
          <cell r="S194">
            <v>115119</v>
          </cell>
          <cell r="V194"/>
        </row>
        <row r="195">
          <cell r="N195">
            <v>8207</v>
          </cell>
          <cell r="R195"/>
          <cell r="S195">
            <v>109421</v>
          </cell>
          <cell r="V195">
            <v>500000</v>
          </cell>
        </row>
        <row r="196">
          <cell r="N196">
            <v>8230</v>
          </cell>
          <cell r="R196"/>
          <cell r="S196">
            <v>106286</v>
          </cell>
          <cell r="V196">
            <v>1000000</v>
          </cell>
        </row>
        <row r="197">
          <cell r="N197">
            <v>8260</v>
          </cell>
          <cell r="R197"/>
          <cell r="S197">
            <v>122030</v>
          </cell>
          <cell r="V197"/>
        </row>
        <row r="198">
          <cell r="N198">
            <v>8270</v>
          </cell>
          <cell r="R198"/>
          <cell r="S198">
            <v>130354</v>
          </cell>
          <cell r="V198"/>
        </row>
        <row r="199">
          <cell r="N199">
            <v>8264</v>
          </cell>
          <cell r="R199"/>
          <cell r="S199">
            <v>123512</v>
          </cell>
          <cell r="V199"/>
        </row>
        <row r="200">
          <cell r="N200">
            <v>8267</v>
          </cell>
          <cell r="R200"/>
          <cell r="S200">
            <v>128254</v>
          </cell>
          <cell r="V200"/>
        </row>
        <row r="201">
          <cell r="N201">
            <v>8270</v>
          </cell>
          <cell r="R201"/>
          <cell r="S201">
            <v>124004.25</v>
          </cell>
          <cell r="V201"/>
        </row>
        <row r="202">
          <cell r="N202">
            <v>8299</v>
          </cell>
          <cell r="R202"/>
          <cell r="S202">
            <v>232849</v>
          </cell>
          <cell r="V202">
            <v>500000</v>
          </cell>
        </row>
        <row r="203">
          <cell r="N203">
            <v>8329</v>
          </cell>
          <cell r="R203"/>
          <cell r="S203">
            <v>115948</v>
          </cell>
          <cell r="V203"/>
        </row>
        <row r="204">
          <cell r="N204"/>
          <cell r="R204"/>
          <cell r="S204">
            <v>-814293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6">
        <row r="175">
          <cell r="N175">
            <v>7000</v>
          </cell>
          <cell r="R175"/>
          <cell r="S175">
            <v>139635</v>
          </cell>
          <cell r="V175">
            <v>139585</v>
          </cell>
        </row>
        <row r="176">
          <cell r="N176">
            <v>7000</v>
          </cell>
          <cell r="R176"/>
          <cell r="S176">
            <v>160726</v>
          </cell>
          <cell r="V176">
            <v>160726</v>
          </cell>
        </row>
        <row r="177">
          <cell r="N177">
            <v>7000</v>
          </cell>
          <cell r="R177"/>
          <cell r="S177">
            <v>166641</v>
          </cell>
          <cell r="V177">
            <v>166641</v>
          </cell>
        </row>
        <row r="178">
          <cell r="N178">
            <v>7000</v>
          </cell>
          <cell r="R178"/>
          <cell r="S178">
            <v>151837</v>
          </cell>
          <cell r="V178">
            <v>151837</v>
          </cell>
        </row>
        <row r="179">
          <cell r="N179">
            <v>7000</v>
          </cell>
          <cell r="R179"/>
          <cell r="S179">
            <v>145917</v>
          </cell>
          <cell r="V179">
            <v>145917</v>
          </cell>
        </row>
        <row r="180">
          <cell r="N180">
            <v>7000</v>
          </cell>
          <cell r="R180"/>
          <cell r="S180">
            <v>129081</v>
          </cell>
          <cell r="V180">
            <v>129081</v>
          </cell>
        </row>
        <row r="181">
          <cell r="N181">
            <v>7000</v>
          </cell>
          <cell r="R181"/>
          <cell r="S181">
            <v>142463</v>
          </cell>
          <cell r="V181">
            <v>142463</v>
          </cell>
        </row>
        <row r="182">
          <cell r="N182">
            <v>7981</v>
          </cell>
          <cell r="R182"/>
          <cell r="S182">
            <v>155875</v>
          </cell>
          <cell r="V182">
            <v>155875</v>
          </cell>
        </row>
        <row r="183">
          <cell r="N183">
            <v>7997</v>
          </cell>
          <cell r="R183"/>
          <cell r="S183">
            <v>196529</v>
          </cell>
          <cell r="V183">
            <v>196529</v>
          </cell>
        </row>
        <row r="184">
          <cell r="N184">
            <v>7990</v>
          </cell>
          <cell r="R184"/>
          <cell r="S184">
            <v>126584</v>
          </cell>
          <cell r="V184">
            <v>126584</v>
          </cell>
        </row>
        <row r="185">
          <cell r="N185">
            <v>8019</v>
          </cell>
          <cell r="R185"/>
          <cell r="S185">
            <v>181814</v>
          </cell>
          <cell r="V185">
            <v>181814</v>
          </cell>
        </row>
        <row r="186">
          <cell r="N186">
            <v>8039</v>
          </cell>
          <cell r="R186"/>
          <cell r="S186">
            <v>156426</v>
          </cell>
          <cell r="V186">
            <v>156426</v>
          </cell>
        </row>
        <row r="187">
          <cell r="N187">
            <v>8047</v>
          </cell>
          <cell r="R187"/>
          <cell r="S187">
            <v>164413</v>
          </cell>
          <cell r="V187">
            <v>164413</v>
          </cell>
        </row>
        <row r="188">
          <cell r="N188">
            <v>8077</v>
          </cell>
          <cell r="R188"/>
          <cell r="S188">
            <v>153705</v>
          </cell>
          <cell r="V188">
            <v>153705</v>
          </cell>
        </row>
        <row r="189">
          <cell r="N189">
            <v>8090</v>
          </cell>
          <cell r="R189"/>
          <cell r="S189">
            <v>152813</v>
          </cell>
          <cell r="V189"/>
        </row>
        <row r="190">
          <cell r="N190">
            <v>8101</v>
          </cell>
          <cell r="R190"/>
          <cell r="S190">
            <v>133985</v>
          </cell>
          <cell r="V190">
            <v>286708</v>
          </cell>
        </row>
        <row r="191">
          <cell r="N191">
            <v>8123</v>
          </cell>
          <cell r="R191"/>
          <cell r="S191">
            <v>182136</v>
          </cell>
          <cell r="V191">
            <v>182226</v>
          </cell>
        </row>
        <row r="192">
          <cell r="N192">
            <v>8148</v>
          </cell>
          <cell r="R192"/>
          <cell r="S192">
            <v>162139</v>
          </cell>
          <cell r="V192">
            <v>162139</v>
          </cell>
        </row>
        <row r="193">
          <cell r="N193">
            <v>8161</v>
          </cell>
          <cell r="R193"/>
          <cell r="S193">
            <v>114514</v>
          </cell>
          <cell r="V193">
            <v>114514</v>
          </cell>
        </row>
        <row r="194">
          <cell r="N194">
            <v>8186</v>
          </cell>
          <cell r="R194"/>
          <cell r="S194">
            <v>90791</v>
          </cell>
          <cell r="V194">
            <v>90791</v>
          </cell>
        </row>
        <row r="195">
          <cell r="N195">
            <v>8207</v>
          </cell>
          <cell r="R195"/>
          <cell r="S195">
            <v>94946</v>
          </cell>
          <cell r="V195">
            <v>94946</v>
          </cell>
        </row>
        <row r="196">
          <cell r="N196">
            <v>8230</v>
          </cell>
          <cell r="R196"/>
          <cell r="S196">
            <v>95966</v>
          </cell>
          <cell r="V196">
            <v>95966</v>
          </cell>
        </row>
        <row r="197">
          <cell r="N197">
            <v>8260</v>
          </cell>
          <cell r="R197"/>
          <cell r="S197">
            <v>96459</v>
          </cell>
          <cell r="V197">
            <v>95966</v>
          </cell>
        </row>
        <row r="198">
          <cell r="N198">
            <v>8270</v>
          </cell>
          <cell r="R198"/>
          <cell r="S198">
            <v>123155</v>
          </cell>
          <cell r="V198">
            <v>123648</v>
          </cell>
        </row>
        <row r="199">
          <cell r="N199">
            <v>8264</v>
          </cell>
          <cell r="R199"/>
          <cell r="S199">
            <v>143715</v>
          </cell>
          <cell r="V199">
            <v>143715</v>
          </cell>
        </row>
        <row r="200">
          <cell r="N200">
            <v>8267</v>
          </cell>
          <cell r="R200"/>
          <cell r="S200">
            <v>174136</v>
          </cell>
          <cell r="V200">
            <v>174136</v>
          </cell>
        </row>
        <row r="201">
          <cell r="N201">
            <v>8270</v>
          </cell>
          <cell r="R201"/>
          <cell r="S201">
            <v>163798</v>
          </cell>
          <cell r="V201">
            <v>163798</v>
          </cell>
        </row>
        <row r="202">
          <cell r="N202">
            <v>8299</v>
          </cell>
          <cell r="R202"/>
          <cell r="S202">
            <v>164970</v>
          </cell>
          <cell r="V202"/>
        </row>
        <row r="203">
          <cell r="N203">
            <v>8329</v>
          </cell>
          <cell r="R203"/>
          <cell r="S203">
            <v>168550</v>
          </cell>
          <cell r="V203"/>
        </row>
        <row r="204">
          <cell r="N204"/>
          <cell r="R204"/>
          <cell r="S204">
            <v>-3679000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7">
        <row r="175">
          <cell r="N175">
            <v>7000</v>
          </cell>
          <cell r="R175"/>
          <cell r="S175">
            <v>87141</v>
          </cell>
          <cell r="V175"/>
        </row>
        <row r="176">
          <cell r="N176">
            <v>7000</v>
          </cell>
          <cell r="R176"/>
          <cell r="S176">
            <v>87141</v>
          </cell>
          <cell r="V176">
            <v>174282</v>
          </cell>
        </row>
        <row r="177">
          <cell r="N177">
            <v>7000</v>
          </cell>
          <cell r="R177"/>
          <cell r="S177">
            <v>87141</v>
          </cell>
          <cell r="V177"/>
        </row>
        <row r="178">
          <cell r="N178">
            <v>7000</v>
          </cell>
          <cell r="R178"/>
          <cell r="S178">
            <v>87141</v>
          </cell>
          <cell r="V178">
            <v>174282</v>
          </cell>
        </row>
        <row r="179">
          <cell r="N179">
            <v>7000</v>
          </cell>
          <cell r="R179"/>
          <cell r="S179">
            <v>87141</v>
          </cell>
          <cell r="V179"/>
        </row>
        <row r="180">
          <cell r="N180">
            <v>7000</v>
          </cell>
          <cell r="R180"/>
          <cell r="S180">
            <v>87141</v>
          </cell>
          <cell r="V180">
            <v>174282</v>
          </cell>
        </row>
        <row r="181">
          <cell r="N181">
            <v>7000</v>
          </cell>
          <cell r="R181"/>
          <cell r="S181">
            <v>87141</v>
          </cell>
          <cell r="V181"/>
        </row>
        <row r="182">
          <cell r="N182">
            <v>7981</v>
          </cell>
          <cell r="R182"/>
          <cell r="S182">
            <v>88122</v>
          </cell>
          <cell r="V182">
            <v>175263</v>
          </cell>
        </row>
        <row r="183">
          <cell r="N183">
            <v>7997</v>
          </cell>
          <cell r="R183"/>
          <cell r="S183">
            <v>88843</v>
          </cell>
          <cell r="V183"/>
        </row>
        <row r="184">
          <cell r="N184">
            <v>7990</v>
          </cell>
          <cell r="R184"/>
          <cell r="S184">
            <v>88131</v>
          </cell>
          <cell r="V184">
            <v>176974</v>
          </cell>
        </row>
        <row r="185">
          <cell r="N185">
            <v>8019</v>
          </cell>
          <cell r="R185"/>
          <cell r="S185">
            <v>88160</v>
          </cell>
          <cell r="V185"/>
        </row>
        <row r="186">
          <cell r="N186">
            <v>8039</v>
          </cell>
          <cell r="R186"/>
          <cell r="S186">
            <v>88180</v>
          </cell>
          <cell r="V186">
            <v>176340</v>
          </cell>
        </row>
        <row r="187">
          <cell r="N187">
            <v>8047</v>
          </cell>
          <cell r="R187"/>
          <cell r="S187">
            <v>89922</v>
          </cell>
          <cell r="V187"/>
        </row>
        <row r="188">
          <cell r="N188">
            <v>8077</v>
          </cell>
          <cell r="R188"/>
          <cell r="S188">
            <v>89952</v>
          </cell>
          <cell r="V188">
            <v>179874</v>
          </cell>
        </row>
        <row r="189">
          <cell r="N189">
            <v>8090</v>
          </cell>
          <cell r="R189"/>
          <cell r="S189">
            <v>89965</v>
          </cell>
          <cell r="V189"/>
        </row>
        <row r="190">
          <cell r="N190">
            <v>8101</v>
          </cell>
          <cell r="R190"/>
          <cell r="S190">
            <v>89976</v>
          </cell>
          <cell r="V190">
            <v>179941</v>
          </cell>
        </row>
        <row r="191">
          <cell r="N191">
            <v>8123</v>
          </cell>
          <cell r="R191"/>
          <cell r="S191">
            <v>89998</v>
          </cell>
          <cell r="V191"/>
        </row>
        <row r="192">
          <cell r="N192">
            <v>8148</v>
          </cell>
          <cell r="R192"/>
          <cell r="S192">
            <v>90023</v>
          </cell>
          <cell r="V192">
            <v>180021</v>
          </cell>
        </row>
        <row r="193">
          <cell r="N193">
            <v>8161</v>
          </cell>
          <cell r="R193"/>
          <cell r="S193">
            <v>90036</v>
          </cell>
          <cell r="V193"/>
        </row>
        <row r="194">
          <cell r="N194">
            <v>8186</v>
          </cell>
          <cell r="R194"/>
          <cell r="S194">
            <v>90061</v>
          </cell>
          <cell r="V194">
            <v>180097</v>
          </cell>
        </row>
        <row r="195">
          <cell r="N195">
            <v>8207</v>
          </cell>
          <cell r="R195"/>
          <cell r="S195">
            <v>93436</v>
          </cell>
          <cell r="V195"/>
        </row>
        <row r="196">
          <cell r="N196">
            <v>8230</v>
          </cell>
          <cell r="R196"/>
          <cell r="S196">
            <v>90397</v>
          </cell>
          <cell r="V196">
            <v>183833</v>
          </cell>
        </row>
        <row r="197">
          <cell r="N197">
            <v>8260</v>
          </cell>
          <cell r="R197"/>
          <cell r="S197">
            <v>86927</v>
          </cell>
          <cell r="V197"/>
        </row>
        <row r="198">
          <cell r="N198">
            <v>8270</v>
          </cell>
          <cell r="R198"/>
          <cell r="S198">
            <v>90145</v>
          </cell>
          <cell r="V198">
            <v>177072</v>
          </cell>
        </row>
        <row r="199">
          <cell r="N199">
            <v>8264</v>
          </cell>
          <cell r="R199"/>
          <cell r="S199">
            <v>92268</v>
          </cell>
          <cell r="V199"/>
        </row>
        <row r="200">
          <cell r="N200">
            <v>8267</v>
          </cell>
          <cell r="R200"/>
          <cell r="S200">
            <v>92271</v>
          </cell>
          <cell r="V200">
            <v>184539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26486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8">
        <row r="175">
          <cell r="N175"/>
          <cell r="R175">
            <v>52636</v>
          </cell>
          <cell r="S175">
            <v>132777</v>
          </cell>
          <cell r="V175"/>
        </row>
        <row r="176">
          <cell r="N176"/>
          <cell r="R176">
            <v>52784</v>
          </cell>
          <cell r="S176">
            <v>132925</v>
          </cell>
          <cell r="V176"/>
        </row>
        <row r="177">
          <cell r="N177"/>
          <cell r="R177">
            <v>52944</v>
          </cell>
          <cell r="S177">
            <v>133085</v>
          </cell>
          <cell r="V177"/>
        </row>
        <row r="178">
          <cell r="N178"/>
          <cell r="R178">
            <v>53123</v>
          </cell>
          <cell r="S178">
            <v>133264</v>
          </cell>
          <cell r="V178"/>
        </row>
        <row r="179">
          <cell r="N179"/>
          <cell r="R179">
            <v>53262</v>
          </cell>
          <cell r="S179">
            <v>133403</v>
          </cell>
          <cell r="V179"/>
        </row>
        <row r="180">
          <cell r="N180"/>
          <cell r="R180">
            <v>53330</v>
          </cell>
          <cell r="S180">
            <v>133471</v>
          </cell>
          <cell r="V180"/>
        </row>
        <row r="181">
          <cell r="N181"/>
          <cell r="R181">
            <v>53195</v>
          </cell>
          <cell r="S181">
            <v>133336</v>
          </cell>
          <cell r="V181"/>
        </row>
        <row r="182">
          <cell r="N182"/>
          <cell r="R182">
            <v>53208</v>
          </cell>
          <cell r="S182">
            <v>133349</v>
          </cell>
          <cell r="V182"/>
        </row>
        <row r="183">
          <cell r="N183"/>
          <cell r="R183">
            <v>53314</v>
          </cell>
          <cell r="S183">
            <v>133455</v>
          </cell>
          <cell r="V183"/>
        </row>
        <row r="184">
          <cell r="N184"/>
          <cell r="R184">
            <v>53270</v>
          </cell>
          <cell r="S184">
            <v>133411</v>
          </cell>
          <cell r="V184"/>
        </row>
        <row r="185">
          <cell r="N185"/>
          <cell r="R185">
            <v>53462</v>
          </cell>
          <cell r="S185">
            <v>133603</v>
          </cell>
          <cell r="V185"/>
        </row>
        <row r="186">
          <cell r="N186"/>
          <cell r="R186">
            <v>53650</v>
          </cell>
          <cell r="S186">
            <v>133791</v>
          </cell>
          <cell r="V186"/>
        </row>
        <row r="187">
          <cell r="N187"/>
          <cell r="R187">
            <v>53847</v>
          </cell>
          <cell r="S187">
            <v>135722</v>
          </cell>
          <cell r="V187"/>
        </row>
        <row r="188">
          <cell r="N188"/>
          <cell r="R188">
            <v>53934</v>
          </cell>
          <cell r="S188">
            <v>135809</v>
          </cell>
          <cell r="V188"/>
        </row>
        <row r="189">
          <cell r="N189"/>
          <cell r="R189">
            <v>54009</v>
          </cell>
          <cell r="S189">
            <v>135884</v>
          </cell>
          <cell r="V189"/>
        </row>
        <row r="190">
          <cell r="N190"/>
          <cell r="R190">
            <v>54157</v>
          </cell>
          <cell r="S190">
            <v>136032</v>
          </cell>
          <cell r="V190"/>
        </row>
        <row r="191">
          <cell r="N191"/>
          <cell r="R191">
            <v>54318</v>
          </cell>
          <cell r="S191">
            <v>136193</v>
          </cell>
          <cell r="V191"/>
        </row>
        <row r="192">
          <cell r="N192"/>
          <cell r="R192">
            <v>54405</v>
          </cell>
          <cell r="S192">
            <v>136280</v>
          </cell>
          <cell r="V192"/>
        </row>
        <row r="193">
          <cell r="N193"/>
          <cell r="R193">
            <v>54575</v>
          </cell>
          <cell r="S193">
            <v>136450</v>
          </cell>
          <cell r="V193"/>
        </row>
        <row r="194">
          <cell r="N194"/>
          <cell r="R194">
            <v>54715</v>
          </cell>
          <cell r="S194">
            <v>136590</v>
          </cell>
          <cell r="V194"/>
        </row>
        <row r="195">
          <cell r="N195"/>
          <cell r="R195">
            <v>54864</v>
          </cell>
          <cell r="S195">
            <v>136739</v>
          </cell>
          <cell r="V195"/>
        </row>
        <row r="196">
          <cell r="N196"/>
          <cell r="R196">
            <v>55066</v>
          </cell>
          <cell r="S196">
            <v>136941</v>
          </cell>
          <cell r="V196"/>
        </row>
        <row r="197">
          <cell r="N197"/>
          <cell r="R197">
            <v>55132</v>
          </cell>
          <cell r="S197">
            <v>137007</v>
          </cell>
          <cell r="V197"/>
        </row>
        <row r="198">
          <cell r="N198"/>
          <cell r="R198">
            <v>55092</v>
          </cell>
          <cell r="S198">
            <v>136967</v>
          </cell>
          <cell r="V198"/>
        </row>
        <row r="199">
          <cell r="N199"/>
          <cell r="R199">
            <v>55092</v>
          </cell>
          <cell r="S199">
            <v>139096</v>
          </cell>
          <cell r="V199"/>
        </row>
        <row r="200">
          <cell r="N200"/>
          <cell r="R200">
            <v>55114</v>
          </cell>
          <cell r="S200">
            <v>139118</v>
          </cell>
          <cell r="V200"/>
        </row>
        <row r="201">
          <cell r="N201"/>
          <cell r="R201">
            <v>55132</v>
          </cell>
          <cell r="S201">
            <v>139136</v>
          </cell>
          <cell r="V201"/>
        </row>
        <row r="202">
          <cell r="N202"/>
          <cell r="R202">
            <v>55324</v>
          </cell>
          <cell r="S202">
            <v>139328</v>
          </cell>
          <cell r="V202"/>
        </row>
        <row r="203">
          <cell r="N203"/>
          <cell r="R203"/>
          <cell r="S203">
            <v>84004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9">
        <row r="175">
          <cell r="N175">
            <v>7000</v>
          </cell>
          <cell r="R175"/>
          <cell r="S175">
            <v>212535</v>
          </cell>
          <cell r="V175"/>
        </row>
        <row r="176">
          <cell r="N176">
            <v>7000</v>
          </cell>
          <cell r="R176"/>
          <cell r="S176">
            <v>195740</v>
          </cell>
          <cell r="V176">
            <v>408275</v>
          </cell>
        </row>
        <row r="177">
          <cell r="N177">
            <v>7000</v>
          </cell>
          <cell r="R177"/>
          <cell r="S177">
            <v>204321</v>
          </cell>
          <cell r="V177">
            <v>204321</v>
          </cell>
        </row>
        <row r="178">
          <cell r="N178">
            <v>7000</v>
          </cell>
          <cell r="R178"/>
          <cell r="S178">
            <v>165430</v>
          </cell>
          <cell r="V178">
            <v>165430</v>
          </cell>
        </row>
        <row r="179">
          <cell r="N179">
            <v>7000</v>
          </cell>
          <cell r="R179"/>
          <cell r="S179">
            <v>144643</v>
          </cell>
          <cell r="V179">
            <v>140912</v>
          </cell>
        </row>
        <row r="180">
          <cell r="N180">
            <v>7000</v>
          </cell>
          <cell r="R180"/>
          <cell r="S180">
            <v>118237</v>
          </cell>
          <cell r="V180">
            <v>118237</v>
          </cell>
        </row>
        <row r="181">
          <cell r="N181">
            <v>7000</v>
          </cell>
          <cell r="R181"/>
          <cell r="S181">
            <v>119259</v>
          </cell>
          <cell r="V181">
            <v>122990</v>
          </cell>
        </row>
        <row r="182">
          <cell r="N182">
            <v>7981</v>
          </cell>
          <cell r="R182"/>
          <cell r="S182">
            <v>127223</v>
          </cell>
          <cell r="V182"/>
        </row>
        <row r="183">
          <cell r="N183">
            <v>7997</v>
          </cell>
          <cell r="R183"/>
          <cell r="S183">
            <v>126451</v>
          </cell>
          <cell r="V183">
            <v>253654</v>
          </cell>
        </row>
        <row r="184">
          <cell r="N184">
            <v>7990</v>
          </cell>
          <cell r="R184"/>
          <cell r="S184">
            <v>139288</v>
          </cell>
          <cell r="V184">
            <v>139308</v>
          </cell>
        </row>
        <row r="185">
          <cell r="N185">
            <v>8019</v>
          </cell>
          <cell r="R185"/>
          <cell r="S185">
            <v>169586</v>
          </cell>
          <cell r="V185">
            <v>169586</v>
          </cell>
        </row>
        <row r="186">
          <cell r="N186">
            <v>8039</v>
          </cell>
          <cell r="R186"/>
          <cell r="S186">
            <v>170512</v>
          </cell>
          <cell r="V186"/>
        </row>
        <row r="187">
          <cell r="N187">
            <v>8047</v>
          </cell>
          <cell r="R187"/>
          <cell r="S187">
            <v>177093</v>
          </cell>
          <cell r="V187">
            <v>347605</v>
          </cell>
        </row>
        <row r="188">
          <cell r="N188">
            <v>8077</v>
          </cell>
          <cell r="R188"/>
          <cell r="S188">
            <v>182892</v>
          </cell>
          <cell r="V188"/>
        </row>
        <row r="189">
          <cell r="N189">
            <v>8090</v>
          </cell>
          <cell r="R189"/>
          <cell r="S189">
            <v>190965</v>
          </cell>
          <cell r="V189">
            <v>373852</v>
          </cell>
        </row>
        <row r="190">
          <cell r="N190">
            <v>8101</v>
          </cell>
          <cell r="R190"/>
          <cell r="S190">
            <v>187050</v>
          </cell>
          <cell r="V190">
            <v>187055</v>
          </cell>
        </row>
        <row r="191">
          <cell r="N191">
            <v>8123</v>
          </cell>
          <cell r="R191"/>
          <cell r="S191">
            <v>159761</v>
          </cell>
          <cell r="V191"/>
        </row>
        <row r="192">
          <cell r="N192">
            <v>8148</v>
          </cell>
          <cell r="R192"/>
          <cell r="S192">
            <v>121407</v>
          </cell>
          <cell r="V192">
            <v>281268</v>
          </cell>
        </row>
        <row r="193">
          <cell r="N193">
            <v>8161</v>
          </cell>
          <cell r="R193"/>
          <cell r="S193">
            <v>96752</v>
          </cell>
          <cell r="V193"/>
        </row>
        <row r="194">
          <cell r="N194">
            <v>8186</v>
          </cell>
          <cell r="R194"/>
          <cell r="S194">
            <v>96193</v>
          </cell>
          <cell r="V194">
            <v>192845</v>
          </cell>
        </row>
        <row r="195">
          <cell r="N195">
            <v>8207</v>
          </cell>
          <cell r="R195"/>
          <cell r="S195">
            <v>136969</v>
          </cell>
          <cell r="V195"/>
        </row>
        <row r="196">
          <cell r="N196">
            <v>8230</v>
          </cell>
          <cell r="R196"/>
          <cell r="S196">
            <v>110967</v>
          </cell>
          <cell r="V196">
            <v>247936</v>
          </cell>
        </row>
        <row r="197">
          <cell r="N197">
            <v>8260</v>
          </cell>
          <cell r="R197"/>
          <cell r="S197">
            <v>149446</v>
          </cell>
          <cell r="V197">
            <v>149446</v>
          </cell>
        </row>
        <row r="198">
          <cell r="N198">
            <v>8270</v>
          </cell>
          <cell r="R198"/>
          <cell r="S198">
            <v>148710</v>
          </cell>
          <cell r="V198">
            <v>148710</v>
          </cell>
        </row>
        <row r="199">
          <cell r="N199">
            <v>8264</v>
          </cell>
          <cell r="R199">
            <v>55092</v>
          </cell>
          <cell r="S199">
            <v>207439</v>
          </cell>
          <cell r="V199"/>
        </row>
        <row r="200">
          <cell r="N200">
            <v>8267</v>
          </cell>
          <cell r="R200">
            <v>55114</v>
          </cell>
          <cell r="S200">
            <v>236886</v>
          </cell>
          <cell r="V200">
            <v>444325</v>
          </cell>
        </row>
        <row r="201">
          <cell r="N201">
            <v>8270</v>
          </cell>
          <cell r="R201"/>
          <cell r="S201">
            <v>152253</v>
          </cell>
          <cell r="V201">
            <v>181772</v>
          </cell>
        </row>
        <row r="202">
          <cell r="N202">
            <v>8299</v>
          </cell>
          <cell r="R202"/>
          <cell r="S202">
            <v>142112</v>
          </cell>
          <cell r="V202">
            <v>112593</v>
          </cell>
        </row>
        <row r="203">
          <cell r="N203">
            <v>8329</v>
          </cell>
          <cell r="R203"/>
          <cell r="S203">
            <v>141729</v>
          </cell>
          <cell r="V203"/>
        </row>
        <row r="204">
          <cell r="N204"/>
          <cell r="R204"/>
          <cell r="S204">
            <v>-9853633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0">
        <row r="175">
          <cell r="N175">
            <v>7000</v>
          </cell>
          <cell r="R175"/>
          <cell r="S175">
            <v>92141</v>
          </cell>
          <cell r="V175">
            <v>92141</v>
          </cell>
        </row>
        <row r="176">
          <cell r="N176">
            <v>7000</v>
          </cell>
          <cell r="R176"/>
          <cell r="S176">
            <v>92141</v>
          </cell>
          <cell r="V176">
            <v>92141</v>
          </cell>
        </row>
        <row r="177">
          <cell r="N177">
            <v>7000</v>
          </cell>
          <cell r="R177"/>
          <cell r="S177">
            <v>92141</v>
          </cell>
          <cell r="V177">
            <v>92141</v>
          </cell>
        </row>
        <row r="178">
          <cell r="N178">
            <v>7000</v>
          </cell>
          <cell r="R178"/>
          <cell r="S178">
            <v>92141</v>
          </cell>
          <cell r="V178">
            <v>92141</v>
          </cell>
        </row>
        <row r="179">
          <cell r="N179">
            <v>7000</v>
          </cell>
          <cell r="R179"/>
          <cell r="S179">
            <v>92141</v>
          </cell>
          <cell r="V179">
            <v>92141</v>
          </cell>
        </row>
        <row r="180">
          <cell r="N180">
            <v>7000</v>
          </cell>
          <cell r="R180"/>
          <cell r="S180">
            <v>92141</v>
          </cell>
          <cell r="V180">
            <v>92141</v>
          </cell>
        </row>
        <row r="181">
          <cell r="N181">
            <v>7000</v>
          </cell>
          <cell r="R181"/>
          <cell r="S181">
            <v>92141</v>
          </cell>
          <cell r="V181">
            <v>92141</v>
          </cell>
        </row>
        <row r="182">
          <cell r="N182">
            <v>7981</v>
          </cell>
          <cell r="R182"/>
          <cell r="S182">
            <v>93122</v>
          </cell>
          <cell r="V182"/>
        </row>
        <row r="183">
          <cell r="N183">
            <v>7997</v>
          </cell>
          <cell r="R183"/>
          <cell r="S183">
            <v>93138</v>
          </cell>
          <cell r="V183">
            <v>186260</v>
          </cell>
        </row>
        <row r="184">
          <cell r="N184">
            <v>7990</v>
          </cell>
          <cell r="R184"/>
          <cell r="S184">
            <v>93131</v>
          </cell>
          <cell r="V184">
            <v>93131</v>
          </cell>
        </row>
        <row r="185">
          <cell r="N185">
            <v>8019</v>
          </cell>
          <cell r="R185"/>
          <cell r="S185">
            <v>93160</v>
          </cell>
          <cell r="V185">
            <v>93160</v>
          </cell>
        </row>
        <row r="186">
          <cell r="N186">
            <v>8039</v>
          </cell>
          <cell r="R186"/>
          <cell r="S186">
            <v>93180</v>
          </cell>
          <cell r="V186">
            <v>93160</v>
          </cell>
        </row>
        <row r="187">
          <cell r="N187">
            <v>8047</v>
          </cell>
          <cell r="R187"/>
          <cell r="S187">
            <v>94922</v>
          </cell>
          <cell r="V187">
            <v>94942</v>
          </cell>
        </row>
        <row r="188">
          <cell r="N188">
            <v>8077</v>
          </cell>
          <cell r="R188"/>
          <cell r="S188">
            <v>94952</v>
          </cell>
          <cell r="V188">
            <v>94952</v>
          </cell>
        </row>
        <row r="189">
          <cell r="N189">
            <v>8090</v>
          </cell>
          <cell r="R189"/>
          <cell r="S189">
            <v>94965</v>
          </cell>
          <cell r="V189">
            <v>94965</v>
          </cell>
        </row>
        <row r="190">
          <cell r="N190">
            <v>8101</v>
          </cell>
          <cell r="R190"/>
          <cell r="S190">
            <v>94976</v>
          </cell>
          <cell r="V190">
            <v>94976</v>
          </cell>
        </row>
        <row r="191">
          <cell r="N191">
            <v>8123</v>
          </cell>
          <cell r="R191"/>
          <cell r="S191">
            <v>94998</v>
          </cell>
          <cell r="V191">
            <v>94998</v>
          </cell>
        </row>
        <row r="192">
          <cell r="N192">
            <v>8148</v>
          </cell>
          <cell r="R192"/>
          <cell r="S192">
            <v>95023</v>
          </cell>
          <cell r="V192">
            <v>95023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>
            <v>55092</v>
          </cell>
          <cell r="S199">
            <v>147360</v>
          </cell>
          <cell r="V199">
            <v>90145</v>
          </cell>
        </row>
        <row r="200">
          <cell r="N200">
            <v>8267</v>
          </cell>
          <cell r="R200">
            <v>55114</v>
          </cell>
          <cell r="S200">
            <v>147385</v>
          </cell>
          <cell r="V200">
            <v>200000</v>
          </cell>
        </row>
        <row r="201">
          <cell r="N201">
            <v>8270</v>
          </cell>
          <cell r="R201"/>
          <cell r="S201">
            <v>92274</v>
          </cell>
          <cell r="V201"/>
        </row>
        <row r="202">
          <cell r="N202">
            <v>8299</v>
          </cell>
          <cell r="R202"/>
          <cell r="S202">
            <v>92303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1">
        <row r="175">
          <cell r="N175"/>
          <cell r="R175"/>
          <cell r="S175">
            <v>124072</v>
          </cell>
          <cell r="V175">
            <v>124072</v>
          </cell>
        </row>
        <row r="176">
          <cell r="N176"/>
          <cell r="R176"/>
          <cell r="S176">
            <v>117614</v>
          </cell>
          <cell r="V176">
            <v>117614</v>
          </cell>
        </row>
        <row r="177">
          <cell r="N177"/>
          <cell r="R177"/>
          <cell r="S177">
            <v>121206</v>
          </cell>
          <cell r="V177">
            <v>121206</v>
          </cell>
        </row>
        <row r="178">
          <cell r="N178"/>
          <cell r="R178"/>
          <cell r="S178">
            <v>100882</v>
          </cell>
          <cell r="V178">
            <v>100882</v>
          </cell>
        </row>
        <row r="179">
          <cell r="N179"/>
          <cell r="R179"/>
          <cell r="S179">
            <v>91742</v>
          </cell>
          <cell r="V179">
            <v>91742</v>
          </cell>
        </row>
        <row r="180">
          <cell r="N180"/>
          <cell r="R180"/>
          <cell r="S180">
            <v>86419</v>
          </cell>
          <cell r="V180">
            <v>86419</v>
          </cell>
        </row>
        <row r="181">
          <cell r="N181"/>
          <cell r="R181"/>
          <cell r="S181">
            <v>90453</v>
          </cell>
          <cell r="V181">
            <v>90453</v>
          </cell>
        </row>
        <row r="182">
          <cell r="N182"/>
          <cell r="R182"/>
          <cell r="S182">
            <v>89944</v>
          </cell>
          <cell r="V182">
            <v>89944</v>
          </cell>
        </row>
        <row r="183">
          <cell r="N183"/>
          <cell r="R183"/>
          <cell r="S183">
            <v>93736</v>
          </cell>
          <cell r="V183">
            <v>93736</v>
          </cell>
        </row>
        <row r="184">
          <cell r="N184"/>
          <cell r="R184"/>
          <cell r="S184">
            <v>93786</v>
          </cell>
          <cell r="V184">
            <v>93780</v>
          </cell>
        </row>
        <row r="185">
          <cell r="N185"/>
          <cell r="R185"/>
          <cell r="S185">
            <v>111194</v>
          </cell>
          <cell r="V185">
            <v>111200</v>
          </cell>
        </row>
        <row r="186">
          <cell r="N186"/>
          <cell r="R186"/>
          <cell r="S186">
            <v>117239</v>
          </cell>
          <cell r="V186">
            <v>117239</v>
          </cell>
        </row>
        <row r="187">
          <cell r="N187"/>
          <cell r="R187"/>
          <cell r="S187">
            <v>127024</v>
          </cell>
          <cell r="V187">
            <v>127024</v>
          </cell>
        </row>
        <row r="188">
          <cell r="N188"/>
          <cell r="R188"/>
          <cell r="S188">
            <v>118568</v>
          </cell>
          <cell r="V188">
            <v>118568</v>
          </cell>
        </row>
        <row r="189">
          <cell r="N189"/>
          <cell r="R189"/>
          <cell r="S189">
            <v>114993</v>
          </cell>
          <cell r="V189">
            <v>114993</v>
          </cell>
        </row>
        <row r="190">
          <cell r="N190"/>
          <cell r="R190"/>
          <cell r="S190">
            <v>114651</v>
          </cell>
          <cell r="V190">
            <v>114651</v>
          </cell>
        </row>
        <row r="191">
          <cell r="N191"/>
          <cell r="R191"/>
          <cell r="S191">
            <v>107238</v>
          </cell>
          <cell r="V191">
            <v>107238</v>
          </cell>
        </row>
        <row r="192">
          <cell r="N192"/>
          <cell r="R192"/>
          <cell r="S192">
            <v>90877</v>
          </cell>
          <cell r="V192">
            <v>90877</v>
          </cell>
        </row>
        <row r="193">
          <cell r="N193"/>
          <cell r="R193"/>
          <cell r="S193">
            <v>91603</v>
          </cell>
          <cell r="V193">
            <v>91603</v>
          </cell>
        </row>
        <row r="194">
          <cell r="N194"/>
          <cell r="R194"/>
          <cell r="S194">
            <v>98052</v>
          </cell>
          <cell r="V194">
            <v>98052</v>
          </cell>
        </row>
        <row r="195">
          <cell r="N195"/>
          <cell r="R195"/>
          <cell r="S195">
            <v>98511</v>
          </cell>
          <cell r="V195">
            <v>98511</v>
          </cell>
        </row>
        <row r="196">
          <cell r="N196"/>
          <cell r="R196"/>
          <cell r="S196">
            <v>101915</v>
          </cell>
          <cell r="V196">
            <v>101915</v>
          </cell>
        </row>
        <row r="197">
          <cell r="N197"/>
          <cell r="R197"/>
          <cell r="S197">
            <v>107163</v>
          </cell>
          <cell r="V197">
            <v>107163</v>
          </cell>
        </row>
        <row r="198">
          <cell r="N198"/>
          <cell r="R198"/>
          <cell r="S198">
            <v>134896</v>
          </cell>
          <cell r="V198">
            <v>134896</v>
          </cell>
        </row>
        <row r="199">
          <cell r="N199"/>
          <cell r="R199"/>
          <cell r="S199">
            <v>128456</v>
          </cell>
          <cell r="V199">
            <v>128456</v>
          </cell>
        </row>
        <row r="200">
          <cell r="N200"/>
          <cell r="R200"/>
          <cell r="S200">
            <v>142931</v>
          </cell>
          <cell r="V200">
            <v>142931</v>
          </cell>
        </row>
        <row r="201">
          <cell r="N201"/>
          <cell r="R201"/>
          <cell r="S201">
            <v>135272</v>
          </cell>
          <cell r="V201">
            <v>135270</v>
          </cell>
        </row>
        <row r="202">
          <cell r="N202"/>
          <cell r="R202"/>
          <cell r="S202">
            <v>103335</v>
          </cell>
          <cell r="V202">
            <v>103340</v>
          </cell>
        </row>
        <row r="203">
          <cell r="N203"/>
          <cell r="R203"/>
          <cell r="S203">
            <v>101391</v>
          </cell>
          <cell r="V203"/>
        </row>
        <row r="204">
          <cell r="N204"/>
          <cell r="R204"/>
          <cell r="S204">
            <v>-5788583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2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/>
        </row>
        <row r="178">
          <cell r="N178">
            <v>7000</v>
          </cell>
          <cell r="R178"/>
          <cell r="S178">
            <v>87141</v>
          </cell>
          <cell r="V178">
            <v>174282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/>
        </row>
        <row r="182">
          <cell r="N182">
            <v>7981</v>
          </cell>
          <cell r="R182"/>
          <cell r="S182">
            <v>88122</v>
          </cell>
          <cell r="V182">
            <v>175263</v>
          </cell>
        </row>
        <row r="183">
          <cell r="N183">
            <v>7997</v>
          </cell>
          <cell r="R183"/>
          <cell r="S183">
            <v>88138</v>
          </cell>
          <cell r="V183"/>
        </row>
        <row r="184">
          <cell r="N184">
            <v>7990</v>
          </cell>
          <cell r="R184"/>
          <cell r="S184">
            <v>88131</v>
          </cell>
          <cell r="V184">
            <v>176269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/>
        </row>
        <row r="188">
          <cell r="N188">
            <v>8077</v>
          </cell>
          <cell r="R188"/>
          <cell r="S188">
            <v>89952</v>
          </cell>
          <cell r="V188">
            <v>179874</v>
          </cell>
        </row>
        <row r="189">
          <cell r="N189">
            <v>8090</v>
          </cell>
          <cell r="R189"/>
          <cell r="S189">
            <v>89965</v>
          </cell>
          <cell r="V189"/>
        </row>
        <row r="190">
          <cell r="N190">
            <v>8101</v>
          </cell>
          <cell r="R190"/>
          <cell r="S190">
            <v>89976</v>
          </cell>
          <cell r="V190">
            <v>179941</v>
          </cell>
        </row>
        <row r="191">
          <cell r="N191">
            <v>8123</v>
          </cell>
          <cell r="R191"/>
          <cell r="S191">
            <v>89998</v>
          </cell>
          <cell r="V191"/>
        </row>
        <row r="192">
          <cell r="N192">
            <v>8148</v>
          </cell>
          <cell r="R192"/>
          <cell r="S192">
            <v>90023</v>
          </cell>
          <cell r="V192">
            <v>180021</v>
          </cell>
        </row>
        <row r="193">
          <cell r="N193">
            <v>8161</v>
          </cell>
          <cell r="R193"/>
          <cell r="S193">
            <v>90036</v>
          </cell>
          <cell r="V193"/>
        </row>
        <row r="194">
          <cell r="N194">
            <v>8186</v>
          </cell>
          <cell r="R194"/>
          <cell r="S194">
            <v>90061</v>
          </cell>
          <cell r="V194">
            <v>180097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>
            <v>55066</v>
          </cell>
          <cell r="S196">
            <v>145171</v>
          </cell>
          <cell r="V196"/>
        </row>
        <row r="197">
          <cell r="N197">
            <v>8260</v>
          </cell>
          <cell r="R197">
            <v>55132</v>
          </cell>
          <cell r="S197">
            <v>145267</v>
          </cell>
          <cell r="V197"/>
        </row>
        <row r="198">
          <cell r="N198">
            <v>8270</v>
          </cell>
          <cell r="R198"/>
          <cell r="S198">
            <v>90145</v>
          </cell>
          <cell r="V198">
            <v>380583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/>
        </row>
        <row r="201">
          <cell r="N201">
            <v>8270</v>
          </cell>
          <cell r="R201"/>
          <cell r="S201">
            <v>92274</v>
          </cell>
          <cell r="V201">
            <v>184545</v>
          </cell>
        </row>
        <row r="202">
          <cell r="N202">
            <v>8299</v>
          </cell>
          <cell r="R202"/>
          <cell r="S202">
            <v>92303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3">
        <row r="175">
          <cell r="N175">
            <v>7000</v>
          </cell>
          <cell r="R175"/>
          <cell r="S175">
            <v>206114</v>
          </cell>
          <cell r="V175">
            <v>206114</v>
          </cell>
        </row>
        <row r="176">
          <cell r="N176">
            <v>7000</v>
          </cell>
          <cell r="R176"/>
          <cell r="S176">
            <v>184128</v>
          </cell>
          <cell r="V176">
            <v>184128</v>
          </cell>
        </row>
        <row r="177">
          <cell r="N177">
            <v>7000</v>
          </cell>
          <cell r="R177"/>
          <cell r="S177">
            <v>187244</v>
          </cell>
          <cell r="V177">
            <v>187244</v>
          </cell>
        </row>
        <row r="178">
          <cell r="N178">
            <v>7000</v>
          </cell>
          <cell r="R178"/>
          <cell r="S178">
            <v>165181</v>
          </cell>
          <cell r="V178">
            <v>165181</v>
          </cell>
        </row>
        <row r="179">
          <cell r="N179">
            <v>7000</v>
          </cell>
          <cell r="R179"/>
          <cell r="S179">
            <v>139859</v>
          </cell>
          <cell r="V179">
            <v>139859</v>
          </cell>
        </row>
        <row r="180">
          <cell r="N180">
            <v>7000</v>
          </cell>
          <cell r="R180"/>
          <cell r="S180">
            <v>131044</v>
          </cell>
          <cell r="V180">
            <v>131044</v>
          </cell>
        </row>
        <row r="181">
          <cell r="N181">
            <v>7000</v>
          </cell>
          <cell r="R181"/>
          <cell r="S181">
            <v>133401</v>
          </cell>
          <cell r="V181">
            <v>133401</v>
          </cell>
        </row>
        <row r="182">
          <cell r="N182">
            <v>7981</v>
          </cell>
          <cell r="R182"/>
          <cell r="S182">
            <v>136939</v>
          </cell>
          <cell r="V182">
            <v>136939</v>
          </cell>
        </row>
        <row r="183">
          <cell r="N183">
            <v>7997</v>
          </cell>
          <cell r="R183"/>
          <cell r="S183">
            <v>139020</v>
          </cell>
          <cell r="V183">
            <v>139020</v>
          </cell>
        </row>
        <row r="184">
          <cell r="N184">
            <v>7990</v>
          </cell>
          <cell r="R184">
            <v>0</v>
          </cell>
          <cell r="S184">
            <v>154073</v>
          </cell>
          <cell r="V184">
            <v>154073</v>
          </cell>
        </row>
        <row r="185">
          <cell r="N185">
            <v>8019</v>
          </cell>
          <cell r="R185">
            <v>0</v>
          </cell>
          <cell r="S185">
            <v>197933</v>
          </cell>
          <cell r="V185">
            <v>197933</v>
          </cell>
        </row>
        <row r="186">
          <cell r="N186">
            <v>8039</v>
          </cell>
          <cell r="R186">
            <v>0</v>
          </cell>
          <cell r="S186">
            <v>185213</v>
          </cell>
          <cell r="V186">
            <v>185213</v>
          </cell>
        </row>
        <row r="187">
          <cell r="N187">
            <v>8047</v>
          </cell>
          <cell r="R187">
            <v>0</v>
          </cell>
          <cell r="S187">
            <v>207442</v>
          </cell>
          <cell r="V187">
            <v>207442</v>
          </cell>
        </row>
        <row r="188">
          <cell r="N188">
            <v>8077</v>
          </cell>
          <cell r="R188">
            <v>0</v>
          </cell>
          <cell r="S188">
            <v>180148</v>
          </cell>
          <cell r="V188">
            <v>180148</v>
          </cell>
        </row>
        <row r="189">
          <cell r="N189">
            <v>8090</v>
          </cell>
          <cell r="R189">
            <v>0</v>
          </cell>
          <cell r="S189">
            <v>193685</v>
          </cell>
          <cell r="V189">
            <v>193685</v>
          </cell>
        </row>
        <row r="190">
          <cell r="N190">
            <v>8101</v>
          </cell>
          <cell r="R190">
            <v>0</v>
          </cell>
          <cell r="S190">
            <v>176580</v>
          </cell>
          <cell r="V190">
            <v>176580</v>
          </cell>
        </row>
        <row r="191">
          <cell r="N191">
            <v>8123</v>
          </cell>
          <cell r="R191">
            <v>0</v>
          </cell>
          <cell r="S191">
            <v>174178</v>
          </cell>
          <cell r="V191">
            <v>174178</v>
          </cell>
        </row>
        <row r="192">
          <cell r="N192">
            <v>8148</v>
          </cell>
          <cell r="R192">
            <v>0</v>
          </cell>
          <cell r="S192">
            <v>173181</v>
          </cell>
          <cell r="V192">
            <v>173181</v>
          </cell>
        </row>
        <row r="193">
          <cell r="N193">
            <v>8161</v>
          </cell>
          <cell r="R193">
            <v>0</v>
          </cell>
          <cell r="S193">
            <v>147255</v>
          </cell>
          <cell r="V193">
            <v>147255</v>
          </cell>
        </row>
        <row r="194">
          <cell r="N194">
            <v>8186</v>
          </cell>
          <cell r="R194">
            <v>0</v>
          </cell>
          <cell r="S194">
            <v>143813</v>
          </cell>
          <cell r="V194">
            <v>143813</v>
          </cell>
        </row>
        <row r="195">
          <cell r="N195">
            <v>8207</v>
          </cell>
          <cell r="R195">
            <v>0</v>
          </cell>
          <cell r="S195">
            <v>130608</v>
          </cell>
          <cell r="V195">
            <v>130608</v>
          </cell>
        </row>
        <row r="196">
          <cell r="N196">
            <v>8230</v>
          </cell>
          <cell r="R196">
            <v>0</v>
          </cell>
          <cell r="S196">
            <v>132763</v>
          </cell>
          <cell r="V196">
            <v>132763</v>
          </cell>
        </row>
        <row r="197">
          <cell r="N197">
            <v>8260</v>
          </cell>
          <cell r="R197">
            <v>0</v>
          </cell>
          <cell r="S197">
            <v>163008</v>
          </cell>
          <cell r="V197">
            <v>163008</v>
          </cell>
        </row>
        <row r="198">
          <cell r="N198">
            <v>8270</v>
          </cell>
          <cell r="R198">
            <v>0</v>
          </cell>
          <cell r="S198">
            <v>179187</v>
          </cell>
          <cell r="V198">
            <v>179187</v>
          </cell>
        </row>
        <row r="199">
          <cell r="N199">
            <v>8264</v>
          </cell>
          <cell r="R199">
            <v>0</v>
          </cell>
          <cell r="S199">
            <v>175641</v>
          </cell>
          <cell r="V199">
            <v>175641</v>
          </cell>
        </row>
        <row r="200">
          <cell r="N200">
            <v>8267</v>
          </cell>
          <cell r="R200">
            <v>0</v>
          </cell>
          <cell r="S200">
            <v>178222</v>
          </cell>
          <cell r="V200">
            <v>178222</v>
          </cell>
        </row>
        <row r="201">
          <cell r="N201">
            <v>8270</v>
          </cell>
          <cell r="R201">
            <v>0</v>
          </cell>
          <cell r="S201">
            <v>167771</v>
          </cell>
          <cell r="V201">
            <v>167771</v>
          </cell>
        </row>
        <row r="202">
          <cell r="N202">
            <v>8299</v>
          </cell>
          <cell r="R202">
            <v>0</v>
          </cell>
          <cell r="S202">
            <v>165885</v>
          </cell>
          <cell r="V202">
            <v>165885</v>
          </cell>
        </row>
        <row r="203">
          <cell r="N203">
            <v>8329</v>
          </cell>
          <cell r="R203">
            <v>0</v>
          </cell>
          <cell r="S203">
            <v>168960</v>
          </cell>
          <cell r="V203"/>
        </row>
        <row r="204">
          <cell r="N204"/>
          <cell r="R204">
            <v>0</v>
          </cell>
          <cell r="S204">
            <v>-9150755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14">
        <row r="175">
          <cell r="N175"/>
          <cell r="R175"/>
          <cell r="S175">
            <v>80141</v>
          </cell>
          <cell r="V175">
            <v>80141</v>
          </cell>
        </row>
        <row r="176">
          <cell r="N176"/>
          <cell r="R176"/>
          <cell r="S176">
            <v>80141</v>
          </cell>
          <cell r="V176">
            <v>80141</v>
          </cell>
        </row>
        <row r="177">
          <cell r="N177"/>
          <cell r="R177"/>
          <cell r="S177">
            <v>80141</v>
          </cell>
          <cell r="V177">
            <v>80141</v>
          </cell>
        </row>
        <row r="178">
          <cell r="N178"/>
          <cell r="R178"/>
          <cell r="S178">
            <v>80141</v>
          </cell>
          <cell r="V178">
            <v>80141</v>
          </cell>
        </row>
        <row r="179">
          <cell r="N179"/>
          <cell r="R179"/>
          <cell r="S179">
            <v>80141</v>
          </cell>
          <cell r="V179">
            <v>80141</v>
          </cell>
        </row>
        <row r="180">
          <cell r="N180"/>
          <cell r="R180"/>
          <cell r="S180">
            <v>80141</v>
          </cell>
          <cell r="V180">
            <v>80141</v>
          </cell>
        </row>
        <row r="181">
          <cell r="N181"/>
          <cell r="R181"/>
          <cell r="S181">
            <v>80141</v>
          </cell>
          <cell r="V181">
            <v>80141</v>
          </cell>
        </row>
        <row r="182">
          <cell r="N182"/>
          <cell r="R182"/>
          <cell r="S182">
            <v>80141</v>
          </cell>
          <cell r="V182">
            <v>80141</v>
          </cell>
        </row>
        <row r="183">
          <cell r="N183"/>
          <cell r="R183"/>
          <cell r="S183">
            <v>80141</v>
          </cell>
          <cell r="V183">
            <v>80141</v>
          </cell>
        </row>
        <row r="184">
          <cell r="N184"/>
          <cell r="R184"/>
          <cell r="S184">
            <v>80141</v>
          </cell>
          <cell r="V184">
            <v>80141</v>
          </cell>
        </row>
        <row r="185">
          <cell r="N185"/>
          <cell r="R185"/>
          <cell r="S185">
            <v>80141</v>
          </cell>
          <cell r="V185">
            <v>80141</v>
          </cell>
        </row>
        <row r="186">
          <cell r="N186"/>
          <cell r="R186"/>
          <cell r="S186">
            <v>80141</v>
          </cell>
          <cell r="V186">
            <v>80141</v>
          </cell>
        </row>
        <row r="187">
          <cell r="N187"/>
          <cell r="R187"/>
          <cell r="S187">
            <v>81875</v>
          </cell>
          <cell r="V187">
            <v>80141</v>
          </cell>
        </row>
        <row r="188">
          <cell r="N188"/>
          <cell r="R188"/>
          <cell r="S188">
            <v>81875</v>
          </cell>
          <cell r="V188">
            <v>80141</v>
          </cell>
        </row>
        <row r="189">
          <cell r="N189"/>
          <cell r="R189"/>
          <cell r="S189">
            <v>81875</v>
          </cell>
          <cell r="V189">
            <v>85343</v>
          </cell>
        </row>
        <row r="190">
          <cell r="N190"/>
          <cell r="R190"/>
          <cell r="S190">
            <v>81875</v>
          </cell>
          <cell r="V190">
            <v>81875</v>
          </cell>
        </row>
        <row r="191">
          <cell r="N191"/>
          <cell r="R191"/>
          <cell r="S191">
            <v>81875</v>
          </cell>
          <cell r="V191">
            <v>81875</v>
          </cell>
        </row>
        <row r="192">
          <cell r="N192"/>
          <cell r="R192"/>
          <cell r="S192">
            <v>81875</v>
          </cell>
          <cell r="V192">
            <v>81875</v>
          </cell>
        </row>
        <row r="193">
          <cell r="N193"/>
          <cell r="R193"/>
          <cell r="S193">
            <v>81875</v>
          </cell>
          <cell r="V193">
            <v>81875</v>
          </cell>
        </row>
        <row r="194">
          <cell r="N194"/>
          <cell r="R194"/>
          <cell r="S194">
            <v>81875</v>
          </cell>
          <cell r="V194">
            <v>81875</v>
          </cell>
        </row>
        <row r="195">
          <cell r="N195"/>
          <cell r="R195"/>
          <cell r="S195">
            <v>81875</v>
          </cell>
          <cell r="V195">
            <v>81875</v>
          </cell>
        </row>
        <row r="196">
          <cell r="N196"/>
          <cell r="R196"/>
          <cell r="S196">
            <v>81875</v>
          </cell>
          <cell r="V196">
            <v>81875</v>
          </cell>
        </row>
        <row r="197">
          <cell r="N197"/>
          <cell r="R197"/>
          <cell r="S197">
            <v>81875</v>
          </cell>
          <cell r="V197">
            <v>81875</v>
          </cell>
        </row>
        <row r="198">
          <cell r="N198"/>
          <cell r="R198"/>
          <cell r="S198">
            <v>81875</v>
          </cell>
          <cell r="V198">
            <v>81875</v>
          </cell>
        </row>
        <row r="199">
          <cell r="N199"/>
          <cell r="R199"/>
          <cell r="S199">
            <v>84004</v>
          </cell>
          <cell r="V199">
            <v>84004</v>
          </cell>
        </row>
        <row r="200">
          <cell r="N200"/>
          <cell r="R200"/>
          <cell r="S200">
            <v>84004</v>
          </cell>
          <cell r="V200">
            <v>84004</v>
          </cell>
        </row>
        <row r="201">
          <cell r="N201"/>
          <cell r="R201"/>
          <cell r="S201">
            <v>84004</v>
          </cell>
          <cell r="V201">
            <v>84004</v>
          </cell>
        </row>
        <row r="202">
          <cell r="N202"/>
          <cell r="R202"/>
          <cell r="S202">
            <v>84004</v>
          </cell>
          <cell r="V202">
            <v>84004</v>
          </cell>
        </row>
        <row r="203">
          <cell r="N203"/>
          <cell r="R203"/>
          <cell r="S203">
            <v>84004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5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>
            <v>7997</v>
          </cell>
          <cell r="R183"/>
          <cell r="S183">
            <v>88138</v>
          </cell>
          <cell r="V183">
            <v>88138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6">
        <row r="175">
          <cell r="N175">
            <v>7000</v>
          </cell>
          <cell r="R175"/>
          <cell r="S175">
            <v>166364</v>
          </cell>
          <cell r="V175">
            <v>167000</v>
          </cell>
        </row>
        <row r="176">
          <cell r="N176">
            <v>7000</v>
          </cell>
          <cell r="R176"/>
          <cell r="S176">
            <v>163348</v>
          </cell>
          <cell r="V176">
            <v>162502</v>
          </cell>
        </row>
        <row r="177">
          <cell r="N177">
            <v>7000</v>
          </cell>
          <cell r="R177"/>
          <cell r="S177">
            <v>157241</v>
          </cell>
          <cell r="V177">
            <v>157241</v>
          </cell>
        </row>
        <row r="178">
          <cell r="N178">
            <v>7000</v>
          </cell>
          <cell r="R178"/>
          <cell r="S178">
            <v>151868</v>
          </cell>
          <cell r="V178">
            <v>151868</v>
          </cell>
        </row>
        <row r="179">
          <cell r="N179">
            <v>7000</v>
          </cell>
          <cell r="R179"/>
          <cell r="S179">
            <v>154692</v>
          </cell>
          <cell r="V179">
            <v>154692</v>
          </cell>
        </row>
        <row r="180">
          <cell r="N180">
            <v>7000</v>
          </cell>
          <cell r="R180"/>
          <cell r="S180">
            <v>144359</v>
          </cell>
          <cell r="V180">
            <v>144359</v>
          </cell>
        </row>
        <row r="181">
          <cell r="N181">
            <v>7000</v>
          </cell>
          <cell r="R181"/>
          <cell r="S181">
            <v>133921</v>
          </cell>
          <cell r="V181">
            <v>133921</v>
          </cell>
        </row>
        <row r="182">
          <cell r="N182">
            <v>7981</v>
          </cell>
          <cell r="R182"/>
          <cell r="S182">
            <v>136650</v>
          </cell>
          <cell r="V182">
            <v>136650</v>
          </cell>
        </row>
        <row r="183">
          <cell r="N183">
            <v>7997</v>
          </cell>
          <cell r="R183"/>
          <cell r="S183">
            <v>148279</v>
          </cell>
          <cell r="V183">
            <v>148279</v>
          </cell>
        </row>
        <row r="184">
          <cell r="N184">
            <v>7990</v>
          </cell>
          <cell r="R184">
            <v>0</v>
          </cell>
          <cell r="S184">
            <v>146749</v>
          </cell>
          <cell r="V184">
            <v>146749</v>
          </cell>
        </row>
        <row r="185">
          <cell r="N185">
            <v>8019</v>
          </cell>
          <cell r="R185">
            <v>0</v>
          </cell>
          <cell r="S185">
            <v>149214</v>
          </cell>
          <cell r="V185">
            <v>149214</v>
          </cell>
        </row>
        <row r="186">
          <cell r="N186">
            <v>8039</v>
          </cell>
          <cell r="R186">
            <v>0</v>
          </cell>
          <cell r="S186">
            <v>182941</v>
          </cell>
          <cell r="V186">
            <v>182491</v>
          </cell>
        </row>
        <row r="187">
          <cell r="N187">
            <v>8047</v>
          </cell>
          <cell r="R187">
            <v>0</v>
          </cell>
          <cell r="S187">
            <v>223089</v>
          </cell>
          <cell r="V187">
            <v>180000</v>
          </cell>
        </row>
        <row r="188">
          <cell r="N188">
            <v>8077</v>
          </cell>
          <cell r="R188">
            <v>0</v>
          </cell>
          <cell r="S188">
            <v>159283</v>
          </cell>
          <cell r="V188">
            <v>170000</v>
          </cell>
        </row>
        <row r="189">
          <cell r="N189">
            <v>8090</v>
          </cell>
          <cell r="R189">
            <v>0</v>
          </cell>
          <cell r="S189">
            <v>161115</v>
          </cell>
          <cell r="V189">
            <v>170000</v>
          </cell>
        </row>
        <row r="190">
          <cell r="N190">
            <v>8101</v>
          </cell>
          <cell r="R190">
            <v>0</v>
          </cell>
          <cell r="S190">
            <v>145875</v>
          </cell>
          <cell r="V190">
            <v>150000</v>
          </cell>
        </row>
        <row r="191">
          <cell r="N191">
            <v>8123</v>
          </cell>
          <cell r="R191">
            <v>0</v>
          </cell>
          <cell r="S191">
            <v>146881</v>
          </cell>
          <cell r="V191">
            <v>120000</v>
          </cell>
        </row>
        <row r="192">
          <cell r="N192">
            <v>8148</v>
          </cell>
          <cell r="R192">
            <v>0</v>
          </cell>
          <cell r="S192">
            <v>170616</v>
          </cell>
          <cell r="V192">
            <v>120000</v>
          </cell>
        </row>
        <row r="193">
          <cell r="N193">
            <v>8161</v>
          </cell>
          <cell r="R193">
            <v>0</v>
          </cell>
          <cell r="S193">
            <v>159896</v>
          </cell>
          <cell r="V193">
            <v>120000</v>
          </cell>
        </row>
        <row r="194">
          <cell r="N194">
            <v>8186</v>
          </cell>
          <cell r="R194">
            <v>0</v>
          </cell>
          <cell r="S194">
            <v>148754</v>
          </cell>
          <cell r="V194">
            <v>120000</v>
          </cell>
        </row>
        <row r="195">
          <cell r="N195">
            <v>8207</v>
          </cell>
          <cell r="R195">
            <v>0</v>
          </cell>
          <cell r="S195">
            <v>141158</v>
          </cell>
          <cell r="V195">
            <v>307117</v>
          </cell>
        </row>
        <row r="196">
          <cell r="N196">
            <v>8230</v>
          </cell>
          <cell r="R196">
            <v>0</v>
          </cell>
          <cell r="S196">
            <v>136008</v>
          </cell>
          <cell r="V196">
            <v>136008</v>
          </cell>
        </row>
        <row r="197">
          <cell r="N197">
            <v>8260</v>
          </cell>
          <cell r="R197">
            <v>0</v>
          </cell>
          <cell r="S197">
            <v>148457</v>
          </cell>
          <cell r="V197">
            <v>130000</v>
          </cell>
        </row>
        <row r="198">
          <cell r="N198">
            <v>8270</v>
          </cell>
          <cell r="R198">
            <v>0</v>
          </cell>
          <cell r="S198">
            <v>149944</v>
          </cell>
          <cell r="V198">
            <v>168401</v>
          </cell>
        </row>
        <row r="199">
          <cell r="N199">
            <v>8264</v>
          </cell>
          <cell r="R199">
            <v>0</v>
          </cell>
          <cell r="S199">
            <v>152234</v>
          </cell>
          <cell r="V199">
            <v>152234</v>
          </cell>
        </row>
        <row r="200">
          <cell r="N200">
            <v>8267</v>
          </cell>
          <cell r="R200">
            <v>0</v>
          </cell>
          <cell r="S200">
            <v>168172</v>
          </cell>
          <cell r="V200">
            <v>168172</v>
          </cell>
        </row>
        <row r="201">
          <cell r="N201">
            <v>8270</v>
          </cell>
          <cell r="R201">
            <v>55132</v>
          </cell>
          <cell r="S201">
            <v>197114</v>
          </cell>
          <cell r="V201"/>
        </row>
        <row r="202">
          <cell r="N202">
            <v>8299</v>
          </cell>
          <cell r="R202">
            <v>55324</v>
          </cell>
          <cell r="S202">
            <v>179289</v>
          </cell>
          <cell r="V202"/>
        </row>
        <row r="203">
          <cell r="N203">
            <v>8329</v>
          </cell>
          <cell r="R203">
            <v>0</v>
          </cell>
          <cell r="S203">
            <v>111422</v>
          </cell>
          <cell r="V203"/>
        </row>
        <row r="204">
          <cell r="N204"/>
          <cell r="R204">
            <v>0</v>
          </cell>
          <cell r="S204">
            <v>-10226113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17">
        <row r="175">
          <cell r="N175">
            <v>7000</v>
          </cell>
          <cell r="R175"/>
          <cell r="S175">
            <v>191142</v>
          </cell>
          <cell r="V175">
            <v>191142</v>
          </cell>
        </row>
        <row r="176">
          <cell r="N176">
            <v>7000</v>
          </cell>
          <cell r="R176"/>
          <cell r="S176">
            <v>168728</v>
          </cell>
          <cell r="V176">
            <v>168728</v>
          </cell>
        </row>
        <row r="177">
          <cell r="N177">
            <v>7000</v>
          </cell>
          <cell r="R177"/>
          <cell r="S177">
            <v>164002</v>
          </cell>
          <cell r="V177">
            <v>164012</v>
          </cell>
        </row>
        <row r="178">
          <cell r="N178">
            <v>7000</v>
          </cell>
          <cell r="R178"/>
          <cell r="S178">
            <v>146269</v>
          </cell>
          <cell r="V178">
            <v>146259</v>
          </cell>
        </row>
        <row r="179">
          <cell r="N179">
            <v>7000</v>
          </cell>
          <cell r="R179"/>
          <cell r="S179">
            <v>118194</v>
          </cell>
          <cell r="V179">
            <v>118194</v>
          </cell>
        </row>
        <row r="180">
          <cell r="N180">
            <v>7000</v>
          </cell>
          <cell r="R180"/>
          <cell r="S180">
            <v>118523</v>
          </cell>
          <cell r="V180">
            <v>118523</v>
          </cell>
        </row>
        <row r="181">
          <cell r="N181">
            <v>7000</v>
          </cell>
          <cell r="R181"/>
          <cell r="S181">
            <v>107581</v>
          </cell>
          <cell r="V181">
            <v>107581</v>
          </cell>
        </row>
        <row r="182">
          <cell r="N182">
            <v>7981</v>
          </cell>
          <cell r="R182"/>
          <cell r="S182">
            <v>114327</v>
          </cell>
          <cell r="V182">
            <v>114327</v>
          </cell>
        </row>
        <row r="183">
          <cell r="N183">
            <v>7997</v>
          </cell>
          <cell r="R183"/>
          <cell r="S183">
            <v>139560</v>
          </cell>
          <cell r="V183">
            <v>139560</v>
          </cell>
        </row>
        <row r="184">
          <cell r="N184">
            <v>7990</v>
          </cell>
          <cell r="R184"/>
          <cell r="S184">
            <v>133200</v>
          </cell>
          <cell r="V184">
            <v>133200</v>
          </cell>
        </row>
        <row r="185">
          <cell r="N185">
            <v>8019</v>
          </cell>
          <cell r="R185"/>
          <cell r="S185">
            <v>150199</v>
          </cell>
          <cell r="V185">
            <v>150199</v>
          </cell>
        </row>
        <row r="186">
          <cell r="N186">
            <v>8039</v>
          </cell>
          <cell r="R186"/>
          <cell r="S186">
            <v>163506</v>
          </cell>
          <cell r="V186">
            <v>163506</v>
          </cell>
        </row>
        <row r="187">
          <cell r="N187">
            <v>8047</v>
          </cell>
          <cell r="R187"/>
          <cell r="S187">
            <v>170942</v>
          </cell>
          <cell r="V187">
            <v>170942</v>
          </cell>
        </row>
        <row r="188">
          <cell r="N188">
            <v>8077</v>
          </cell>
          <cell r="R188"/>
          <cell r="S188">
            <v>153906</v>
          </cell>
          <cell r="V188">
            <v>153906</v>
          </cell>
        </row>
        <row r="189">
          <cell r="N189">
            <v>8090</v>
          </cell>
          <cell r="R189"/>
          <cell r="S189">
            <v>157886</v>
          </cell>
          <cell r="V189">
            <v>157886</v>
          </cell>
        </row>
        <row r="190">
          <cell r="N190">
            <v>8101</v>
          </cell>
          <cell r="R190"/>
          <cell r="S190">
            <v>152937</v>
          </cell>
          <cell r="V190">
            <v>152937</v>
          </cell>
        </row>
        <row r="191">
          <cell r="N191">
            <v>8123</v>
          </cell>
          <cell r="R191"/>
          <cell r="S191">
            <v>149426</v>
          </cell>
          <cell r="V191">
            <v>149426</v>
          </cell>
        </row>
        <row r="192">
          <cell r="N192">
            <v>8148</v>
          </cell>
          <cell r="R192"/>
          <cell r="S192">
            <v>118368</v>
          </cell>
          <cell r="V192">
            <v>118368</v>
          </cell>
        </row>
        <row r="193">
          <cell r="N193">
            <v>8161</v>
          </cell>
          <cell r="R193"/>
          <cell r="S193">
            <v>116216</v>
          </cell>
          <cell r="V193">
            <v>116216</v>
          </cell>
        </row>
        <row r="194">
          <cell r="N194">
            <v>8186</v>
          </cell>
          <cell r="R194"/>
          <cell r="S194">
            <v>125823</v>
          </cell>
          <cell r="V194">
            <v>125823</v>
          </cell>
        </row>
        <row r="195">
          <cell r="N195">
            <v>8207</v>
          </cell>
          <cell r="R195"/>
          <cell r="S195">
            <v>135689</v>
          </cell>
          <cell r="V195">
            <v>135869</v>
          </cell>
        </row>
        <row r="196">
          <cell r="N196">
            <v>8230</v>
          </cell>
          <cell r="R196"/>
          <cell r="S196">
            <v>124011</v>
          </cell>
          <cell r="V196">
            <v>123831</v>
          </cell>
        </row>
        <row r="197">
          <cell r="N197">
            <v>8260</v>
          </cell>
          <cell r="R197"/>
          <cell r="S197">
            <v>140281</v>
          </cell>
          <cell r="V197">
            <v>140281</v>
          </cell>
        </row>
        <row r="198">
          <cell r="N198">
            <v>8270</v>
          </cell>
          <cell r="R198"/>
          <cell r="S198">
            <v>147875</v>
          </cell>
          <cell r="V198">
            <v>147875</v>
          </cell>
        </row>
        <row r="199">
          <cell r="N199">
            <v>8264</v>
          </cell>
          <cell r="R199"/>
          <cell r="S199">
            <v>165462</v>
          </cell>
          <cell r="V199">
            <v>165462</v>
          </cell>
        </row>
        <row r="200">
          <cell r="N200">
            <v>8267</v>
          </cell>
          <cell r="R200"/>
          <cell r="S200">
            <v>162987</v>
          </cell>
          <cell r="V200">
            <v>162987</v>
          </cell>
        </row>
        <row r="201">
          <cell r="N201">
            <v>8270</v>
          </cell>
          <cell r="R201"/>
          <cell r="S201">
            <v>161918</v>
          </cell>
          <cell r="V201">
            <v>161918</v>
          </cell>
        </row>
        <row r="202">
          <cell r="N202">
            <v>8299</v>
          </cell>
          <cell r="R202"/>
          <cell r="S202">
            <v>150588</v>
          </cell>
          <cell r="V202">
            <v>150588</v>
          </cell>
        </row>
        <row r="203">
          <cell r="N203">
            <v>8329</v>
          </cell>
          <cell r="R203"/>
          <cell r="S203">
            <v>142162</v>
          </cell>
          <cell r="V203"/>
        </row>
        <row r="204">
          <cell r="N204"/>
          <cell r="R204"/>
          <cell r="S204">
            <v>-17005210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18">
        <row r="175">
          <cell r="N175">
            <v>7000</v>
          </cell>
          <cell r="R175"/>
          <cell r="S175">
            <v>179350</v>
          </cell>
          <cell r="V175">
            <v>179350</v>
          </cell>
        </row>
        <row r="176">
          <cell r="N176">
            <v>7000</v>
          </cell>
          <cell r="R176"/>
          <cell r="S176">
            <v>161691</v>
          </cell>
          <cell r="V176">
            <v>161691</v>
          </cell>
        </row>
        <row r="177">
          <cell r="N177">
            <v>7000</v>
          </cell>
          <cell r="R177"/>
          <cell r="S177">
            <v>168862</v>
          </cell>
          <cell r="V177">
            <v>168862</v>
          </cell>
        </row>
        <row r="178">
          <cell r="N178">
            <v>7000</v>
          </cell>
          <cell r="R178"/>
          <cell r="S178">
            <v>148029</v>
          </cell>
          <cell r="V178">
            <v>148029</v>
          </cell>
        </row>
        <row r="179">
          <cell r="N179">
            <v>7000</v>
          </cell>
          <cell r="R179"/>
          <cell r="S179">
            <v>137628</v>
          </cell>
          <cell r="V179">
            <v>137628</v>
          </cell>
        </row>
        <row r="180">
          <cell r="N180">
            <v>7000</v>
          </cell>
          <cell r="R180"/>
          <cell r="S180">
            <v>138775</v>
          </cell>
          <cell r="V180">
            <v>138775</v>
          </cell>
        </row>
        <row r="181">
          <cell r="N181">
            <v>7000</v>
          </cell>
          <cell r="R181"/>
          <cell r="S181">
            <v>137261</v>
          </cell>
          <cell r="V181">
            <v>137261</v>
          </cell>
        </row>
        <row r="182">
          <cell r="N182">
            <v>7981</v>
          </cell>
          <cell r="R182"/>
          <cell r="S182">
            <v>131630</v>
          </cell>
          <cell r="V182">
            <v>126599</v>
          </cell>
        </row>
        <row r="183">
          <cell r="N183">
            <v>7997</v>
          </cell>
          <cell r="R183"/>
          <cell r="S183">
            <v>152212</v>
          </cell>
          <cell r="V183">
            <v>157243</v>
          </cell>
        </row>
        <row r="184">
          <cell r="N184">
            <v>7990</v>
          </cell>
          <cell r="R184"/>
          <cell r="S184">
            <v>128440</v>
          </cell>
          <cell r="V184">
            <v>128440</v>
          </cell>
        </row>
        <row r="185">
          <cell r="N185">
            <v>8019</v>
          </cell>
          <cell r="R185">
            <v>0</v>
          </cell>
          <cell r="S185">
            <v>155130</v>
          </cell>
          <cell r="V185">
            <v>155130</v>
          </cell>
        </row>
        <row r="186">
          <cell r="N186">
            <v>8039</v>
          </cell>
          <cell r="R186">
            <v>0</v>
          </cell>
          <cell r="S186">
            <v>145418</v>
          </cell>
          <cell r="V186"/>
        </row>
        <row r="187">
          <cell r="N187">
            <v>8047</v>
          </cell>
          <cell r="R187">
            <v>0</v>
          </cell>
          <cell r="S187">
            <v>163158</v>
          </cell>
          <cell r="V187">
            <v>308576</v>
          </cell>
        </row>
        <row r="188">
          <cell r="N188">
            <v>8077</v>
          </cell>
          <cell r="R188">
            <v>0</v>
          </cell>
          <cell r="S188">
            <v>152025</v>
          </cell>
          <cell r="V188">
            <v>152025</v>
          </cell>
        </row>
        <row r="189">
          <cell r="N189">
            <v>8090</v>
          </cell>
          <cell r="R189">
            <v>0</v>
          </cell>
          <cell r="S189">
            <v>161428</v>
          </cell>
          <cell r="V189">
            <v>161428</v>
          </cell>
        </row>
        <row r="190">
          <cell r="N190">
            <v>8101</v>
          </cell>
          <cell r="R190">
            <v>0</v>
          </cell>
          <cell r="S190">
            <v>162924</v>
          </cell>
          <cell r="V190">
            <v>162924</v>
          </cell>
        </row>
        <row r="191">
          <cell r="N191">
            <v>8123</v>
          </cell>
          <cell r="R191">
            <v>0</v>
          </cell>
          <cell r="S191">
            <v>191324</v>
          </cell>
          <cell r="V191">
            <v>191324</v>
          </cell>
        </row>
        <row r="192">
          <cell r="N192">
            <v>8148</v>
          </cell>
          <cell r="R192">
            <v>0</v>
          </cell>
          <cell r="S192">
            <v>133068</v>
          </cell>
          <cell r="V192">
            <v>133068</v>
          </cell>
        </row>
        <row r="193">
          <cell r="N193">
            <v>8161</v>
          </cell>
          <cell r="R193">
            <v>0</v>
          </cell>
          <cell r="S193">
            <v>140210</v>
          </cell>
          <cell r="V193">
            <v>140210</v>
          </cell>
        </row>
        <row r="194">
          <cell r="N194">
            <v>8186</v>
          </cell>
          <cell r="R194">
            <v>0</v>
          </cell>
          <cell r="S194">
            <v>139092</v>
          </cell>
          <cell r="V194">
            <v>139092</v>
          </cell>
        </row>
        <row r="195">
          <cell r="N195">
            <v>8207</v>
          </cell>
          <cell r="R195">
            <v>0</v>
          </cell>
          <cell r="S195">
            <v>148741</v>
          </cell>
          <cell r="V195">
            <v>148741</v>
          </cell>
        </row>
        <row r="196">
          <cell r="N196">
            <v>8230</v>
          </cell>
          <cell r="R196">
            <v>0</v>
          </cell>
          <cell r="S196">
            <v>150667</v>
          </cell>
          <cell r="V196">
            <v>150667</v>
          </cell>
        </row>
        <row r="197">
          <cell r="N197">
            <v>8260</v>
          </cell>
          <cell r="R197">
            <v>0</v>
          </cell>
          <cell r="S197">
            <v>169816</v>
          </cell>
          <cell r="V197">
            <v>169816</v>
          </cell>
        </row>
        <row r="198">
          <cell r="N198">
            <v>8270</v>
          </cell>
          <cell r="R198">
            <v>0</v>
          </cell>
          <cell r="S198">
            <v>148309</v>
          </cell>
          <cell r="V198">
            <v>148309</v>
          </cell>
        </row>
        <row r="199">
          <cell r="N199">
            <v>8264</v>
          </cell>
          <cell r="R199">
            <v>0</v>
          </cell>
          <cell r="S199">
            <v>149677</v>
          </cell>
          <cell r="V199">
            <v>149677</v>
          </cell>
        </row>
        <row r="200">
          <cell r="N200">
            <v>8267</v>
          </cell>
          <cell r="R200">
            <v>0</v>
          </cell>
          <cell r="S200">
            <v>153338</v>
          </cell>
          <cell r="V200">
            <v>153338</v>
          </cell>
        </row>
        <row r="201">
          <cell r="N201">
            <v>8270</v>
          </cell>
          <cell r="R201">
            <v>0</v>
          </cell>
          <cell r="S201">
            <v>129209</v>
          </cell>
          <cell r="V201">
            <v>129209</v>
          </cell>
        </row>
        <row r="202">
          <cell r="N202">
            <v>8299</v>
          </cell>
          <cell r="R202">
            <v>0</v>
          </cell>
          <cell r="S202">
            <v>135809</v>
          </cell>
          <cell r="V202">
            <v>135809</v>
          </cell>
        </row>
        <row r="203">
          <cell r="N203">
            <v>8329</v>
          </cell>
          <cell r="R203">
            <v>0</v>
          </cell>
          <cell r="S203">
            <v>139898</v>
          </cell>
          <cell r="V203"/>
        </row>
        <row r="204">
          <cell r="N204"/>
          <cell r="R204">
            <v>0</v>
          </cell>
          <cell r="S204">
            <v>-12301537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19">
        <row r="175">
          <cell r="N175">
            <v>7000</v>
          </cell>
          <cell r="R175"/>
          <cell r="S175">
            <v>165287</v>
          </cell>
          <cell r="V175">
            <v>165287</v>
          </cell>
        </row>
        <row r="176">
          <cell r="N176">
            <v>7000</v>
          </cell>
          <cell r="R176"/>
          <cell r="S176">
            <v>148321</v>
          </cell>
          <cell r="V176">
            <v>148321</v>
          </cell>
        </row>
        <row r="177">
          <cell r="N177">
            <v>7000</v>
          </cell>
          <cell r="R177"/>
          <cell r="S177">
            <v>150953</v>
          </cell>
          <cell r="V177">
            <v>150953</v>
          </cell>
        </row>
        <row r="178">
          <cell r="N178">
            <v>7000</v>
          </cell>
          <cell r="R178"/>
          <cell r="S178">
            <v>150123</v>
          </cell>
          <cell r="V178">
            <v>146392</v>
          </cell>
        </row>
        <row r="179">
          <cell r="N179">
            <v>7000</v>
          </cell>
          <cell r="R179"/>
          <cell r="S179">
            <v>123099</v>
          </cell>
          <cell r="V179">
            <v>126830</v>
          </cell>
        </row>
        <row r="180">
          <cell r="N180">
            <v>7000</v>
          </cell>
          <cell r="R180"/>
          <cell r="S180">
            <v>114735</v>
          </cell>
          <cell r="V180">
            <v>114735</v>
          </cell>
        </row>
        <row r="181">
          <cell r="N181">
            <v>7000</v>
          </cell>
          <cell r="R181"/>
          <cell r="S181">
            <v>115561</v>
          </cell>
          <cell r="V181">
            <v>115561</v>
          </cell>
        </row>
        <row r="182">
          <cell r="N182">
            <v>7981</v>
          </cell>
          <cell r="R182"/>
          <cell r="S182">
            <v>126345</v>
          </cell>
          <cell r="V182">
            <v>126345</v>
          </cell>
        </row>
        <row r="183">
          <cell r="N183">
            <v>7997</v>
          </cell>
          <cell r="R183"/>
          <cell r="S183">
            <v>114535</v>
          </cell>
          <cell r="V183">
            <v>114535</v>
          </cell>
        </row>
        <row r="184">
          <cell r="N184">
            <v>7990</v>
          </cell>
          <cell r="R184"/>
          <cell r="S184">
            <v>117152</v>
          </cell>
          <cell r="V184">
            <v>117152</v>
          </cell>
        </row>
        <row r="185">
          <cell r="N185">
            <v>8019</v>
          </cell>
          <cell r="R185"/>
          <cell r="S185">
            <v>148593</v>
          </cell>
          <cell r="V185">
            <v>148593</v>
          </cell>
        </row>
        <row r="186">
          <cell r="N186">
            <v>8039</v>
          </cell>
          <cell r="R186"/>
          <cell r="S186">
            <v>167719</v>
          </cell>
          <cell r="V186">
            <v>167719</v>
          </cell>
        </row>
        <row r="187">
          <cell r="N187">
            <v>8047</v>
          </cell>
          <cell r="R187"/>
          <cell r="S187">
            <v>211998</v>
          </cell>
          <cell r="V187">
            <v>211998</v>
          </cell>
        </row>
        <row r="188">
          <cell r="N188">
            <v>8077</v>
          </cell>
          <cell r="R188"/>
          <cell r="S188">
            <v>171693</v>
          </cell>
          <cell r="V188">
            <v>171693</v>
          </cell>
        </row>
        <row r="189">
          <cell r="N189">
            <v>8090</v>
          </cell>
          <cell r="R189"/>
          <cell r="S189">
            <v>174968</v>
          </cell>
          <cell r="V189">
            <v>174968</v>
          </cell>
        </row>
        <row r="190">
          <cell r="N190">
            <v>8101</v>
          </cell>
          <cell r="R190"/>
          <cell r="S190">
            <v>161647</v>
          </cell>
          <cell r="V190">
            <v>161647</v>
          </cell>
        </row>
        <row r="191">
          <cell r="N191">
            <v>8123</v>
          </cell>
          <cell r="R191"/>
          <cell r="S191">
            <v>278012</v>
          </cell>
          <cell r="V191">
            <v>278012</v>
          </cell>
        </row>
        <row r="192">
          <cell r="N192">
            <v>8148</v>
          </cell>
          <cell r="R192"/>
          <cell r="S192">
            <v>115619</v>
          </cell>
          <cell r="V192">
            <v>393631</v>
          </cell>
        </row>
        <row r="193">
          <cell r="N193">
            <v>8161</v>
          </cell>
          <cell r="R193"/>
          <cell r="S193">
            <v>110184</v>
          </cell>
          <cell r="V193"/>
        </row>
        <row r="194">
          <cell r="N194">
            <v>8186</v>
          </cell>
          <cell r="R194"/>
          <cell r="S194">
            <v>114418</v>
          </cell>
          <cell r="V194"/>
        </row>
        <row r="195">
          <cell r="N195">
            <v>8207</v>
          </cell>
          <cell r="R195"/>
          <cell r="S195">
            <v>112320</v>
          </cell>
          <cell r="V195"/>
        </row>
        <row r="196">
          <cell r="N196">
            <v>8230</v>
          </cell>
          <cell r="R196"/>
          <cell r="S196">
            <v>125592</v>
          </cell>
          <cell r="V196">
            <v>184502</v>
          </cell>
        </row>
        <row r="197">
          <cell r="N197">
            <v>8260</v>
          </cell>
          <cell r="R197"/>
          <cell r="S197">
            <v>151853</v>
          </cell>
          <cell r="V197">
            <v>151853</v>
          </cell>
        </row>
        <row r="198">
          <cell r="N198">
            <v>8270</v>
          </cell>
          <cell r="R198"/>
          <cell r="S198">
            <v>165817</v>
          </cell>
          <cell r="V198">
            <v>165817</v>
          </cell>
        </row>
        <row r="199">
          <cell r="N199">
            <v>8264</v>
          </cell>
          <cell r="R199"/>
          <cell r="S199">
            <v>184342</v>
          </cell>
          <cell r="V199">
            <v>184342</v>
          </cell>
        </row>
        <row r="200">
          <cell r="N200">
            <v>8267</v>
          </cell>
          <cell r="R200"/>
          <cell r="S200">
            <v>200368</v>
          </cell>
          <cell r="V200">
            <v>200368</v>
          </cell>
        </row>
        <row r="201">
          <cell r="N201">
            <v>8270</v>
          </cell>
          <cell r="R201"/>
          <cell r="S201">
            <v>186267</v>
          </cell>
          <cell r="V201">
            <v>186267</v>
          </cell>
        </row>
        <row r="202">
          <cell r="N202">
            <v>8299</v>
          </cell>
          <cell r="R202"/>
          <cell r="S202">
            <v>180635</v>
          </cell>
          <cell r="V202">
            <v>180635</v>
          </cell>
        </row>
        <row r="203">
          <cell r="N203">
            <v>8329</v>
          </cell>
          <cell r="R203"/>
          <cell r="S203">
            <v>184703</v>
          </cell>
          <cell r="V203"/>
        </row>
        <row r="204">
          <cell r="N204"/>
          <cell r="R204"/>
          <cell r="S204">
            <v>-9142977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0">
        <row r="175">
          <cell r="N175">
            <v>7000</v>
          </cell>
          <cell r="R175"/>
          <cell r="S175">
            <v>87141</v>
          </cell>
          <cell r="V175"/>
        </row>
        <row r="176">
          <cell r="N176">
            <v>7000</v>
          </cell>
          <cell r="R176"/>
          <cell r="S176">
            <v>87141</v>
          </cell>
          <cell r="V176"/>
        </row>
        <row r="177">
          <cell r="N177">
            <v>7000</v>
          </cell>
          <cell r="R177"/>
          <cell r="S177">
            <v>87141</v>
          </cell>
          <cell r="V177"/>
        </row>
        <row r="178">
          <cell r="N178">
            <v>7000</v>
          </cell>
          <cell r="R178"/>
          <cell r="S178">
            <v>87141</v>
          </cell>
          <cell r="V178"/>
        </row>
        <row r="179">
          <cell r="N179">
            <v>7000</v>
          </cell>
          <cell r="R179"/>
          <cell r="S179">
            <v>87141</v>
          </cell>
          <cell r="V179"/>
        </row>
        <row r="180">
          <cell r="N180">
            <v>7000</v>
          </cell>
          <cell r="R180"/>
          <cell r="S180">
            <v>87141</v>
          </cell>
          <cell r="V180"/>
        </row>
        <row r="181">
          <cell r="N181">
            <v>7000</v>
          </cell>
          <cell r="R181"/>
          <cell r="S181">
            <v>87141</v>
          </cell>
          <cell r="V181">
            <v>408455</v>
          </cell>
        </row>
        <row r="182">
          <cell r="N182">
            <v>7981</v>
          </cell>
          <cell r="R182"/>
          <cell r="S182">
            <v>88122</v>
          </cell>
          <cell r="V182"/>
        </row>
        <row r="183">
          <cell r="N183">
            <v>7997</v>
          </cell>
          <cell r="R183"/>
          <cell r="S183">
            <v>88138</v>
          </cell>
          <cell r="V183"/>
        </row>
        <row r="184">
          <cell r="N184">
            <v>7990</v>
          </cell>
          <cell r="R184"/>
          <cell r="S184">
            <v>88131</v>
          </cell>
          <cell r="V184"/>
        </row>
        <row r="185">
          <cell r="N185">
            <v>8019</v>
          </cell>
          <cell r="R185"/>
          <cell r="S185">
            <v>88160</v>
          </cell>
          <cell r="V185"/>
        </row>
        <row r="186">
          <cell r="N186">
            <v>8039</v>
          </cell>
          <cell r="R186"/>
          <cell r="S186">
            <v>88180</v>
          </cell>
          <cell r="V186"/>
        </row>
        <row r="187">
          <cell r="N187">
            <v>8047</v>
          </cell>
          <cell r="R187"/>
          <cell r="S187">
            <v>89922</v>
          </cell>
          <cell r="V187"/>
        </row>
        <row r="188">
          <cell r="N188">
            <v>8077</v>
          </cell>
          <cell r="R188"/>
          <cell r="S188">
            <v>89952</v>
          </cell>
          <cell r="V188"/>
        </row>
        <row r="189">
          <cell r="N189">
            <v>8090</v>
          </cell>
          <cell r="R189"/>
          <cell r="S189">
            <v>89965</v>
          </cell>
          <cell r="V189"/>
        </row>
        <row r="190">
          <cell r="N190">
            <v>8101</v>
          </cell>
          <cell r="R190"/>
          <cell r="S190">
            <v>89976</v>
          </cell>
          <cell r="V190"/>
        </row>
        <row r="191">
          <cell r="N191">
            <v>8123</v>
          </cell>
          <cell r="R191"/>
          <cell r="S191">
            <v>89998</v>
          </cell>
          <cell r="V191"/>
        </row>
        <row r="192">
          <cell r="N192">
            <v>8148</v>
          </cell>
          <cell r="R192"/>
          <cell r="S192">
            <v>90023</v>
          </cell>
          <cell r="V192"/>
        </row>
        <row r="193">
          <cell r="N193">
            <v>8161</v>
          </cell>
          <cell r="R193"/>
          <cell r="S193">
            <v>90036</v>
          </cell>
          <cell r="V193"/>
        </row>
        <row r="194">
          <cell r="N194">
            <v>8186</v>
          </cell>
          <cell r="R194"/>
          <cell r="S194">
            <v>90061</v>
          </cell>
          <cell r="V194"/>
        </row>
        <row r="195">
          <cell r="N195">
            <v>8207</v>
          </cell>
          <cell r="R195"/>
          <cell r="S195">
            <v>90082</v>
          </cell>
          <cell r="V195"/>
        </row>
        <row r="196">
          <cell r="N196">
            <v>8230</v>
          </cell>
          <cell r="R196"/>
          <cell r="S196">
            <v>90105</v>
          </cell>
          <cell r="V196"/>
        </row>
        <row r="197">
          <cell r="N197">
            <v>8260</v>
          </cell>
          <cell r="R197"/>
          <cell r="S197">
            <v>90135</v>
          </cell>
          <cell r="V197"/>
        </row>
        <row r="198">
          <cell r="N198">
            <v>8270</v>
          </cell>
          <cell r="R198"/>
          <cell r="S198">
            <v>90145</v>
          </cell>
          <cell r="V198">
            <v>1520255</v>
          </cell>
        </row>
        <row r="199">
          <cell r="N199">
            <v>8264</v>
          </cell>
          <cell r="R199">
            <v>55092</v>
          </cell>
          <cell r="S199">
            <v>147360</v>
          </cell>
          <cell r="V199"/>
        </row>
        <row r="200">
          <cell r="N200">
            <v>8267</v>
          </cell>
          <cell r="R200">
            <v>55114</v>
          </cell>
          <cell r="S200">
            <v>147385</v>
          </cell>
          <cell r="V200"/>
        </row>
        <row r="201">
          <cell r="N201">
            <v>8270</v>
          </cell>
          <cell r="R201">
            <v>55132</v>
          </cell>
          <cell r="S201">
            <v>147406</v>
          </cell>
          <cell r="V201"/>
        </row>
        <row r="202">
          <cell r="N202">
            <v>8299</v>
          </cell>
          <cell r="R202">
            <v>55324</v>
          </cell>
          <cell r="S202">
            <v>147627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1">
        <row r="175">
          <cell r="N175">
            <v>7000</v>
          </cell>
          <cell r="R175"/>
          <cell r="S175">
            <v>134279</v>
          </cell>
          <cell r="V175">
            <v>253718</v>
          </cell>
        </row>
        <row r="176">
          <cell r="N176">
            <v>7000</v>
          </cell>
          <cell r="R176"/>
          <cell r="S176">
            <v>140703</v>
          </cell>
          <cell r="V176"/>
        </row>
        <row r="177">
          <cell r="N177">
            <v>7000</v>
          </cell>
          <cell r="R177"/>
          <cell r="S177">
            <v>129811</v>
          </cell>
          <cell r="V177">
            <v>270514</v>
          </cell>
        </row>
        <row r="178">
          <cell r="N178">
            <v>7000</v>
          </cell>
          <cell r="R178"/>
          <cell r="S178">
            <v>125790</v>
          </cell>
          <cell r="V178"/>
        </row>
        <row r="179">
          <cell r="N179">
            <v>7000</v>
          </cell>
          <cell r="R179"/>
          <cell r="S179">
            <v>116917</v>
          </cell>
          <cell r="V179">
            <v>242707</v>
          </cell>
        </row>
        <row r="180">
          <cell r="N180">
            <v>7000</v>
          </cell>
          <cell r="R180"/>
          <cell r="S180">
            <v>112587</v>
          </cell>
          <cell r="V180"/>
        </row>
        <row r="181">
          <cell r="N181">
            <v>7000</v>
          </cell>
          <cell r="R181"/>
          <cell r="S181">
            <v>105825</v>
          </cell>
          <cell r="V181">
            <v>218412</v>
          </cell>
        </row>
        <row r="182">
          <cell r="N182">
            <v>7981</v>
          </cell>
          <cell r="R182"/>
          <cell r="S182">
            <v>103306</v>
          </cell>
          <cell r="V182"/>
        </row>
        <row r="183">
          <cell r="N183">
            <v>7997</v>
          </cell>
          <cell r="R183"/>
          <cell r="S183">
            <v>110618</v>
          </cell>
          <cell r="V183">
            <v>213924</v>
          </cell>
        </row>
        <row r="184">
          <cell r="N184">
            <v>7990</v>
          </cell>
          <cell r="R184"/>
          <cell r="S184">
            <v>230395</v>
          </cell>
          <cell r="V184">
            <v>230395</v>
          </cell>
        </row>
        <row r="185">
          <cell r="N185">
            <v>8019</v>
          </cell>
          <cell r="R185"/>
          <cell r="S185">
            <v>125933</v>
          </cell>
          <cell r="V185"/>
        </row>
        <row r="186">
          <cell r="N186">
            <v>8039</v>
          </cell>
          <cell r="R186"/>
          <cell r="S186">
            <v>121068</v>
          </cell>
          <cell r="V186">
            <v>247001</v>
          </cell>
        </row>
        <row r="187">
          <cell r="N187">
            <v>8047</v>
          </cell>
          <cell r="R187"/>
          <cell r="S187">
            <v>128813</v>
          </cell>
          <cell r="V187"/>
        </row>
        <row r="188">
          <cell r="N188">
            <v>8077</v>
          </cell>
          <cell r="R188"/>
          <cell r="S188">
            <v>126995</v>
          </cell>
          <cell r="V188">
            <v>255808</v>
          </cell>
        </row>
        <row r="189">
          <cell r="N189">
            <v>8090</v>
          </cell>
          <cell r="R189"/>
          <cell r="S189">
            <v>123141</v>
          </cell>
          <cell r="V189"/>
        </row>
        <row r="190">
          <cell r="N190">
            <v>8101</v>
          </cell>
          <cell r="R190"/>
          <cell r="S190">
            <v>113253</v>
          </cell>
          <cell r="V190">
            <v>236394</v>
          </cell>
        </row>
        <row r="191">
          <cell r="N191">
            <v>8123</v>
          </cell>
          <cell r="R191"/>
          <cell r="S191">
            <v>111352</v>
          </cell>
          <cell r="V191"/>
        </row>
        <row r="192">
          <cell r="N192">
            <v>8148</v>
          </cell>
          <cell r="R192"/>
          <cell r="S192">
            <v>107560</v>
          </cell>
          <cell r="V192">
            <v>219000</v>
          </cell>
        </row>
        <row r="193">
          <cell r="N193">
            <v>8161</v>
          </cell>
          <cell r="R193"/>
          <cell r="S193">
            <v>103439</v>
          </cell>
          <cell r="V193"/>
        </row>
        <row r="194">
          <cell r="N194">
            <v>8186</v>
          </cell>
          <cell r="R194"/>
          <cell r="S194">
            <v>106772</v>
          </cell>
          <cell r="V194">
            <v>211000</v>
          </cell>
        </row>
        <row r="195">
          <cell r="N195">
            <v>8207</v>
          </cell>
          <cell r="R195"/>
          <cell r="S195">
            <v>109784</v>
          </cell>
          <cell r="V195"/>
        </row>
        <row r="196">
          <cell r="N196">
            <v>8230</v>
          </cell>
          <cell r="R196"/>
          <cell r="S196">
            <v>115572</v>
          </cell>
          <cell r="V196">
            <v>224479</v>
          </cell>
        </row>
        <row r="197">
          <cell r="N197">
            <v>8260</v>
          </cell>
          <cell r="R197"/>
          <cell r="S197">
            <v>122314</v>
          </cell>
          <cell r="V197"/>
        </row>
        <row r="198">
          <cell r="N198">
            <v>8270</v>
          </cell>
          <cell r="R198"/>
          <cell r="S198">
            <v>134121</v>
          </cell>
          <cell r="V198">
            <v>256000</v>
          </cell>
        </row>
        <row r="199">
          <cell r="N199">
            <v>8264</v>
          </cell>
          <cell r="R199"/>
          <cell r="S199">
            <v>126341</v>
          </cell>
          <cell r="V199"/>
        </row>
        <row r="200">
          <cell r="N200">
            <v>8267</v>
          </cell>
          <cell r="R200"/>
          <cell r="S200">
            <v>135926</v>
          </cell>
          <cell r="V200">
            <v>262702</v>
          </cell>
        </row>
        <row r="201">
          <cell r="N201">
            <v>8270</v>
          </cell>
          <cell r="R201"/>
          <cell r="S201">
            <v>121754</v>
          </cell>
          <cell r="V201"/>
        </row>
        <row r="202">
          <cell r="N202">
            <v>8299</v>
          </cell>
          <cell r="R202"/>
          <cell r="S202">
            <v>108576</v>
          </cell>
          <cell r="V202">
            <v>230330</v>
          </cell>
        </row>
        <row r="203">
          <cell r="N203">
            <v>8329</v>
          </cell>
          <cell r="R203"/>
          <cell r="S203">
            <v>104326</v>
          </cell>
          <cell r="V203"/>
        </row>
        <row r="204">
          <cell r="N204"/>
          <cell r="R204"/>
          <cell r="S204">
            <v>-5261116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2">
        <row r="175">
          <cell r="N175">
            <v>7000</v>
          </cell>
          <cell r="R175"/>
          <cell r="S175">
            <v>87141</v>
          </cell>
          <cell r="V175">
            <v>59786</v>
          </cell>
        </row>
        <row r="176">
          <cell r="N176">
            <v>7000</v>
          </cell>
          <cell r="R176"/>
          <cell r="S176">
            <v>87141</v>
          </cell>
          <cell r="V176">
            <v>114496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>
            <v>7997</v>
          </cell>
          <cell r="R183"/>
          <cell r="S183">
            <v>88138</v>
          </cell>
          <cell r="V183">
            <v>88138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3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>
            <v>52944</v>
          </cell>
          <cell r="S177">
            <v>140085</v>
          </cell>
          <cell r="V177">
            <v>131613</v>
          </cell>
        </row>
        <row r="178">
          <cell r="N178">
            <v>7000</v>
          </cell>
          <cell r="R178">
            <v>53123</v>
          </cell>
          <cell r="S178">
            <v>140264</v>
          </cell>
          <cell r="V178"/>
        </row>
        <row r="179">
          <cell r="N179">
            <v>7000</v>
          </cell>
          <cell r="R179">
            <v>53262</v>
          </cell>
          <cell r="S179">
            <v>140403</v>
          </cell>
          <cell r="V179"/>
        </row>
        <row r="180">
          <cell r="N180">
            <v>7000</v>
          </cell>
          <cell r="R180">
            <v>53330</v>
          </cell>
          <cell r="S180">
            <v>140471</v>
          </cell>
          <cell r="V180">
            <v>520000</v>
          </cell>
        </row>
        <row r="181">
          <cell r="N181">
            <v>7000</v>
          </cell>
          <cell r="R181"/>
          <cell r="S181">
            <v>87141</v>
          </cell>
          <cell r="V181"/>
        </row>
        <row r="182">
          <cell r="N182">
            <v>7981</v>
          </cell>
          <cell r="R182"/>
          <cell r="S182">
            <v>88122</v>
          </cell>
          <cell r="V182"/>
        </row>
        <row r="183">
          <cell r="N183">
            <v>7997</v>
          </cell>
          <cell r="R183"/>
          <cell r="S183">
            <v>88138</v>
          </cell>
          <cell r="V183">
            <v>226206</v>
          </cell>
        </row>
        <row r="184">
          <cell r="N184">
            <v>7990</v>
          </cell>
          <cell r="R184">
            <v>53270</v>
          </cell>
          <cell r="S184">
            <v>141401</v>
          </cell>
          <cell r="V184"/>
        </row>
        <row r="185">
          <cell r="N185">
            <v>8019</v>
          </cell>
          <cell r="R185">
            <v>53462</v>
          </cell>
          <cell r="S185">
            <v>141622</v>
          </cell>
          <cell r="V185">
            <v>229828</v>
          </cell>
        </row>
        <row r="186">
          <cell r="N186">
            <v>8039</v>
          </cell>
          <cell r="R186">
            <v>53650</v>
          </cell>
          <cell r="S186">
            <v>141830</v>
          </cell>
          <cell r="V186"/>
        </row>
        <row r="187">
          <cell r="N187">
            <v>8047</v>
          </cell>
          <cell r="R187">
            <v>53847</v>
          </cell>
          <cell r="S187">
            <v>143769</v>
          </cell>
          <cell r="V187"/>
        </row>
        <row r="188">
          <cell r="N188">
            <v>8077</v>
          </cell>
          <cell r="R188">
            <v>53934</v>
          </cell>
          <cell r="S188">
            <v>143886</v>
          </cell>
          <cell r="V188"/>
        </row>
        <row r="189">
          <cell r="N189">
            <v>8090</v>
          </cell>
          <cell r="R189">
            <v>54009</v>
          </cell>
          <cell r="S189">
            <v>143974</v>
          </cell>
          <cell r="V189"/>
        </row>
        <row r="190">
          <cell r="N190">
            <v>8101</v>
          </cell>
          <cell r="R190">
            <v>54157</v>
          </cell>
          <cell r="S190">
            <v>144133</v>
          </cell>
          <cell r="V190"/>
        </row>
        <row r="191">
          <cell r="N191">
            <v>8123</v>
          </cell>
          <cell r="R191">
            <v>54318</v>
          </cell>
          <cell r="S191">
            <v>144316</v>
          </cell>
          <cell r="V191"/>
        </row>
        <row r="192">
          <cell r="N192">
            <v>8148</v>
          </cell>
          <cell r="R192">
            <v>54405</v>
          </cell>
          <cell r="S192">
            <v>144428</v>
          </cell>
          <cell r="V192"/>
        </row>
        <row r="193">
          <cell r="N193">
            <v>8161</v>
          </cell>
          <cell r="R193">
            <v>54575</v>
          </cell>
          <cell r="S193">
            <v>144611</v>
          </cell>
          <cell r="V193"/>
        </row>
        <row r="194">
          <cell r="N194">
            <v>8186</v>
          </cell>
          <cell r="R194">
            <v>54715</v>
          </cell>
          <cell r="S194">
            <v>144776</v>
          </cell>
          <cell r="V194"/>
        </row>
        <row r="195">
          <cell r="N195">
            <v>8207</v>
          </cell>
          <cell r="R195">
            <v>54864</v>
          </cell>
          <cell r="S195">
            <v>144946</v>
          </cell>
          <cell r="V195"/>
        </row>
        <row r="196">
          <cell r="N196">
            <v>8230</v>
          </cell>
          <cell r="R196">
            <v>55066</v>
          </cell>
          <cell r="S196">
            <v>145171</v>
          </cell>
          <cell r="V196"/>
        </row>
        <row r="197">
          <cell r="N197">
            <v>8260</v>
          </cell>
          <cell r="R197">
            <v>55132</v>
          </cell>
          <cell r="S197">
            <v>145267</v>
          </cell>
          <cell r="V197"/>
        </row>
        <row r="198">
          <cell r="N198">
            <v>8270</v>
          </cell>
          <cell r="R198"/>
          <cell r="S198">
            <v>90145</v>
          </cell>
          <cell r="V198"/>
        </row>
        <row r="199">
          <cell r="N199">
            <v>8264</v>
          </cell>
          <cell r="R199"/>
          <cell r="S199">
            <v>92268</v>
          </cell>
          <cell r="V199">
            <v>1913520</v>
          </cell>
        </row>
        <row r="200">
          <cell r="N200">
            <v>8267</v>
          </cell>
          <cell r="R200"/>
          <cell r="S200">
            <v>92271</v>
          </cell>
          <cell r="V200"/>
        </row>
        <row r="201">
          <cell r="N201">
            <v>8270</v>
          </cell>
          <cell r="R201"/>
          <cell r="S201">
            <v>92274</v>
          </cell>
          <cell r="V201">
            <v>100000</v>
          </cell>
        </row>
        <row r="202">
          <cell r="N202">
            <v>8299</v>
          </cell>
          <cell r="R202"/>
          <cell r="S202">
            <v>92303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4">
        <row r="175">
          <cell r="N175">
            <v>7000</v>
          </cell>
          <cell r="R175"/>
          <cell r="S175">
            <v>215457</v>
          </cell>
          <cell r="V175">
            <v>215457</v>
          </cell>
        </row>
        <row r="176">
          <cell r="N176">
            <v>7000</v>
          </cell>
          <cell r="R176"/>
          <cell r="S176">
            <v>239860</v>
          </cell>
          <cell r="V176">
            <v>236129</v>
          </cell>
        </row>
        <row r="177">
          <cell r="N177">
            <v>7000</v>
          </cell>
          <cell r="R177"/>
          <cell r="S177">
            <v>219641</v>
          </cell>
          <cell r="V177">
            <v>219641</v>
          </cell>
        </row>
        <row r="178">
          <cell r="N178">
            <v>7000</v>
          </cell>
          <cell r="R178"/>
          <cell r="S178">
            <v>161123</v>
          </cell>
          <cell r="V178">
            <v>172316</v>
          </cell>
        </row>
        <row r="179">
          <cell r="N179">
            <v>7000</v>
          </cell>
          <cell r="R179"/>
          <cell r="S179">
            <v>144799</v>
          </cell>
          <cell r="V179"/>
        </row>
        <row r="180">
          <cell r="N180">
            <v>7000</v>
          </cell>
          <cell r="R180"/>
          <cell r="S180">
            <v>126536</v>
          </cell>
          <cell r="V180">
            <v>263873</v>
          </cell>
        </row>
        <row r="181">
          <cell r="N181">
            <v>7000</v>
          </cell>
          <cell r="R181"/>
          <cell r="S181">
            <v>144611</v>
          </cell>
          <cell r="V181">
            <v>144611</v>
          </cell>
        </row>
        <row r="182">
          <cell r="N182">
            <v>7981</v>
          </cell>
          <cell r="R182"/>
          <cell r="S182">
            <v>133916</v>
          </cell>
          <cell r="V182">
            <v>133916</v>
          </cell>
        </row>
        <row r="183">
          <cell r="N183">
            <v>7997</v>
          </cell>
          <cell r="R183"/>
          <cell r="S183">
            <v>145650</v>
          </cell>
          <cell r="V183">
            <v>145650</v>
          </cell>
        </row>
        <row r="184">
          <cell r="N184">
            <v>7990</v>
          </cell>
          <cell r="R184"/>
          <cell r="S184">
            <v>144208</v>
          </cell>
          <cell r="V184">
            <v>144208</v>
          </cell>
        </row>
        <row r="185">
          <cell r="N185">
            <v>8019</v>
          </cell>
          <cell r="R185">
            <v>33476</v>
          </cell>
          <cell r="S185">
            <v>210581</v>
          </cell>
          <cell r="V185">
            <v>210581</v>
          </cell>
        </row>
        <row r="186">
          <cell r="N186">
            <v>8039</v>
          </cell>
          <cell r="R186">
            <v>33476</v>
          </cell>
          <cell r="S186">
            <v>220980</v>
          </cell>
          <cell r="V186">
            <v>187504</v>
          </cell>
        </row>
        <row r="187">
          <cell r="N187">
            <v>8047</v>
          </cell>
          <cell r="R187">
            <v>33476</v>
          </cell>
          <cell r="S187">
            <v>277831</v>
          </cell>
          <cell r="V187">
            <v>277831</v>
          </cell>
        </row>
        <row r="188">
          <cell r="N188">
            <v>8077</v>
          </cell>
          <cell r="R188">
            <v>33476</v>
          </cell>
          <cell r="S188">
            <v>224875</v>
          </cell>
          <cell r="V188">
            <v>238087</v>
          </cell>
        </row>
        <row r="189">
          <cell r="N189">
            <v>8090</v>
          </cell>
          <cell r="R189"/>
          <cell r="S189">
            <v>204611</v>
          </cell>
          <cell r="V189">
            <v>191573</v>
          </cell>
        </row>
        <row r="190">
          <cell r="N190">
            <v>8101</v>
          </cell>
          <cell r="R190"/>
          <cell r="S190">
            <v>158097</v>
          </cell>
          <cell r="V190">
            <v>176707</v>
          </cell>
        </row>
        <row r="191">
          <cell r="N191">
            <v>8123</v>
          </cell>
          <cell r="R191"/>
          <cell r="S191">
            <v>176707</v>
          </cell>
          <cell r="V191">
            <v>112966</v>
          </cell>
        </row>
        <row r="192">
          <cell r="N192">
            <v>8148</v>
          </cell>
          <cell r="R192"/>
          <cell r="S192">
            <v>112966</v>
          </cell>
          <cell r="V192">
            <v>191399</v>
          </cell>
        </row>
        <row r="193">
          <cell r="N193">
            <v>8161</v>
          </cell>
          <cell r="R193"/>
          <cell r="S193">
            <v>129177</v>
          </cell>
          <cell r="V193"/>
        </row>
        <row r="194">
          <cell r="N194">
            <v>8186</v>
          </cell>
          <cell r="R194"/>
          <cell r="S194">
            <v>115849</v>
          </cell>
          <cell r="V194">
            <v>245026</v>
          </cell>
        </row>
        <row r="195">
          <cell r="N195">
            <v>8207</v>
          </cell>
          <cell r="R195"/>
          <cell r="S195">
            <v>120976</v>
          </cell>
          <cell r="V195">
            <v>120976</v>
          </cell>
        </row>
        <row r="196">
          <cell r="N196">
            <v>8230</v>
          </cell>
          <cell r="R196"/>
          <cell r="S196">
            <v>115426</v>
          </cell>
          <cell r="V196">
            <v>115426</v>
          </cell>
        </row>
        <row r="197">
          <cell r="N197">
            <v>8260</v>
          </cell>
          <cell r="R197"/>
          <cell r="S197">
            <v>148791</v>
          </cell>
          <cell r="V197">
            <v>148791</v>
          </cell>
        </row>
        <row r="198">
          <cell r="N198">
            <v>8270</v>
          </cell>
          <cell r="R198"/>
          <cell r="S198">
            <v>187942</v>
          </cell>
          <cell r="V198">
            <v>187942</v>
          </cell>
        </row>
        <row r="199">
          <cell r="N199">
            <v>8264</v>
          </cell>
          <cell r="R199"/>
          <cell r="S199">
            <v>217526</v>
          </cell>
          <cell r="V199">
            <v>217526</v>
          </cell>
        </row>
        <row r="200">
          <cell r="N200">
            <v>8267</v>
          </cell>
          <cell r="R200"/>
          <cell r="S200">
            <v>260524</v>
          </cell>
          <cell r="V200">
            <v>260524</v>
          </cell>
        </row>
        <row r="201">
          <cell r="N201">
            <v>8270</v>
          </cell>
          <cell r="R201"/>
          <cell r="S201">
            <v>172509</v>
          </cell>
          <cell r="V201">
            <v>172509</v>
          </cell>
        </row>
        <row r="202">
          <cell r="N202">
            <v>8299</v>
          </cell>
          <cell r="R202"/>
          <cell r="S202">
            <v>151021</v>
          </cell>
          <cell r="V202"/>
        </row>
        <row r="203">
          <cell r="N203">
            <v>8329</v>
          </cell>
          <cell r="R203"/>
          <cell r="S203">
            <v>153604</v>
          </cell>
          <cell r="V203"/>
        </row>
        <row r="204">
          <cell r="N204"/>
          <cell r="R204"/>
          <cell r="S204">
            <v>-7524347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5">
        <row r="175">
          <cell r="N175">
            <v>7000</v>
          </cell>
          <cell r="R175">
            <v>263023</v>
          </cell>
          <cell r="S175">
            <v>553112</v>
          </cell>
          <cell r="V175"/>
        </row>
        <row r="176">
          <cell r="N176">
            <v>7000</v>
          </cell>
          <cell r="R176">
            <v>105420</v>
          </cell>
          <cell r="S176">
            <v>297185</v>
          </cell>
          <cell r="V176">
            <v>850297</v>
          </cell>
        </row>
        <row r="177">
          <cell r="N177">
            <v>7000</v>
          </cell>
          <cell r="R177"/>
          <cell r="S177">
            <v>204496</v>
          </cell>
          <cell r="V177">
            <v>204496</v>
          </cell>
        </row>
        <row r="178">
          <cell r="N178">
            <v>7000</v>
          </cell>
          <cell r="R178"/>
          <cell r="S178">
            <v>150955</v>
          </cell>
          <cell r="V178">
            <v>150955</v>
          </cell>
        </row>
        <row r="179">
          <cell r="N179">
            <v>7000</v>
          </cell>
          <cell r="R179"/>
          <cell r="S179">
            <v>177999</v>
          </cell>
          <cell r="V179"/>
        </row>
        <row r="180">
          <cell r="N180">
            <v>7000</v>
          </cell>
          <cell r="R180"/>
          <cell r="S180">
            <v>263271</v>
          </cell>
          <cell r="V180">
            <v>263271</v>
          </cell>
        </row>
        <row r="181">
          <cell r="N181">
            <v>7000</v>
          </cell>
          <cell r="R181"/>
          <cell r="S181">
            <v>266954</v>
          </cell>
          <cell r="V181">
            <v>266954</v>
          </cell>
        </row>
        <row r="182">
          <cell r="N182">
            <v>7981</v>
          </cell>
          <cell r="R182"/>
          <cell r="S182">
            <v>279761</v>
          </cell>
          <cell r="V182">
            <v>279761</v>
          </cell>
        </row>
        <row r="183">
          <cell r="N183">
            <v>7997</v>
          </cell>
          <cell r="R183"/>
          <cell r="S183">
            <v>231113</v>
          </cell>
          <cell r="V183">
            <v>231113</v>
          </cell>
        </row>
        <row r="184">
          <cell r="N184">
            <v>7990</v>
          </cell>
          <cell r="R184"/>
          <cell r="S184">
            <v>182976</v>
          </cell>
          <cell r="V184">
            <v>182976</v>
          </cell>
        </row>
        <row r="185">
          <cell r="N185">
            <v>8019</v>
          </cell>
          <cell r="R185">
            <v>44662</v>
          </cell>
          <cell r="S185">
            <v>247031</v>
          </cell>
          <cell r="V185">
            <v>247031</v>
          </cell>
        </row>
        <row r="186">
          <cell r="N186">
            <v>8039</v>
          </cell>
          <cell r="R186">
            <v>44662</v>
          </cell>
          <cell r="S186">
            <v>228680</v>
          </cell>
          <cell r="V186">
            <v>228680</v>
          </cell>
        </row>
        <row r="187">
          <cell r="N187">
            <v>8047</v>
          </cell>
          <cell r="R187">
            <v>44662</v>
          </cell>
          <cell r="S187">
            <v>276659</v>
          </cell>
          <cell r="V187">
            <v>276659</v>
          </cell>
        </row>
        <row r="188">
          <cell r="N188">
            <v>8077</v>
          </cell>
          <cell r="R188">
            <v>98596</v>
          </cell>
          <cell r="S188">
            <v>299053</v>
          </cell>
          <cell r="V188">
            <v>245119</v>
          </cell>
        </row>
        <row r="189">
          <cell r="N189">
            <v>8090</v>
          </cell>
          <cell r="R189">
            <v>98671</v>
          </cell>
          <cell r="S189">
            <v>312365</v>
          </cell>
          <cell r="V189">
            <v>544298</v>
          </cell>
        </row>
        <row r="190">
          <cell r="N190">
            <v>8101</v>
          </cell>
          <cell r="R190">
            <v>44663</v>
          </cell>
          <cell r="S190">
            <v>228341</v>
          </cell>
          <cell r="V190">
            <v>228341</v>
          </cell>
        </row>
        <row r="191">
          <cell r="N191">
            <v>8123</v>
          </cell>
          <cell r="R191"/>
          <cell r="S191">
            <v>228973</v>
          </cell>
          <cell r="V191">
            <v>228973</v>
          </cell>
        </row>
        <row r="192">
          <cell r="N192">
            <v>8148</v>
          </cell>
          <cell r="R192"/>
          <cell r="S192">
            <v>135682</v>
          </cell>
          <cell r="V192">
            <v>135682</v>
          </cell>
        </row>
        <row r="193">
          <cell r="N193">
            <v>8161</v>
          </cell>
          <cell r="R193"/>
          <cell r="S193">
            <v>131849</v>
          </cell>
          <cell r="V193">
            <v>135682</v>
          </cell>
        </row>
        <row r="194">
          <cell r="N194">
            <v>8186</v>
          </cell>
          <cell r="R194"/>
          <cell r="S194">
            <v>134235</v>
          </cell>
          <cell r="V194">
            <v>140577</v>
          </cell>
        </row>
        <row r="195">
          <cell r="N195">
            <v>8207</v>
          </cell>
          <cell r="R195">
            <v>54864</v>
          </cell>
          <cell r="S195">
            <v>205039</v>
          </cell>
          <cell r="V195"/>
        </row>
        <row r="196">
          <cell r="N196">
            <v>8230</v>
          </cell>
          <cell r="R196">
            <v>55066</v>
          </cell>
          <cell r="S196">
            <v>194451</v>
          </cell>
          <cell r="V196">
            <v>389315</v>
          </cell>
        </row>
        <row r="197">
          <cell r="N197">
            <v>8260</v>
          </cell>
          <cell r="R197"/>
          <cell r="S197">
            <v>150090</v>
          </cell>
          <cell r="V197">
            <v>135682</v>
          </cell>
        </row>
        <row r="198">
          <cell r="N198">
            <v>8270</v>
          </cell>
          <cell r="R198">
            <v>275658</v>
          </cell>
          <cell r="S198">
            <v>445923</v>
          </cell>
          <cell r="V198">
            <v>150000</v>
          </cell>
        </row>
        <row r="199">
          <cell r="N199">
            <v>8264</v>
          </cell>
          <cell r="R199"/>
          <cell r="S199">
            <v>222605</v>
          </cell>
          <cell r="V199">
            <v>533000</v>
          </cell>
        </row>
        <row r="200">
          <cell r="N200">
            <v>8267</v>
          </cell>
          <cell r="R200"/>
          <cell r="S200">
            <v>208558</v>
          </cell>
          <cell r="V200">
            <v>204494</v>
          </cell>
        </row>
        <row r="201">
          <cell r="N201">
            <v>8270</v>
          </cell>
          <cell r="R201"/>
          <cell r="S201">
            <v>182409</v>
          </cell>
          <cell r="V201">
            <v>186409</v>
          </cell>
        </row>
        <row r="202">
          <cell r="N202">
            <v>8299</v>
          </cell>
          <cell r="R202"/>
          <cell r="S202">
            <v>163825</v>
          </cell>
          <cell r="V202"/>
        </row>
        <row r="203">
          <cell r="N203">
            <v>8329</v>
          </cell>
          <cell r="R203"/>
          <cell r="S203">
            <v>167063</v>
          </cell>
          <cell r="V203"/>
        </row>
        <row r="204">
          <cell r="N204"/>
          <cell r="R204"/>
          <cell r="S204">
            <v>-12532693</v>
          </cell>
          <cell r="V204"/>
        </row>
        <row r="205">
          <cell r="N205"/>
          <cell r="R205"/>
          <cell r="S205">
            <v>89004</v>
          </cell>
          <cell r="V205"/>
        </row>
        <row r="206">
          <cell r="N206"/>
          <cell r="R206"/>
          <cell r="S206">
            <v>89004</v>
          </cell>
          <cell r="V206"/>
        </row>
        <row r="207">
          <cell r="N207"/>
          <cell r="R207"/>
          <cell r="S207">
            <v>89004</v>
          </cell>
          <cell r="V207"/>
        </row>
        <row r="208">
          <cell r="N208"/>
          <cell r="R208"/>
          <cell r="S208">
            <v>89004</v>
          </cell>
          <cell r="V208"/>
        </row>
        <row r="209">
          <cell r="N209"/>
          <cell r="R209"/>
          <cell r="S209">
            <v>89004</v>
          </cell>
          <cell r="V209"/>
        </row>
        <row r="210">
          <cell r="N210"/>
          <cell r="R210"/>
          <cell r="S210">
            <v>89004</v>
          </cell>
          <cell r="V210"/>
        </row>
      </sheetData>
      <sheetData sheetId="26">
        <row r="175">
          <cell r="N175">
            <v>7000</v>
          </cell>
          <cell r="R175">
            <v>52636</v>
          </cell>
          <cell r="S175">
            <v>294354</v>
          </cell>
          <cell r="V175"/>
        </row>
        <row r="176">
          <cell r="N176">
            <v>7000</v>
          </cell>
          <cell r="R176">
            <v>52784</v>
          </cell>
          <cell r="S176">
            <v>242319</v>
          </cell>
          <cell r="V176">
            <v>536633</v>
          </cell>
        </row>
        <row r="177">
          <cell r="N177">
            <v>7000</v>
          </cell>
          <cell r="R177">
            <v>52944</v>
          </cell>
          <cell r="S177">
            <v>258502</v>
          </cell>
          <cell r="V177"/>
        </row>
        <row r="178">
          <cell r="N178">
            <v>7000</v>
          </cell>
          <cell r="R178">
            <v>53123</v>
          </cell>
          <cell r="S178">
            <v>153542</v>
          </cell>
          <cell r="V178">
            <v>412044</v>
          </cell>
        </row>
        <row r="179">
          <cell r="N179">
            <v>7000</v>
          </cell>
          <cell r="R179">
            <v>53262</v>
          </cell>
          <cell r="S179">
            <v>218477</v>
          </cell>
          <cell r="V179"/>
        </row>
        <row r="180">
          <cell r="N180">
            <v>7000</v>
          </cell>
          <cell r="R180">
            <v>53330</v>
          </cell>
          <cell r="S180">
            <v>199836</v>
          </cell>
          <cell r="V180">
            <v>418313</v>
          </cell>
        </row>
        <row r="181">
          <cell r="N181">
            <v>7000</v>
          </cell>
          <cell r="R181"/>
          <cell r="S181">
            <v>149372</v>
          </cell>
          <cell r="V181">
            <v>149372</v>
          </cell>
        </row>
        <row r="182">
          <cell r="N182">
            <v>7981</v>
          </cell>
          <cell r="R182"/>
          <cell r="S182">
            <v>163864</v>
          </cell>
          <cell r="V182">
            <v>163864</v>
          </cell>
        </row>
        <row r="183">
          <cell r="N183">
            <v>7997</v>
          </cell>
          <cell r="R183">
            <v>53314</v>
          </cell>
          <cell r="S183">
            <v>198368</v>
          </cell>
          <cell r="V183"/>
        </row>
        <row r="184">
          <cell r="N184">
            <v>7990</v>
          </cell>
          <cell r="R184">
            <v>53270</v>
          </cell>
          <cell r="S184">
            <v>220501</v>
          </cell>
          <cell r="V184">
            <v>418869</v>
          </cell>
        </row>
        <row r="185">
          <cell r="N185">
            <v>8019</v>
          </cell>
          <cell r="R185"/>
          <cell r="S185">
            <v>184822</v>
          </cell>
          <cell r="V185">
            <v>184822</v>
          </cell>
        </row>
        <row r="186">
          <cell r="N186">
            <v>8039</v>
          </cell>
          <cell r="R186">
            <v>53650</v>
          </cell>
          <cell r="S186">
            <v>255780</v>
          </cell>
          <cell r="V186"/>
        </row>
        <row r="187">
          <cell r="N187">
            <v>8047</v>
          </cell>
          <cell r="R187">
            <v>53847</v>
          </cell>
          <cell r="S187">
            <v>270183</v>
          </cell>
          <cell r="V187">
            <v>525963</v>
          </cell>
        </row>
        <row r="188">
          <cell r="N188">
            <v>8077</v>
          </cell>
          <cell r="R188">
            <v>53934</v>
          </cell>
          <cell r="S188">
            <v>242580</v>
          </cell>
          <cell r="V188"/>
        </row>
        <row r="189">
          <cell r="N189">
            <v>8090</v>
          </cell>
          <cell r="R189">
            <v>54009</v>
          </cell>
          <cell r="S189">
            <v>266638</v>
          </cell>
          <cell r="V189"/>
        </row>
        <row r="190">
          <cell r="N190">
            <v>8101</v>
          </cell>
          <cell r="R190">
            <v>54157</v>
          </cell>
          <cell r="S190">
            <v>224063</v>
          </cell>
          <cell r="V190"/>
        </row>
        <row r="191">
          <cell r="N191">
            <v>8123</v>
          </cell>
          <cell r="R191"/>
          <cell r="S191">
            <v>103793</v>
          </cell>
          <cell r="V191">
            <v>837074</v>
          </cell>
        </row>
        <row r="192">
          <cell r="N192">
            <v>8148</v>
          </cell>
          <cell r="R192"/>
          <cell r="S192">
            <v>90023</v>
          </cell>
          <cell r="V192"/>
        </row>
        <row r="193">
          <cell r="N193">
            <v>8161</v>
          </cell>
          <cell r="R193"/>
          <cell r="S193">
            <v>90036</v>
          </cell>
          <cell r="V193"/>
        </row>
        <row r="194">
          <cell r="N194">
            <v>8186</v>
          </cell>
          <cell r="R194"/>
          <cell r="S194">
            <v>90061</v>
          </cell>
          <cell r="V194"/>
        </row>
        <row r="195">
          <cell r="N195">
            <v>8207</v>
          </cell>
          <cell r="R195"/>
          <cell r="S195">
            <v>90082</v>
          </cell>
          <cell r="V195"/>
        </row>
        <row r="196">
          <cell r="N196">
            <v>8230</v>
          </cell>
          <cell r="R196">
            <v>55066</v>
          </cell>
          <cell r="S196">
            <v>145171</v>
          </cell>
          <cell r="V196"/>
        </row>
        <row r="197">
          <cell r="N197">
            <v>8260</v>
          </cell>
          <cell r="R197">
            <v>55132</v>
          </cell>
          <cell r="S197">
            <v>145267</v>
          </cell>
          <cell r="V197"/>
        </row>
        <row r="198">
          <cell r="N198">
            <v>8270</v>
          </cell>
          <cell r="R198">
            <v>55092</v>
          </cell>
          <cell r="S198">
            <v>145237</v>
          </cell>
          <cell r="V198"/>
        </row>
        <row r="199">
          <cell r="N199">
            <v>8264</v>
          </cell>
          <cell r="R199">
            <v>55092</v>
          </cell>
          <cell r="S199">
            <v>147360</v>
          </cell>
          <cell r="V199"/>
        </row>
        <row r="200">
          <cell r="N200">
            <v>8267</v>
          </cell>
          <cell r="R200"/>
          <cell r="S200">
            <v>92271</v>
          </cell>
          <cell r="V200">
            <v>1035508</v>
          </cell>
        </row>
        <row r="201">
          <cell r="N201">
            <v>8270</v>
          </cell>
          <cell r="R201"/>
          <cell r="S201">
            <v>93125</v>
          </cell>
          <cell r="V201">
            <v>93125</v>
          </cell>
        </row>
        <row r="202">
          <cell r="N202">
            <v>8299</v>
          </cell>
          <cell r="R202"/>
          <cell r="S202">
            <v>125213</v>
          </cell>
          <cell r="V202">
            <v>125213</v>
          </cell>
        </row>
        <row r="203">
          <cell r="N203">
            <v>8329</v>
          </cell>
          <cell r="R203"/>
          <cell r="S203">
            <v>99800</v>
          </cell>
          <cell r="V203"/>
        </row>
        <row r="204">
          <cell r="N204"/>
          <cell r="R204"/>
          <cell r="S204">
            <v>-5526368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27">
        <row r="175">
          <cell r="N175">
            <v>7000</v>
          </cell>
          <cell r="R175"/>
          <cell r="S175">
            <v>185874</v>
          </cell>
          <cell r="V175">
            <v>185974</v>
          </cell>
        </row>
        <row r="176">
          <cell r="N176">
            <v>7000</v>
          </cell>
          <cell r="R176"/>
          <cell r="S176">
            <v>157411</v>
          </cell>
          <cell r="V176">
            <v>157311</v>
          </cell>
        </row>
        <row r="177">
          <cell r="N177">
            <v>7000</v>
          </cell>
          <cell r="R177"/>
          <cell r="S177">
            <v>157223</v>
          </cell>
          <cell r="V177">
            <v>157223</v>
          </cell>
        </row>
        <row r="178">
          <cell r="N178">
            <v>7000</v>
          </cell>
          <cell r="R178"/>
          <cell r="S178">
            <v>134338</v>
          </cell>
          <cell r="V178">
            <v>134338</v>
          </cell>
        </row>
        <row r="179">
          <cell r="N179">
            <v>7000</v>
          </cell>
          <cell r="R179"/>
          <cell r="S179">
            <v>129799</v>
          </cell>
          <cell r="V179">
            <v>129799</v>
          </cell>
        </row>
        <row r="180">
          <cell r="N180">
            <v>7000</v>
          </cell>
          <cell r="R180"/>
          <cell r="S180">
            <v>117109</v>
          </cell>
          <cell r="V180">
            <v>117109</v>
          </cell>
        </row>
        <row r="181">
          <cell r="N181">
            <v>7000</v>
          </cell>
          <cell r="R181"/>
          <cell r="S181">
            <v>146255</v>
          </cell>
          <cell r="V181">
            <v>146255</v>
          </cell>
        </row>
        <row r="182">
          <cell r="N182">
            <v>7981</v>
          </cell>
          <cell r="R182"/>
          <cell r="S182">
            <v>120017</v>
          </cell>
          <cell r="V182">
            <v>120017</v>
          </cell>
        </row>
        <row r="183">
          <cell r="N183">
            <v>7997</v>
          </cell>
          <cell r="R183"/>
          <cell r="S183">
            <v>135076</v>
          </cell>
          <cell r="V183">
            <v>135076</v>
          </cell>
        </row>
        <row r="184">
          <cell r="N184">
            <v>7990</v>
          </cell>
          <cell r="R184">
            <v>0</v>
          </cell>
          <cell r="S184">
            <v>129667</v>
          </cell>
          <cell r="V184">
            <v>129667</v>
          </cell>
        </row>
        <row r="185">
          <cell r="N185">
            <v>8019</v>
          </cell>
          <cell r="R185">
            <v>0</v>
          </cell>
          <cell r="S185">
            <v>138152</v>
          </cell>
          <cell r="V185">
            <v>138152</v>
          </cell>
        </row>
        <row r="186">
          <cell r="N186">
            <v>8039</v>
          </cell>
          <cell r="R186">
            <v>0</v>
          </cell>
          <cell r="S186">
            <v>143232</v>
          </cell>
          <cell r="V186">
            <v>143232</v>
          </cell>
        </row>
        <row r="187">
          <cell r="N187">
            <v>8047</v>
          </cell>
          <cell r="R187">
            <v>0</v>
          </cell>
          <cell r="S187">
            <v>156237</v>
          </cell>
          <cell r="V187">
            <v>156237</v>
          </cell>
        </row>
        <row r="188">
          <cell r="N188">
            <v>8077</v>
          </cell>
          <cell r="R188">
            <v>0</v>
          </cell>
          <cell r="S188">
            <v>171235</v>
          </cell>
          <cell r="V188">
            <v>171238</v>
          </cell>
        </row>
        <row r="189">
          <cell r="N189">
            <v>8090</v>
          </cell>
          <cell r="R189">
            <v>0</v>
          </cell>
          <cell r="S189">
            <v>147624</v>
          </cell>
          <cell r="V189">
            <v>147621</v>
          </cell>
        </row>
        <row r="190">
          <cell r="N190">
            <v>8101</v>
          </cell>
          <cell r="R190">
            <v>0</v>
          </cell>
          <cell r="S190">
            <v>154940</v>
          </cell>
          <cell r="V190">
            <v>154940</v>
          </cell>
        </row>
        <row r="191">
          <cell r="N191">
            <v>8123</v>
          </cell>
          <cell r="R191">
            <v>0</v>
          </cell>
          <cell r="S191">
            <v>131922</v>
          </cell>
          <cell r="V191">
            <v>131922</v>
          </cell>
        </row>
        <row r="192">
          <cell r="N192">
            <v>8148</v>
          </cell>
          <cell r="R192">
            <v>0</v>
          </cell>
          <cell r="S192">
            <v>108023</v>
          </cell>
          <cell r="V192">
            <v>108023</v>
          </cell>
        </row>
        <row r="193">
          <cell r="N193">
            <v>8161</v>
          </cell>
          <cell r="R193">
            <v>0</v>
          </cell>
          <cell r="S193">
            <v>122269</v>
          </cell>
          <cell r="V193">
            <v>122269</v>
          </cell>
        </row>
        <row r="194">
          <cell r="N194">
            <v>8186</v>
          </cell>
          <cell r="R194">
            <v>0</v>
          </cell>
          <cell r="S194">
            <v>108282</v>
          </cell>
          <cell r="V194">
            <v>108282</v>
          </cell>
        </row>
        <row r="195">
          <cell r="N195">
            <v>8207</v>
          </cell>
          <cell r="R195">
            <v>0</v>
          </cell>
          <cell r="S195">
            <v>111390</v>
          </cell>
          <cell r="V195">
            <v>111390</v>
          </cell>
        </row>
        <row r="196">
          <cell r="N196">
            <v>8230</v>
          </cell>
          <cell r="R196">
            <v>0</v>
          </cell>
          <cell r="S196">
            <v>111288</v>
          </cell>
          <cell r="V196">
            <v>111288</v>
          </cell>
        </row>
        <row r="197">
          <cell r="N197">
            <v>8260</v>
          </cell>
          <cell r="R197">
            <v>0</v>
          </cell>
          <cell r="S197">
            <v>120433</v>
          </cell>
          <cell r="V197">
            <v>120433</v>
          </cell>
        </row>
        <row r="198">
          <cell r="N198">
            <v>8270</v>
          </cell>
          <cell r="R198">
            <v>0</v>
          </cell>
          <cell r="S198">
            <v>128177</v>
          </cell>
          <cell r="V198">
            <v>128177</v>
          </cell>
        </row>
        <row r="199">
          <cell r="N199">
            <v>8264</v>
          </cell>
          <cell r="R199">
            <v>0</v>
          </cell>
          <cell r="S199">
            <v>146198</v>
          </cell>
          <cell r="V199">
            <v>146198</v>
          </cell>
        </row>
        <row r="200">
          <cell r="N200">
            <v>8267</v>
          </cell>
          <cell r="R200">
            <v>0</v>
          </cell>
          <cell r="S200">
            <v>166550</v>
          </cell>
          <cell r="V200">
            <v>166550</v>
          </cell>
        </row>
        <row r="201">
          <cell r="N201">
            <v>8270</v>
          </cell>
          <cell r="R201">
            <v>0</v>
          </cell>
          <cell r="S201">
            <v>132371</v>
          </cell>
          <cell r="V201">
            <v>132371</v>
          </cell>
        </row>
        <row r="202">
          <cell r="N202">
            <v>8299</v>
          </cell>
          <cell r="R202">
            <v>0</v>
          </cell>
          <cell r="S202">
            <v>133589</v>
          </cell>
          <cell r="V202">
            <v>133589</v>
          </cell>
        </row>
        <row r="203">
          <cell r="N203">
            <v>8329</v>
          </cell>
          <cell r="R203">
            <v>0</v>
          </cell>
          <cell r="S203">
            <v>101965</v>
          </cell>
          <cell r="V203"/>
        </row>
        <row r="204">
          <cell r="N204"/>
          <cell r="R204">
            <v>0</v>
          </cell>
          <cell r="S204">
            <v>-9285618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28">
        <row r="175">
          <cell r="N175">
            <v>7000</v>
          </cell>
          <cell r="R175">
            <v>52636</v>
          </cell>
          <cell r="S175">
            <v>347799</v>
          </cell>
          <cell r="V175">
            <v>679772</v>
          </cell>
        </row>
        <row r="176">
          <cell r="N176">
            <v>7000</v>
          </cell>
          <cell r="R176"/>
          <cell r="S176">
            <v>271614</v>
          </cell>
          <cell r="V176"/>
        </row>
        <row r="177">
          <cell r="N177">
            <v>7000</v>
          </cell>
          <cell r="R177"/>
          <cell r="S177">
            <v>259279</v>
          </cell>
          <cell r="V177">
            <v>530893</v>
          </cell>
        </row>
        <row r="178">
          <cell r="N178">
            <v>7000</v>
          </cell>
          <cell r="R178"/>
          <cell r="S178">
            <v>213351</v>
          </cell>
          <cell r="V178"/>
        </row>
        <row r="179">
          <cell r="N179">
            <v>7000</v>
          </cell>
          <cell r="R179"/>
          <cell r="S179">
            <v>214368</v>
          </cell>
          <cell r="V179">
            <v>430000</v>
          </cell>
        </row>
        <row r="180">
          <cell r="N180">
            <v>7000</v>
          </cell>
          <cell r="R180"/>
          <cell r="S180">
            <v>198921</v>
          </cell>
          <cell r="V180"/>
        </row>
        <row r="181">
          <cell r="N181">
            <v>7000</v>
          </cell>
          <cell r="R181"/>
          <cell r="S181">
            <v>182072</v>
          </cell>
          <cell r="V181">
            <v>400000</v>
          </cell>
        </row>
        <row r="182">
          <cell r="N182">
            <v>7981</v>
          </cell>
          <cell r="R182"/>
          <cell r="S182">
            <v>203898</v>
          </cell>
          <cell r="V182"/>
        </row>
        <row r="183">
          <cell r="N183">
            <v>7997</v>
          </cell>
          <cell r="R183"/>
          <cell r="S183">
            <v>202471</v>
          </cell>
          <cell r="V183">
            <v>400000</v>
          </cell>
        </row>
        <row r="184">
          <cell r="N184">
            <v>7990</v>
          </cell>
          <cell r="R184">
            <v>0</v>
          </cell>
          <cell r="S184">
            <v>186408</v>
          </cell>
          <cell r="V184"/>
        </row>
        <row r="185">
          <cell r="N185">
            <v>8019</v>
          </cell>
          <cell r="R185">
            <v>0</v>
          </cell>
          <cell r="S185">
            <v>216785</v>
          </cell>
          <cell r="V185">
            <v>400000</v>
          </cell>
        </row>
        <row r="186">
          <cell r="N186">
            <v>8039</v>
          </cell>
          <cell r="R186">
            <v>0</v>
          </cell>
          <cell r="S186">
            <v>226934</v>
          </cell>
          <cell r="V186"/>
        </row>
        <row r="187">
          <cell r="N187">
            <v>8047</v>
          </cell>
          <cell r="R187">
            <v>0</v>
          </cell>
          <cell r="S187">
            <v>247944</v>
          </cell>
          <cell r="V187">
            <v>470000</v>
          </cell>
        </row>
        <row r="188">
          <cell r="N188">
            <v>8077</v>
          </cell>
          <cell r="R188"/>
          <cell r="S188">
            <v>207435</v>
          </cell>
          <cell r="V188">
            <v>300000</v>
          </cell>
        </row>
        <row r="189">
          <cell r="N189">
            <v>8090</v>
          </cell>
          <cell r="R189"/>
          <cell r="S189">
            <v>232832</v>
          </cell>
          <cell r="V189">
            <v>150000</v>
          </cell>
        </row>
        <row r="190">
          <cell r="N190">
            <v>8101</v>
          </cell>
          <cell r="R190"/>
          <cell r="S190">
            <v>224091</v>
          </cell>
          <cell r="V190"/>
        </row>
        <row r="191">
          <cell r="N191">
            <v>8123</v>
          </cell>
          <cell r="R191"/>
          <cell r="S191">
            <v>239697</v>
          </cell>
          <cell r="V191">
            <v>450000</v>
          </cell>
        </row>
        <row r="192">
          <cell r="N192">
            <v>8148</v>
          </cell>
          <cell r="R192"/>
          <cell r="S192">
            <v>209424</v>
          </cell>
          <cell r="V192"/>
        </row>
        <row r="193">
          <cell r="N193">
            <v>8161</v>
          </cell>
          <cell r="R193"/>
          <cell r="S193">
            <v>200289</v>
          </cell>
          <cell r="V193">
            <v>410000</v>
          </cell>
        </row>
        <row r="194">
          <cell r="N194">
            <v>8186</v>
          </cell>
          <cell r="R194"/>
          <cell r="S194">
            <v>210797</v>
          </cell>
          <cell r="V194"/>
        </row>
        <row r="195">
          <cell r="N195">
            <v>8207</v>
          </cell>
          <cell r="R195"/>
          <cell r="S195">
            <v>192134</v>
          </cell>
          <cell r="V195">
            <v>400000</v>
          </cell>
        </row>
        <row r="196">
          <cell r="N196">
            <v>8230</v>
          </cell>
          <cell r="R196"/>
          <cell r="S196">
            <v>193221</v>
          </cell>
          <cell r="V196">
            <v>200000</v>
          </cell>
        </row>
        <row r="197">
          <cell r="N197">
            <v>8260</v>
          </cell>
          <cell r="R197"/>
          <cell r="S197">
            <v>211819</v>
          </cell>
          <cell r="V197">
            <v>210000</v>
          </cell>
        </row>
        <row r="198">
          <cell r="N198">
            <v>8270</v>
          </cell>
          <cell r="R198">
            <v>0</v>
          </cell>
          <cell r="S198">
            <v>182648</v>
          </cell>
          <cell r="V198">
            <v>210000</v>
          </cell>
        </row>
        <row r="199">
          <cell r="N199">
            <v>8264</v>
          </cell>
          <cell r="R199"/>
          <cell r="S199">
            <v>214736</v>
          </cell>
          <cell r="V199"/>
        </row>
        <row r="200">
          <cell r="N200">
            <v>8267</v>
          </cell>
          <cell r="R200"/>
          <cell r="S200">
            <v>224450</v>
          </cell>
          <cell r="V200">
            <v>460000</v>
          </cell>
        </row>
        <row r="201">
          <cell r="N201">
            <v>8270</v>
          </cell>
          <cell r="R201"/>
          <cell r="S201">
            <v>236517</v>
          </cell>
          <cell r="V201"/>
        </row>
        <row r="202">
          <cell r="N202">
            <v>8299</v>
          </cell>
          <cell r="R202"/>
          <cell r="S202">
            <v>226446</v>
          </cell>
          <cell r="V202">
            <v>460000</v>
          </cell>
        </row>
        <row r="203">
          <cell r="N203">
            <v>8329</v>
          </cell>
          <cell r="R203">
            <v>0</v>
          </cell>
          <cell r="S203">
            <v>230760</v>
          </cell>
          <cell r="V203"/>
        </row>
        <row r="204">
          <cell r="N204"/>
          <cell r="R204">
            <v>0</v>
          </cell>
          <cell r="S204">
            <v>-11424007</v>
          </cell>
          <cell r="V204"/>
        </row>
        <row r="205">
          <cell r="N205"/>
          <cell r="R205">
            <v>0</v>
          </cell>
          <cell r="S205">
            <v>94004</v>
          </cell>
          <cell r="V205"/>
        </row>
        <row r="206">
          <cell r="N206"/>
          <cell r="R206">
            <v>0</v>
          </cell>
          <cell r="S206">
            <v>94004</v>
          </cell>
          <cell r="V206"/>
        </row>
        <row r="207">
          <cell r="N207"/>
          <cell r="R207">
            <v>0</v>
          </cell>
          <cell r="S207">
            <v>94004</v>
          </cell>
          <cell r="V207"/>
        </row>
        <row r="208">
          <cell r="N208"/>
          <cell r="R208">
            <v>0</v>
          </cell>
          <cell r="S208">
            <v>94004</v>
          </cell>
          <cell r="V208"/>
        </row>
        <row r="209">
          <cell r="N209"/>
          <cell r="R209">
            <v>0</v>
          </cell>
          <cell r="S209">
            <v>94004</v>
          </cell>
          <cell r="V209"/>
        </row>
        <row r="210">
          <cell r="N210"/>
          <cell r="R210">
            <v>0</v>
          </cell>
          <cell r="S210">
            <v>94004</v>
          </cell>
          <cell r="V210"/>
        </row>
      </sheetData>
      <sheetData sheetId="29">
        <row r="175">
          <cell r="N175">
            <v>7000</v>
          </cell>
          <cell r="R175"/>
          <cell r="S175">
            <v>87141</v>
          </cell>
          <cell r="V175">
            <v>168536</v>
          </cell>
        </row>
        <row r="176">
          <cell r="N176">
            <v>7000</v>
          </cell>
          <cell r="R176"/>
          <cell r="S176">
            <v>87141</v>
          </cell>
          <cell r="V176"/>
        </row>
        <row r="177">
          <cell r="N177">
            <v>7000</v>
          </cell>
          <cell r="R177"/>
          <cell r="S177">
            <v>87141</v>
          </cell>
          <cell r="V177">
            <v>174282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/>
        </row>
        <row r="180">
          <cell r="N180">
            <v>7000</v>
          </cell>
          <cell r="R180"/>
          <cell r="S180">
            <v>87141</v>
          </cell>
          <cell r="V180">
            <v>174282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/>
          <cell r="R183"/>
          <cell r="S183">
            <v>80141</v>
          </cell>
          <cell r="V183">
            <v>80141</v>
          </cell>
        </row>
        <row r="184">
          <cell r="N184"/>
          <cell r="R184"/>
          <cell r="S184">
            <v>80141</v>
          </cell>
          <cell r="V184">
            <v>80141</v>
          </cell>
        </row>
        <row r="185">
          <cell r="N185"/>
          <cell r="R185"/>
          <cell r="S185">
            <v>80141</v>
          </cell>
          <cell r="V185"/>
        </row>
        <row r="186">
          <cell r="N186"/>
          <cell r="R186"/>
          <cell r="S186">
            <v>80141</v>
          </cell>
          <cell r="V186">
            <v>160282</v>
          </cell>
        </row>
        <row r="187">
          <cell r="N187"/>
          <cell r="R187"/>
          <cell r="S187">
            <v>81875</v>
          </cell>
          <cell r="V187">
            <v>81875</v>
          </cell>
        </row>
        <row r="188">
          <cell r="N188"/>
          <cell r="R188"/>
          <cell r="S188">
            <v>81875</v>
          </cell>
          <cell r="V188">
            <v>388856</v>
          </cell>
        </row>
        <row r="189">
          <cell r="N189"/>
          <cell r="R189"/>
          <cell r="S189">
            <v>81875</v>
          </cell>
          <cell r="V189"/>
        </row>
        <row r="190">
          <cell r="N190"/>
          <cell r="R190"/>
          <cell r="S190">
            <v>81875</v>
          </cell>
          <cell r="V190"/>
        </row>
        <row r="191">
          <cell r="N191"/>
          <cell r="R191"/>
          <cell r="S191">
            <v>81875</v>
          </cell>
          <cell r="V191"/>
        </row>
        <row r="192">
          <cell r="N192"/>
          <cell r="R192"/>
          <cell r="S192">
            <v>81875</v>
          </cell>
          <cell r="V192"/>
        </row>
        <row r="193">
          <cell r="N193"/>
          <cell r="R193"/>
          <cell r="S193">
            <v>81875</v>
          </cell>
          <cell r="V193">
            <v>102394</v>
          </cell>
        </row>
        <row r="194">
          <cell r="N194"/>
          <cell r="R194"/>
          <cell r="S194">
            <v>81875</v>
          </cell>
          <cell r="V194">
            <v>81875</v>
          </cell>
        </row>
        <row r="195">
          <cell r="N195"/>
          <cell r="R195"/>
          <cell r="S195">
            <v>81875</v>
          </cell>
          <cell r="V195"/>
        </row>
        <row r="196">
          <cell r="N196"/>
          <cell r="R196"/>
          <cell r="S196">
            <v>81875</v>
          </cell>
          <cell r="V196">
            <v>163750</v>
          </cell>
        </row>
        <row r="197">
          <cell r="N197"/>
          <cell r="R197"/>
          <cell r="S197">
            <v>81875</v>
          </cell>
          <cell r="V197">
            <v>81875</v>
          </cell>
        </row>
        <row r="198">
          <cell r="N198"/>
          <cell r="R198"/>
          <cell r="S198">
            <v>81875</v>
          </cell>
          <cell r="V198">
            <v>81875</v>
          </cell>
        </row>
        <row r="199">
          <cell r="N199"/>
          <cell r="R199"/>
          <cell r="S199">
            <v>84004</v>
          </cell>
          <cell r="V199">
            <v>84004</v>
          </cell>
        </row>
        <row r="200">
          <cell r="N200"/>
          <cell r="R200"/>
          <cell r="S200">
            <v>84004</v>
          </cell>
          <cell r="V200">
            <v>84004</v>
          </cell>
        </row>
        <row r="201">
          <cell r="N201"/>
          <cell r="R201"/>
          <cell r="S201">
            <v>84004</v>
          </cell>
          <cell r="V201">
            <v>84004</v>
          </cell>
        </row>
        <row r="202">
          <cell r="N202"/>
          <cell r="R202"/>
          <cell r="S202">
            <v>84004</v>
          </cell>
          <cell r="V202">
            <v>84004</v>
          </cell>
        </row>
        <row r="203">
          <cell r="N203"/>
          <cell r="R203"/>
          <cell r="S203">
            <v>84004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30">
        <row r="175">
          <cell r="N175">
            <v>7000</v>
          </cell>
          <cell r="R175"/>
          <cell r="S175">
            <v>207452</v>
          </cell>
          <cell r="V175">
            <v>180000</v>
          </cell>
        </row>
        <row r="176">
          <cell r="N176">
            <v>7000</v>
          </cell>
          <cell r="R176"/>
          <cell r="S176">
            <v>217000</v>
          </cell>
          <cell r="V176">
            <v>250000</v>
          </cell>
        </row>
        <row r="177">
          <cell r="N177">
            <v>7000</v>
          </cell>
          <cell r="R177"/>
          <cell r="S177">
            <v>189865</v>
          </cell>
          <cell r="V177"/>
        </row>
        <row r="178">
          <cell r="N178">
            <v>7000</v>
          </cell>
          <cell r="R178"/>
          <cell r="S178">
            <v>162420</v>
          </cell>
          <cell r="V178">
            <v>314000</v>
          </cell>
        </row>
        <row r="179">
          <cell r="N179">
            <v>7000</v>
          </cell>
          <cell r="R179"/>
          <cell r="S179">
            <v>143477</v>
          </cell>
          <cell r="V179"/>
        </row>
        <row r="180">
          <cell r="N180">
            <v>7000</v>
          </cell>
          <cell r="R180"/>
          <cell r="S180">
            <v>146284</v>
          </cell>
          <cell r="V180">
            <v>200000</v>
          </cell>
        </row>
        <row r="181">
          <cell r="N181">
            <v>7000</v>
          </cell>
          <cell r="R181"/>
          <cell r="S181">
            <v>138333</v>
          </cell>
          <cell r="V181"/>
        </row>
        <row r="182">
          <cell r="N182">
            <v>7981</v>
          </cell>
          <cell r="R182"/>
          <cell r="S182">
            <v>145392</v>
          </cell>
          <cell r="V182">
            <v>300000</v>
          </cell>
        </row>
        <row r="183">
          <cell r="N183">
            <v>7997</v>
          </cell>
          <cell r="R183"/>
          <cell r="S183">
            <v>139468</v>
          </cell>
          <cell r="V183"/>
        </row>
        <row r="184">
          <cell r="N184">
            <v>7990</v>
          </cell>
          <cell r="R184">
            <v>0</v>
          </cell>
          <cell r="S184">
            <v>131460</v>
          </cell>
          <cell r="V184">
            <v>350000</v>
          </cell>
        </row>
        <row r="185">
          <cell r="N185">
            <v>8019</v>
          </cell>
          <cell r="R185">
            <v>0</v>
          </cell>
          <cell r="S185">
            <v>139336</v>
          </cell>
          <cell r="V185"/>
        </row>
        <row r="186">
          <cell r="N186">
            <v>8039</v>
          </cell>
          <cell r="R186">
            <v>0</v>
          </cell>
          <cell r="S186">
            <v>158970</v>
          </cell>
          <cell r="V186">
            <v>200000</v>
          </cell>
        </row>
        <row r="187">
          <cell r="N187">
            <v>8047</v>
          </cell>
          <cell r="R187">
            <v>0</v>
          </cell>
          <cell r="S187">
            <v>198469</v>
          </cell>
          <cell r="V187">
            <v>300000</v>
          </cell>
        </row>
        <row r="188">
          <cell r="N188">
            <v>8077</v>
          </cell>
          <cell r="R188">
            <v>0</v>
          </cell>
          <cell r="S188">
            <v>178154</v>
          </cell>
          <cell r="V188">
            <v>200000</v>
          </cell>
        </row>
        <row r="189">
          <cell r="N189">
            <v>8090</v>
          </cell>
          <cell r="R189">
            <v>0</v>
          </cell>
          <cell r="S189">
            <v>156442</v>
          </cell>
          <cell r="V189">
            <v>150000</v>
          </cell>
        </row>
        <row r="190">
          <cell r="N190">
            <v>8101</v>
          </cell>
          <cell r="R190">
            <v>0</v>
          </cell>
          <cell r="S190">
            <v>140435</v>
          </cell>
          <cell r="V190"/>
        </row>
        <row r="191">
          <cell r="N191">
            <v>8123</v>
          </cell>
          <cell r="R191">
            <v>0</v>
          </cell>
          <cell r="S191">
            <v>117401</v>
          </cell>
          <cell r="V191">
            <v>233275</v>
          </cell>
        </row>
        <row r="192">
          <cell r="N192">
            <v>8148</v>
          </cell>
          <cell r="R192">
            <v>0</v>
          </cell>
          <cell r="S192">
            <v>140431</v>
          </cell>
          <cell r="V192"/>
        </row>
        <row r="193">
          <cell r="N193">
            <v>8161</v>
          </cell>
          <cell r="R193">
            <v>0</v>
          </cell>
          <cell r="S193">
            <v>127817</v>
          </cell>
          <cell r="V193">
            <v>200000</v>
          </cell>
        </row>
        <row r="194">
          <cell r="N194">
            <v>8186</v>
          </cell>
          <cell r="R194">
            <v>0</v>
          </cell>
          <cell r="S194">
            <v>99743</v>
          </cell>
          <cell r="V194">
            <v>170000</v>
          </cell>
        </row>
        <row r="195">
          <cell r="N195">
            <v>8207</v>
          </cell>
          <cell r="R195">
            <v>54864</v>
          </cell>
          <cell r="S195">
            <v>189018</v>
          </cell>
          <cell r="V195"/>
        </row>
        <row r="196">
          <cell r="N196">
            <v>8230</v>
          </cell>
          <cell r="R196">
            <v>55066</v>
          </cell>
          <cell r="S196">
            <v>185376</v>
          </cell>
          <cell r="V196">
            <v>374394</v>
          </cell>
        </row>
        <row r="197">
          <cell r="N197">
            <v>8260</v>
          </cell>
          <cell r="R197">
            <v>0</v>
          </cell>
          <cell r="S197">
            <v>136059</v>
          </cell>
          <cell r="V197">
            <v>171423</v>
          </cell>
        </row>
        <row r="198">
          <cell r="N198">
            <v>8270</v>
          </cell>
          <cell r="R198"/>
          <cell r="S198">
            <v>147303</v>
          </cell>
          <cell r="V198">
            <v>149426</v>
          </cell>
        </row>
        <row r="199">
          <cell r="N199">
            <v>8264</v>
          </cell>
          <cell r="R199"/>
          <cell r="S199">
            <v>92268</v>
          </cell>
          <cell r="V199">
            <v>130878</v>
          </cell>
        </row>
        <row r="200">
          <cell r="N200">
            <v>8267</v>
          </cell>
          <cell r="R200">
            <v>55114</v>
          </cell>
          <cell r="S200">
            <v>225488</v>
          </cell>
          <cell r="V200"/>
        </row>
        <row r="201">
          <cell r="N201">
            <v>8270</v>
          </cell>
          <cell r="R201">
            <v>55132</v>
          </cell>
          <cell r="S201">
            <v>180215</v>
          </cell>
          <cell r="V201">
            <v>401046</v>
          </cell>
        </row>
        <row r="202">
          <cell r="N202">
            <v>8299</v>
          </cell>
          <cell r="R202">
            <v>0</v>
          </cell>
          <cell r="S202">
            <v>121345</v>
          </cell>
          <cell r="V202"/>
        </row>
        <row r="203">
          <cell r="N203">
            <v>8329</v>
          </cell>
          <cell r="R203">
            <v>0</v>
          </cell>
          <cell r="S203">
            <v>130915</v>
          </cell>
          <cell r="V203"/>
        </row>
        <row r="204">
          <cell r="N204"/>
          <cell r="R204">
            <v>0</v>
          </cell>
          <cell r="S204">
            <v>-10652936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31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/>
        </row>
        <row r="183">
          <cell r="N183">
            <v>7997</v>
          </cell>
          <cell r="R183"/>
          <cell r="S183">
            <v>88138</v>
          </cell>
          <cell r="V183">
            <v>176260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/>
        </row>
        <row r="192">
          <cell r="N192">
            <v>8148</v>
          </cell>
          <cell r="R192"/>
          <cell r="S192">
            <v>90023</v>
          </cell>
          <cell r="V192">
            <v>180021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32">
        <row r="175">
          <cell r="N175">
            <v>7000</v>
          </cell>
          <cell r="R175"/>
          <cell r="S175">
            <v>87141</v>
          </cell>
          <cell r="V175"/>
        </row>
        <row r="176">
          <cell r="N176">
            <v>7000</v>
          </cell>
          <cell r="R176"/>
          <cell r="S176">
            <v>87141</v>
          </cell>
          <cell r="V176">
            <v>174282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>
            <v>7997</v>
          </cell>
          <cell r="R183"/>
          <cell r="S183">
            <v>88138</v>
          </cell>
          <cell r="V183">
            <v>88138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92721</v>
          </cell>
        </row>
        <row r="201">
          <cell r="N201">
            <v>8270</v>
          </cell>
          <cell r="R201"/>
          <cell r="S201">
            <v>92274</v>
          </cell>
          <cell r="V201">
            <v>91824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>
            <v>92333</v>
          </cell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33">
        <row r="175">
          <cell r="N175">
            <v>7000</v>
          </cell>
          <cell r="R175"/>
          <cell r="S175">
            <v>89936</v>
          </cell>
          <cell r="V175">
            <v>81893</v>
          </cell>
        </row>
        <row r="176">
          <cell r="N176">
            <v>7000</v>
          </cell>
          <cell r="R176"/>
          <cell r="S176">
            <v>89936</v>
          </cell>
          <cell r="V176">
            <v>89936</v>
          </cell>
        </row>
        <row r="177">
          <cell r="N177">
            <v>7000</v>
          </cell>
          <cell r="R177"/>
          <cell r="S177">
            <v>91492</v>
          </cell>
          <cell r="V177">
            <v>91255</v>
          </cell>
        </row>
        <row r="178">
          <cell r="N178">
            <v>7000</v>
          </cell>
          <cell r="R178"/>
          <cell r="S178">
            <v>88843</v>
          </cell>
          <cell r="V178">
            <v>88843</v>
          </cell>
        </row>
        <row r="179">
          <cell r="N179">
            <v>7000</v>
          </cell>
          <cell r="R179"/>
          <cell r="S179">
            <v>88551</v>
          </cell>
          <cell r="V179">
            <v>88551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87579</v>
          </cell>
          <cell r="V181">
            <v>87579</v>
          </cell>
        </row>
        <row r="182">
          <cell r="N182">
            <v>7981</v>
          </cell>
          <cell r="R182"/>
          <cell r="S182">
            <v>88852</v>
          </cell>
          <cell r="V182">
            <v>88852</v>
          </cell>
        </row>
        <row r="183">
          <cell r="N183">
            <v>7997</v>
          </cell>
          <cell r="R183"/>
          <cell r="S183">
            <v>88722</v>
          </cell>
          <cell r="V183">
            <v>88722</v>
          </cell>
        </row>
        <row r="184">
          <cell r="N184">
            <v>7990</v>
          </cell>
          <cell r="R184">
            <v>0</v>
          </cell>
          <cell r="S184">
            <v>88861</v>
          </cell>
          <cell r="V184">
            <v>88861</v>
          </cell>
        </row>
        <row r="185">
          <cell r="N185">
            <v>8019</v>
          </cell>
          <cell r="R185">
            <v>0</v>
          </cell>
          <cell r="S185">
            <v>90421</v>
          </cell>
          <cell r="V185">
            <v>90241</v>
          </cell>
        </row>
        <row r="186">
          <cell r="N186">
            <v>8039</v>
          </cell>
          <cell r="R186">
            <v>0</v>
          </cell>
          <cell r="S186">
            <v>91146</v>
          </cell>
          <cell r="V186">
            <v>91326</v>
          </cell>
        </row>
        <row r="187">
          <cell r="N187">
            <v>8047</v>
          </cell>
          <cell r="R187">
            <v>0</v>
          </cell>
          <cell r="S187">
            <v>92596</v>
          </cell>
          <cell r="V187">
            <v>92596</v>
          </cell>
        </row>
        <row r="188">
          <cell r="N188">
            <v>8077</v>
          </cell>
          <cell r="R188">
            <v>0</v>
          </cell>
          <cell r="S188">
            <v>93552</v>
          </cell>
          <cell r="V188">
            <v>93552</v>
          </cell>
        </row>
        <row r="189">
          <cell r="N189">
            <v>8090</v>
          </cell>
          <cell r="R189">
            <v>0</v>
          </cell>
          <cell r="S189">
            <v>93807</v>
          </cell>
          <cell r="V189">
            <v>93807</v>
          </cell>
        </row>
        <row r="190">
          <cell r="N190">
            <v>8101</v>
          </cell>
          <cell r="R190">
            <v>0</v>
          </cell>
          <cell r="S190">
            <v>93380</v>
          </cell>
          <cell r="V190">
            <v>93380</v>
          </cell>
        </row>
        <row r="191">
          <cell r="N191">
            <v>8123</v>
          </cell>
          <cell r="R191">
            <v>0</v>
          </cell>
          <cell r="S191">
            <v>91700</v>
          </cell>
          <cell r="V191">
            <v>91700</v>
          </cell>
        </row>
        <row r="192">
          <cell r="N192">
            <v>8148</v>
          </cell>
          <cell r="R192">
            <v>0</v>
          </cell>
          <cell r="S192">
            <v>90023</v>
          </cell>
          <cell r="V192">
            <v>90023</v>
          </cell>
        </row>
        <row r="193">
          <cell r="N193">
            <v>8161</v>
          </cell>
          <cell r="R193">
            <v>0</v>
          </cell>
          <cell r="S193">
            <v>90036</v>
          </cell>
          <cell r="V193">
            <v>90036</v>
          </cell>
        </row>
        <row r="194">
          <cell r="N194">
            <v>8186</v>
          </cell>
          <cell r="R194">
            <v>0</v>
          </cell>
          <cell r="S194">
            <v>93707</v>
          </cell>
          <cell r="V194">
            <v>93707</v>
          </cell>
        </row>
        <row r="195">
          <cell r="N195">
            <v>8207</v>
          </cell>
          <cell r="R195">
            <v>0</v>
          </cell>
          <cell r="S195">
            <v>94020</v>
          </cell>
          <cell r="V195">
            <v>94020</v>
          </cell>
        </row>
        <row r="196">
          <cell r="N196">
            <v>8230</v>
          </cell>
          <cell r="R196">
            <v>0</v>
          </cell>
          <cell r="S196">
            <v>90664</v>
          </cell>
          <cell r="V196">
            <v>90664</v>
          </cell>
        </row>
        <row r="197">
          <cell r="N197">
            <v>8260</v>
          </cell>
          <cell r="R197">
            <v>0</v>
          </cell>
          <cell r="S197">
            <v>95871</v>
          </cell>
          <cell r="V197">
            <v>95871</v>
          </cell>
        </row>
        <row r="198">
          <cell r="N198">
            <v>8270</v>
          </cell>
          <cell r="R198">
            <v>0</v>
          </cell>
          <cell r="S198">
            <v>111471</v>
          </cell>
          <cell r="V198">
            <v>111471</v>
          </cell>
        </row>
        <row r="199">
          <cell r="N199">
            <v>8264</v>
          </cell>
          <cell r="R199">
            <v>0</v>
          </cell>
          <cell r="S199">
            <v>104228</v>
          </cell>
          <cell r="V199">
            <v>104228</v>
          </cell>
        </row>
        <row r="200">
          <cell r="N200">
            <v>8267</v>
          </cell>
          <cell r="R200">
            <v>0</v>
          </cell>
          <cell r="S200">
            <v>105812</v>
          </cell>
          <cell r="V200">
            <v>105812</v>
          </cell>
        </row>
        <row r="201">
          <cell r="N201">
            <v>8270</v>
          </cell>
          <cell r="R201">
            <v>0</v>
          </cell>
          <cell r="S201">
            <v>144724</v>
          </cell>
          <cell r="V201">
            <v>144724</v>
          </cell>
        </row>
        <row r="202">
          <cell r="N202">
            <v>8299</v>
          </cell>
          <cell r="R202">
            <v>0</v>
          </cell>
          <cell r="S202">
            <v>102123</v>
          </cell>
          <cell r="V202"/>
        </row>
        <row r="203">
          <cell r="N203">
            <v>8329</v>
          </cell>
          <cell r="R203">
            <v>0</v>
          </cell>
          <cell r="S203">
            <v>98386</v>
          </cell>
          <cell r="V203"/>
        </row>
        <row r="204">
          <cell r="N204"/>
          <cell r="R204">
            <v>0</v>
          </cell>
          <cell r="S204">
            <v>-70671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34">
        <row r="175">
          <cell r="N175">
            <v>7000</v>
          </cell>
          <cell r="R175"/>
          <cell r="S175">
            <v>181982</v>
          </cell>
          <cell r="V175">
            <v>311365</v>
          </cell>
        </row>
        <row r="176">
          <cell r="N176">
            <v>7000</v>
          </cell>
          <cell r="R176"/>
          <cell r="S176">
            <v>178970</v>
          </cell>
          <cell r="V176">
            <v>178970</v>
          </cell>
        </row>
        <row r="177">
          <cell r="N177">
            <v>7000</v>
          </cell>
          <cell r="R177"/>
          <cell r="S177">
            <v>183951</v>
          </cell>
          <cell r="V177">
            <v>183951</v>
          </cell>
        </row>
        <row r="178">
          <cell r="N178">
            <v>7000</v>
          </cell>
          <cell r="R178"/>
          <cell r="S178">
            <v>176726</v>
          </cell>
          <cell r="V178">
            <v>176726</v>
          </cell>
        </row>
        <row r="179">
          <cell r="N179">
            <v>7000</v>
          </cell>
          <cell r="R179"/>
          <cell r="S179">
            <v>130450</v>
          </cell>
          <cell r="V179">
            <v>130450</v>
          </cell>
        </row>
        <row r="180">
          <cell r="N180">
            <v>7000</v>
          </cell>
          <cell r="R180"/>
          <cell r="S180">
            <v>127918</v>
          </cell>
          <cell r="V180">
            <v>127918</v>
          </cell>
        </row>
        <row r="181">
          <cell r="N181">
            <v>7000</v>
          </cell>
          <cell r="R181"/>
          <cell r="S181">
            <v>113051</v>
          </cell>
          <cell r="V181"/>
        </row>
        <row r="182">
          <cell r="N182">
            <v>7981</v>
          </cell>
          <cell r="R182"/>
          <cell r="S182">
            <v>115588</v>
          </cell>
          <cell r="V182">
            <v>228639</v>
          </cell>
        </row>
        <row r="183">
          <cell r="N183">
            <v>7997</v>
          </cell>
          <cell r="R183"/>
          <cell r="S183">
            <v>119350</v>
          </cell>
          <cell r="V183"/>
        </row>
        <row r="184">
          <cell r="N184">
            <v>7990</v>
          </cell>
          <cell r="R184">
            <v>0</v>
          </cell>
          <cell r="S184">
            <v>128216</v>
          </cell>
          <cell r="V184">
            <v>247566</v>
          </cell>
        </row>
        <row r="185">
          <cell r="N185">
            <v>8019</v>
          </cell>
          <cell r="R185">
            <v>0</v>
          </cell>
          <cell r="S185">
            <v>148519</v>
          </cell>
          <cell r="V185">
            <v>148519</v>
          </cell>
        </row>
        <row r="186">
          <cell r="N186">
            <v>8039</v>
          </cell>
          <cell r="R186">
            <v>0</v>
          </cell>
          <cell r="S186">
            <v>203975</v>
          </cell>
          <cell r="V186">
            <v>203975</v>
          </cell>
        </row>
        <row r="187">
          <cell r="N187">
            <v>8047</v>
          </cell>
          <cell r="R187">
            <v>0</v>
          </cell>
          <cell r="S187">
            <v>210535</v>
          </cell>
          <cell r="V187">
            <v>210535</v>
          </cell>
        </row>
        <row r="188">
          <cell r="N188">
            <v>8077</v>
          </cell>
          <cell r="R188">
            <v>0</v>
          </cell>
          <cell r="S188">
            <v>155225</v>
          </cell>
          <cell r="V188">
            <v>155225</v>
          </cell>
        </row>
        <row r="189">
          <cell r="N189">
            <v>8090</v>
          </cell>
          <cell r="R189">
            <v>0</v>
          </cell>
          <cell r="S189">
            <v>169096</v>
          </cell>
          <cell r="V189">
            <v>169096</v>
          </cell>
        </row>
        <row r="190">
          <cell r="N190">
            <v>8101</v>
          </cell>
          <cell r="R190">
            <v>0</v>
          </cell>
          <cell r="S190">
            <v>150798</v>
          </cell>
          <cell r="V190">
            <v>150798</v>
          </cell>
        </row>
        <row r="191">
          <cell r="N191">
            <v>8123</v>
          </cell>
          <cell r="R191">
            <v>0</v>
          </cell>
          <cell r="S191">
            <v>131835</v>
          </cell>
          <cell r="V191">
            <v>131835</v>
          </cell>
        </row>
        <row r="192">
          <cell r="N192">
            <v>8148</v>
          </cell>
          <cell r="R192">
            <v>0</v>
          </cell>
          <cell r="S192">
            <v>110313</v>
          </cell>
          <cell r="V192">
            <v>110313</v>
          </cell>
        </row>
        <row r="193">
          <cell r="N193">
            <v>8161</v>
          </cell>
          <cell r="R193">
            <v>0</v>
          </cell>
          <cell r="S193">
            <v>115895</v>
          </cell>
          <cell r="V193"/>
        </row>
        <row r="194">
          <cell r="N194">
            <v>8186</v>
          </cell>
          <cell r="R194">
            <v>0</v>
          </cell>
          <cell r="S194">
            <v>127033</v>
          </cell>
          <cell r="V194">
            <v>242928</v>
          </cell>
        </row>
        <row r="195">
          <cell r="N195">
            <v>8207</v>
          </cell>
          <cell r="R195">
            <v>0</v>
          </cell>
          <cell r="S195">
            <v>126074</v>
          </cell>
          <cell r="V195">
            <v>126074</v>
          </cell>
        </row>
        <row r="196">
          <cell r="N196">
            <v>8230</v>
          </cell>
          <cell r="R196">
            <v>55066</v>
          </cell>
          <cell r="S196">
            <v>192635</v>
          </cell>
          <cell r="V196"/>
        </row>
        <row r="197">
          <cell r="N197">
            <v>8260</v>
          </cell>
          <cell r="R197">
            <v>55132</v>
          </cell>
          <cell r="S197">
            <v>220523</v>
          </cell>
          <cell r="V197"/>
        </row>
        <row r="198">
          <cell r="N198">
            <v>8270</v>
          </cell>
          <cell r="R198">
            <v>0</v>
          </cell>
          <cell r="S198">
            <v>135661</v>
          </cell>
          <cell r="V198">
            <v>548819</v>
          </cell>
        </row>
        <row r="199">
          <cell r="N199">
            <v>8264</v>
          </cell>
          <cell r="R199">
            <v>0</v>
          </cell>
          <cell r="S199">
            <v>148968</v>
          </cell>
          <cell r="V199"/>
        </row>
        <row r="200">
          <cell r="N200">
            <v>8267</v>
          </cell>
          <cell r="R200">
            <v>0</v>
          </cell>
          <cell r="S200">
            <v>147853</v>
          </cell>
          <cell r="V200">
            <v>296821</v>
          </cell>
        </row>
        <row r="201">
          <cell r="N201">
            <v>8270</v>
          </cell>
          <cell r="R201">
            <v>0</v>
          </cell>
          <cell r="S201">
            <v>143430</v>
          </cell>
          <cell r="V201">
            <v>143430</v>
          </cell>
        </row>
        <row r="202">
          <cell r="N202">
            <v>8299</v>
          </cell>
          <cell r="R202">
            <v>0</v>
          </cell>
          <cell r="S202">
            <v>144310</v>
          </cell>
          <cell r="V202">
            <v>144310</v>
          </cell>
        </row>
        <row r="203">
          <cell r="N203">
            <v>8329</v>
          </cell>
          <cell r="R203">
            <v>0</v>
          </cell>
          <cell r="S203">
            <v>142417</v>
          </cell>
          <cell r="V203"/>
        </row>
        <row r="204">
          <cell r="N204"/>
          <cell r="R204">
            <v>0</v>
          </cell>
          <cell r="S204">
            <v>-3540083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35">
        <row r="175">
          <cell r="N175">
            <v>7000</v>
          </cell>
          <cell r="R175"/>
          <cell r="S175">
            <v>222077</v>
          </cell>
          <cell r="V175">
            <v>222077</v>
          </cell>
        </row>
        <row r="176">
          <cell r="N176">
            <v>7000</v>
          </cell>
          <cell r="R176"/>
          <cell r="S176">
            <v>189464</v>
          </cell>
          <cell r="V176">
            <v>222077</v>
          </cell>
        </row>
        <row r="177">
          <cell r="N177">
            <v>7000</v>
          </cell>
          <cell r="R177"/>
          <cell r="S177">
            <v>188458</v>
          </cell>
          <cell r="V177">
            <v>156000</v>
          </cell>
        </row>
        <row r="178">
          <cell r="N178">
            <v>7000</v>
          </cell>
          <cell r="R178"/>
          <cell r="S178">
            <v>200644</v>
          </cell>
          <cell r="V178">
            <v>200489</v>
          </cell>
        </row>
        <row r="179">
          <cell r="N179">
            <v>7000</v>
          </cell>
          <cell r="R179"/>
          <cell r="S179">
            <v>160104</v>
          </cell>
          <cell r="V179">
            <v>160104</v>
          </cell>
        </row>
        <row r="180">
          <cell r="N180">
            <v>7000</v>
          </cell>
          <cell r="R180"/>
          <cell r="S180">
            <v>144636</v>
          </cell>
          <cell r="V180">
            <v>145000</v>
          </cell>
        </row>
        <row r="181">
          <cell r="N181">
            <v>7000</v>
          </cell>
          <cell r="R181"/>
          <cell r="S181">
            <v>178971</v>
          </cell>
          <cell r="V181"/>
        </row>
        <row r="182">
          <cell r="N182">
            <v>7981</v>
          </cell>
          <cell r="R182"/>
          <cell r="S182">
            <v>227010</v>
          </cell>
          <cell r="V182">
            <v>406000</v>
          </cell>
        </row>
        <row r="183">
          <cell r="N183">
            <v>7997</v>
          </cell>
          <cell r="R183"/>
          <cell r="S183">
            <v>326490</v>
          </cell>
          <cell r="V183">
            <v>350000</v>
          </cell>
        </row>
        <row r="184">
          <cell r="N184">
            <v>7990</v>
          </cell>
          <cell r="R184">
            <v>0</v>
          </cell>
          <cell r="S184">
            <v>289788</v>
          </cell>
          <cell r="V184"/>
        </row>
        <row r="185">
          <cell r="N185">
            <v>8019</v>
          </cell>
          <cell r="R185">
            <v>0</v>
          </cell>
          <cell r="S185">
            <v>296279</v>
          </cell>
          <cell r="V185">
            <v>600000</v>
          </cell>
        </row>
        <row r="186">
          <cell r="N186">
            <v>8039</v>
          </cell>
          <cell r="R186">
            <v>0</v>
          </cell>
          <cell r="S186">
            <v>299670</v>
          </cell>
          <cell r="V186"/>
        </row>
        <row r="187">
          <cell r="N187">
            <v>8047</v>
          </cell>
          <cell r="R187">
            <v>0</v>
          </cell>
          <cell r="S187">
            <v>326428</v>
          </cell>
          <cell r="V187">
            <v>600000</v>
          </cell>
        </row>
        <row r="188">
          <cell r="N188">
            <v>8077</v>
          </cell>
          <cell r="R188">
            <v>0</v>
          </cell>
          <cell r="S188">
            <v>267327</v>
          </cell>
          <cell r="V188"/>
        </row>
        <row r="189">
          <cell r="N189">
            <v>8090</v>
          </cell>
          <cell r="R189">
            <v>0</v>
          </cell>
          <cell r="S189">
            <v>372083</v>
          </cell>
          <cell r="V189">
            <v>630000</v>
          </cell>
        </row>
        <row r="190">
          <cell r="N190">
            <v>8101</v>
          </cell>
          <cell r="R190">
            <v>0</v>
          </cell>
          <cell r="S190">
            <v>444177</v>
          </cell>
          <cell r="V190"/>
        </row>
        <row r="191">
          <cell r="N191">
            <v>8123</v>
          </cell>
          <cell r="R191">
            <v>0</v>
          </cell>
          <cell r="S191">
            <v>454260</v>
          </cell>
          <cell r="V191">
            <v>900000</v>
          </cell>
        </row>
        <row r="192">
          <cell r="N192">
            <v>8148</v>
          </cell>
          <cell r="R192">
            <v>0</v>
          </cell>
          <cell r="S192">
            <v>218671</v>
          </cell>
          <cell r="V192">
            <v>215000</v>
          </cell>
        </row>
        <row r="193">
          <cell r="N193">
            <v>8161</v>
          </cell>
          <cell r="R193">
            <v>0</v>
          </cell>
          <cell r="S193">
            <v>187147</v>
          </cell>
          <cell r="V193">
            <v>190000</v>
          </cell>
        </row>
        <row r="194">
          <cell r="N194">
            <v>8186</v>
          </cell>
          <cell r="R194">
            <v>0</v>
          </cell>
          <cell r="S194">
            <v>313604</v>
          </cell>
          <cell r="V194"/>
        </row>
        <row r="195">
          <cell r="N195">
            <v>8207</v>
          </cell>
          <cell r="R195">
            <v>0</v>
          </cell>
          <cell r="S195">
            <v>290291</v>
          </cell>
          <cell r="V195">
            <v>610000</v>
          </cell>
        </row>
        <row r="196">
          <cell r="N196">
            <v>8230</v>
          </cell>
          <cell r="R196">
            <v>0</v>
          </cell>
          <cell r="S196">
            <v>407447</v>
          </cell>
          <cell r="V196">
            <v>400000</v>
          </cell>
        </row>
        <row r="197">
          <cell r="N197">
            <v>8260</v>
          </cell>
          <cell r="R197">
            <v>0</v>
          </cell>
          <cell r="S197">
            <v>461969</v>
          </cell>
          <cell r="V197"/>
        </row>
        <row r="198">
          <cell r="N198">
            <v>8270</v>
          </cell>
          <cell r="R198">
            <v>0</v>
          </cell>
          <cell r="S198">
            <v>232049</v>
          </cell>
          <cell r="V198">
            <v>700000</v>
          </cell>
        </row>
        <row r="199">
          <cell r="N199">
            <v>8264</v>
          </cell>
          <cell r="R199">
            <v>0</v>
          </cell>
          <cell r="S199">
            <v>449842</v>
          </cell>
          <cell r="V199">
            <v>450000</v>
          </cell>
        </row>
        <row r="200">
          <cell r="N200">
            <v>8267</v>
          </cell>
          <cell r="R200">
            <v>55114</v>
          </cell>
          <cell r="S200">
            <v>276314</v>
          </cell>
          <cell r="V200"/>
        </row>
        <row r="201">
          <cell r="N201">
            <v>8270</v>
          </cell>
          <cell r="R201">
            <v>55132</v>
          </cell>
          <cell r="S201">
            <v>247990</v>
          </cell>
          <cell r="V201">
            <v>520000</v>
          </cell>
        </row>
        <row r="202">
          <cell r="N202">
            <v>8299</v>
          </cell>
          <cell r="R202">
            <v>0</v>
          </cell>
          <cell r="S202">
            <v>234162</v>
          </cell>
          <cell r="V202"/>
        </row>
        <row r="203">
          <cell r="N203">
            <v>8329</v>
          </cell>
          <cell r="R203">
            <v>0</v>
          </cell>
          <cell r="S203">
            <v>178641</v>
          </cell>
          <cell r="V203"/>
        </row>
        <row r="204">
          <cell r="N204"/>
          <cell r="R204">
            <v>0</v>
          </cell>
          <cell r="S204">
            <v>-19214694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36">
        <row r="175">
          <cell r="N175">
            <v>7000</v>
          </cell>
          <cell r="R175"/>
          <cell r="S175">
            <v>139850</v>
          </cell>
          <cell r="V175">
            <v>139850</v>
          </cell>
        </row>
        <row r="176">
          <cell r="N176">
            <v>7000</v>
          </cell>
          <cell r="R176"/>
          <cell r="S176">
            <v>148702</v>
          </cell>
          <cell r="V176">
            <v>148702</v>
          </cell>
        </row>
        <row r="177">
          <cell r="N177">
            <v>7000</v>
          </cell>
          <cell r="R177"/>
          <cell r="S177">
            <v>153491</v>
          </cell>
          <cell r="V177">
            <v>153491</v>
          </cell>
        </row>
        <row r="178">
          <cell r="N178">
            <v>7000</v>
          </cell>
          <cell r="R178"/>
          <cell r="S178">
            <v>136000</v>
          </cell>
          <cell r="V178">
            <v>132269</v>
          </cell>
        </row>
        <row r="179">
          <cell r="N179">
            <v>7000</v>
          </cell>
          <cell r="R179"/>
          <cell r="S179">
            <v>130731</v>
          </cell>
          <cell r="V179">
            <v>134462</v>
          </cell>
        </row>
        <row r="180">
          <cell r="N180">
            <v>7000</v>
          </cell>
          <cell r="R180"/>
          <cell r="S180">
            <v>152890</v>
          </cell>
          <cell r="V180">
            <v>152890</v>
          </cell>
        </row>
        <row r="181">
          <cell r="N181">
            <v>7000</v>
          </cell>
          <cell r="R181"/>
          <cell r="S181">
            <v>137005</v>
          </cell>
          <cell r="V181">
            <v>137005</v>
          </cell>
        </row>
        <row r="182">
          <cell r="N182">
            <v>7981</v>
          </cell>
          <cell r="R182"/>
          <cell r="S182">
            <v>147155</v>
          </cell>
          <cell r="V182">
            <v>147155</v>
          </cell>
        </row>
        <row r="183">
          <cell r="N183">
            <v>7997</v>
          </cell>
          <cell r="R183"/>
          <cell r="S183">
            <v>154571</v>
          </cell>
          <cell r="V183">
            <v>154571</v>
          </cell>
        </row>
        <row r="184">
          <cell r="N184">
            <v>7990</v>
          </cell>
          <cell r="R184">
            <v>0</v>
          </cell>
          <cell r="S184">
            <v>132643</v>
          </cell>
          <cell r="V184">
            <v>132643</v>
          </cell>
        </row>
        <row r="185">
          <cell r="N185">
            <v>8019</v>
          </cell>
          <cell r="R185">
            <v>0</v>
          </cell>
          <cell r="S185">
            <v>153751</v>
          </cell>
          <cell r="V185">
            <v>153751</v>
          </cell>
        </row>
        <row r="186">
          <cell r="N186">
            <v>8039</v>
          </cell>
          <cell r="R186">
            <v>0</v>
          </cell>
          <cell r="S186">
            <v>152761</v>
          </cell>
          <cell r="V186">
            <v>152761</v>
          </cell>
        </row>
        <row r="187">
          <cell r="N187">
            <v>8047</v>
          </cell>
          <cell r="R187">
            <v>0</v>
          </cell>
          <cell r="S187">
            <v>162992</v>
          </cell>
          <cell r="V187">
            <v>162992</v>
          </cell>
        </row>
        <row r="188">
          <cell r="N188">
            <v>8077</v>
          </cell>
          <cell r="R188">
            <v>0</v>
          </cell>
          <cell r="S188">
            <v>145823</v>
          </cell>
          <cell r="V188"/>
        </row>
        <row r="189">
          <cell r="N189">
            <v>8090</v>
          </cell>
          <cell r="R189">
            <v>0</v>
          </cell>
          <cell r="S189">
            <v>145010</v>
          </cell>
          <cell r="V189">
            <v>290833</v>
          </cell>
        </row>
        <row r="190">
          <cell r="N190">
            <v>8101</v>
          </cell>
          <cell r="R190">
            <v>0</v>
          </cell>
          <cell r="S190">
            <v>135047</v>
          </cell>
          <cell r="V190">
            <v>135047</v>
          </cell>
        </row>
        <row r="191">
          <cell r="N191">
            <v>8123</v>
          </cell>
          <cell r="R191">
            <v>0</v>
          </cell>
          <cell r="S191">
            <v>135265</v>
          </cell>
          <cell r="V191"/>
        </row>
        <row r="192">
          <cell r="N192">
            <v>8148</v>
          </cell>
          <cell r="R192">
            <v>0</v>
          </cell>
          <cell r="S192">
            <v>128332</v>
          </cell>
          <cell r="V192">
            <v>263597</v>
          </cell>
        </row>
        <row r="193">
          <cell r="N193">
            <v>8161</v>
          </cell>
          <cell r="R193">
            <v>0</v>
          </cell>
          <cell r="S193">
            <v>129819</v>
          </cell>
          <cell r="V193"/>
        </row>
        <row r="194">
          <cell r="N194">
            <v>8186</v>
          </cell>
          <cell r="R194">
            <v>0</v>
          </cell>
          <cell r="S194">
            <v>142446</v>
          </cell>
          <cell r="V194">
            <v>272265</v>
          </cell>
        </row>
        <row r="195">
          <cell r="N195">
            <v>8207</v>
          </cell>
          <cell r="R195">
            <v>0</v>
          </cell>
          <cell r="S195">
            <v>126845</v>
          </cell>
          <cell r="V195">
            <v>126845</v>
          </cell>
        </row>
        <row r="196">
          <cell r="N196">
            <v>8230</v>
          </cell>
          <cell r="R196">
            <v>0</v>
          </cell>
          <cell r="S196">
            <v>141097</v>
          </cell>
          <cell r="V196">
            <v>141097</v>
          </cell>
        </row>
        <row r="197">
          <cell r="N197">
            <v>8260</v>
          </cell>
          <cell r="R197">
            <v>0</v>
          </cell>
          <cell r="S197">
            <v>166216</v>
          </cell>
          <cell r="V197"/>
        </row>
        <row r="198">
          <cell r="N198">
            <v>8270</v>
          </cell>
          <cell r="R198">
            <v>0</v>
          </cell>
          <cell r="S198">
            <v>134350</v>
          </cell>
          <cell r="V198">
            <v>300566</v>
          </cell>
        </row>
        <row r="199">
          <cell r="N199">
            <v>8264</v>
          </cell>
          <cell r="R199">
            <v>0</v>
          </cell>
          <cell r="S199">
            <v>135280</v>
          </cell>
          <cell r="V199"/>
        </row>
        <row r="200">
          <cell r="N200">
            <v>8267</v>
          </cell>
          <cell r="R200">
            <v>0</v>
          </cell>
          <cell r="S200">
            <v>159002</v>
          </cell>
          <cell r="V200">
            <v>294282</v>
          </cell>
        </row>
        <row r="201">
          <cell r="N201">
            <v>8270</v>
          </cell>
          <cell r="R201">
            <v>0</v>
          </cell>
          <cell r="S201">
            <v>137693</v>
          </cell>
          <cell r="V201">
            <v>137693</v>
          </cell>
        </row>
        <row r="202">
          <cell r="N202">
            <v>8299</v>
          </cell>
          <cell r="R202">
            <v>0</v>
          </cell>
          <cell r="S202">
            <v>160620</v>
          </cell>
          <cell r="V202">
            <v>160620</v>
          </cell>
        </row>
        <row r="203">
          <cell r="N203">
            <v>8329</v>
          </cell>
          <cell r="R203">
            <v>0</v>
          </cell>
          <cell r="S203">
            <v>157687</v>
          </cell>
          <cell r="V203"/>
        </row>
        <row r="204">
          <cell r="N204"/>
          <cell r="R204">
            <v>0</v>
          </cell>
          <cell r="S204">
            <v>-1725620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37">
        <row r="175">
          <cell r="N175">
            <v>7000</v>
          </cell>
          <cell r="R175"/>
          <cell r="S175">
            <v>194996</v>
          </cell>
          <cell r="V175">
            <v>357647</v>
          </cell>
        </row>
        <row r="176">
          <cell r="N176">
            <v>7000</v>
          </cell>
          <cell r="R176"/>
          <cell r="S176">
            <v>161919</v>
          </cell>
          <cell r="V176"/>
        </row>
        <row r="177">
          <cell r="N177">
            <v>7000</v>
          </cell>
          <cell r="R177"/>
          <cell r="S177">
            <v>178605</v>
          </cell>
          <cell r="V177">
            <v>340524</v>
          </cell>
        </row>
        <row r="178">
          <cell r="N178">
            <v>7000</v>
          </cell>
          <cell r="R178"/>
          <cell r="S178">
            <v>154231</v>
          </cell>
          <cell r="V178"/>
        </row>
        <row r="179">
          <cell r="N179">
            <v>7000</v>
          </cell>
          <cell r="R179"/>
          <cell r="S179">
            <v>167141</v>
          </cell>
          <cell r="V179">
            <v>321372</v>
          </cell>
        </row>
        <row r="180">
          <cell r="N180">
            <v>7000</v>
          </cell>
          <cell r="R180"/>
          <cell r="S180">
            <v>145533</v>
          </cell>
          <cell r="V180"/>
        </row>
        <row r="181">
          <cell r="N181">
            <v>7000</v>
          </cell>
          <cell r="R181"/>
          <cell r="S181">
            <v>117046</v>
          </cell>
          <cell r="V181">
            <v>262579</v>
          </cell>
        </row>
        <row r="182">
          <cell r="N182">
            <v>7981</v>
          </cell>
          <cell r="R182"/>
          <cell r="S182">
            <v>125861</v>
          </cell>
          <cell r="V182"/>
        </row>
        <row r="183">
          <cell r="N183">
            <v>7997</v>
          </cell>
          <cell r="R183"/>
          <cell r="S183">
            <v>151928</v>
          </cell>
          <cell r="V183">
            <v>277789</v>
          </cell>
        </row>
        <row r="184">
          <cell r="N184">
            <v>7990</v>
          </cell>
          <cell r="R184"/>
          <cell r="S184">
            <v>141359</v>
          </cell>
          <cell r="V184"/>
        </row>
        <row r="185">
          <cell r="N185">
            <v>8019</v>
          </cell>
          <cell r="R185"/>
          <cell r="S185">
            <v>184747</v>
          </cell>
          <cell r="V185">
            <v>326106</v>
          </cell>
        </row>
        <row r="186">
          <cell r="N186">
            <v>8039</v>
          </cell>
          <cell r="R186"/>
          <cell r="S186">
            <v>186728</v>
          </cell>
          <cell r="V186">
            <v>186728</v>
          </cell>
        </row>
        <row r="187">
          <cell r="N187">
            <v>8047</v>
          </cell>
          <cell r="R187"/>
          <cell r="S187">
            <v>176635</v>
          </cell>
          <cell r="V187">
            <v>176635</v>
          </cell>
        </row>
        <row r="188">
          <cell r="N188">
            <v>8077</v>
          </cell>
          <cell r="R188"/>
          <cell r="S188">
            <v>157893</v>
          </cell>
          <cell r="V188">
            <v>157893</v>
          </cell>
        </row>
        <row r="189">
          <cell r="N189">
            <v>8090</v>
          </cell>
          <cell r="R189"/>
          <cell r="S189">
            <v>166954</v>
          </cell>
          <cell r="V189">
            <v>166954</v>
          </cell>
        </row>
        <row r="190">
          <cell r="N190">
            <v>8101</v>
          </cell>
          <cell r="R190">
            <v>54157</v>
          </cell>
          <cell r="S190">
            <v>211102</v>
          </cell>
          <cell r="V190"/>
        </row>
        <row r="191">
          <cell r="N191">
            <v>8123</v>
          </cell>
          <cell r="R191">
            <v>54318</v>
          </cell>
          <cell r="S191">
            <v>191291</v>
          </cell>
          <cell r="V191">
            <v>402393</v>
          </cell>
        </row>
        <row r="192">
          <cell r="N192">
            <v>8148</v>
          </cell>
          <cell r="R192"/>
          <cell r="S192">
            <v>128463</v>
          </cell>
          <cell r="V192">
            <v>128463</v>
          </cell>
        </row>
        <row r="193">
          <cell r="N193">
            <v>8161</v>
          </cell>
          <cell r="R193"/>
          <cell r="S193">
            <v>126240</v>
          </cell>
          <cell r="V193"/>
        </row>
        <row r="194">
          <cell r="N194">
            <v>8186</v>
          </cell>
          <cell r="R194"/>
          <cell r="S194">
            <v>138913</v>
          </cell>
          <cell r="V194">
            <v>265153</v>
          </cell>
        </row>
        <row r="195">
          <cell r="N195">
            <v>8207</v>
          </cell>
          <cell r="R195"/>
          <cell r="S195">
            <v>120834</v>
          </cell>
          <cell r="V195">
            <v>120834</v>
          </cell>
        </row>
        <row r="196">
          <cell r="N196">
            <v>8230</v>
          </cell>
          <cell r="R196"/>
          <cell r="S196">
            <v>137714</v>
          </cell>
          <cell r="V196"/>
        </row>
        <row r="197">
          <cell r="N197">
            <v>8260</v>
          </cell>
          <cell r="R197"/>
          <cell r="S197">
            <v>151535</v>
          </cell>
          <cell r="V197">
            <v>289249</v>
          </cell>
        </row>
        <row r="198">
          <cell r="N198">
            <v>8270</v>
          </cell>
          <cell r="R198"/>
          <cell r="S198">
            <v>187166</v>
          </cell>
          <cell r="V198"/>
        </row>
        <row r="199">
          <cell r="N199">
            <v>8264</v>
          </cell>
          <cell r="R199"/>
          <cell r="S199">
            <v>177012</v>
          </cell>
          <cell r="V199">
            <v>364178</v>
          </cell>
        </row>
        <row r="200">
          <cell r="N200">
            <v>8267</v>
          </cell>
          <cell r="R200">
            <v>55114</v>
          </cell>
          <cell r="S200">
            <v>259231</v>
          </cell>
          <cell r="V200"/>
        </row>
        <row r="201">
          <cell r="N201">
            <v>8270</v>
          </cell>
          <cell r="R201">
            <v>55132</v>
          </cell>
          <cell r="S201">
            <v>227678</v>
          </cell>
          <cell r="V201">
            <v>486909</v>
          </cell>
        </row>
        <row r="202">
          <cell r="N202">
            <v>8299</v>
          </cell>
          <cell r="R202"/>
          <cell r="S202">
            <v>155985</v>
          </cell>
          <cell r="V202">
            <v>155985</v>
          </cell>
        </row>
        <row r="203">
          <cell r="N203">
            <v>8329</v>
          </cell>
          <cell r="R203"/>
          <cell r="S203">
            <v>166402</v>
          </cell>
          <cell r="V203"/>
        </row>
        <row r="204">
          <cell r="N204"/>
          <cell r="R204"/>
          <cell r="S204">
            <v>-6239085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38">
        <row r="175">
          <cell r="N175">
            <v>7000</v>
          </cell>
          <cell r="R175"/>
          <cell r="S175">
            <v>97141</v>
          </cell>
          <cell r="V175">
            <v>97141</v>
          </cell>
        </row>
        <row r="176">
          <cell r="N176">
            <v>7000</v>
          </cell>
          <cell r="R176"/>
          <cell r="S176">
            <v>97141</v>
          </cell>
          <cell r="V176">
            <v>97141</v>
          </cell>
        </row>
        <row r="177">
          <cell r="N177">
            <v>7000</v>
          </cell>
          <cell r="R177"/>
          <cell r="S177">
            <v>97141</v>
          </cell>
          <cell r="V177">
            <v>97141</v>
          </cell>
        </row>
        <row r="178">
          <cell r="N178">
            <v>7000</v>
          </cell>
          <cell r="R178"/>
          <cell r="S178">
            <v>97141</v>
          </cell>
          <cell r="V178">
            <v>97141</v>
          </cell>
        </row>
        <row r="179">
          <cell r="N179">
            <v>7000</v>
          </cell>
          <cell r="R179"/>
          <cell r="S179">
            <v>97141</v>
          </cell>
          <cell r="V179">
            <v>97141</v>
          </cell>
        </row>
        <row r="180">
          <cell r="N180">
            <v>7000</v>
          </cell>
          <cell r="R180"/>
          <cell r="S180">
            <v>97141</v>
          </cell>
          <cell r="V180">
            <v>97141</v>
          </cell>
        </row>
        <row r="181">
          <cell r="N181">
            <v>7000</v>
          </cell>
          <cell r="R181"/>
          <cell r="S181">
            <v>97141</v>
          </cell>
          <cell r="V181">
            <v>97141</v>
          </cell>
        </row>
        <row r="182">
          <cell r="N182">
            <v>7981</v>
          </cell>
          <cell r="R182"/>
          <cell r="S182">
            <v>98122</v>
          </cell>
          <cell r="V182">
            <v>98122</v>
          </cell>
        </row>
        <row r="183">
          <cell r="N183">
            <v>7997</v>
          </cell>
          <cell r="R183"/>
          <cell r="S183">
            <v>98138</v>
          </cell>
          <cell r="V183">
            <v>98138</v>
          </cell>
        </row>
        <row r="184">
          <cell r="N184">
            <v>7990</v>
          </cell>
          <cell r="R184"/>
          <cell r="S184">
            <v>98131</v>
          </cell>
          <cell r="V184">
            <v>98131</v>
          </cell>
        </row>
        <row r="185">
          <cell r="N185">
            <v>8019</v>
          </cell>
          <cell r="R185"/>
          <cell r="S185">
            <v>98160</v>
          </cell>
          <cell r="V185">
            <v>98160</v>
          </cell>
        </row>
        <row r="186">
          <cell r="N186">
            <v>8039</v>
          </cell>
          <cell r="R186"/>
          <cell r="S186">
            <v>98180</v>
          </cell>
          <cell r="V186">
            <v>98180</v>
          </cell>
        </row>
        <row r="187">
          <cell r="N187">
            <v>8047</v>
          </cell>
          <cell r="R187"/>
          <cell r="S187">
            <v>99922</v>
          </cell>
          <cell r="V187">
            <v>99922</v>
          </cell>
        </row>
        <row r="188">
          <cell r="N188">
            <v>8077</v>
          </cell>
          <cell r="R188"/>
          <cell r="S188">
            <v>99952</v>
          </cell>
          <cell r="V188">
            <v>99952</v>
          </cell>
        </row>
        <row r="189">
          <cell r="N189">
            <v>8090</v>
          </cell>
          <cell r="R189"/>
          <cell r="S189">
            <v>99965</v>
          </cell>
          <cell r="V189">
            <v>99965</v>
          </cell>
        </row>
        <row r="190">
          <cell r="N190">
            <v>8101</v>
          </cell>
          <cell r="R190"/>
          <cell r="S190">
            <v>99976</v>
          </cell>
          <cell r="V190">
            <v>99976</v>
          </cell>
        </row>
        <row r="191">
          <cell r="N191">
            <v>8123</v>
          </cell>
          <cell r="R191"/>
          <cell r="S191">
            <v>99998</v>
          </cell>
          <cell r="V191">
            <v>99998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39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>
            <v>87141</v>
          </cell>
        </row>
        <row r="177">
          <cell r="N177">
            <v>7000</v>
          </cell>
          <cell r="R177"/>
          <cell r="S177">
            <v>87141</v>
          </cell>
          <cell r="V177">
            <v>87141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87141</v>
          </cell>
        </row>
        <row r="183">
          <cell r="N183">
            <v>7997</v>
          </cell>
          <cell r="R183"/>
          <cell r="S183">
            <v>88138</v>
          </cell>
          <cell r="V183">
            <v>89119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89925</v>
          </cell>
        </row>
        <row r="189">
          <cell r="N189">
            <v>8090</v>
          </cell>
          <cell r="R189"/>
          <cell r="S189">
            <v>89965</v>
          </cell>
          <cell r="V189">
            <v>89992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92468</v>
          </cell>
        </row>
        <row r="200">
          <cell r="N200">
            <v>8267</v>
          </cell>
          <cell r="R200"/>
          <cell r="S200">
            <v>92271</v>
          </cell>
          <cell r="V200">
            <v>92071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0">
        <row r="175">
          <cell r="N175">
            <v>7000</v>
          </cell>
          <cell r="R175">
            <v>52636</v>
          </cell>
          <cell r="S175">
            <v>139777</v>
          </cell>
          <cell r="V175">
            <v>100000</v>
          </cell>
        </row>
        <row r="176">
          <cell r="N176">
            <v>7000</v>
          </cell>
          <cell r="R176">
            <v>52784</v>
          </cell>
          <cell r="S176">
            <v>139925</v>
          </cell>
          <cell r="V176">
            <v>200000</v>
          </cell>
        </row>
        <row r="177">
          <cell r="N177">
            <v>7000</v>
          </cell>
          <cell r="R177">
            <v>52944</v>
          </cell>
          <cell r="S177">
            <v>140085</v>
          </cell>
          <cell r="V177"/>
        </row>
        <row r="178">
          <cell r="N178">
            <v>7000</v>
          </cell>
          <cell r="R178">
            <v>53123</v>
          </cell>
          <cell r="S178">
            <v>140264</v>
          </cell>
          <cell r="V178"/>
        </row>
        <row r="179">
          <cell r="N179">
            <v>7000</v>
          </cell>
          <cell r="R179">
            <v>53262</v>
          </cell>
          <cell r="S179">
            <v>140403</v>
          </cell>
          <cell r="V179"/>
        </row>
        <row r="180">
          <cell r="N180">
            <v>7000</v>
          </cell>
          <cell r="R180">
            <v>53330</v>
          </cell>
          <cell r="S180">
            <v>140471</v>
          </cell>
          <cell r="V180"/>
        </row>
        <row r="181">
          <cell r="N181">
            <v>7000</v>
          </cell>
          <cell r="R181">
            <v>53195</v>
          </cell>
          <cell r="S181">
            <v>140336</v>
          </cell>
          <cell r="V181"/>
        </row>
        <row r="182">
          <cell r="N182">
            <v>7981</v>
          </cell>
          <cell r="R182">
            <v>53208</v>
          </cell>
          <cell r="S182">
            <v>141330</v>
          </cell>
          <cell r="V182"/>
        </row>
        <row r="183">
          <cell r="N183">
            <v>7997</v>
          </cell>
          <cell r="R183">
            <v>53314</v>
          </cell>
          <cell r="S183">
            <v>141452</v>
          </cell>
          <cell r="V183"/>
        </row>
        <row r="184">
          <cell r="N184">
            <v>7990</v>
          </cell>
          <cell r="R184">
            <v>53270</v>
          </cell>
          <cell r="S184">
            <v>141401</v>
          </cell>
          <cell r="V184"/>
        </row>
        <row r="185">
          <cell r="N185">
            <v>8019</v>
          </cell>
          <cell r="R185"/>
          <cell r="S185">
            <v>88160</v>
          </cell>
          <cell r="V185">
            <v>1313291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>
            <v>53934</v>
          </cell>
          <cell r="S188">
            <v>143886</v>
          </cell>
          <cell r="V188"/>
        </row>
        <row r="189">
          <cell r="N189">
            <v>8090</v>
          </cell>
          <cell r="R189">
            <v>54009</v>
          </cell>
          <cell r="S189">
            <v>143974</v>
          </cell>
          <cell r="V189"/>
        </row>
        <row r="190">
          <cell r="N190">
            <v>8101</v>
          </cell>
          <cell r="R190">
            <v>54157</v>
          </cell>
          <cell r="S190">
            <v>144133</v>
          </cell>
          <cell r="V190"/>
        </row>
        <row r="191">
          <cell r="N191">
            <v>8123</v>
          </cell>
          <cell r="R191">
            <v>54318</v>
          </cell>
          <cell r="S191">
            <v>144316</v>
          </cell>
          <cell r="V191"/>
        </row>
        <row r="192">
          <cell r="N192">
            <v>8148</v>
          </cell>
          <cell r="R192">
            <v>54405</v>
          </cell>
          <cell r="S192">
            <v>144428</v>
          </cell>
          <cell r="V192"/>
        </row>
        <row r="193">
          <cell r="N193">
            <v>8161</v>
          </cell>
          <cell r="R193">
            <v>54575</v>
          </cell>
          <cell r="S193">
            <v>144611</v>
          </cell>
          <cell r="V193"/>
        </row>
        <row r="194">
          <cell r="N194">
            <v>8186</v>
          </cell>
          <cell r="R194">
            <v>54715</v>
          </cell>
          <cell r="S194">
            <v>144776</v>
          </cell>
          <cell r="V194"/>
        </row>
        <row r="195">
          <cell r="N195">
            <v>8207</v>
          </cell>
          <cell r="R195">
            <v>54864</v>
          </cell>
          <cell r="S195">
            <v>144946</v>
          </cell>
          <cell r="V195"/>
        </row>
        <row r="196">
          <cell r="N196">
            <v>8230</v>
          </cell>
          <cell r="R196">
            <v>55066</v>
          </cell>
          <cell r="S196">
            <v>145171</v>
          </cell>
          <cell r="V196"/>
        </row>
        <row r="197">
          <cell r="N197">
            <v>8260</v>
          </cell>
          <cell r="R197">
            <v>55132</v>
          </cell>
          <cell r="S197">
            <v>145267</v>
          </cell>
          <cell r="V197"/>
        </row>
        <row r="198">
          <cell r="N198">
            <v>8270</v>
          </cell>
          <cell r="R198">
            <v>55092</v>
          </cell>
          <cell r="S198">
            <v>145237</v>
          </cell>
          <cell r="V198"/>
        </row>
        <row r="199">
          <cell r="N199">
            <v>8264</v>
          </cell>
          <cell r="R199">
            <v>55092</v>
          </cell>
          <cell r="S199">
            <v>147360</v>
          </cell>
          <cell r="V199"/>
        </row>
        <row r="200">
          <cell r="N200">
            <v>8267</v>
          </cell>
          <cell r="R200">
            <v>55114</v>
          </cell>
          <cell r="S200">
            <v>147385</v>
          </cell>
          <cell r="V200"/>
        </row>
        <row r="201">
          <cell r="N201">
            <v>8270</v>
          </cell>
          <cell r="R201"/>
          <cell r="S201">
            <v>92274</v>
          </cell>
          <cell r="V201">
            <v>1977764</v>
          </cell>
        </row>
        <row r="202">
          <cell r="N202">
            <v>8299</v>
          </cell>
          <cell r="R202"/>
          <cell r="S202">
            <v>92303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1">
        <row r="175">
          <cell r="N175">
            <v>7000</v>
          </cell>
          <cell r="R175"/>
          <cell r="S175">
            <v>101783</v>
          </cell>
          <cell r="V175">
            <v>101783</v>
          </cell>
        </row>
        <row r="176">
          <cell r="N176">
            <v>7000</v>
          </cell>
          <cell r="R176"/>
          <cell r="S176">
            <v>97916</v>
          </cell>
          <cell r="V176"/>
        </row>
        <row r="177">
          <cell r="N177">
            <v>7000</v>
          </cell>
          <cell r="R177"/>
          <cell r="S177">
            <v>98525</v>
          </cell>
          <cell r="V177">
            <v>196441</v>
          </cell>
        </row>
        <row r="178">
          <cell r="N178">
            <v>7000</v>
          </cell>
          <cell r="R178"/>
          <cell r="S178">
            <v>91375</v>
          </cell>
          <cell r="V178"/>
        </row>
        <row r="179">
          <cell r="N179">
            <v>7000</v>
          </cell>
          <cell r="R179"/>
          <cell r="S179">
            <v>91642</v>
          </cell>
          <cell r="V179">
            <v>183017</v>
          </cell>
        </row>
        <row r="180">
          <cell r="N180">
            <v>7000</v>
          </cell>
          <cell r="R180"/>
          <cell r="S180">
            <v>89915</v>
          </cell>
          <cell r="V180"/>
        </row>
        <row r="181">
          <cell r="N181">
            <v>7000</v>
          </cell>
          <cell r="R181"/>
          <cell r="S181">
            <v>89623</v>
          </cell>
          <cell r="V181">
            <v>179538</v>
          </cell>
        </row>
        <row r="182">
          <cell r="N182">
            <v>7981</v>
          </cell>
          <cell r="R182"/>
          <cell r="S182">
            <v>91188</v>
          </cell>
          <cell r="V182"/>
        </row>
        <row r="183">
          <cell r="N183">
            <v>7997</v>
          </cell>
          <cell r="R183"/>
          <cell r="S183">
            <v>91058</v>
          </cell>
          <cell r="V183">
            <v>182246</v>
          </cell>
        </row>
        <row r="184">
          <cell r="N184">
            <v>7990</v>
          </cell>
          <cell r="R184">
            <v>0</v>
          </cell>
          <cell r="S184">
            <v>91197</v>
          </cell>
          <cell r="V184"/>
        </row>
        <row r="185">
          <cell r="N185">
            <v>8019</v>
          </cell>
          <cell r="R185">
            <v>0</v>
          </cell>
          <cell r="S185">
            <v>92248</v>
          </cell>
          <cell r="V185">
            <v>183445</v>
          </cell>
        </row>
        <row r="186">
          <cell r="N186">
            <v>8039</v>
          </cell>
          <cell r="R186">
            <v>0</v>
          </cell>
          <cell r="S186">
            <v>92414</v>
          </cell>
          <cell r="V186">
            <v>92414</v>
          </cell>
        </row>
        <row r="187">
          <cell r="N187">
            <v>8047</v>
          </cell>
          <cell r="R187">
            <v>0</v>
          </cell>
          <cell r="S187">
            <v>95178</v>
          </cell>
          <cell r="V187">
            <v>95178</v>
          </cell>
        </row>
        <row r="188">
          <cell r="N188">
            <v>8077</v>
          </cell>
          <cell r="R188">
            <v>0</v>
          </cell>
          <cell r="S188">
            <v>94186</v>
          </cell>
          <cell r="V188">
            <v>94186</v>
          </cell>
        </row>
        <row r="189">
          <cell r="N189">
            <v>8090</v>
          </cell>
          <cell r="R189">
            <v>0</v>
          </cell>
          <cell r="S189">
            <v>94345</v>
          </cell>
          <cell r="V189">
            <v>94345</v>
          </cell>
        </row>
        <row r="190">
          <cell r="N190">
            <v>8101</v>
          </cell>
          <cell r="R190">
            <v>0</v>
          </cell>
          <cell r="S190">
            <v>93334</v>
          </cell>
          <cell r="V190">
            <v>95334</v>
          </cell>
        </row>
        <row r="191">
          <cell r="N191">
            <v>8123</v>
          </cell>
          <cell r="R191">
            <v>0</v>
          </cell>
          <cell r="S191">
            <v>92918</v>
          </cell>
          <cell r="V191">
            <v>90918</v>
          </cell>
        </row>
        <row r="192">
          <cell r="N192">
            <v>8148</v>
          </cell>
          <cell r="R192">
            <v>0</v>
          </cell>
          <cell r="S192">
            <v>92943</v>
          </cell>
          <cell r="V192">
            <v>92943</v>
          </cell>
        </row>
        <row r="193">
          <cell r="N193">
            <v>8161</v>
          </cell>
          <cell r="R193">
            <v>0</v>
          </cell>
          <cell r="S193">
            <v>92810</v>
          </cell>
          <cell r="V193">
            <v>92810</v>
          </cell>
        </row>
        <row r="194">
          <cell r="N194">
            <v>8186</v>
          </cell>
          <cell r="R194">
            <v>0</v>
          </cell>
          <cell r="S194">
            <v>93127</v>
          </cell>
          <cell r="V194">
            <v>93127</v>
          </cell>
        </row>
        <row r="195">
          <cell r="N195">
            <v>8207</v>
          </cell>
          <cell r="R195">
            <v>0</v>
          </cell>
          <cell r="S195">
            <v>92856</v>
          </cell>
          <cell r="V195"/>
        </row>
        <row r="196">
          <cell r="N196">
            <v>8230</v>
          </cell>
          <cell r="R196">
            <v>0</v>
          </cell>
          <cell r="S196">
            <v>93876</v>
          </cell>
          <cell r="V196">
            <v>186732</v>
          </cell>
        </row>
        <row r="197">
          <cell r="N197">
            <v>8260</v>
          </cell>
          <cell r="R197">
            <v>0</v>
          </cell>
          <cell r="S197">
            <v>94369</v>
          </cell>
          <cell r="V197">
            <v>94369</v>
          </cell>
        </row>
        <row r="198">
          <cell r="N198">
            <v>8270</v>
          </cell>
          <cell r="R198">
            <v>0</v>
          </cell>
          <cell r="S198">
            <v>95084</v>
          </cell>
          <cell r="V198">
            <v>95084</v>
          </cell>
        </row>
        <row r="199">
          <cell r="N199">
            <v>8264</v>
          </cell>
          <cell r="R199">
            <v>0</v>
          </cell>
          <cell r="S199">
            <v>97086</v>
          </cell>
          <cell r="V199">
            <v>97086</v>
          </cell>
        </row>
        <row r="200">
          <cell r="N200">
            <v>8267</v>
          </cell>
          <cell r="R200">
            <v>0</v>
          </cell>
          <cell r="S200">
            <v>97527</v>
          </cell>
          <cell r="V200"/>
        </row>
        <row r="201">
          <cell r="N201">
            <v>8270</v>
          </cell>
          <cell r="R201">
            <v>0</v>
          </cell>
          <cell r="S201">
            <v>96216</v>
          </cell>
          <cell r="V201">
            <v>193743</v>
          </cell>
        </row>
        <row r="202">
          <cell r="N202">
            <v>8299</v>
          </cell>
          <cell r="R202">
            <v>0</v>
          </cell>
          <cell r="S202">
            <v>95807</v>
          </cell>
          <cell r="V202">
            <v>95807</v>
          </cell>
        </row>
        <row r="203">
          <cell r="N203">
            <v>8329</v>
          </cell>
          <cell r="R203"/>
          <cell r="S203">
            <v>95253</v>
          </cell>
          <cell r="V203"/>
        </row>
        <row r="204">
          <cell r="N204"/>
          <cell r="R204"/>
          <cell r="S204">
            <v>-415470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2">
        <row r="175">
          <cell r="N175">
            <v>7000</v>
          </cell>
          <cell r="R175"/>
          <cell r="S175">
            <v>93778</v>
          </cell>
          <cell r="V175"/>
        </row>
        <row r="176">
          <cell r="N176">
            <v>7000</v>
          </cell>
          <cell r="R176"/>
          <cell r="S176">
            <v>97332</v>
          </cell>
          <cell r="V176">
            <v>174589</v>
          </cell>
        </row>
        <row r="177">
          <cell r="N177">
            <v>7000</v>
          </cell>
          <cell r="R177"/>
          <cell r="S177">
            <v>104265</v>
          </cell>
          <cell r="V177"/>
        </row>
        <row r="178">
          <cell r="N178">
            <v>7000</v>
          </cell>
          <cell r="R178"/>
          <cell r="S178">
            <v>100252</v>
          </cell>
          <cell r="V178">
            <v>200000</v>
          </cell>
        </row>
        <row r="179">
          <cell r="N179">
            <v>7000</v>
          </cell>
          <cell r="R179"/>
          <cell r="S179">
            <v>98162</v>
          </cell>
          <cell r="V179">
            <v>150000</v>
          </cell>
        </row>
        <row r="180">
          <cell r="N180">
            <v>7000</v>
          </cell>
          <cell r="R180"/>
          <cell r="S180">
            <v>97382</v>
          </cell>
          <cell r="V180"/>
        </row>
        <row r="181">
          <cell r="N181">
            <v>7000</v>
          </cell>
          <cell r="R181"/>
          <cell r="S181">
            <v>95559</v>
          </cell>
          <cell r="V181">
            <v>145620</v>
          </cell>
        </row>
        <row r="182">
          <cell r="N182">
            <v>7981</v>
          </cell>
          <cell r="R182"/>
          <cell r="S182">
            <v>93353</v>
          </cell>
          <cell r="V182">
            <v>100000</v>
          </cell>
        </row>
        <row r="183">
          <cell r="N183">
            <v>7997</v>
          </cell>
          <cell r="R183"/>
          <cell r="S183">
            <v>106480</v>
          </cell>
          <cell r="V183">
            <v>99833</v>
          </cell>
        </row>
        <row r="184">
          <cell r="N184">
            <v>7990</v>
          </cell>
          <cell r="R184"/>
          <cell r="S184">
            <v>98326</v>
          </cell>
          <cell r="V184"/>
        </row>
        <row r="185">
          <cell r="N185">
            <v>8019</v>
          </cell>
          <cell r="R185"/>
          <cell r="S185">
            <v>111562</v>
          </cell>
          <cell r="V185">
            <v>210000</v>
          </cell>
        </row>
        <row r="186">
          <cell r="N186">
            <v>8039</v>
          </cell>
          <cell r="R186"/>
          <cell r="S186">
            <v>99664</v>
          </cell>
          <cell r="V186"/>
        </row>
        <row r="187">
          <cell r="N187">
            <v>8047</v>
          </cell>
          <cell r="R187"/>
          <cell r="S187">
            <v>115781</v>
          </cell>
          <cell r="V187">
            <v>216000</v>
          </cell>
        </row>
        <row r="188">
          <cell r="N188">
            <v>8077</v>
          </cell>
          <cell r="R188"/>
          <cell r="S188">
            <v>101023</v>
          </cell>
          <cell r="V188"/>
        </row>
        <row r="189">
          <cell r="N189">
            <v>8090</v>
          </cell>
          <cell r="R189"/>
          <cell r="S189">
            <v>103176</v>
          </cell>
          <cell r="V189">
            <v>203532</v>
          </cell>
        </row>
        <row r="190">
          <cell r="N190">
            <v>8101</v>
          </cell>
          <cell r="R190">
            <v>54157</v>
          </cell>
          <cell r="S190">
            <v>150849</v>
          </cell>
          <cell r="V190"/>
        </row>
        <row r="191">
          <cell r="N191">
            <v>8123</v>
          </cell>
          <cell r="R191">
            <v>54318</v>
          </cell>
          <cell r="S191">
            <v>160714</v>
          </cell>
          <cell r="V191"/>
        </row>
        <row r="192">
          <cell r="N192">
            <v>8148</v>
          </cell>
          <cell r="R192">
            <v>54405</v>
          </cell>
          <cell r="S192">
            <v>148516</v>
          </cell>
          <cell r="V192">
            <v>400000</v>
          </cell>
        </row>
        <row r="193">
          <cell r="N193">
            <v>8161</v>
          </cell>
          <cell r="R193"/>
          <cell r="S193">
            <v>91058</v>
          </cell>
          <cell r="V193"/>
        </row>
        <row r="194">
          <cell r="N194">
            <v>8186</v>
          </cell>
          <cell r="R194"/>
          <cell r="S194">
            <v>90061</v>
          </cell>
          <cell r="V194">
            <v>241198</v>
          </cell>
        </row>
        <row r="195">
          <cell r="N195">
            <v>8207</v>
          </cell>
          <cell r="R195">
            <v>273392</v>
          </cell>
          <cell r="S195">
            <v>365080</v>
          </cell>
          <cell r="V195">
            <v>91688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>
            <v>55132</v>
          </cell>
          <cell r="S197">
            <v>145267</v>
          </cell>
          <cell r="V197"/>
        </row>
        <row r="198">
          <cell r="N198">
            <v>8270</v>
          </cell>
          <cell r="R198">
            <v>55092</v>
          </cell>
          <cell r="S198">
            <v>145237</v>
          </cell>
          <cell r="V198"/>
        </row>
        <row r="199">
          <cell r="N199">
            <v>8264</v>
          </cell>
          <cell r="R199">
            <v>55092</v>
          </cell>
          <cell r="S199">
            <v>147360</v>
          </cell>
          <cell r="V199"/>
        </row>
        <row r="200">
          <cell r="N200">
            <v>8267</v>
          </cell>
          <cell r="R200">
            <v>55114</v>
          </cell>
          <cell r="S200">
            <v>147385</v>
          </cell>
          <cell r="V200"/>
        </row>
        <row r="201">
          <cell r="N201">
            <v>8270</v>
          </cell>
          <cell r="R201">
            <v>55132</v>
          </cell>
          <cell r="S201">
            <v>147406</v>
          </cell>
          <cell r="V201"/>
        </row>
        <row r="202">
          <cell r="N202">
            <v>8299</v>
          </cell>
          <cell r="R202">
            <v>55324</v>
          </cell>
          <cell r="S202">
            <v>147627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-4850133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3">
        <row r="175">
          <cell r="N175">
            <v>7000</v>
          </cell>
          <cell r="R175"/>
          <cell r="S175">
            <v>87141</v>
          </cell>
          <cell r="V175">
            <v>87141</v>
          </cell>
        </row>
        <row r="176">
          <cell r="N176">
            <v>7000</v>
          </cell>
          <cell r="R176"/>
          <cell r="S176">
            <v>87141</v>
          </cell>
          <cell r="V176"/>
        </row>
        <row r="177">
          <cell r="N177">
            <v>7000</v>
          </cell>
          <cell r="R177"/>
          <cell r="S177">
            <v>87141</v>
          </cell>
          <cell r="V177">
            <v>174282</v>
          </cell>
        </row>
        <row r="178">
          <cell r="N178">
            <v>7000</v>
          </cell>
          <cell r="R178"/>
          <cell r="S178">
            <v>87141</v>
          </cell>
          <cell r="V178">
            <v>87141</v>
          </cell>
        </row>
        <row r="179">
          <cell r="N179">
            <v>7000</v>
          </cell>
          <cell r="R179"/>
          <cell r="S179">
            <v>87141</v>
          </cell>
          <cell r="V179">
            <v>87141</v>
          </cell>
        </row>
        <row r="180">
          <cell r="N180">
            <v>7000</v>
          </cell>
          <cell r="R180"/>
          <cell r="S180">
            <v>87141</v>
          </cell>
          <cell r="V180">
            <v>87141</v>
          </cell>
        </row>
        <row r="181">
          <cell r="N181">
            <v>7000</v>
          </cell>
          <cell r="R181"/>
          <cell r="S181">
            <v>87141</v>
          </cell>
          <cell r="V181">
            <v>87141</v>
          </cell>
        </row>
        <row r="182">
          <cell r="N182">
            <v>7981</v>
          </cell>
          <cell r="R182"/>
          <cell r="S182">
            <v>88122</v>
          </cell>
          <cell r="V182">
            <v>88122</v>
          </cell>
        </row>
        <row r="183">
          <cell r="N183">
            <v>7997</v>
          </cell>
          <cell r="R183"/>
          <cell r="S183">
            <v>88138</v>
          </cell>
          <cell r="V183">
            <v>88138</v>
          </cell>
        </row>
        <row r="184">
          <cell r="N184">
            <v>7990</v>
          </cell>
          <cell r="R184"/>
          <cell r="S184">
            <v>88131</v>
          </cell>
          <cell r="V184">
            <v>88131</v>
          </cell>
        </row>
        <row r="185">
          <cell r="N185">
            <v>8019</v>
          </cell>
          <cell r="R185"/>
          <cell r="S185">
            <v>88160</v>
          </cell>
          <cell r="V185">
            <v>88160</v>
          </cell>
        </row>
        <row r="186">
          <cell r="N186">
            <v>8039</v>
          </cell>
          <cell r="R186"/>
          <cell r="S186">
            <v>88180</v>
          </cell>
          <cell r="V186">
            <v>88180</v>
          </cell>
        </row>
        <row r="187">
          <cell r="N187">
            <v>8047</v>
          </cell>
          <cell r="R187"/>
          <cell r="S187">
            <v>89922</v>
          </cell>
          <cell r="V187">
            <v>89922</v>
          </cell>
        </row>
        <row r="188">
          <cell r="N188">
            <v>8077</v>
          </cell>
          <cell r="R188"/>
          <cell r="S188">
            <v>89952</v>
          </cell>
          <cell r="V188">
            <v>89952</v>
          </cell>
        </row>
        <row r="189">
          <cell r="N189">
            <v>8090</v>
          </cell>
          <cell r="R189"/>
          <cell r="S189">
            <v>89965</v>
          </cell>
          <cell r="V189">
            <v>89965</v>
          </cell>
        </row>
        <row r="190">
          <cell r="N190">
            <v>8101</v>
          </cell>
          <cell r="R190"/>
          <cell r="S190">
            <v>89976</v>
          </cell>
          <cell r="V190">
            <v>89976</v>
          </cell>
        </row>
        <row r="191">
          <cell r="N191">
            <v>8123</v>
          </cell>
          <cell r="R191"/>
          <cell r="S191">
            <v>89998</v>
          </cell>
          <cell r="V191">
            <v>89998</v>
          </cell>
        </row>
        <row r="192">
          <cell r="N192">
            <v>8148</v>
          </cell>
          <cell r="R192"/>
          <cell r="S192">
            <v>90023</v>
          </cell>
          <cell r="V192">
            <v>90023</v>
          </cell>
        </row>
        <row r="193">
          <cell r="N193">
            <v>8161</v>
          </cell>
          <cell r="R193"/>
          <cell r="S193">
            <v>90036</v>
          </cell>
          <cell r="V193">
            <v>90036</v>
          </cell>
        </row>
        <row r="194">
          <cell r="N194">
            <v>8186</v>
          </cell>
          <cell r="R194"/>
          <cell r="S194">
            <v>90061</v>
          </cell>
          <cell r="V194">
            <v>90061</v>
          </cell>
        </row>
        <row r="195">
          <cell r="N195">
            <v>8207</v>
          </cell>
          <cell r="R195"/>
          <cell r="S195">
            <v>90082</v>
          </cell>
          <cell r="V195">
            <v>90082</v>
          </cell>
        </row>
        <row r="196">
          <cell r="N196">
            <v>8230</v>
          </cell>
          <cell r="R196"/>
          <cell r="S196">
            <v>90105</v>
          </cell>
          <cell r="V196">
            <v>90105</v>
          </cell>
        </row>
        <row r="197">
          <cell r="N197">
            <v>8260</v>
          </cell>
          <cell r="R197"/>
          <cell r="S197">
            <v>90135</v>
          </cell>
          <cell r="V197">
            <v>90135</v>
          </cell>
        </row>
        <row r="198">
          <cell r="N198">
            <v>8270</v>
          </cell>
          <cell r="R198"/>
          <cell r="S198">
            <v>90145</v>
          </cell>
          <cell r="V198">
            <v>90145</v>
          </cell>
        </row>
        <row r="199">
          <cell r="N199">
            <v>8264</v>
          </cell>
          <cell r="R199"/>
          <cell r="S199">
            <v>92268</v>
          </cell>
          <cell r="V199">
            <v>92268</v>
          </cell>
        </row>
        <row r="200">
          <cell r="N200">
            <v>8267</v>
          </cell>
          <cell r="R200"/>
          <cell r="S200">
            <v>92271</v>
          </cell>
          <cell r="V200">
            <v>92271</v>
          </cell>
        </row>
        <row r="201">
          <cell r="N201">
            <v>8270</v>
          </cell>
          <cell r="R201"/>
          <cell r="S201">
            <v>92274</v>
          </cell>
          <cell r="V201">
            <v>92274</v>
          </cell>
        </row>
        <row r="202">
          <cell r="N202">
            <v>8299</v>
          </cell>
          <cell r="R202"/>
          <cell r="S202">
            <v>92303</v>
          </cell>
          <cell r="V202">
            <v>92303</v>
          </cell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4">
        <row r="175">
          <cell r="N175">
            <v>7000</v>
          </cell>
          <cell r="R175"/>
          <cell r="S175">
            <v>133144</v>
          </cell>
          <cell r="V175">
            <v>133144</v>
          </cell>
        </row>
        <row r="176">
          <cell r="N176">
            <v>7000</v>
          </cell>
          <cell r="R176"/>
          <cell r="S176">
            <v>123608</v>
          </cell>
          <cell r="V176">
            <v>123608</v>
          </cell>
        </row>
        <row r="177">
          <cell r="N177">
            <v>7000</v>
          </cell>
          <cell r="R177"/>
          <cell r="S177">
            <v>132898</v>
          </cell>
          <cell r="V177">
            <v>132898</v>
          </cell>
        </row>
        <row r="178">
          <cell r="N178">
            <v>7000</v>
          </cell>
          <cell r="R178"/>
          <cell r="S178">
            <v>121781</v>
          </cell>
          <cell r="V178">
            <v>121781</v>
          </cell>
        </row>
        <row r="179">
          <cell r="N179">
            <v>7000</v>
          </cell>
          <cell r="R179"/>
          <cell r="S179">
            <v>124167</v>
          </cell>
          <cell r="V179">
            <v>124167</v>
          </cell>
        </row>
        <row r="180">
          <cell r="N180">
            <v>7000</v>
          </cell>
          <cell r="R180"/>
          <cell r="S180">
            <v>119787</v>
          </cell>
          <cell r="V180">
            <v>119787</v>
          </cell>
        </row>
        <row r="181">
          <cell r="N181">
            <v>7000</v>
          </cell>
          <cell r="R181"/>
          <cell r="S181">
            <v>120104</v>
          </cell>
          <cell r="V181">
            <v>120104</v>
          </cell>
        </row>
        <row r="182">
          <cell r="N182">
            <v>7981</v>
          </cell>
          <cell r="R182"/>
          <cell r="S182">
            <v>128139</v>
          </cell>
          <cell r="V182">
            <v>128139</v>
          </cell>
        </row>
        <row r="183">
          <cell r="N183">
            <v>7997</v>
          </cell>
          <cell r="R183"/>
          <cell r="S183">
            <v>122098</v>
          </cell>
          <cell r="V183">
            <v>122098</v>
          </cell>
        </row>
        <row r="184">
          <cell r="N184">
            <v>7990</v>
          </cell>
          <cell r="R184"/>
          <cell r="S184">
            <v>119755</v>
          </cell>
          <cell r="V184">
            <v>119755</v>
          </cell>
        </row>
        <row r="185">
          <cell r="N185">
            <v>8019</v>
          </cell>
          <cell r="R185"/>
          <cell r="S185">
            <v>127180</v>
          </cell>
          <cell r="V185">
            <v>127180</v>
          </cell>
        </row>
        <row r="186">
          <cell r="N186">
            <v>8039</v>
          </cell>
          <cell r="R186"/>
          <cell r="S186">
            <v>125669</v>
          </cell>
          <cell r="V186">
            <v>125669</v>
          </cell>
        </row>
        <row r="187">
          <cell r="N187">
            <v>8047</v>
          </cell>
          <cell r="R187"/>
          <cell r="S187">
            <v>139258</v>
          </cell>
          <cell r="V187">
            <v>139258</v>
          </cell>
        </row>
        <row r="188">
          <cell r="N188">
            <v>8077</v>
          </cell>
          <cell r="R188"/>
          <cell r="S188">
            <v>126248</v>
          </cell>
          <cell r="V188">
            <v>126248</v>
          </cell>
        </row>
        <row r="189">
          <cell r="N189">
            <v>8090</v>
          </cell>
          <cell r="R189"/>
          <cell r="S189">
            <v>130712</v>
          </cell>
          <cell r="V189">
            <v>130712</v>
          </cell>
        </row>
        <row r="190">
          <cell r="N190">
            <v>8101</v>
          </cell>
          <cell r="R190"/>
          <cell r="S190">
            <v>125029</v>
          </cell>
          <cell r="V190">
            <v>125029</v>
          </cell>
        </row>
        <row r="191">
          <cell r="N191">
            <v>8123</v>
          </cell>
          <cell r="R191"/>
          <cell r="S191">
            <v>125368</v>
          </cell>
          <cell r="V191">
            <v>125368</v>
          </cell>
        </row>
        <row r="192">
          <cell r="N192">
            <v>8148</v>
          </cell>
          <cell r="R192"/>
          <cell r="S192">
            <v>122890</v>
          </cell>
          <cell r="V192">
            <v>122890</v>
          </cell>
        </row>
        <row r="193">
          <cell r="N193">
            <v>8161</v>
          </cell>
          <cell r="R193"/>
          <cell r="S193">
            <v>119424</v>
          </cell>
          <cell r="V193">
            <v>119424</v>
          </cell>
        </row>
        <row r="194">
          <cell r="N194">
            <v>8186</v>
          </cell>
          <cell r="R194"/>
          <cell r="S194">
            <v>125189</v>
          </cell>
          <cell r="V194">
            <v>125189</v>
          </cell>
        </row>
        <row r="195">
          <cell r="N195">
            <v>8207</v>
          </cell>
          <cell r="R195"/>
          <cell r="S195">
            <v>119395</v>
          </cell>
          <cell r="V195">
            <v>119395</v>
          </cell>
        </row>
        <row r="196">
          <cell r="N196">
            <v>8230</v>
          </cell>
          <cell r="R196"/>
          <cell r="S196">
            <v>123481</v>
          </cell>
          <cell r="V196">
            <v>123481</v>
          </cell>
        </row>
        <row r="197">
          <cell r="N197">
            <v>8260</v>
          </cell>
          <cell r="R197"/>
          <cell r="S197">
            <v>128425</v>
          </cell>
          <cell r="V197">
            <v>128425</v>
          </cell>
        </row>
        <row r="198">
          <cell r="N198">
            <v>8270</v>
          </cell>
          <cell r="R198"/>
          <cell r="S198">
            <v>128823</v>
          </cell>
          <cell r="V198">
            <v>128823</v>
          </cell>
        </row>
        <row r="199">
          <cell r="N199">
            <v>8264</v>
          </cell>
          <cell r="R199"/>
          <cell r="S199">
            <v>131534</v>
          </cell>
          <cell r="V199">
            <v>131534</v>
          </cell>
        </row>
        <row r="200">
          <cell r="N200">
            <v>8267</v>
          </cell>
          <cell r="R200"/>
          <cell r="S200">
            <v>132509</v>
          </cell>
          <cell r="V200">
            <v>132509</v>
          </cell>
        </row>
        <row r="201">
          <cell r="N201">
            <v>8270</v>
          </cell>
          <cell r="R201"/>
          <cell r="S201">
            <v>125554</v>
          </cell>
          <cell r="V201">
            <v>125554</v>
          </cell>
        </row>
        <row r="202">
          <cell r="N202">
            <v>8299</v>
          </cell>
          <cell r="R202"/>
          <cell r="S202">
            <v>123272</v>
          </cell>
          <cell r="V202"/>
        </row>
        <row r="203">
          <cell r="N203">
            <v>8329</v>
          </cell>
          <cell r="R203"/>
          <cell r="S203">
            <v>125442</v>
          </cell>
          <cell r="V203"/>
        </row>
        <row r="204">
          <cell r="N204"/>
          <cell r="R204"/>
          <cell r="S204">
            <v>-5370638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5">
        <row r="175">
          <cell r="N175">
            <v>7000</v>
          </cell>
          <cell r="R175"/>
          <cell r="S175">
            <v>105921</v>
          </cell>
          <cell r="V175">
            <v>105921</v>
          </cell>
        </row>
        <row r="176">
          <cell r="N176">
            <v>7000</v>
          </cell>
          <cell r="R176"/>
          <cell r="S176">
            <v>107961</v>
          </cell>
          <cell r="V176">
            <v>107961</v>
          </cell>
        </row>
        <row r="177">
          <cell r="N177">
            <v>7000</v>
          </cell>
          <cell r="R177"/>
          <cell r="S177">
            <v>93515</v>
          </cell>
          <cell r="V177">
            <v>93515</v>
          </cell>
        </row>
        <row r="178">
          <cell r="N178">
            <v>7000</v>
          </cell>
          <cell r="R178"/>
          <cell r="S178">
            <v>92906</v>
          </cell>
          <cell r="V178">
            <v>92906</v>
          </cell>
        </row>
        <row r="179">
          <cell r="N179">
            <v>7000</v>
          </cell>
          <cell r="R179"/>
          <cell r="S179">
            <v>90328</v>
          </cell>
          <cell r="V179">
            <v>90328</v>
          </cell>
        </row>
        <row r="180">
          <cell r="N180">
            <v>7000</v>
          </cell>
          <cell r="R180"/>
          <cell r="S180">
            <v>93757</v>
          </cell>
          <cell r="V180">
            <v>93757</v>
          </cell>
        </row>
        <row r="181">
          <cell r="N181">
            <v>7000</v>
          </cell>
          <cell r="R181"/>
          <cell r="S181">
            <v>92614</v>
          </cell>
          <cell r="V181">
            <v>92614</v>
          </cell>
        </row>
        <row r="182">
          <cell r="N182">
            <v>7981</v>
          </cell>
          <cell r="R182"/>
          <cell r="S182">
            <v>90433</v>
          </cell>
          <cell r="V182">
            <v>90433</v>
          </cell>
        </row>
        <row r="183">
          <cell r="N183">
            <v>7997</v>
          </cell>
          <cell r="R183"/>
          <cell r="S183">
            <v>97795</v>
          </cell>
          <cell r="V183">
            <v>97795</v>
          </cell>
        </row>
        <row r="184">
          <cell r="N184">
            <v>7990</v>
          </cell>
          <cell r="R184">
            <v>0</v>
          </cell>
          <cell r="S184">
            <v>89883</v>
          </cell>
          <cell r="V184">
            <v>89883</v>
          </cell>
        </row>
        <row r="185">
          <cell r="N185">
            <v>8019</v>
          </cell>
          <cell r="R185">
            <v>0</v>
          </cell>
          <cell r="S185">
            <v>97137</v>
          </cell>
          <cell r="V185">
            <v>97137</v>
          </cell>
        </row>
        <row r="186">
          <cell r="N186">
            <v>8039</v>
          </cell>
          <cell r="R186">
            <v>0</v>
          </cell>
          <cell r="S186">
            <v>91100</v>
          </cell>
          <cell r="V186">
            <v>91100</v>
          </cell>
        </row>
        <row r="187">
          <cell r="N187">
            <v>8047</v>
          </cell>
          <cell r="R187">
            <v>0</v>
          </cell>
          <cell r="S187">
            <v>100017</v>
          </cell>
          <cell r="V187">
            <v>100017</v>
          </cell>
        </row>
        <row r="188">
          <cell r="N188">
            <v>8077</v>
          </cell>
          <cell r="R188">
            <v>0</v>
          </cell>
          <cell r="S188">
            <v>101653</v>
          </cell>
          <cell r="V188">
            <v>101653</v>
          </cell>
        </row>
        <row r="189">
          <cell r="N189">
            <v>8090</v>
          </cell>
          <cell r="R189">
            <v>0</v>
          </cell>
          <cell r="S189">
            <v>94491</v>
          </cell>
          <cell r="V189">
            <v>94491</v>
          </cell>
        </row>
        <row r="190">
          <cell r="N190">
            <v>8101</v>
          </cell>
          <cell r="R190">
            <v>0</v>
          </cell>
          <cell r="S190">
            <v>99487</v>
          </cell>
          <cell r="V190">
            <v>99487</v>
          </cell>
        </row>
        <row r="191">
          <cell r="N191">
            <v>8123</v>
          </cell>
          <cell r="R191">
            <v>0</v>
          </cell>
          <cell r="S191">
            <v>96226</v>
          </cell>
          <cell r="V191">
            <v>96226</v>
          </cell>
        </row>
        <row r="192">
          <cell r="N192">
            <v>8148</v>
          </cell>
          <cell r="R192">
            <v>0</v>
          </cell>
          <cell r="S192">
            <v>91337</v>
          </cell>
          <cell r="V192">
            <v>91337</v>
          </cell>
        </row>
        <row r="193">
          <cell r="N193">
            <v>8161</v>
          </cell>
          <cell r="R193">
            <v>0</v>
          </cell>
          <cell r="S193">
            <v>94512</v>
          </cell>
          <cell r="V193">
            <v>94512</v>
          </cell>
        </row>
        <row r="194">
          <cell r="N194">
            <v>8186</v>
          </cell>
          <cell r="R194">
            <v>0</v>
          </cell>
          <cell r="S194">
            <v>97553</v>
          </cell>
          <cell r="V194">
            <v>97553</v>
          </cell>
        </row>
        <row r="195">
          <cell r="N195">
            <v>8207</v>
          </cell>
          <cell r="R195">
            <v>0</v>
          </cell>
          <cell r="S195">
            <v>104382</v>
          </cell>
          <cell r="V195">
            <v>104382</v>
          </cell>
        </row>
        <row r="196">
          <cell r="N196">
            <v>8230</v>
          </cell>
          <cell r="R196">
            <v>0</v>
          </cell>
          <cell r="S196">
            <v>97668</v>
          </cell>
          <cell r="V196">
            <v>97668</v>
          </cell>
        </row>
        <row r="197">
          <cell r="N197">
            <v>8260</v>
          </cell>
          <cell r="R197">
            <v>0</v>
          </cell>
          <cell r="S197">
            <v>138744</v>
          </cell>
          <cell r="V197">
            <v>138744</v>
          </cell>
        </row>
        <row r="198">
          <cell r="N198">
            <v>8270</v>
          </cell>
          <cell r="R198">
            <v>0</v>
          </cell>
          <cell r="S198">
            <v>138018</v>
          </cell>
          <cell r="V198">
            <v>138018</v>
          </cell>
        </row>
        <row r="199">
          <cell r="N199">
            <v>8264</v>
          </cell>
          <cell r="R199">
            <v>0</v>
          </cell>
          <cell r="S199">
            <v>123867</v>
          </cell>
          <cell r="V199">
            <v>123867</v>
          </cell>
        </row>
        <row r="200">
          <cell r="N200">
            <v>8267</v>
          </cell>
          <cell r="R200">
            <v>0</v>
          </cell>
          <cell r="S200">
            <v>131216</v>
          </cell>
          <cell r="V200">
            <v>131216</v>
          </cell>
        </row>
        <row r="201">
          <cell r="N201">
            <v>8270</v>
          </cell>
          <cell r="R201">
            <v>0</v>
          </cell>
          <cell r="S201">
            <v>112564</v>
          </cell>
          <cell r="V201">
            <v>112564</v>
          </cell>
        </row>
        <row r="202">
          <cell r="N202">
            <v>8299</v>
          </cell>
          <cell r="R202">
            <v>0</v>
          </cell>
          <cell r="S202">
            <v>115609</v>
          </cell>
          <cell r="V202">
            <v>115609</v>
          </cell>
        </row>
        <row r="203">
          <cell r="N203">
            <v>8329</v>
          </cell>
          <cell r="R203">
            <v>0</v>
          </cell>
          <cell r="S203">
            <v>113695</v>
          </cell>
          <cell r="V203"/>
        </row>
        <row r="204">
          <cell r="N204"/>
          <cell r="R204">
            <v>0</v>
          </cell>
          <cell r="S204">
            <v>-914499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46">
        <row r="175">
          <cell r="N175">
            <v>7000</v>
          </cell>
          <cell r="R175"/>
          <cell r="S175">
            <v>164412</v>
          </cell>
          <cell r="V175">
            <v>162270</v>
          </cell>
        </row>
        <row r="176">
          <cell r="N176">
            <v>7000</v>
          </cell>
          <cell r="R176"/>
          <cell r="S176">
            <v>214247</v>
          </cell>
          <cell r="V176">
            <v>150000</v>
          </cell>
        </row>
        <row r="177">
          <cell r="N177">
            <v>7000</v>
          </cell>
          <cell r="R177"/>
          <cell r="S177">
            <v>101700</v>
          </cell>
          <cell r="V177">
            <v>165947</v>
          </cell>
        </row>
        <row r="178">
          <cell r="N178">
            <v>7000</v>
          </cell>
          <cell r="R178"/>
          <cell r="S178">
            <v>108821</v>
          </cell>
          <cell r="V178">
            <v>108821</v>
          </cell>
        </row>
        <row r="179">
          <cell r="N179">
            <v>7000</v>
          </cell>
          <cell r="R179"/>
          <cell r="S179">
            <v>103498</v>
          </cell>
          <cell r="V179">
            <v>103498</v>
          </cell>
        </row>
        <row r="180">
          <cell r="N180">
            <v>7000</v>
          </cell>
          <cell r="R180"/>
          <cell r="S180">
            <v>94967</v>
          </cell>
          <cell r="V180">
            <v>94967</v>
          </cell>
        </row>
        <row r="181">
          <cell r="N181">
            <v>7000</v>
          </cell>
          <cell r="R181"/>
          <cell r="S181">
            <v>91200</v>
          </cell>
          <cell r="V181">
            <v>91200</v>
          </cell>
        </row>
        <row r="182">
          <cell r="N182">
            <v>7981</v>
          </cell>
          <cell r="R182"/>
          <cell r="S182">
            <v>95706</v>
          </cell>
          <cell r="V182">
            <v>95706</v>
          </cell>
        </row>
        <row r="183">
          <cell r="N183">
            <v>7997</v>
          </cell>
          <cell r="R183"/>
          <cell r="S183">
            <v>97620</v>
          </cell>
          <cell r="V183">
            <v>97620</v>
          </cell>
        </row>
        <row r="184">
          <cell r="N184">
            <v>7990</v>
          </cell>
          <cell r="R184">
            <v>0</v>
          </cell>
          <cell r="S184">
            <v>95448</v>
          </cell>
          <cell r="V184">
            <v>95448</v>
          </cell>
        </row>
        <row r="185">
          <cell r="N185">
            <v>8019</v>
          </cell>
          <cell r="R185">
            <v>0</v>
          </cell>
          <cell r="S185">
            <v>103595</v>
          </cell>
          <cell r="V185">
            <v>103595</v>
          </cell>
        </row>
        <row r="186">
          <cell r="N186">
            <v>8039</v>
          </cell>
          <cell r="R186">
            <v>0</v>
          </cell>
          <cell r="S186">
            <v>107186</v>
          </cell>
          <cell r="V186">
            <v>107186</v>
          </cell>
        </row>
        <row r="187">
          <cell r="N187">
            <v>8047</v>
          </cell>
          <cell r="R187">
            <v>0</v>
          </cell>
          <cell r="S187">
            <v>111894</v>
          </cell>
          <cell r="V187">
            <v>111894</v>
          </cell>
        </row>
        <row r="188">
          <cell r="N188">
            <v>8077</v>
          </cell>
          <cell r="R188">
            <v>0</v>
          </cell>
          <cell r="S188">
            <v>118657</v>
          </cell>
          <cell r="V188">
            <v>118657</v>
          </cell>
        </row>
        <row r="189">
          <cell r="N189">
            <v>8090</v>
          </cell>
          <cell r="R189">
            <v>0</v>
          </cell>
          <cell r="S189">
            <v>84375</v>
          </cell>
          <cell r="V189">
            <v>84375</v>
          </cell>
        </row>
        <row r="190">
          <cell r="N190">
            <v>8101</v>
          </cell>
          <cell r="R190">
            <v>0</v>
          </cell>
          <cell r="S190">
            <v>146606</v>
          </cell>
          <cell r="V190">
            <v>146606</v>
          </cell>
        </row>
        <row r="191">
          <cell r="N191">
            <v>8123</v>
          </cell>
          <cell r="R191">
            <v>0</v>
          </cell>
          <cell r="S191">
            <v>104265</v>
          </cell>
          <cell r="V191">
            <v>104265</v>
          </cell>
        </row>
        <row r="192">
          <cell r="N192">
            <v>8148</v>
          </cell>
          <cell r="R192">
            <v>0</v>
          </cell>
          <cell r="S192">
            <v>101349</v>
          </cell>
          <cell r="V192">
            <v>101349</v>
          </cell>
        </row>
        <row r="193">
          <cell r="N193">
            <v>8161</v>
          </cell>
          <cell r="R193">
            <v>0</v>
          </cell>
          <cell r="S193">
            <v>113806</v>
          </cell>
          <cell r="V193">
            <v>113806</v>
          </cell>
        </row>
        <row r="194">
          <cell r="N194">
            <v>8186</v>
          </cell>
          <cell r="R194">
            <v>0</v>
          </cell>
          <cell r="S194">
            <v>101946</v>
          </cell>
          <cell r="V194">
            <v>101946</v>
          </cell>
        </row>
        <row r="195">
          <cell r="N195">
            <v>8207</v>
          </cell>
          <cell r="R195">
            <v>0</v>
          </cell>
          <cell r="S195">
            <v>99731</v>
          </cell>
          <cell r="V195">
            <v>99731</v>
          </cell>
        </row>
        <row r="196">
          <cell r="N196">
            <v>8230</v>
          </cell>
          <cell r="R196">
            <v>0</v>
          </cell>
          <cell r="S196">
            <v>123378</v>
          </cell>
          <cell r="V196">
            <v>123378</v>
          </cell>
        </row>
        <row r="197">
          <cell r="N197">
            <v>8260</v>
          </cell>
          <cell r="R197">
            <v>0</v>
          </cell>
          <cell r="S197">
            <v>161221</v>
          </cell>
          <cell r="V197">
            <v>161221</v>
          </cell>
        </row>
        <row r="198">
          <cell r="N198">
            <v>8270</v>
          </cell>
          <cell r="R198">
            <v>0</v>
          </cell>
          <cell r="S198">
            <v>114499</v>
          </cell>
          <cell r="V198">
            <v>114499</v>
          </cell>
        </row>
        <row r="199">
          <cell r="N199">
            <v>8264</v>
          </cell>
          <cell r="R199">
            <v>0</v>
          </cell>
          <cell r="S199">
            <v>129600</v>
          </cell>
          <cell r="V199">
            <v>126200</v>
          </cell>
        </row>
        <row r="200">
          <cell r="N200">
            <v>8267</v>
          </cell>
          <cell r="R200">
            <v>0</v>
          </cell>
          <cell r="S200">
            <v>126370</v>
          </cell>
          <cell r="V200">
            <v>129770</v>
          </cell>
        </row>
        <row r="201">
          <cell r="N201">
            <v>8270</v>
          </cell>
          <cell r="R201">
            <v>0</v>
          </cell>
          <cell r="S201">
            <v>123578</v>
          </cell>
          <cell r="V201">
            <v>123578</v>
          </cell>
        </row>
        <row r="202">
          <cell r="N202">
            <v>8299</v>
          </cell>
          <cell r="R202">
            <v>0</v>
          </cell>
          <cell r="S202">
            <v>131070</v>
          </cell>
          <cell r="V202">
            <v>131070</v>
          </cell>
        </row>
        <row r="203">
          <cell r="N203">
            <v>8329</v>
          </cell>
          <cell r="R203">
            <v>0</v>
          </cell>
          <cell r="S203">
            <v>128572</v>
          </cell>
          <cell r="V203"/>
        </row>
        <row r="204">
          <cell r="N204"/>
          <cell r="R204">
            <v>0</v>
          </cell>
          <cell r="S204">
            <v>-3562967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47">
        <row r="175">
          <cell r="N175">
            <v>7000</v>
          </cell>
          <cell r="R175"/>
          <cell r="S175">
            <v>87141</v>
          </cell>
          <cell r="V175">
            <v>65000</v>
          </cell>
        </row>
        <row r="176">
          <cell r="N176">
            <v>7000</v>
          </cell>
          <cell r="R176"/>
          <cell r="S176">
            <v>87141</v>
          </cell>
          <cell r="V176">
            <v>65000</v>
          </cell>
        </row>
        <row r="177">
          <cell r="N177">
            <v>7000</v>
          </cell>
          <cell r="R177"/>
          <cell r="S177">
            <v>87141</v>
          </cell>
          <cell r="V177">
            <v>65000</v>
          </cell>
        </row>
        <row r="178">
          <cell r="N178">
            <v>7000</v>
          </cell>
          <cell r="R178"/>
          <cell r="S178">
            <v>87141</v>
          </cell>
          <cell r="V178">
            <v>302680</v>
          </cell>
        </row>
        <row r="179">
          <cell r="N179">
            <v>7000</v>
          </cell>
          <cell r="R179"/>
          <cell r="S179">
            <v>87141</v>
          </cell>
          <cell r="V179">
            <v>65000</v>
          </cell>
        </row>
        <row r="180">
          <cell r="N180">
            <v>7000</v>
          </cell>
          <cell r="R180"/>
          <cell r="S180">
            <v>87141</v>
          </cell>
          <cell r="V180">
            <v>90000</v>
          </cell>
        </row>
        <row r="181">
          <cell r="N181">
            <v>7000</v>
          </cell>
          <cell r="R181"/>
          <cell r="S181">
            <v>87141</v>
          </cell>
          <cell r="V181">
            <v>90000</v>
          </cell>
        </row>
        <row r="182">
          <cell r="N182">
            <v>7981</v>
          </cell>
          <cell r="R182"/>
          <cell r="S182">
            <v>88122</v>
          </cell>
          <cell r="V182">
            <v>90000</v>
          </cell>
        </row>
        <row r="183">
          <cell r="N183">
            <v>7997</v>
          </cell>
          <cell r="R183"/>
          <cell r="S183">
            <v>88138</v>
          </cell>
          <cell r="V183">
            <v>90000</v>
          </cell>
        </row>
        <row r="184">
          <cell r="N184">
            <v>7990</v>
          </cell>
          <cell r="R184"/>
          <cell r="S184">
            <v>88131</v>
          </cell>
          <cell r="V184">
            <v>90000</v>
          </cell>
        </row>
        <row r="185">
          <cell r="N185">
            <v>8019</v>
          </cell>
          <cell r="R185"/>
          <cell r="S185">
            <v>88160</v>
          </cell>
          <cell r="V185">
            <v>90000</v>
          </cell>
        </row>
        <row r="186">
          <cell r="N186">
            <v>8039</v>
          </cell>
          <cell r="R186"/>
          <cell r="S186">
            <v>88180</v>
          </cell>
          <cell r="V186">
            <v>90000</v>
          </cell>
        </row>
        <row r="187">
          <cell r="N187">
            <v>8047</v>
          </cell>
          <cell r="R187"/>
          <cell r="S187">
            <v>89922</v>
          </cell>
          <cell r="V187">
            <v>90000</v>
          </cell>
        </row>
        <row r="188">
          <cell r="N188">
            <v>8077</v>
          </cell>
          <cell r="R188"/>
          <cell r="S188">
            <v>89952</v>
          </cell>
          <cell r="V188">
            <v>90000</v>
          </cell>
        </row>
        <row r="189">
          <cell r="N189">
            <v>8090</v>
          </cell>
          <cell r="R189"/>
          <cell r="S189">
            <v>89965</v>
          </cell>
          <cell r="V189">
            <v>90000</v>
          </cell>
        </row>
        <row r="190">
          <cell r="N190">
            <v>8101</v>
          </cell>
          <cell r="R190"/>
          <cell r="S190">
            <v>89976</v>
          </cell>
          <cell r="V190">
            <v>90000</v>
          </cell>
        </row>
        <row r="191">
          <cell r="N191">
            <v>8123</v>
          </cell>
          <cell r="R191"/>
          <cell r="S191">
            <v>89998</v>
          </cell>
          <cell r="V191">
            <v>90000</v>
          </cell>
        </row>
        <row r="192">
          <cell r="N192">
            <v>8148</v>
          </cell>
          <cell r="R192"/>
          <cell r="S192">
            <v>90023</v>
          </cell>
          <cell r="V192">
            <v>90000</v>
          </cell>
        </row>
        <row r="193">
          <cell r="N193">
            <v>8161</v>
          </cell>
          <cell r="R193"/>
          <cell r="S193">
            <v>90036</v>
          </cell>
          <cell r="V193">
            <v>90000</v>
          </cell>
        </row>
        <row r="194">
          <cell r="N194">
            <v>8186</v>
          </cell>
          <cell r="R194"/>
          <cell r="S194">
            <v>90061</v>
          </cell>
          <cell r="V194">
            <v>90000</v>
          </cell>
        </row>
        <row r="195">
          <cell r="N195">
            <v>8207</v>
          </cell>
          <cell r="R195"/>
          <cell r="S195">
            <v>90082</v>
          </cell>
          <cell r="V195">
            <v>90000</v>
          </cell>
        </row>
        <row r="196">
          <cell r="N196">
            <v>8230</v>
          </cell>
          <cell r="R196"/>
          <cell r="S196">
            <v>90105</v>
          </cell>
          <cell r="V196">
            <v>90000</v>
          </cell>
        </row>
        <row r="197">
          <cell r="N197">
            <v>8260</v>
          </cell>
          <cell r="R197"/>
          <cell r="S197">
            <v>90135</v>
          </cell>
          <cell r="V197">
            <v>90000</v>
          </cell>
        </row>
        <row r="198">
          <cell r="N198">
            <v>8270</v>
          </cell>
          <cell r="R198"/>
          <cell r="S198">
            <v>90145</v>
          </cell>
          <cell r="V198">
            <v>90000</v>
          </cell>
        </row>
        <row r="199">
          <cell r="N199">
            <v>8264</v>
          </cell>
          <cell r="R199"/>
          <cell r="S199">
            <v>92268</v>
          </cell>
          <cell r="V199">
            <v>90000</v>
          </cell>
        </row>
        <row r="200">
          <cell r="N200">
            <v>8267</v>
          </cell>
          <cell r="R200"/>
          <cell r="S200">
            <v>92271</v>
          </cell>
          <cell r="V200">
            <v>90000</v>
          </cell>
        </row>
        <row r="201">
          <cell r="N201">
            <v>8270</v>
          </cell>
          <cell r="R201">
            <v>55132</v>
          </cell>
          <cell r="S201">
            <v>147406</v>
          </cell>
          <cell r="V201"/>
        </row>
        <row r="202">
          <cell r="N202">
            <v>8299</v>
          </cell>
          <cell r="R202">
            <v>55324</v>
          </cell>
          <cell r="S202">
            <v>147627</v>
          </cell>
          <cell r="V202"/>
        </row>
        <row r="203">
          <cell r="N203">
            <v>8329</v>
          </cell>
          <cell r="R203"/>
          <cell r="S203">
            <v>92333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48">
        <row r="175">
          <cell r="N175">
            <v>7000</v>
          </cell>
          <cell r="R175">
            <v>52636</v>
          </cell>
          <cell r="S175">
            <v>229324</v>
          </cell>
          <cell r="V175"/>
        </row>
        <row r="176">
          <cell r="N176">
            <v>7000</v>
          </cell>
          <cell r="R176">
            <v>52784</v>
          </cell>
          <cell r="S176">
            <v>215059</v>
          </cell>
          <cell r="V176"/>
        </row>
        <row r="177">
          <cell r="N177">
            <v>7000</v>
          </cell>
          <cell r="R177"/>
          <cell r="S177">
            <v>175891</v>
          </cell>
          <cell r="V177">
            <v>620274</v>
          </cell>
        </row>
        <row r="178">
          <cell r="N178">
            <v>7000</v>
          </cell>
          <cell r="R178"/>
          <cell r="S178">
            <v>130967</v>
          </cell>
          <cell r="V178">
            <v>130967</v>
          </cell>
        </row>
        <row r="179">
          <cell r="N179">
            <v>7000</v>
          </cell>
          <cell r="R179"/>
          <cell r="S179">
            <v>116045</v>
          </cell>
          <cell r="V179">
            <v>116045</v>
          </cell>
        </row>
        <row r="180">
          <cell r="N180">
            <v>7000</v>
          </cell>
          <cell r="R180">
            <v>53330</v>
          </cell>
          <cell r="S180">
            <v>164390</v>
          </cell>
          <cell r="V180"/>
        </row>
        <row r="181">
          <cell r="N181">
            <v>7000</v>
          </cell>
          <cell r="R181">
            <v>53195</v>
          </cell>
          <cell r="S181">
            <v>161798</v>
          </cell>
          <cell r="V181"/>
        </row>
        <row r="182">
          <cell r="N182">
            <v>7981</v>
          </cell>
          <cell r="R182"/>
          <cell r="S182">
            <v>112917</v>
          </cell>
          <cell r="V182">
            <v>439105</v>
          </cell>
        </row>
        <row r="183">
          <cell r="N183">
            <v>7997</v>
          </cell>
          <cell r="R183"/>
          <cell r="S183">
            <v>112979</v>
          </cell>
          <cell r="V183"/>
        </row>
        <row r="184">
          <cell r="N184">
            <v>7990</v>
          </cell>
          <cell r="R184">
            <v>0</v>
          </cell>
          <cell r="S184">
            <v>113919</v>
          </cell>
          <cell r="V184">
            <v>226898</v>
          </cell>
        </row>
        <row r="185">
          <cell r="N185">
            <v>8019</v>
          </cell>
          <cell r="R185">
            <v>0</v>
          </cell>
          <cell r="S185">
            <v>121219</v>
          </cell>
          <cell r="V185"/>
        </row>
        <row r="186">
          <cell r="N186">
            <v>8039</v>
          </cell>
          <cell r="R186">
            <v>0</v>
          </cell>
          <cell r="S186">
            <v>172692</v>
          </cell>
          <cell r="V186"/>
        </row>
        <row r="187">
          <cell r="N187">
            <v>8047</v>
          </cell>
          <cell r="R187">
            <v>0</v>
          </cell>
          <cell r="S187">
            <v>139442</v>
          </cell>
          <cell r="V187">
            <v>433353</v>
          </cell>
        </row>
        <row r="188">
          <cell r="N188">
            <v>8077</v>
          </cell>
          <cell r="R188">
            <v>0</v>
          </cell>
          <cell r="S188">
            <v>119899</v>
          </cell>
          <cell r="V188"/>
        </row>
        <row r="189">
          <cell r="N189">
            <v>8090</v>
          </cell>
          <cell r="R189">
            <v>0</v>
          </cell>
          <cell r="S189">
            <v>127062</v>
          </cell>
          <cell r="V189">
            <v>246961</v>
          </cell>
        </row>
        <row r="190">
          <cell r="N190">
            <v>8101</v>
          </cell>
          <cell r="R190">
            <v>0</v>
          </cell>
          <cell r="S190">
            <v>128091</v>
          </cell>
          <cell r="V190">
            <v>128091</v>
          </cell>
        </row>
        <row r="191">
          <cell r="N191">
            <v>8123</v>
          </cell>
          <cell r="R191">
            <v>0</v>
          </cell>
          <cell r="S191">
            <v>129694</v>
          </cell>
          <cell r="V191"/>
        </row>
        <row r="192">
          <cell r="N192">
            <v>8148</v>
          </cell>
          <cell r="R192">
            <v>0</v>
          </cell>
          <cell r="S192">
            <v>115131</v>
          </cell>
          <cell r="V192">
            <v>244825</v>
          </cell>
        </row>
        <row r="193">
          <cell r="N193">
            <v>8161</v>
          </cell>
          <cell r="R193">
            <v>0</v>
          </cell>
          <cell r="S193">
            <v>111936</v>
          </cell>
          <cell r="V193"/>
        </row>
        <row r="194">
          <cell r="N194">
            <v>8186</v>
          </cell>
          <cell r="R194">
            <v>0</v>
          </cell>
          <cell r="S194">
            <v>116487</v>
          </cell>
          <cell r="V194">
            <v>228423</v>
          </cell>
        </row>
        <row r="195">
          <cell r="N195">
            <v>8207</v>
          </cell>
          <cell r="R195">
            <v>54864</v>
          </cell>
          <cell r="S195">
            <v>168911</v>
          </cell>
          <cell r="V195"/>
        </row>
        <row r="196">
          <cell r="N196">
            <v>8230</v>
          </cell>
          <cell r="R196">
            <v>55066</v>
          </cell>
          <cell r="S196">
            <v>173587</v>
          </cell>
          <cell r="V196"/>
        </row>
        <row r="197">
          <cell r="N197">
            <v>8260</v>
          </cell>
          <cell r="R197">
            <v>0</v>
          </cell>
          <cell r="S197">
            <v>122051</v>
          </cell>
          <cell r="V197">
            <v>464549</v>
          </cell>
        </row>
        <row r="198">
          <cell r="N198">
            <v>8270</v>
          </cell>
          <cell r="R198">
            <v>55092</v>
          </cell>
          <cell r="S198">
            <v>183131</v>
          </cell>
          <cell r="V198"/>
        </row>
        <row r="199">
          <cell r="N199">
            <v>8264</v>
          </cell>
          <cell r="R199">
            <v>55092</v>
          </cell>
          <cell r="S199">
            <v>190289</v>
          </cell>
          <cell r="V199">
            <v>373420</v>
          </cell>
        </row>
        <row r="200">
          <cell r="N200">
            <v>8267</v>
          </cell>
          <cell r="R200">
            <v>55114</v>
          </cell>
          <cell r="S200">
            <v>199454</v>
          </cell>
          <cell r="V200"/>
        </row>
        <row r="201">
          <cell r="N201">
            <v>8270</v>
          </cell>
          <cell r="R201">
            <v>55132</v>
          </cell>
          <cell r="S201">
            <v>200347</v>
          </cell>
          <cell r="V201"/>
        </row>
        <row r="202">
          <cell r="N202">
            <v>8299</v>
          </cell>
          <cell r="R202">
            <v>0</v>
          </cell>
          <cell r="S202">
            <v>177328</v>
          </cell>
          <cell r="V202">
            <v>577129</v>
          </cell>
        </row>
        <row r="203">
          <cell r="N203">
            <v>8329</v>
          </cell>
          <cell r="R203">
            <v>0</v>
          </cell>
          <cell r="S203">
            <v>129355</v>
          </cell>
          <cell r="V203"/>
        </row>
        <row r="204">
          <cell r="N204"/>
          <cell r="R204">
            <v>0</v>
          </cell>
          <cell r="S204">
            <v>-8871232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49">
        <row r="175">
          <cell r="N175">
            <v>7000</v>
          </cell>
          <cell r="R175"/>
          <cell r="S175">
            <v>166126</v>
          </cell>
          <cell r="V175">
            <v>166126</v>
          </cell>
        </row>
        <row r="176">
          <cell r="N176">
            <v>7000</v>
          </cell>
          <cell r="R176"/>
          <cell r="S176">
            <v>142014</v>
          </cell>
          <cell r="V176">
            <v>142014</v>
          </cell>
        </row>
        <row r="177">
          <cell r="N177">
            <v>7000</v>
          </cell>
          <cell r="R177"/>
          <cell r="S177">
            <v>149865</v>
          </cell>
          <cell r="V177">
            <v>149865</v>
          </cell>
        </row>
        <row r="178">
          <cell r="N178">
            <v>7000</v>
          </cell>
          <cell r="R178"/>
          <cell r="S178">
            <v>146461</v>
          </cell>
          <cell r="V178">
            <v>146461</v>
          </cell>
        </row>
        <row r="179">
          <cell r="N179">
            <v>7000</v>
          </cell>
          <cell r="R179"/>
          <cell r="S179">
            <v>117627</v>
          </cell>
          <cell r="V179">
            <v>117627</v>
          </cell>
        </row>
        <row r="180">
          <cell r="N180">
            <v>7000</v>
          </cell>
          <cell r="R180"/>
          <cell r="S180">
            <v>102747</v>
          </cell>
          <cell r="V180">
            <v>102747</v>
          </cell>
        </row>
        <row r="181">
          <cell r="N181">
            <v>7000</v>
          </cell>
          <cell r="R181"/>
          <cell r="S181">
            <v>99877</v>
          </cell>
          <cell r="V181">
            <v>99877</v>
          </cell>
        </row>
        <row r="182">
          <cell r="N182">
            <v>7981</v>
          </cell>
          <cell r="R182"/>
          <cell r="S182">
            <v>138668</v>
          </cell>
          <cell r="V182">
            <v>138668</v>
          </cell>
        </row>
        <row r="183">
          <cell r="N183">
            <v>7997</v>
          </cell>
          <cell r="R183"/>
          <cell r="S183">
            <v>156589</v>
          </cell>
          <cell r="V183">
            <v>156589</v>
          </cell>
        </row>
        <row r="184">
          <cell r="N184">
            <v>7990</v>
          </cell>
          <cell r="R184">
            <v>0</v>
          </cell>
          <cell r="S184">
            <v>144004</v>
          </cell>
          <cell r="V184">
            <v>144044</v>
          </cell>
        </row>
        <row r="185">
          <cell r="N185">
            <v>8019</v>
          </cell>
          <cell r="R185">
            <v>0</v>
          </cell>
          <cell r="S185">
            <v>187743</v>
          </cell>
          <cell r="V185">
            <v>187703</v>
          </cell>
        </row>
        <row r="186">
          <cell r="N186">
            <v>8039</v>
          </cell>
          <cell r="R186">
            <v>0</v>
          </cell>
          <cell r="S186">
            <v>194592</v>
          </cell>
          <cell r="V186">
            <v>194592</v>
          </cell>
        </row>
        <row r="187">
          <cell r="N187">
            <v>8047</v>
          </cell>
          <cell r="R187">
            <v>0</v>
          </cell>
          <cell r="S187">
            <v>180916</v>
          </cell>
          <cell r="V187">
            <v>180916</v>
          </cell>
        </row>
        <row r="188">
          <cell r="N188">
            <v>8077</v>
          </cell>
          <cell r="R188">
            <v>0</v>
          </cell>
          <cell r="S188">
            <v>155395</v>
          </cell>
          <cell r="V188">
            <v>155395</v>
          </cell>
        </row>
        <row r="189">
          <cell r="N189">
            <v>8090</v>
          </cell>
          <cell r="R189">
            <v>0</v>
          </cell>
          <cell r="S189">
            <v>173863</v>
          </cell>
          <cell r="V189">
            <v>173863</v>
          </cell>
        </row>
        <row r="190">
          <cell r="N190">
            <v>8101</v>
          </cell>
          <cell r="R190">
            <v>0</v>
          </cell>
          <cell r="S190">
            <v>187811</v>
          </cell>
          <cell r="V190">
            <v>187811</v>
          </cell>
        </row>
        <row r="191">
          <cell r="N191">
            <v>8123</v>
          </cell>
          <cell r="R191">
            <v>0</v>
          </cell>
          <cell r="S191">
            <v>187783</v>
          </cell>
          <cell r="V191">
            <v>187783</v>
          </cell>
        </row>
        <row r="192">
          <cell r="N192">
            <v>8148</v>
          </cell>
          <cell r="R192">
            <v>0</v>
          </cell>
          <cell r="S192">
            <v>154147</v>
          </cell>
          <cell r="V192">
            <v>154147</v>
          </cell>
        </row>
        <row r="193">
          <cell r="N193">
            <v>8161</v>
          </cell>
          <cell r="R193">
            <v>0</v>
          </cell>
          <cell r="S193">
            <v>165915</v>
          </cell>
          <cell r="V193">
            <v>165915</v>
          </cell>
        </row>
        <row r="194">
          <cell r="N194">
            <v>8186</v>
          </cell>
          <cell r="R194">
            <v>0</v>
          </cell>
          <cell r="S194">
            <v>168560</v>
          </cell>
          <cell r="V194">
            <v>168560</v>
          </cell>
        </row>
        <row r="195">
          <cell r="N195">
            <v>8207</v>
          </cell>
          <cell r="R195">
            <v>0</v>
          </cell>
          <cell r="S195">
            <v>163805</v>
          </cell>
          <cell r="V195">
            <v>163805</v>
          </cell>
        </row>
        <row r="196">
          <cell r="N196">
            <v>8230</v>
          </cell>
          <cell r="R196">
            <v>0</v>
          </cell>
          <cell r="S196">
            <v>177728</v>
          </cell>
          <cell r="V196">
            <v>177728</v>
          </cell>
        </row>
        <row r="197">
          <cell r="N197">
            <v>8260</v>
          </cell>
          <cell r="R197">
            <v>0</v>
          </cell>
          <cell r="S197">
            <v>181488</v>
          </cell>
          <cell r="V197">
            <v>181488</v>
          </cell>
        </row>
        <row r="198">
          <cell r="N198">
            <v>8270</v>
          </cell>
          <cell r="R198">
            <v>0</v>
          </cell>
          <cell r="S198">
            <v>186929</v>
          </cell>
          <cell r="V198">
            <v>186929</v>
          </cell>
        </row>
        <row r="199">
          <cell r="N199">
            <v>8264</v>
          </cell>
          <cell r="R199">
            <v>0</v>
          </cell>
          <cell r="S199">
            <v>195092</v>
          </cell>
          <cell r="V199">
            <v>195092</v>
          </cell>
        </row>
        <row r="200">
          <cell r="N200">
            <v>8267</v>
          </cell>
          <cell r="R200">
            <v>0</v>
          </cell>
          <cell r="S200">
            <v>181567</v>
          </cell>
          <cell r="V200">
            <v>181567</v>
          </cell>
        </row>
        <row r="201">
          <cell r="N201">
            <v>8270</v>
          </cell>
          <cell r="R201">
            <v>0</v>
          </cell>
          <cell r="S201">
            <v>173498</v>
          </cell>
          <cell r="V201">
            <v>173498</v>
          </cell>
        </row>
        <row r="202">
          <cell r="N202">
            <v>8299</v>
          </cell>
          <cell r="R202">
            <v>0</v>
          </cell>
          <cell r="S202">
            <v>186150</v>
          </cell>
          <cell r="V202">
            <v>186150</v>
          </cell>
        </row>
        <row r="203">
          <cell r="N203">
            <v>8329</v>
          </cell>
          <cell r="R203">
            <v>0</v>
          </cell>
          <cell r="S203">
            <v>200597</v>
          </cell>
          <cell r="V203"/>
        </row>
        <row r="204">
          <cell r="N204"/>
          <cell r="R204">
            <v>0</v>
          </cell>
          <cell r="S204">
            <v>-7482851</v>
          </cell>
          <cell r="V204"/>
        </row>
        <row r="205">
          <cell r="N205"/>
          <cell r="R205">
            <v>0</v>
          </cell>
          <cell r="S205">
            <v>84004</v>
          </cell>
          <cell r="V205"/>
        </row>
        <row r="206">
          <cell r="N206"/>
          <cell r="R206">
            <v>0</v>
          </cell>
          <cell r="S206">
            <v>84004</v>
          </cell>
          <cell r="V206"/>
        </row>
        <row r="207">
          <cell r="N207"/>
          <cell r="R207">
            <v>0</v>
          </cell>
          <cell r="S207">
            <v>84004</v>
          </cell>
          <cell r="V207"/>
        </row>
        <row r="208">
          <cell r="N208"/>
          <cell r="R208">
            <v>0</v>
          </cell>
          <cell r="S208">
            <v>84004</v>
          </cell>
          <cell r="V208"/>
        </row>
        <row r="209">
          <cell r="N209"/>
          <cell r="R209">
            <v>0</v>
          </cell>
          <cell r="S209">
            <v>84004</v>
          </cell>
          <cell r="V209"/>
        </row>
        <row r="210">
          <cell r="N210"/>
          <cell r="R210">
            <v>0</v>
          </cell>
          <cell r="S210">
            <v>84004</v>
          </cell>
          <cell r="V210"/>
        </row>
      </sheetData>
      <sheetData sheetId="50">
        <row r="175">
          <cell r="N175"/>
          <cell r="R175"/>
          <cell r="S175">
            <v>80141</v>
          </cell>
          <cell r="V175">
            <v>74395</v>
          </cell>
        </row>
        <row r="176">
          <cell r="N176"/>
          <cell r="R176"/>
          <cell r="S176">
            <v>80141</v>
          </cell>
          <cell r="V176">
            <v>74395</v>
          </cell>
        </row>
        <row r="177">
          <cell r="N177"/>
          <cell r="R177"/>
          <cell r="S177">
            <v>80141</v>
          </cell>
          <cell r="V177">
            <v>74395</v>
          </cell>
        </row>
        <row r="178">
          <cell r="N178"/>
          <cell r="R178"/>
          <cell r="S178">
            <v>80141</v>
          </cell>
          <cell r="V178">
            <v>74395</v>
          </cell>
        </row>
        <row r="179">
          <cell r="N179"/>
          <cell r="R179"/>
          <cell r="S179">
            <v>80141</v>
          </cell>
          <cell r="V179">
            <v>74395</v>
          </cell>
        </row>
        <row r="180">
          <cell r="N180"/>
          <cell r="R180"/>
          <cell r="S180">
            <v>80141</v>
          </cell>
          <cell r="V180">
            <v>74395</v>
          </cell>
        </row>
        <row r="181">
          <cell r="N181"/>
          <cell r="R181"/>
          <cell r="S181">
            <v>80141</v>
          </cell>
          <cell r="V181">
            <v>74350</v>
          </cell>
        </row>
        <row r="182">
          <cell r="N182"/>
          <cell r="R182"/>
          <cell r="S182">
            <v>80141</v>
          </cell>
          <cell r="V182">
            <v>100000</v>
          </cell>
        </row>
        <row r="183">
          <cell r="N183"/>
          <cell r="R183"/>
          <cell r="S183">
            <v>80141</v>
          </cell>
          <cell r="V183">
            <v>80000</v>
          </cell>
        </row>
        <row r="184">
          <cell r="N184"/>
          <cell r="R184"/>
          <cell r="S184">
            <v>80141</v>
          </cell>
          <cell r="V184">
            <v>146000</v>
          </cell>
        </row>
        <row r="185">
          <cell r="N185"/>
          <cell r="R185"/>
          <cell r="S185">
            <v>80141</v>
          </cell>
          <cell r="V185">
            <v>83000</v>
          </cell>
        </row>
        <row r="186">
          <cell r="N186"/>
          <cell r="R186"/>
          <cell r="S186">
            <v>80141</v>
          </cell>
          <cell r="V186">
            <v>83000</v>
          </cell>
        </row>
        <row r="187">
          <cell r="N187"/>
          <cell r="R187"/>
          <cell r="S187">
            <v>81875</v>
          </cell>
          <cell r="V187">
            <v>84000</v>
          </cell>
        </row>
        <row r="188">
          <cell r="N188"/>
          <cell r="R188"/>
          <cell r="S188">
            <v>81875</v>
          </cell>
          <cell r="V188">
            <v>84000</v>
          </cell>
        </row>
        <row r="189">
          <cell r="N189"/>
          <cell r="R189">
            <v>54009</v>
          </cell>
          <cell r="S189">
            <v>135884</v>
          </cell>
          <cell r="V189">
            <v>84000</v>
          </cell>
        </row>
        <row r="190">
          <cell r="N190"/>
          <cell r="R190">
            <v>54157</v>
          </cell>
          <cell r="S190">
            <v>136032</v>
          </cell>
          <cell r="V190">
            <v>83000</v>
          </cell>
        </row>
        <row r="191">
          <cell r="N191"/>
          <cell r="R191"/>
          <cell r="S191">
            <v>81875</v>
          </cell>
          <cell r="V191">
            <v>81500</v>
          </cell>
        </row>
        <row r="192">
          <cell r="N192"/>
          <cell r="R192">
            <v>54405</v>
          </cell>
          <cell r="S192">
            <v>136280</v>
          </cell>
          <cell r="V192">
            <v>166000</v>
          </cell>
        </row>
        <row r="193">
          <cell r="N193"/>
          <cell r="R193">
            <v>54575</v>
          </cell>
          <cell r="S193">
            <v>136450</v>
          </cell>
          <cell r="V193">
            <v>84000</v>
          </cell>
        </row>
        <row r="194">
          <cell r="N194"/>
          <cell r="R194">
            <v>54715</v>
          </cell>
          <cell r="S194">
            <v>136590</v>
          </cell>
          <cell r="V194">
            <v>83000</v>
          </cell>
        </row>
        <row r="195">
          <cell r="N195"/>
          <cell r="R195">
            <v>54864</v>
          </cell>
          <cell r="S195">
            <v>136739</v>
          </cell>
          <cell r="V195"/>
        </row>
        <row r="196">
          <cell r="N196"/>
          <cell r="R196">
            <v>55066</v>
          </cell>
          <cell r="S196">
            <v>136941</v>
          </cell>
          <cell r="V196"/>
        </row>
        <row r="197">
          <cell r="N197"/>
          <cell r="R197">
            <v>55132</v>
          </cell>
          <cell r="S197">
            <v>137007</v>
          </cell>
          <cell r="V197"/>
        </row>
        <row r="198">
          <cell r="N198"/>
          <cell r="R198">
            <v>55092</v>
          </cell>
          <cell r="S198">
            <v>136967</v>
          </cell>
          <cell r="V198"/>
        </row>
        <row r="199">
          <cell r="N199"/>
          <cell r="R199">
            <v>55092</v>
          </cell>
          <cell r="S199">
            <v>139096</v>
          </cell>
          <cell r="V199"/>
        </row>
        <row r="200">
          <cell r="N200"/>
          <cell r="R200">
            <v>55114</v>
          </cell>
          <cell r="S200">
            <v>139118</v>
          </cell>
          <cell r="V200"/>
        </row>
        <row r="201">
          <cell r="N201"/>
          <cell r="R201">
            <v>55132</v>
          </cell>
          <cell r="S201">
            <v>139136</v>
          </cell>
          <cell r="V201"/>
        </row>
        <row r="202">
          <cell r="N202"/>
          <cell r="R202">
            <v>55324</v>
          </cell>
          <cell r="S202">
            <v>139328</v>
          </cell>
          <cell r="V202"/>
        </row>
        <row r="203">
          <cell r="N203"/>
          <cell r="R203"/>
          <cell r="S203">
            <v>84004</v>
          </cell>
          <cell r="V203"/>
        </row>
        <row r="204">
          <cell r="N204"/>
          <cell r="R204"/>
          <cell r="S204">
            <v>84004</v>
          </cell>
          <cell r="V204"/>
        </row>
        <row r="205">
          <cell r="N205"/>
          <cell r="R205"/>
          <cell r="S205">
            <v>84004</v>
          </cell>
          <cell r="V205"/>
        </row>
        <row r="206">
          <cell r="N206"/>
          <cell r="R206"/>
          <cell r="S206">
            <v>84004</v>
          </cell>
          <cell r="V206"/>
        </row>
        <row r="207">
          <cell r="N207"/>
          <cell r="R207"/>
          <cell r="S207">
            <v>84004</v>
          </cell>
          <cell r="V207"/>
        </row>
        <row r="208">
          <cell r="N208"/>
          <cell r="R208"/>
          <cell r="S208">
            <v>84004</v>
          </cell>
          <cell r="V208"/>
        </row>
        <row r="209">
          <cell r="N209"/>
          <cell r="R209"/>
          <cell r="S209">
            <v>84004</v>
          </cell>
          <cell r="V209"/>
        </row>
        <row r="210">
          <cell r="N210"/>
          <cell r="R210"/>
          <cell r="S210">
            <v>84004</v>
          </cell>
          <cell r="V210"/>
        </row>
      </sheetData>
      <sheetData sheetId="51">
        <row r="175">
          <cell r="N175">
            <v>0</v>
          </cell>
          <cell r="R175">
            <v>0</v>
          </cell>
          <cell r="S175">
            <v>0</v>
          </cell>
          <cell r="V175">
            <v>0</v>
          </cell>
        </row>
        <row r="176">
          <cell r="N176">
            <v>0</v>
          </cell>
          <cell r="R176">
            <v>0</v>
          </cell>
          <cell r="S176">
            <v>0</v>
          </cell>
          <cell r="V176">
            <v>0</v>
          </cell>
        </row>
        <row r="177">
          <cell r="N177">
            <v>0</v>
          </cell>
          <cell r="R177">
            <v>0</v>
          </cell>
          <cell r="S177">
            <v>0</v>
          </cell>
          <cell r="V177">
            <v>0</v>
          </cell>
        </row>
        <row r="178">
          <cell r="N178">
            <v>0</v>
          </cell>
          <cell r="R178">
            <v>0</v>
          </cell>
          <cell r="S178">
            <v>0</v>
          </cell>
          <cell r="V178">
            <v>0</v>
          </cell>
        </row>
        <row r="179">
          <cell r="N179">
            <v>0</v>
          </cell>
          <cell r="R179">
            <v>0</v>
          </cell>
          <cell r="S179">
            <v>0</v>
          </cell>
          <cell r="V179">
            <v>0</v>
          </cell>
        </row>
        <row r="180">
          <cell r="N180">
            <v>0</v>
          </cell>
          <cell r="R180">
            <v>0</v>
          </cell>
          <cell r="S180">
            <v>0</v>
          </cell>
          <cell r="V180">
            <v>0</v>
          </cell>
        </row>
        <row r="181">
          <cell r="N181">
            <v>0</v>
          </cell>
          <cell r="R181">
            <v>0</v>
          </cell>
          <cell r="S181">
            <v>0</v>
          </cell>
          <cell r="V181">
            <v>0</v>
          </cell>
        </row>
        <row r="182">
          <cell r="N182">
            <v>0</v>
          </cell>
          <cell r="R182">
            <v>0</v>
          </cell>
          <cell r="S182">
            <v>0</v>
          </cell>
          <cell r="V182">
            <v>0</v>
          </cell>
        </row>
        <row r="183">
          <cell r="N183">
            <v>0</v>
          </cell>
          <cell r="R183">
            <v>0</v>
          </cell>
          <cell r="S183">
            <v>0</v>
          </cell>
          <cell r="V183">
            <v>0</v>
          </cell>
        </row>
        <row r="184">
          <cell r="N184">
            <v>0</v>
          </cell>
          <cell r="R184">
            <v>0</v>
          </cell>
          <cell r="S184">
            <v>0</v>
          </cell>
          <cell r="V184">
            <v>0</v>
          </cell>
        </row>
        <row r="185">
          <cell r="N185">
            <v>0</v>
          </cell>
          <cell r="R185">
            <v>0</v>
          </cell>
          <cell r="S185">
            <v>0</v>
          </cell>
          <cell r="V185">
            <v>0</v>
          </cell>
        </row>
        <row r="186">
          <cell r="N186">
            <v>0</v>
          </cell>
          <cell r="R186">
            <v>0</v>
          </cell>
          <cell r="S186">
            <v>0</v>
          </cell>
          <cell r="V186"/>
        </row>
        <row r="187">
          <cell r="N187">
            <v>0</v>
          </cell>
          <cell r="R187">
            <v>0</v>
          </cell>
          <cell r="S187">
            <v>0</v>
          </cell>
          <cell r="V187"/>
        </row>
        <row r="188">
          <cell r="N188">
            <v>0</v>
          </cell>
          <cell r="R188">
            <v>0</v>
          </cell>
          <cell r="S188">
            <v>0</v>
          </cell>
          <cell r="V188"/>
        </row>
        <row r="189">
          <cell r="N189">
            <v>0</v>
          </cell>
          <cell r="R189">
            <v>0</v>
          </cell>
          <cell r="S189">
            <v>0</v>
          </cell>
          <cell r="V189"/>
        </row>
        <row r="190">
          <cell r="N190">
            <v>0</v>
          </cell>
          <cell r="R190">
            <v>0</v>
          </cell>
          <cell r="S190">
            <v>0</v>
          </cell>
          <cell r="V190"/>
        </row>
        <row r="191">
          <cell r="N191">
            <v>0</v>
          </cell>
          <cell r="R191">
            <v>0</v>
          </cell>
          <cell r="S191">
            <v>0</v>
          </cell>
          <cell r="V191"/>
        </row>
        <row r="192">
          <cell r="N192">
            <v>0</v>
          </cell>
          <cell r="R192">
            <v>0</v>
          </cell>
          <cell r="S192">
            <v>0</v>
          </cell>
          <cell r="V192"/>
        </row>
        <row r="193">
          <cell r="N193">
            <v>0</v>
          </cell>
          <cell r="R193">
            <v>0</v>
          </cell>
          <cell r="S193">
            <v>0</v>
          </cell>
          <cell r="V193"/>
        </row>
        <row r="194">
          <cell r="N194">
            <v>0</v>
          </cell>
          <cell r="R194">
            <v>0</v>
          </cell>
          <cell r="S194">
            <v>0</v>
          </cell>
          <cell r="V194"/>
        </row>
        <row r="195">
          <cell r="N195">
            <v>0</v>
          </cell>
          <cell r="R195">
            <v>0</v>
          </cell>
          <cell r="S195">
            <v>0</v>
          </cell>
          <cell r="V195"/>
        </row>
        <row r="196">
          <cell r="N196">
            <v>0</v>
          </cell>
          <cell r="R196">
            <v>0</v>
          </cell>
          <cell r="S196">
            <v>0</v>
          </cell>
          <cell r="V196"/>
        </row>
        <row r="197">
          <cell r="N197">
            <v>0</v>
          </cell>
          <cell r="R197">
            <v>0</v>
          </cell>
          <cell r="S197">
            <v>0</v>
          </cell>
          <cell r="V197"/>
        </row>
        <row r="198">
          <cell r="N198">
            <v>0</v>
          </cell>
          <cell r="R198">
            <v>0</v>
          </cell>
          <cell r="S198">
            <v>0</v>
          </cell>
          <cell r="V198"/>
        </row>
        <row r="199">
          <cell r="N199">
            <v>0</v>
          </cell>
          <cell r="R199">
            <v>0</v>
          </cell>
          <cell r="S199">
            <v>0</v>
          </cell>
          <cell r="V199"/>
        </row>
        <row r="200">
          <cell r="N200">
            <v>0</v>
          </cell>
          <cell r="R200">
            <v>0</v>
          </cell>
          <cell r="S200">
            <v>0</v>
          </cell>
          <cell r="V200"/>
        </row>
        <row r="201">
          <cell r="N201">
            <v>0</v>
          </cell>
          <cell r="R201">
            <v>0</v>
          </cell>
          <cell r="S201">
            <v>0</v>
          </cell>
          <cell r="V201"/>
        </row>
        <row r="202">
          <cell r="N202">
            <v>0</v>
          </cell>
          <cell r="R202">
            <v>0</v>
          </cell>
          <cell r="S202">
            <v>0</v>
          </cell>
          <cell r="V202"/>
        </row>
        <row r="203">
          <cell r="N203">
            <v>0</v>
          </cell>
          <cell r="R203">
            <v>0</v>
          </cell>
          <cell r="S203">
            <v>0</v>
          </cell>
          <cell r="V203"/>
        </row>
        <row r="204">
          <cell r="N204">
            <v>0</v>
          </cell>
          <cell r="R204">
            <v>0</v>
          </cell>
          <cell r="S204">
            <v>0</v>
          </cell>
          <cell r="V204"/>
        </row>
        <row r="205">
          <cell r="N205">
            <v>0</v>
          </cell>
          <cell r="R205">
            <v>0</v>
          </cell>
          <cell r="S205">
            <v>0</v>
          </cell>
          <cell r="V205"/>
        </row>
        <row r="206">
          <cell r="N206">
            <v>0</v>
          </cell>
          <cell r="R206">
            <v>0</v>
          </cell>
          <cell r="S206">
            <v>0</v>
          </cell>
          <cell r="V206"/>
        </row>
        <row r="207">
          <cell r="N207">
            <v>0</v>
          </cell>
          <cell r="R207">
            <v>0</v>
          </cell>
          <cell r="S207">
            <v>0</v>
          </cell>
          <cell r="V207"/>
        </row>
        <row r="208">
          <cell r="N208">
            <v>0</v>
          </cell>
          <cell r="R208">
            <v>0</v>
          </cell>
          <cell r="S208">
            <v>0</v>
          </cell>
          <cell r="V208"/>
        </row>
        <row r="209">
          <cell r="N209">
            <v>0</v>
          </cell>
          <cell r="R209">
            <v>0</v>
          </cell>
          <cell r="S209">
            <v>0</v>
          </cell>
          <cell r="V209"/>
        </row>
        <row r="210">
          <cell r="N210">
            <v>0</v>
          </cell>
          <cell r="R210">
            <v>0</v>
          </cell>
          <cell r="S210">
            <v>0</v>
          </cell>
          <cell r="V210"/>
        </row>
      </sheetData>
      <sheetData sheetId="5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Hoja1"/>
      <sheetName val="LP (1)"/>
      <sheetName val="LP (3)"/>
      <sheetName val="LP (4)"/>
      <sheetName val="LP (5)"/>
      <sheetName val="LP (6)"/>
      <sheetName val="LP (7)"/>
      <sheetName val="LP (8)"/>
      <sheetName val="LP (9)"/>
      <sheetName val="LP (11)"/>
      <sheetName val="LP (12)"/>
      <sheetName val="LP (13)"/>
      <sheetName val="LP (14)"/>
      <sheetName val="LP (15)"/>
      <sheetName val="LP (16)"/>
      <sheetName val="LP (29)"/>
      <sheetName val="LP (30)"/>
      <sheetName val="LP (31)"/>
      <sheetName val="LP (32)"/>
      <sheetName val="LP (33)"/>
      <sheetName val="LP (34)"/>
      <sheetName val="LP (35)"/>
      <sheetName val="LP (36)"/>
      <sheetName val="LP (37)"/>
      <sheetName val="LP (38)"/>
      <sheetName val="LP (39)"/>
      <sheetName val="LP (40)"/>
      <sheetName val="LP (41)"/>
      <sheetName val="LP (42)"/>
      <sheetName val="LP (43)"/>
      <sheetName val="LP (44)"/>
      <sheetName val="LP (45)"/>
      <sheetName val="LP (46)"/>
      <sheetName val="LP (47)"/>
      <sheetName val="LP (48A)"/>
      <sheetName val="LP (48B)"/>
      <sheetName val="LP (49)"/>
      <sheetName val="LP (50)"/>
      <sheetName val="LP (51)"/>
      <sheetName val="LP (55A)"/>
      <sheetName val="LP (55B)"/>
      <sheetName val="LP (59A)"/>
      <sheetName val="LP (59B)"/>
      <sheetName val="LP (59C)"/>
      <sheetName val="LP (60)"/>
      <sheetName val="LP (61)"/>
      <sheetName val="LP (62)"/>
      <sheetName val="LP (63)"/>
      <sheetName val="LP (64)"/>
      <sheetName val="LP (65)"/>
      <sheetName val="LP (67)"/>
      <sheetName val="LP (71)"/>
      <sheetName val="LP (72)"/>
      <sheetName val="LP (73)"/>
      <sheetName val="LP (75)"/>
      <sheetName val="LP (81)"/>
      <sheetName val="LP (82)"/>
      <sheetName val="LP (83)"/>
      <sheetName val="final"/>
      <sheetName val="Hoja5"/>
      <sheetName val="Hoja6"/>
      <sheetName val="Hoja7"/>
      <sheetName val="Hoja8"/>
      <sheetName val="Hoja9"/>
      <sheetName val="Hoja10"/>
    </sheetNames>
    <sheetDataSet>
      <sheetData sheetId="0">
        <row r="245">
          <cell r="C245">
            <v>5703546</v>
          </cell>
          <cell r="D245">
            <v>6126033</v>
          </cell>
        </row>
        <row r="246">
          <cell r="C246">
            <v>5753682</v>
          </cell>
          <cell r="D246">
            <v>4615762</v>
          </cell>
        </row>
        <row r="247">
          <cell r="C247">
            <v>5812656</v>
          </cell>
          <cell r="D247">
            <v>6353551</v>
          </cell>
        </row>
        <row r="248">
          <cell r="C248">
            <v>5905441</v>
          </cell>
          <cell r="D248">
            <v>4716900</v>
          </cell>
        </row>
        <row r="249">
          <cell r="C249">
            <v>6098222</v>
          </cell>
          <cell r="D249">
            <v>6381792</v>
          </cell>
        </row>
        <row r="250">
          <cell r="C250">
            <v>6540729</v>
          </cell>
          <cell r="D250">
            <v>6311139</v>
          </cell>
        </row>
        <row r="251">
          <cell r="C251">
            <v>6427859</v>
          </cell>
          <cell r="D251">
            <v>6186204</v>
          </cell>
        </row>
      </sheetData>
      <sheetData sheetId="1"/>
      <sheetData sheetId="2"/>
      <sheetData sheetId="3"/>
      <sheetData sheetId="4">
        <row r="175">
          <cell r="E175">
            <v>921</v>
          </cell>
          <cell r="G175">
            <v>134466</v>
          </cell>
          <cell r="J175">
            <v>85</v>
          </cell>
          <cell r="L175">
            <v>47515</v>
          </cell>
          <cell r="S175">
            <v>289122</v>
          </cell>
          <cell r="V175">
            <v>289122</v>
          </cell>
        </row>
        <row r="176">
          <cell r="E176">
            <v>613</v>
          </cell>
          <cell r="G176">
            <v>89498</v>
          </cell>
          <cell r="J176">
            <v>40</v>
          </cell>
          <cell r="L176">
            <v>22360</v>
          </cell>
          <cell r="S176">
            <v>218999</v>
          </cell>
          <cell r="V176">
            <v>218999</v>
          </cell>
        </row>
        <row r="177">
          <cell r="E177">
            <v>847</v>
          </cell>
          <cell r="G177">
            <v>123662</v>
          </cell>
          <cell r="J177">
            <v>50</v>
          </cell>
          <cell r="L177">
            <v>27950</v>
          </cell>
          <cell r="S177">
            <v>258753</v>
          </cell>
          <cell r="V177">
            <v>258753</v>
          </cell>
        </row>
        <row r="178">
          <cell r="E178">
            <v>456</v>
          </cell>
          <cell r="G178">
            <v>66576</v>
          </cell>
          <cell r="J178">
            <v>34</v>
          </cell>
          <cell r="L178">
            <v>19006</v>
          </cell>
          <cell r="S178">
            <v>192723</v>
          </cell>
          <cell r="V178">
            <v>192723</v>
          </cell>
        </row>
        <row r="179">
          <cell r="E179">
            <v>450</v>
          </cell>
          <cell r="G179">
            <v>65700</v>
          </cell>
          <cell r="J179">
            <v>21</v>
          </cell>
          <cell r="L179">
            <v>11739</v>
          </cell>
          <cell r="S179">
            <v>184580</v>
          </cell>
          <cell r="V179">
            <v>184580</v>
          </cell>
        </row>
        <row r="180">
          <cell r="E180">
            <v>543</v>
          </cell>
          <cell r="G180">
            <v>79278</v>
          </cell>
          <cell r="J180">
            <v>16</v>
          </cell>
          <cell r="L180">
            <v>8944</v>
          </cell>
          <cell r="S180">
            <v>195363</v>
          </cell>
          <cell r="V180">
            <v>195363</v>
          </cell>
        </row>
        <row r="181">
          <cell r="E181">
            <v>440</v>
          </cell>
          <cell r="G181">
            <v>64240</v>
          </cell>
          <cell r="J181">
            <v>6</v>
          </cell>
          <cell r="L181">
            <v>3354</v>
          </cell>
          <cell r="S181">
            <v>174735</v>
          </cell>
          <cell r="V181">
            <v>174735</v>
          </cell>
        </row>
        <row r="182">
          <cell r="E182">
            <v>532</v>
          </cell>
          <cell r="G182">
            <v>77672</v>
          </cell>
          <cell r="J182">
            <v>8</v>
          </cell>
          <cell r="L182">
            <v>4472</v>
          </cell>
          <cell r="S182">
            <v>190266</v>
          </cell>
          <cell r="V182">
            <v>190266</v>
          </cell>
        </row>
        <row r="183">
          <cell r="E183">
            <v>407</v>
          </cell>
          <cell r="G183">
            <v>59422</v>
          </cell>
          <cell r="J183">
            <v>16</v>
          </cell>
          <cell r="L183">
            <v>8944</v>
          </cell>
          <cell r="S183">
            <v>176504</v>
          </cell>
          <cell r="V183">
            <v>176504</v>
          </cell>
        </row>
        <row r="184">
          <cell r="E184">
            <v>478</v>
          </cell>
          <cell r="G184">
            <v>69788</v>
          </cell>
          <cell r="J184">
            <v>15</v>
          </cell>
          <cell r="L184">
            <v>8385</v>
          </cell>
          <cell r="S184">
            <v>186304</v>
          </cell>
          <cell r="V184">
            <v>186304</v>
          </cell>
        </row>
        <row r="185">
          <cell r="E185">
            <v>669</v>
          </cell>
          <cell r="G185">
            <v>97674</v>
          </cell>
          <cell r="J185">
            <v>33</v>
          </cell>
          <cell r="L185">
            <v>18447</v>
          </cell>
          <cell r="S185">
            <v>224281</v>
          </cell>
          <cell r="V185">
            <v>224281</v>
          </cell>
        </row>
        <row r="186">
          <cell r="E186">
            <v>593</v>
          </cell>
          <cell r="G186">
            <v>86578</v>
          </cell>
          <cell r="J186">
            <v>43</v>
          </cell>
          <cell r="L186">
            <v>24037</v>
          </cell>
          <cell r="S186">
            <v>218795</v>
          </cell>
          <cell r="V186">
            <v>218795</v>
          </cell>
        </row>
        <row r="187">
          <cell r="E187">
            <v>748</v>
          </cell>
          <cell r="G187">
            <v>109208</v>
          </cell>
          <cell r="J187">
            <v>52</v>
          </cell>
          <cell r="L187">
            <v>29068</v>
          </cell>
          <cell r="S187">
            <v>248198</v>
          </cell>
          <cell r="V187">
            <v>248198</v>
          </cell>
        </row>
        <row r="188">
          <cell r="E188">
            <v>587</v>
          </cell>
          <cell r="G188">
            <v>85702</v>
          </cell>
          <cell r="J188">
            <v>38</v>
          </cell>
          <cell r="L188">
            <v>21242</v>
          </cell>
          <cell r="S188">
            <v>216896</v>
          </cell>
          <cell r="V188">
            <v>216896</v>
          </cell>
        </row>
        <row r="189">
          <cell r="E189">
            <v>742</v>
          </cell>
          <cell r="G189">
            <v>108332</v>
          </cell>
          <cell r="J189">
            <v>49</v>
          </cell>
          <cell r="L189">
            <v>27391</v>
          </cell>
          <cell r="S189">
            <v>245688</v>
          </cell>
          <cell r="V189">
            <v>245688</v>
          </cell>
        </row>
        <row r="190">
          <cell r="E190">
            <v>595</v>
          </cell>
          <cell r="G190">
            <v>86870</v>
          </cell>
          <cell r="J190">
            <v>38</v>
          </cell>
          <cell r="L190">
            <v>21242</v>
          </cell>
          <cell r="S190">
            <v>218088</v>
          </cell>
          <cell r="V190">
            <v>218088</v>
          </cell>
        </row>
        <row r="191">
          <cell r="E191">
            <v>536</v>
          </cell>
          <cell r="G191">
            <v>78256</v>
          </cell>
          <cell r="J191">
            <v>33</v>
          </cell>
          <cell r="L191">
            <v>18447</v>
          </cell>
          <cell r="S191">
            <v>206701</v>
          </cell>
          <cell r="V191">
            <v>206701</v>
          </cell>
        </row>
        <row r="192">
          <cell r="E192">
            <v>571</v>
          </cell>
          <cell r="G192">
            <v>83366</v>
          </cell>
          <cell r="J192">
            <v>14</v>
          </cell>
          <cell r="L192">
            <v>7826</v>
          </cell>
          <cell r="S192">
            <v>200548</v>
          </cell>
          <cell r="V192">
            <v>200548</v>
          </cell>
        </row>
        <row r="193">
          <cell r="E193">
            <v>706</v>
          </cell>
          <cell r="G193">
            <v>103076</v>
          </cell>
          <cell r="J193">
            <v>25</v>
          </cell>
          <cell r="L193">
            <v>13975</v>
          </cell>
          <cell r="S193">
            <v>207087</v>
          </cell>
          <cell r="V193">
            <v>207087</v>
          </cell>
        </row>
        <row r="194">
          <cell r="E194">
            <v>543</v>
          </cell>
          <cell r="G194">
            <v>79278</v>
          </cell>
          <cell r="J194">
            <v>18</v>
          </cell>
          <cell r="L194">
            <v>10062</v>
          </cell>
          <cell r="S194">
            <v>179401</v>
          </cell>
          <cell r="V194">
            <v>179401</v>
          </cell>
        </row>
        <row r="195">
          <cell r="E195">
            <v>421</v>
          </cell>
          <cell r="G195">
            <v>61466</v>
          </cell>
          <cell r="J195">
            <v>25</v>
          </cell>
          <cell r="L195">
            <v>13975</v>
          </cell>
          <cell r="S195">
            <v>165523</v>
          </cell>
          <cell r="V195">
            <v>165523</v>
          </cell>
        </row>
        <row r="196">
          <cell r="E196">
            <v>484</v>
          </cell>
          <cell r="G196">
            <v>70664</v>
          </cell>
          <cell r="J196">
            <v>23</v>
          </cell>
          <cell r="L196">
            <v>12857</v>
          </cell>
          <cell r="S196">
            <v>173626</v>
          </cell>
          <cell r="V196">
            <v>173626</v>
          </cell>
        </row>
        <row r="197">
          <cell r="E197">
            <v>573</v>
          </cell>
          <cell r="G197">
            <v>83658</v>
          </cell>
          <cell r="J197">
            <v>39</v>
          </cell>
          <cell r="L197">
            <v>21801</v>
          </cell>
          <cell r="S197">
            <v>195594</v>
          </cell>
          <cell r="V197">
            <v>195594</v>
          </cell>
        </row>
        <row r="198">
          <cell r="E198">
            <v>571</v>
          </cell>
          <cell r="G198">
            <v>83366</v>
          </cell>
          <cell r="J198">
            <v>46</v>
          </cell>
          <cell r="L198">
            <v>25714</v>
          </cell>
          <cell r="S198">
            <v>199225</v>
          </cell>
          <cell r="V198">
            <v>199225</v>
          </cell>
        </row>
        <row r="199">
          <cell r="E199">
            <v>609</v>
          </cell>
          <cell r="G199">
            <v>88914</v>
          </cell>
          <cell r="J199">
            <v>47</v>
          </cell>
          <cell r="L199">
            <v>26273</v>
          </cell>
          <cell r="S199">
            <v>207455</v>
          </cell>
          <cell r="V199">
            <v>207455</v>
          </cell>
        </row>
        <row r="200">
          <cell r="E200">
            <v>762</v>
          </cell>
          <cell r="G200">
            <v>111252</v>
          </cell>
          <cell r="J200">
            <v>51</v>
          </cell>
          <cell r="L200">
            <v>28509</v>
          </cell>
          <cell r="S200">
            <v>232032</v>
          </cell>
          <cell r="V200">
            <v>232032</v>
          </cell>
        </row>
        <row r="201">
          <cell r="E201">
            <v>557</v>
          </cell>
          <cell r="G201">
            <v>81322</v>
          </cell>
          <cell r="J201">
            <v>48</v>
          </cell>
          <cell r="L201">
            <v>26832</v>
          </cell>
          <cell r="S201">
            <v>200428</v>
          </cell>
          <cell r="V201">
            <v>200428</v>
          </cell>
        </row>
        <row r="202">
          <cell r="E202">
            <v>415</v>
          </cell>
          <cell r="G202">
            <v>60590</v>
          </cell>
          <cell r="J202">
            <v>24</v>
          </cell>
          <cell r="L202">
            <v>13416</v>
          </cell>
          <cell r="S202">
            <v>166309</v>
          </cell>
          <cell r="V202">
            <v>166309</v>
          </cell>
        </row>
        <row r="203">
          <cell r="E203">
            <v>308</v>
          </cell>
          <cell r="G203">
            <v>44968</v>
          </cell>
          <cell r="J203">
            <v>17</v>
          </cell>
          <cell r="L203">
            <v>9503</v>
          </cell>
          <cell r="S203">
            <v>146804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81395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92887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87141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87141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87141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87141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87141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94948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179941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180021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180097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270322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90145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93000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183813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93000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>
            <v>93000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6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2</v>
          </cell>
          <cell r="L191">
            <v>1118</v>
          </cell>
          <cell r="S191">
            <v>91116</v>
          </cell>
          <cell r="V191">
            <v>91116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1</v>
          </cell>
          <cell r="L194">
            <v>559</v>
          </cell>
          <cell r="S194">
            <v>90620</v>
          </cell>
          <cell r="V194">
            <v>90620</v>
          </cell>
        </row>
        <row r="195">
          <cell r="E195">
            <v>0</v>
          </cell>
          <cell r="G195">
            <v>0</v>
          </cell>
          <cell r="J195">
            <v>1</v>
          </cell>
          <cell r="L195">
            <v>559</v>
          </cell>
          <cell r="S195">
            <v>90641</v>
          </cell>
          <cell r="V195">
            <v>90641</v>
          </cell>
        </row>
        <row r="196">
          <cell r="E196">
            <v>0</v>
          </cell>
          <cell r="G196">
            <v>0</v>
          </cell>
          <cell r="J196">
            <v>1</v>
          </cell>
          <cell r="L196">
            <v>559</v>
          </cell>
          <cell r="S196">
            <v>90664</v>
          </cell>
          <cell r="V196">
            <v>90664</v>
          </cell>
        </row>
        <row r="197">
          <cell r="E197">
            <v>0</v>
          </cell>
          <cell r="G197">
            <v>0</v>
          </cell>
          <cell r="J197">
            <v>6</v>
          </cell>
          <cell r="L197">
            <v>3354</v>
          </cell>
          <cell r="S197">
            <v>93489</v>
          </cell>
          <cell r="V197">
            <v>93489</v>
          </cell>
        </row>
        <row r="198">
          <cell r="E198">
            <v>0</v>
          </cell>
          <cell r="G198">
            <v>0</v>
          </cell>
          <cell r="J198">
            <v>3</v>
          </cell>
          <cell r="L198">
            <v>1677</v>
          </cell>
          <cell r="S198">
            <v>91822</v>
          </cell>
          <cell r="V198">
            <v>91822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92268</v>
          </cell>
        </row>
        <row r="200">
          <cell r="E200">
            <v>0</v>
          </cell>
          <cell r="G200">
            <v>0</v>
          </cell>
          <cell r="J200">
            <v>5</v>
          </cell>
          <cell r="L200">
            <v>2795</v>
          </cell>
          <cell r="S200">
            <v>95066</v>
          </cell>
          <cell r="V200">
            <v>95066</v>
          </cell>
        </row>
        <row r="201">
          <cell r="E201">
            <v>0</v>
          </cell>
          <cell r="G201">
            <v>0</v>
          </cell>
          <cell r="J201">
            <v>2</v>
          </cell>
          <cell r="L201">
            <v>1118</v>
          </cell>
          <cell r="S201">
            <v>93392</v>
          </cell>
          <cell r="V201">
            <v>93392</v>
          </cell>
        </row>
        <row r="202">
          <cell r="E202">
            <v>0</v>
          </cell>
          <cell r="G202">
            <v>0</v>
          </cell>
          <cell r="J202">
            <v>3</v>
          </cell>
          <cell r="L202">
            <v>1677</v>
          </cell>
          <cell r="S202">
            <v>93980</v>
          </cell>
          <cell r="V202">
            <v>93980</v>
          </cell>
        </row>
        <row r="203">
          <cell r="E203">
            <v>2</v>
          </cell>
          <cell r="G203">
            <v>292</v>
          </cell>
          <cell r="J203">
            <v>8</v>
          </cell>
          <cell r="L203">
            <v>4472</v>
          </cell>
          <cell r="S203">
            <v>97097</v>
          </cell>
          <cell r="V203"/>
        </row>
        <row r="204">
          <cell r="E204">
            <v>0</v>
          </cell>
          <cell r="G204">
            <v>0</v>
          </cell>
          <cell r="J204">
            <v>-120</v>
          </cell>
          <cell r="L204">
            <v>-67080</v>
          </cell>
          <cell r="S204">
            <v>16924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214316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88160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89942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90145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92271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92268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139777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139925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501000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90000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84216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88000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88000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88000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88000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88000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88000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88000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88000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88000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88000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88000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88000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176000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88000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88000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88000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88000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80141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81875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136941</v>
          </cell>
          <cell r="V196">
            <v>81875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137007</v>
          </cell>
          <cell r="V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84004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84004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90068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89806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1</v>
          </cell>
          <cell r="G195">
            <v>146</v>
          </cell>
          <cell r="J195">
            <v>0</v>
          </cell>
          <cell r="L195">
            <v>0</v>
          </cell>
          <cell r="S195">
            <v>90228</v>
          </cell>
          <cell r="V195">
            <v>90228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3</v>
          </cell>
          <cell r="G198">
            <v>438</v>
          </cell>
          <cell r="J198">
            <v>3</v>
          </cell>
          <cell r="L198">
            <v>1677</v>
          </cell>
          <cell r="S198">
            <v>92260</v>
          </cell>
          <cell r="V198">
            <v>182395</v>
          </cell>
        </row>
        <row r="199">
          <cell r="E199">
            <v>12</v>
          </cell>
          <cell r="G199">
            <v>1752</v>
          </cell>
          <cell r="J199">
            <v>2</v>
          </cell>
          <cell r="L199">
            <v>1118</v>
          </cell>
          <cell r="S199">
            <v>95138</v>
          </cell>
          <cell r="V199">
            <v>95138</v>
          </cell>
        </row>
        <row r="200">
          <cell r="E200">
            <v>12</v>
          </cell>
          <cell r="G200">
            <v>1752</v>
          </cell>
          <cell r="J200">
            <v>3</v>
          </cell>
          <cell r="L200">
            <v>1677</v>
          </cell>
          <cell r="S200">
            <v>95700</v>
          </cell>
          <cell r="V200">
            <v>95700</v>
          </cell>
        </row>
        <row r="201">
          <cell r="E201">
            <v>18</v>
          </cell>
          <cell r="G201">
            <v>2628</v>
          </cell>
          <cell r="J201">
            <v>1</v>
          </cell>
          <cell r="L201">
            <v>559</v>
          </cell>
          <cell r="S201">
            <v>95461</v>
          </cell>
          <cell r="V201"/>
        </row>
        <row r="202">
          <cell r="E202">
            <v>13</v>
          </cell>
          <cell r="G202">
            <v>1898</v>
          </cell>
          <cell r="J202">
            <v>1</v>
          </cell>
          <cell r="L202">
            <v>559</v>
          </cell>
          <cell r="S202">
            <v>94760</v>
          </cell>
          <cell r="V202">
            <v>190221</v>
          </cell>
        </row>
        <row r="203">
          <cell r="E203">
            <v>25</v>
          </cell>
          <cell r="G203">
            <v>3650</v>
          </cell>
          <cell r="J203">
            <v>0</v>
          </cell>
          <cell r="L203">
            <v>0</v>
          </cell>
          <cell r="S203">
            <v>95983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300000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400000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/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600000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500000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600000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500000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523000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175109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532483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540059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180240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182413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80141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81875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81875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84004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84004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84004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90000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90000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90000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90000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90000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90000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90000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90000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90000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90000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80000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90000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90000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80000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90000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90000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70000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80000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80000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90000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90000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80000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80000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80000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90000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5">
        <row r="175">
          <cell r="E175">
            <v>68</v>
          </cell>
          <cell r="G175">
            <v>9928</v>
          </cell>
          <cell r="J175">
            <v>0</v>
          </cell>
          <cell r="L175">
            <v>0</v>
          </cell>
          <cell r="S175">
            <v>117069</v>
          </cell>
          <cell r="V175">
            <v>117069</v>
          </cell>
        </row>
        <row r="176">
          <cell r="E176">
            <v>62</v>
          </cell>
          <cell r="G176">
            <v>9052</v>
          </cell>
          <cell r="J176">
            <v>0</v>
          </cell>
          <cell r="L176">
            <v>0</v>
          </cell>
          <cell r="S176">
            <v>116193</v>
          </cell>
          <cell r="V176">
            <v>116193</v>
          </cell>
        </row>
        <row r="177">
          <cell r="E177">
            <v>69</v>
          </cell>
          <cell r="G177">
            <v>10074</v>
          </cell>
          <cell r="J177">
            <v>0</v>
          </cell>
          <cell r="L177">
            <v>0</v>
          </cell>
          <cell r="S177">
            <v>117215</v>
          </cell>
          <cell r="V177">
            <v>117215</v>
          </cell>
        </row>
        <row r="178">
          <cell r="E178">
            <v>48</v>
          </cell>
          <cell r="G178">
            <v>7008</v>
          </cell>
          <cell r="J178">
            <v>9</v>
          </cell>
          <cell r="L178">
            <v>5031</v>
          </cell>
          <cell r="S178">
            <v>119180</v>
          </cell>
          <cell r="V178">
            <v>119180</v>
          </cell>
        </row>
        <row r="179">
          <cell r="E179">
            <v>34</v>
          </cell>
          <cell r="G179">
            <v>4964</v>
          </cell>
          <cell r="J179">
            <v>4</v>
          </cell>
          <cell r="L179">
            <v>2236</v>
          </cell>
          <cell r="S179">
            <v>114341</v>
          </cell>
          <cell r="V179">
            <v>114341</v>
          </cell>
        </row>
        <row r="180">
          <cell r="E180">
            <v>31</v>
          </cell>
          <cell r="G180">
            <v>4526</v>
          </cell>
          <cell r="J180">
            <v>8</v>
          </cell>
          <cell r="L180">
            <v>4472</v>
          </cell>
          <cell r="S180">
            <v>116139</v>
          </cell>
          <cell r="V180">
            <v>116139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107141</v>
          </cell>
          <cell r="V181">
            <v>107141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103122</v>
          </cell>
          <cell r="V182">
            <v>103122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103138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103131</v>
          </cell>
          <cell r="V184">
            <v>206269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103160</v>
          </cell>
          <cell r="V185">
            <v>103160</v>
          </cell>
        </row>
        <row r="186">
          <cell r="E186">
            <v>17</v>
          </cell>
          <cell r="G186">
            <v>2482</v>
          </cell>
          <cell r="J186">
            <v>0</v>
          </cell>
          <cell r="L186">
            <v>0</v>
          </cell>
          <cell r="S186">
            <v>228126</v>
          </cell>
          <cell r="V186">
            <v>228126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104922</v>
          </cell>
          <cell r="V187">
            <v>104922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104952</v>
          </cell>
          <cell r="V188">
            <v>104952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104965</v>
          </cell>
          <cell r="V189">
            <v>104965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104976</v>
          </cell>
          <cell r="V190">
            <v>104976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104998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102523</v>
          </cell>
          <cell r="V192">
            <v>207521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90051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180197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180280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/>
        </row>
        <row r="200">
          <cell r="E200">
            <v>21</v>
          </cell>
          <cell r="G200">
            <v>3066</v>
          </cell>
          <cell r="J200">
            <v>0</v>
          </cell>
          <cell r="L200">
            <v>0</v>
          </cell>
          <cell r="S200">
            <v>95337</v>
          </cell>
          <cell r="V200">
            <v>187605</v>
          </cell>
        </row>
        <row r="201">
          <cell r="E201">
            <v>1</v>
          </cell>
          <cell r="G201">
            <v>146</v>
          </cell>
          <cell r="J201">
            <v>0</v>
          </cell>
          <cell r="L201">
            <v>0</v>
          </cell>
          <cell r="S201">
            <v>92420</v>
          </cell>
          <cell r="V201">
            <v>92420</v>
          </cell>
        </row>
        <row r="202">
          <cell r="E202">
            <v>0</v>
          </cell>
          <cell r="G202">
            <v>0</v>
          </cell>
          <cell r="J202">
            <v>1</v>
          </cell>
          <cell r="L202">
            <v>559</v>
          </cell>
          <cell r="S202">
            <v>92862</v>
          </cell>
          <cell r="V202">
            <v>92862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6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174282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174282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174282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176269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90000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180000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176179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180021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180143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90120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145267</v>
          </cell>
          <cell r="V197">
            <v>320000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145237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147360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210120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40000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90000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140085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140264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140403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140471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822619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90000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141622</v>
          </cell>
          <cell r="V185">
            <v>150000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141830</v>
          </cell>
          <cell r="V186">
            <v>120000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143769</v>
          </cell>
          <cell r="V187">
            <v>110000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143886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143974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144133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144316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712672</v>
          </cell>
        </row>
        <row r="193">
          <cell r="E193">
            <v>1</v>
          </cell>
          <cell r="G193">
            <v>146</v>
          </cell>
          <cell r="J193">
            <v>21</v>
          </cell>
          <cell r="L193">
            <v>11739</v>
          </cell>
          <cell r="S193">
            <v>101921</v>
          </cell>
          <cell r="V193">
            <v>102000</v>
          </cell>
        </row>
        <row r="194">
          <cell r="E194">
            <v>166</v>
          </cell>
          <cell r="G194">
            <v>24236</v>
          </cell>
          <cell r="J194">
            <v>7</v>
          </cell>
          <cell r="L194">
            <v>3913</v>
          </cell>
          <cell r="S194">
            <v>118210</v>
          </cell>
          <cell r="V194">
            <v>118200</v>
          </cell>
        </row>
        <row r="195">
          <cell r="E195">
            <v>0</v>
          </cell>
          <cell r="G195">
            <v>0</v>
          </cell>
          <cell r="J195">
            <v>11</v>
          </cell>
          <cell r="L195">
            <v>6149</v>
          </cell>
          <cell r="S195">
            <v>96231</v>
          </cell>
          <cell r="V195">
            <v>79500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79000</v>
          </cell>
        </row>
        <row r="197">
          <cell r="E197">
            <v>2</v>
          </cell>
          <cell r="G197">
            <v>292</v>
          </cell>
          <cell r="J197">
            <v>0</v>
          </cell>
          <cell r="L197">
            <v>0</v>
          </cell>
          <cell r="S197">
            <v>90427</v>
          </cell>
          <cell r="V197">
            <v>79000</v>
          </cell>
        </row>
        <row r="198">
          <cell r="E198">
            <v>1</v>
          </cell>
          <cell r="G198">
            <v>146</v>
          </cell>
          <cell r="J198">
            <v>1</v>
          </cell>
          <cell r="L198">
            <v>559</v>
          </cell>
          <cell r="S198">
            <v>90850</v>
          </cell>
          <cell r="V198">
            <v>130044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105000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79539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-40</v>
          </cell>
          <cell r="L204">
            <v>-22360</v>
          </cell>
          <cell r="S204">
            <v>61644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87141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87141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87141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87141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92167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98000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89964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90000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90000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90100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90100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90100</v>
          </cell>
        </row>
        <row r="197">
          <cell r="E197">
            <v>0</v>
          </cell>
          <cell r="G197">
            <v>0</v>
          </cell>
          <cell r="J197">
            <v>12</v>
          </cell>
          <cell r="L197">
            <v>6708</v>
          </cell>
          <cell r="S197">
            <v>96843</v>
          </cell>
          <cell r="V197">
            <v>96824</v>
          </cell>
        </row>
        <row r="198">
          <cell r="E198">
            <v>46</v>
          </cell>
          <cell r="G198">
            <v>6716</v>
          </cell>
          <cell r="J198">
            <v>7</v>
          </cell>
          <cell r="L198">
            <v>3913</v>
          </cell>
          <cell r="S198">
            <v>100774</v>
          </cell>
          <cell r="V198">
            <v>100800</v>
          </cell>
        </row>
        <row r="199">
          <cell r="E199">
            <v>2</v>
          </cell>
          <cell r="G199">
            <v>292</v>
          </cell>
          <cell r="J199">
            <v>5</v>
          </cell>
          <cell r="L199">
            <v>2795</v>
          </cell>
          <cell r="S199">
            <v>95355</v>
          </cell>
          <cell r="V199">
            <v>95329</v>
          </cell>
        </row>
        <row r="200">
          <cell r="E200">
            <v>2</v>
          </cell>
          <cell r="G200">
            <v>292</v>
          </cell>
          <cell r="J200">
            <v>7</v>
          </cell>
          <cell r="L200">
            <v>3913</v>
          </cell>
          <cell r="S200">
            <v>96476</v>
          </cell>
          <cell r="V200">
            <v>96476</v>
          </cell>
        </row>
        <row r="201">
          <cell r="E201">
            <v>1</v>
          </cell>
          <cell r="G201">
            <v>146</v>
          </cell>
          <cell r="J201">
            <v>2</v>
          </cell>
          <cell r="L201">
            <v>1118</v>
          </cell>
          <cell r="S201">
            <v>93538</v>
          </cell>
          <cell r="V201">
            <v>93538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-5</v>
          </cell>
          <cell r="G204">
            <v>-730</v>
          </cell>
          <cell r="J204">
            <v>-21</v>
          </cell>
          <cell r="L204">
            <v>-11739</v>
          </cell>
          <cell r="S204">
            <v>71535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1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2</v>
          </cell>
          <cell r="L181">
            <v>1118</v>
          </cell>
          <cell r="S181">
            <v>88259</v>
          </cell>
          <cell r="V181">
            <v>88259</v>
          </cell>
        </row>
        <row r="182">
          <cell r="E182">
            <v>6</v>
          </cell>
          <cell r="G182">
            <v>876</v>
          </cell>
          <cell r="J182">
            <v>3</v>
          </cell>
          <cell r="L182">
            <v>1677</v>
          </cell>
          <cell r="S182">
            <v>90675</v>
          </cell>
          <cell r="V182">
            <v>90675</v>
          </cell>
        </row>
        <row r="183">
          <cell r="E183">
            <v>3</v>
          </cell>
          <cell r="G183">
            <v>438</v>
          </cell>
          <cell r="J183">
            <v>3</v>
          </cell>
          <cell r="L183">
            <v>1677</v>
          </cell>
          <cell r="S183">
            <v>90253</v>
          </cell>
          <cell r="V183">
            <v>90253</v>
          </cell>
        </row>
        <row r="184">
          <cell r="E184">
            <v>0</v>
          </cell>
          <cell r="G184">
            <v>0</v>
          </cell>
          <cell r="J184">
            <v>2</v>
          </cell>
          <cell r="L184">
            <v>1118</v>
          </cell>
          <cell r="S184">
            <v>89249</v>
          </cell>
          <cell r="V184">
            <v>89249</v>
          </cell>
        </row>
        <row r="185">
          <cell r="E185">
            <v>0</v>
          </cell>
          <cell r="G185">
            <v>0</v>
          </cell>
          <cell r="J185">
            <v>1</v>
          </cell>
          <cell r="L185">
            <v>559</v>
          </cell>
          <cell r="S185">
            <v>88719</v>
          </cell>
          <cell r="V185">
            <v>88719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1</v>
          </cell>
          <cell r="L187">
            <v>559</v>
          </cell>
          <cell r="S187">
            <v>90481</v>
          </cell>
          <cell r="V187">
            <v>90481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1</v>
          </cell>
          <cell r="G190">
            <v>146</v>
          </cell>
          <cell r="J190">
            <v>1</v>
          </cell>
          <cell r="L190">
            <v>559</v>
          </cell>
          <cell r="S190">
            <v>90681</v>
          </cell>
          <cell r="V190">
            <v>90681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1</v>
          </cell>
          <cell r="L196">
            <v>559</v>
          </cell>
          <cell r="S196">
            <v>90664</v>
          </cell>
          <cell r="V196">
            <v>90664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1</v>
          </cell>
          <cell r="G198">
            <v>146</v>
          </cell>
          <cell r="J198">
            <v>0</v>
          </cell>
          <cell r="L198">
            <v>0</v>
          </cell>
          <cell r="S198">
            <v>90291</v>
          </cell>
          <cell r="V198">
            <v>90291</v>
          </cell>
        </row>
        <row r="199">
          <cell r="E199">
            <v>0</v>
          </cell>
          <cell r="G199">
            <v>0</v>
          </cell>
          <cell r="J199">
            <v>5</v>
          </cell>
          <cell r="L199">
            <v>2795</v>
          </cell>
          <cell r="S199">
            <v>95063</v>
          </cell>
          <cell r="V199">
            <v>95063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6</v>
          </cell>
          <cell r="L201">
            <v>3354</v>
          </cell>
          <cell r="S201">
            <v>95628</v>
          </cell>
          <cell r="V201">
            <v>95628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/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/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/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/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156551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316833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387122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96128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178874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180930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144316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144428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468858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180158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90128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145237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147360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384898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184577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>
            <v>176337</v>
          </cell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1">
        <row r="175">
          <cell r="E175">
            <v>142</v>
          </cell>
          <cell r="G175">
            <v>20732</v>
          </cell>
          <cell r="J175">
            <v>126</v>
          </cell>
          <cell r="L175">
            <v>71514</v>
          </cell>
          <cell r="S175">
            <v>179387</v>
          </cell>
          <cell r="V175">
            <v>200001</v>
          </cell>
        </row>
        <row r="176">
          <cell r="E176">
            <v>125</v>
          </cell>
          <cell r="G176">
            <v>18250</v>
          </cell>
          <cell r="J176">
            <v>77</v>
          </cell>
          <cell r="L176">
            <v>43043</v>
          </cell>
          <cell r="S176">
            <v>148434</v>
          </cell>
          <cell r="V176">
            <v>200000</v>
          </cell>
        </row>
        <row r="177">
          <cell r="E177">
            <v>349</v>
          </cell>
          <cell r="G177">
            <v>50954</v>
          </cell>
          <cell r="J177">
            <v>73</v>
          </cell>
          <cell r="L177">
            <v>40807</v>
          </cell>
          <cell r="S177">
            <v>178902</v>
          </cell>
          <cell r="V177">
            <v>200000</v>
          </cell>
        </row>
        <row r="178">
          <cell r="E178">
            <v>227</v>
          </cell>
          <cell r="G178">
            <v>33142</v>
          </cell>
          <cell r="J178">
            <v>46</v>
          </cell>
          <cell r="L178">
            <v>25714</v>
          </cell>
          <cell r="S178">
            <v>145997</v>
          </cell>
          <cell r="V178">
            <v>225000</v>
          </cell>
        </row>
        <row r="179">
          <cell r="E179">
            <v>240</v>
          </cell>
          <cell r="G179">
            <v>35040</v>
          </cell>
          <cell r="J179">
            <v>20</v>
          </cell>
          <cell r="L179">
            <v>11180</v>
          </cell>
          <cell r="S179">
            <v>133361</v>
          </cell>
          <cell r="V179">
            <v>250000</v>
          </cell>
        </row>
        <row r="180">
          <cell r="E180">
            <v>386</v>
          </cell>
          <cell r="G180">
            <v>56356</v>
          </cell>
          <cell r="J180">
            <v>57</v>
          </cell>
          <cell r="L180">
            <v>31863</v>
          </cell>
          <cell r="S180">
            <v>175360</v>
          </cell>
          <cell r="V180"/>
        </row>
        <row r="181">
          <cell r="E181">
            <v>132</v>
          </cell>
          <cell r="G181">
            <v>19272</v>
          </cell>
          <cell r="J181">
            <v>19</v>
          </cell>
          <cell r="L181">
            <v>10621</v>
          </cell>
          <cell r="S181">
            <v>117034</v>
          </cell>
          <cell r="V181">
            <v>161000</v>
          </cell>
        </row>
        <row r="182">
          <cell r="E182">
            <v>71</v>
          </cell>
          <cell r="G182">
            <v>10366</v>
          </cell>
          <cell r="J182">
            <v>19</v>
          </cell>
          <cell r="L182">
            <v>10621</v>
          </cell>
          <cell r="S182">
            <v>109109</v>
          </cell>
          <cell r="V182"/>
        </row>
        <row r="183">
          <cell r="E183">
            <v>71</v>
          </cell>
          <cell r="G183">
            <v>10366</v>
          </cell>
          <cell r="J183">
            <v>35</v>
          </cell>
          <cell r="L183">
            <v>19565</v>
          </cell>
          <cell r="S183">
            <v>118069</v>
          </cell>
          <cell r="V183">
            <v>200000</v>
          </cell>
        </row>
        <row r="184">
          <cell r="E184">
            <v>131</v>
          </cell>
          <cell r="G184">
            <v>19126</v>
          </cell>
          <cell r="J184">
            <v>34</v>
          </cell>
          <cell r="L184">
            <v>19006</v>
          </cell>
          <cell r="S184">
            <v>126263</v>
          </cell>
          <cell r="V184">
            <v>150000</v>
          </cell>
        </row>
        <row r="185">
          <cell r="E185">
            <v>150</v>
          </cell>
          <cell r="G185">
            <v>21900</v>
          </cell>
          <cell r="J185">
            <v>159</v>
          </cell>
          <cell r="L185">
            <v>100761</v>
          </cell>
          <cell r="S185">
            <v>210821</v>
          </cell>
          <cell r="V185">
            <v>200000</v>
          </cell>
        </row>
        <row r="186">
          <cell r="E186">
            <v>146</v>
          </cell>
          <cell r="G186">
            <v>21316</v>
          </cell>
          <cell r="J186">
            <v>104</v>
          </cell>
          <cell r="L186">
            <v>58136</v>
          </cell>
          <cell r="S186">
            <v>221282</v>
          </cell>
          <cell r="V186">
            <v>200000</v>
          </cell>
        </row>
        <row r="187">
          <cell r="E187">
            <v>437</v>
          </cell>
          <cell r="G187">
            <v>63802</v>
          </cell>
          <cell r="J187">
            <v>124</v>
          </cell>
          <cell r="L187">
            <v>70036</v>
          </cell>
          <cell r="S187">
            <v>277607</v>
          </cell>
          <cell r="V187">
            <v>320000</v>
          </cell>
        </row>
        <row r="188">
          <cell r="E188">
            <v>401</v>
          </cell>
          <cell r="G188">
            <v>58546</v>
          </cell>
          <cell r="J188">
            <v>72</v>
          </cell>
          <cell r="L188">
            <v>40248</v>
          </cell>
          <cell r="S188">
            <v>188746</v>
          </cell>
          <cell r="V188">
            <v>200000</v>
          </cell>
        </row>
        <row r="189">
          <cell r="E189">
            <v>450</v>
          </cell>
          <cell r="G189">
            <v>65700</v>
          </cell>
          <cell r="J189">
            <v>80</v>
          </cell>
          <cell r="L189">
            <v>44720</v>
          </cell>
          <cell r="S189">
            <v>200385</v>
          </cell>
          <cell r="V189">
            <v>200000</v>
          </cell>
        </row>
        <row r="190">
          <cell r="E190">
            <v>251</v>
          </cell>
          <cell r="G190">
            <v>36646</v>
          </cell>
          <cell r="J190">
            <v>66</v>
          </cell>
          <cell r="L190">
            <v>36894</v>
          </cell>
          <cell r="S190">
            <v>163516</v>
          </cell>
          <cell r="V190"/>
        </row>
        <row r="191">
          <cell r="E191">
            <v>165</v>
          </cell>
          <cell r="G191">
            <v>24090</v>
          </cell>
          <cell r="J191">
            <v>51</v>
          </cell>
          <cell r="L191">
            <v>28509</v>
          </cell>
          <cell r="S191">
            <v>142597</v>
          </cell>
          <cell r="V191">
            <v>200000</v>
          </cell>
        </row>
        <row r="192">
          <cell r="E192">
            <v>66</v>
          </cell>
          <cell r="G192">
            <v>9636</v>
          </cell>
          <cell r="J192">
            <v>11</v>
          </cell>
          <cell r="L192">
            <v>6149</v>
          </cell>
          <cell r="S192">
            <v>105808</v>
          </cell>
          <cell r="V192">
            <v>200000</v>
          </cell>
        </row>
        <row r="193">
          <cell r="E193">
            <v>86</v>
          </cell>
          <cell r="G193">
            <v>12556</v>
          </cell>
          <cell r="J193">
            <v>12</v>
          </cell>
          <cell r="L193">
            <v>6708</v>
          </cell>
          <cell r="S193">
            <v>109300</v>
          </cell>
          <cell r="V193"/>
        </row>
        <row r="194">
          <cell r="E194">
            <v>134</v>
          </cell>
          <cell r="G194">
            <v>19564</v>
          </cell>
          <cell r="J194">
            <v>20</v>
          </cell>
          <cell r="L194">
            <v>11180</v>
          </cell>
          <cell r="S194">
            <v>120805</v>
          </cell>
          <cell r="V194">
            <v>200000</v>
          </cell>
        </row>
        <row r="195">
          <cell r="E195">
            <v>140</v>
          </cell>
          <cell r="G195">
            <v>20440</v>
          </cell>
          <cell r="J195">
            <v>62</v>
          </cell>
          <cell r="L195">
            <v>34658</v>
          </cell>
          <cell r="S195">
            <v>145180</v>
          </cell>
          <cell r="V195">
            <v>160000</v>
          </cell>
        </row>
        <row r="196">
          <cell r="E196">
            <v>223</v>
          </cell>
          <cell r="G196">
            <v>32558</v>
          </cell>
          <cell r="J196">
            <v>135</v>
          </cell>
          <cell r="L196">
            <v>78165</v>
          </cell>
          <cell r="S196">
            <v>200828</v>
          </cell>
          <cell r="V196">
            <v>200000</v>
          </cell>
        </row>
        <row r="197">
          <cell r="E197">
            <v>263</v>
          </cell>
          <cell r="G197">
            <v>38398</v>
          </cell>
          <cell r="J197">
            <v>121</v>
          </cell>
          <cell r="L197">
            <v>67819</v>
          </cell>
          <cell r="S197">
            <v>196352</v>
          </cell>
          <cell r="V197">
            <v>200000</v>
          </cell>
        </row>
        <row r="198">
          <cell r="E198">
            <v>581</v>
          </cell>
          <cell r="G198">
            <v>84826</v>
          </cell>
          <cell r="J198">
            <v>128</v>
          </cell>
          <cell r="L198">
            <v>72992</v>
          </cell>
          <cell r="S198">
            <v>247963</v>
          </cell>
          <cell r="V198">
            <v>200000</v>
          </cell>
        </row>
        <row r="199">
          <cell r="E199">
            <v>483</v>
          </cell>
          <cell r="G199">
            <v>70518</v>
          </cell>
          <cell r="J199">
            <v>121</v>
          </cell>
          <cell r="L199">
            <v>67819</v>
          </cell>
          <cell r="S199">
            <v>230605</v>
          </cell>
          <cell r="V199">
            <v>300000</v>
          </cell>
        </row>
        <row r="200">
          <cell r="E200">
            <v>452</v>
          </cell>
          <cell r="G200">
            <v>65992</v>
          </cell>
          <cell r="J200">
            <v>97</v>
          </cell>
          <cell r="L200">
            <v>54223</v>
          </cell>
          <cell r="S200">
            <v>267600</v>
          </cell>
          <cell r="V200"/>
        </row>
        <row r="201">
          <cell r="E201">
            <v>247</v>
          </cell>
          <cell r="G201">
            <v>36062</v>
          </cell>
          <cell r="J201">
            <v>72</v>
          </cell>
          <cell r="L201">
            <v>40248</v>
          </cell>
          <cell r="S201">
            <v>223716</v>
          </cell>
          <cell r="V201"/>
        </row>
        <row r="202">
          <cell r="E202">
            <v>149</v>
          </cell>
          <cell r="G202">
            <v>21754</v>
          </cell>
          <cell r="J202">
            <v>40</v>
          </cell>
          <cell r="L202">
            <v>22360</v>
          </cell>
          <cell r="S202">
            <v>136417</v>
          </cell>
          <cell r="V202">
            <v>613000</v>
          </cell>
        </row>
        <row r="203">
          <cell r="E203">
            <v>175</v>
          </cell>
          <cell r="G203">
            <v>25550</v>
          </cell>
          <cell r="J203">
            <v>23</v>
          </cell>
          <cell r="L203">
            <v>12857</v>
          </cell>
          <cell r="S203">
            <v>130740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174282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176291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90145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81395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92887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174282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88122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88147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180021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109175</v>
          </cell>
          <cell r="V197">
            <v>109175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90145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184539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4">
        <row r="175">
          <cell r="E175">
            <v>84</v>
          </cell>
          <cell r="G175">
            <v>12264</v>
          </cell>
          <cell r="J175">
            <v>5</v>
          </cell>
          <cell r="L175">
            <v>2795</v>
          </cell>
          <cell r="S175">
            <v>30790</v>
          </cell>
          <cell r="V175">
            <v>14959</v>
          </cell>
        </row>
        <row r="176">
          <cell r="E176">
            <v>80</v>
          </cell>
          <cell r="G176">
            <v>11680</v>
          </cell>
          <cell r="J176">
            <v>4</v>
          </cell>
          <cell r="L176">
            <v>2236</v>
          </cell>
          <cell r="S176">
            <v>29647</v>
          </cell>
          <cell r="V176">
            <v>21378</v>
          </cell>
        </row>
        <row r="177">
          <cell r="E177">
            <v>134</v>
          </cell>
          <cell r="G177">
            <v>19564</v>
          </cell>
          <cell r="J177">
            <v>8</v>
          </cell>
          <cell r="L177">
            <v>4472</v>
          </cell>
          <cell r="S177">
            <v>39767</v>
          </cell>
          <cell r="V177">
            <v>28326</v>
          </cell>
        </row>
        <row r="178">
          <cell r="E178">
            <v>154</v>
          </cell>
          <cell r="G178">
            <v>22484</v>
          </cell>
          <cell r="J178">
            <v>7</v>
          </cell>
          <cell r="L178">
            <v>3913</v>
          </cell>
          <cell r="S178">
            <v>42128</v>
          </cell>
          <cell r="V178">
            <v>30687</v>
          </cell>
        </row>
        <row r="179">
          <cell r="E179">
            <v>349</v>
          </cell>
          <cell r="G179">
            <v>50954</v>
          </cell>
          <cell r="J179">
            <v>7</v>
          </cell>
          <cell r="L179">
            <v>3913</v>
          </cell>
          <cell r="S179">
            <v>70598</v>
          </cell>
          <cell r="V179">
            <v>59157</v>
          </cell>
        </row>
        <row r="180">
          <cell r="E180">
            <v>379</v>
          </cell>
          <cell r="G180">
            <v>55334</v>
          </cell>
          <cell r="J180">
            <v>6</v>
          </cell>
          <cell r="L180">
            <v>3354</v>
          </cell>
          <cell r="S180">
            <v>74419</v>
          </cell>
          <cell r="V180">
            <v>63000</v>
          </cell>
        </row>
        <row r="181">
          <cell r="E181">
            <v>180</v>
          </cell>
          <cell r="G181">
            <v>26280</v>
          </cell>
          <cell r="J181">
            <v>2</v>
          </cell>
          <cell r="L181">
            <v>1118</v>
          </cell>
          <cell r="S181">
            <v>43129</v>
          </cell>
          <cell r="V181">
            <v>31688</v>
          </cell>
        </row>
        <row r="182">
          <cell r="E182">
            <v>343</v>
          </cell>
          <cell r="G182">
            <v>50078</v>
          </cell>
          <cell r="J182">
            <v>12</v>
          </cell>
          <cell r="L182">
            <v>6708</v>
          </cell>
          <cell r="S182">
            <v>73498</v>
          </cell>
          <cell r="V182">
            <v>66666</v>
          </cell>
        </row>
        <row r="183">
          <cell r="E183">
            <v>140</v>
          </cell>
          <cell r="G183">
            <v>20440</v>
          </cell>
          <cell r="J183">
            <v>0</v>
          </cell>
          <cell r="L183">
            <v>0</v>
          </cell>
          <cell r="S183">
            <v>32168</v>
          </cell>
          <cell r="V183">
            <v>24171</v>
          </cell>
        </row>
        <row r="184">
          <cell r="E184">
            <v>111</v>
          </cell>
          <cell r="G184">
            <v>16206</v>
          </cell>
          <cell r="J184">
            <v>5</v>
          </cell>
          <cell r="L184">
            <v>2795</v>
          </cell>
          <cell r="S184">
            <v>30722</v>
          </cell>
          <cell r="V184">
            <v>22732</v>
          </cell>
        </row>
        <row r="185">
          <cell r="E185">
            <v>57</v>
          </cell>
          <cell r="G185">
            <v>8322</v>
          </cell>
          <cell r="J185">
            <v>1</v>
          </cell>
          <cell r="L185">
            <v>559</v>
          </cell>
          <cell r="S185">
            <v>20631</v>
          </cell>
          <cell r="V185">
            <v>12612</v>
          </cell>
        </row>
        <row r="186">
          <cell r="E186">
            <v>84</v>
          </cell>
          <cell r="G186">
            <v>12264</v>
          </cell>
          <cell r="J186">
            <v>4</v>
          </cell>
          <cell r="L186">
            <v>2236</v>
          </cell>
          <cell r="S186">
            <v>26270</v>
          </cell>
          <cell r="V186">
            <v>18231</v>
          </cell>
        </row>
        <row r="187">
          <cell r="E187">
            <v>68</v>
          </cell>
          <cell r="G187">
            <v>9928</v>
          </cell>
          <cell r="J187">
            <v>2</v>
          </cell>
          <cell r="L187">
            <v>1118</v>
          </cell>
          <cell r="S187">
            <v>22824</v>
          </cell>
          <cell r="V187">
            <v>14777</v>
          </cell>
        </row>
        <row r="188">
          <cell r="E188">
            <v>44</v>
          </cell>
          <cell r="G188">
            <v>6424</v>
          </cell>
          <cell r="J188">
            <v>1</v>
          </cell>
          <cell r="L188">
            <v>559</v>
          </cell>
          <cell r="S188">
            <v>18791</v>
          </cell>
          <cell r="V188">
            <v>10714</v>
          </cell>
        </row>
        <row r="189">
          <cell r="E189">
            <v>131</v>
          </cell>
          <cell r="G189">
            <v>19126</v>
          </cell>
          <cell r="J189">
            <v>9</v>
          </cell>
          <cell r="L189">
            <v>5031</v>
          </cell>
          <cell r="S189">
            <v>35978</v>
          </cell>
          <cell r="V189">
            <v>27888</v>
          </cell>
        </row>
        <row r="190">
          <cell r="E190">
            <v>97</v>
          </cell>
          <cell r="G190">
            <v>14162</v>
          </cell>
          <cell r="J190">
            <v>10</v>
          </cell>
          <cell r="L190">
            <v>5590</v>
          </cell>
          <cell r="S190">
            <v>31584</v>
          </cell>
          <cell r="V190">
            <v>23483</v>
          </cell>
        </row>
        <row r="191">
          <cell r="E191">
            <v>185</v>
          </cell>
          <cell r="G191">
            <v>27010</v>
          </cell>
          <cell r="J191">
            <v>10</v>
          </cell>
          <cell r="L191">
            <v>5590</v>
          </cell>
          <cell r="S191">
            <v>44454</v>
          </cell>
          <cell r="V191">
            <v>36331</v>
          </cell>
        </row>
        <row r="192">
          <cell r="E192">
            <v>480</v>
          </cell>
          <cell r="G192">
            <v>70080</v>
          </cell>
          <cell r="J192">
            <v>9</v>
          </cell>
          <cell r="L192">
            <v>5031</v>
          </cell>
          <cell r="S192">
            <v>86990</v>
          </cell>
          <cell r="V192">
            <v>78842</v>
          </cell>
        </row>
        <row r="193">
          <cell r="E193">
            <v>535</v>
          </cell>
          <cell r="G193">
            <v>78110</v>
          </cell>
          <cell r="J193">
            <v>15</v>
          </cell>
          <cell r="L193">
            <v>8385</v>
          </cell>
          <cell r="S193">
            <v>98387</v>
          </cell>
          <cell r="V193">
            <v>90226</v>
          </cell>
        </row>
        <row r="194">
          <cell r="E194">
            <v>471</v>
          </cell>
          <cell r="G194">
            <v>68766</v>
          </cell>
          <cell r="J194">
            <v>13</v>
          </cell>
          <cell r="L194">
            <v>7267</v>
          </cell>
          <cell r="S194">
            <v>87950</v>
          </cell>
          <cell r="V194"/>
        </row>
        <row r="195">
          <cell r="E195">
            <v>273</v>
          </cell>
          <cell r="G195">
            <v>39858</v>
          </cell>
          <cell r="J195">
            <v>11</v>
          </cell>
          <cell r="L195">
            <v>6149</v>
          </cell>
          <cell r="S195">
            <v>57945</v>
          </cell>
          <cell r="V195">
            <v>129502</v>
          </cell>
        </row>
        <row r="196">
          <cell r="E196">
            <v>287</v>
          </cell>
          <cell r="G196">
            <v>41902</v>
          </cell>
          <cell r="J196">
            <v>9</v>
          </cell>
          <cell r="L196">
            <v>5031</v>
          </cell>
          <cell r="S196">
            <v>58894</v>
          </cell>
          <cell r="V196"/>
        </row>
        <row r="197">
          <cell r="E197">
            <v>0</v>
          </cell>
          <cell r="G197">
            <v>0</v>
          </cell>
          <cell r="J197">
            <v>11</v>
          </cell>
          <cell r="L197">
            <v>6149</v>
          </cell>
          <cell r="S197">
            <v>18140</v>
          </cell>
          <cell r="V197">
            <v>60544</v>
          </cell>
        </row>
        <row r="198">
          <cell r="E198">
            <v>68</v>
          </cell>
          <cell r="G198">
            <v>9928</v>
          </cell>
          <cell r="J198">
            <v>3</v>
          </cell>
          <cell r="L198">
            <v>1677</v>
          </cell>
          <cell r="S198">
            <v>23606</v>
          </cell>
          <cell r="V198">
            <v>15336</v>
          </cell>
        </row>
        <row r="199">
          <cell r="E199">
            <v>61</v>
          </cell>
          <cell r="G199">
            <v>8906</v>
          </cell>
          <cell r="J199">
            <v>2</v>
          </cell>
          <cell r="L199">
            <v>1118</v>
          </cell>
          <cell r="S199">
            <v>22116</v>
          </cell>
          <cell r="V199">
            <v>13196</v>
          </cell>
        </row>
        <row r="200">
          <cell r="E200">
            <v>53</v>
          </cell>
          <cell r="G200">
            <v>7738</v>
          </cell>
          <cell r="J200">
            <v>1</v>
          </cell>
          <cell r="L200">
            <v>559</v>
          </cell>
          <cell r="S200">
            <v>20392</v>
          </cell>
          <cell r="V200">
            <v>12125</v>
          </cell>
        </row>
        <row r="201">
          <cell r="E201">
            <v>96</v>
          </cell>
          <cell r="G201">
            <v>14016</v>
          </cell>
          <cell r="J201">
            <v>2</v>
          </cell>
          <cell r="L201">
            <v>1118</v>
          </cell>
          <cell r="S201">
            <v>27232</v>
          </cell>
          <cell r="V201">
            <v>18962</v>
          </cell>
        </row>
        <row r="202">
          <cell r="E202">
            <v>98</v>
          </cell>
          <cell r="G202">
            <v>14308</v>
          </cell>
          <cell r="J202">
            <v>3</v>
          </cell>
          <cell r="L202">
            <v>1677</v>
          </cell>
          <cell r="S202">
            <v>28112</v>
          </cell>
          <cell r="V202">
            <v>19813</v>
          </cell>
        </row>
        <row r="203">
          <cell r="E203">
            <v>383</v>
          </cell>
          <cell r="G203">
            <v>55918</v>
          </cell>
          <cell r="J203">
            <v>8</v>
          </cell>
          <cell r="L203">
            <v>4472</v>
          </cell>
          <cell r="S203">
            <v>72547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3828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3828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3828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3828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3828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3828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3828</v>
          </cell>
          <cell r="V210"/>
        </row>
      </sheetData>
      <sheetData sheetId="25">
        <row r="175">
          <cell r="E175">
            <v>51</v>
          </cell>
          <cell r="G175">
            <v>7446</v>
          </cell>
          <cell r="J175">
            <v>0</v>
          </cell>
          <cell r="L175">
            <v>0</v>
          </cell>
          <cell r="S175">
            <v>94587</v>
          </cell>
          <cell r="V175"/>
        </row>
        <row r="176">
          <cell r="E176">
            <v>46</v>
          </cell>
          <cell r="G176">
            <v>6716</v>
          </cell>
          <cell r="J176">
            <v>0</v>
          </cell>
          <cell r="L176">
            <v>0</v>
          </cell>
          <cell r="S176">
            <v>93857</v>
          </cell>
          <cell r="V176">
            <v>188444</v>
          </cell>
        </row>
        <row r="177">
          <cell r="E177">
            <v>57</v>
          </cell>
          <cell r="G177">
            <v>8322</v>
          </cell>
          <cell r="J177">
            <v>0</v>
          </cell>
          <cell r="L177">
            <v>0</v>
          </cell>
          <cell r="S177">
            <v>95463</v>
          </cell>
          <cell r="V177">
            <v>95463</v>
          </cell>
        </row>
        <row r="178">
          <cell r="E178">
            <v>37</v>
          </cell>
          <cell r="G178">
            <v>5402</v>
          </cell>
          <cell r="J178">
            <v>0</v>
          </cell>
          <cell r="L178">
            <v>0</v>
          </cell>
          <cell r="S178">
            <v>92543</v>
          </cell>
          <cell r="V178">
            <v>92543</v>
          </cell>
        </row>
        <row r="179">
          <cell r="E179">
            <v>30</v>
          </cell>
          <cell r="G179">
            <v>4380</v>
          </cell>
          <cell r="J179">
            <v>0</v>
          </cell>
          <cell r="L179">
            <v>0</v>
          </cell>
          <cell r="S179">
            <v>91521</v>
          </cell>
          <cell r="V179"/>
        </row>
        <row r="180">
          <cell r="E180">
            <v>20</v>
          </cell>
          <cell r="G180">
            <v>2920</v>
          </cell>
          <cell r="J180">
            <v>0</v>
          </cell>
          <cell r="L180">
            <v>0</v>
          </cell>
          <cell r="S180">
            <v>90061</v>
          </cell>
          <cell r="V180">
            <v>182000</v>
          </cell>
        </row>
        <row r="181">
          <cell r="E181">
            <v>33</v>
          </cell>
          <cell r="G181">
            <v>4818</v>
          </cell>
          <cell r="J181">
            <v>0</v>
          </cell>
          <cell r="L181">
            <v>0</v>
          </cell>
          <cell r="S181">
            <v>91959</v>
          </cell>
          <cell r="V181"/>
        </row>
        <row r="182">
          <cell r="E182">
            <v>32</v>
          </cell>
          <cell r="G182">
            <v>4672</v>
          </cell>
          <cell r="J182">
            <v>0</v>
          </cell>
          <cell r="L182">
            <v>0</v>
          </cell>
          <cell r="S182">
            <v>92794</v>
          </cell>
          <cell r="V182">
            <v>184335</v>
          </cell>
        </row>
        <row r="183">
          <cell r="E183">
            <v>39</v>
          </cell>
          <cell r="G183">
            <v>5694</v>
          </cell>
          <cell r="J183">
            <v>0</v>
          </cell>
          <cell r="L183">
            <v>0</v>
          </cell>
          <cell r="S183">
            <v>93832</v>
          </cell>
          <cell r="V183">
            <v>183000</v>
          </cell>
        </row>
        <row r="184">
          <cell r="E184">
            <v>41</v>
          </cell>
          <cell r="G184">
            <v>5986</v>
          </cell>
          <cell r="J184">
            <v>0</v>
          </cell>
          <cell r="L184">
            <v>0</v>
          </cell>
          <cell r="S184">
            <v>94117</v>
          </cell>
          <cell r="V184"/>
        </row>
        <row r="185">
          <cell r="E185">
            <v>42</v>
          </cell>
          <cell r="G185">
            <v>6132</v>
          </cell>
          <cell r="J185">
            <v>0</v>
          </cell>
          <cell r="L185">
            <v>0</v>
          </cell>
          <cell r="S185">
            <v>94292</v>
          </cell>
          <cell r="V185">
            <v>99241</v>
          </cell>
        </row>
        <row r="186">
          <cell r="E186">
            <v>44</v>
          </cell>
          <cell r="G186">
            <v>6424</v>
          </cell>
          <cell r="J186">
            <v>1</v>
          </cell>
          <cell r="L186">
            <v>559</v>
          </cell>
          <cell r="S186">
            <v>95163</v>
          </cell>
          <cell r="V186">
            <v>95163</v>
          </cell>
        </row>
        <row r="187">
          <cell r="E187">
            <v>52</v>
          </cell>
          <cell r="G187">
            <v>7592</v>
          </cell>
          <cell r="J187">
            <v>0</v>
          </cell>
          <cell r="L187">
            <v>0</v>
          </cell>
          <cell r="S187">
            <v>97514</v>
          </cell>
          <cell r="V187"/>
        </row>
        <row r="188">
          <cell r="E188">
            <v>42</v>
          </cell>
          <cell r="G188">
            <v>6132</v>
          </cell>
          <cell r="J188">
            <v>0</v>
          </cell>
          <cell r="L188">
            <v>0</v>
          </cell>
          <cell r="S188">
            <v>96084</v>
          </cell>
          <cell r="V188">
            <v>194000</v>
          </cell>
        </row>
        <row r="189">
          <cell r="E189">
            <v>44</v>
          </cell>
          <cell r="G189">
            <v>6424</v>
          </cell>
          <cell r="J189">
            <v>0</v>
          </cell>
          <cell r="L189">
            <v>0</v>
          </cell>
          <cell r="S189">
            <v>96389</v>
          </cell>
          <cell r="V189"/>
        </row>
        <row r="190">
          <cell r="E190">
            <v>37</v>
          </cell>
          <cell r="G190">
            <v>5402</v>
          </cell>
          <cell r="J190">
            <v>0</v>
          </cell>
          <cell r="L190">
            <v>0</v>
          </cell>
          <cell r="S190">
            <v>95378</v>
          </cell>
          <cell r="V190">
            <v>191365</v>
          </cell>
        </row>
        <row r="191">
          <cell r="E191">
            <v>35</v>
          </cell>
          <cell r="G191">
            <v>5110</v>
          </cell>
          <cell r="J191">
            <v>0</v>
          </cell>
          <cell r="L191">
            <v>0</v>
          </cell>
          <cell r="S191">
            <v>95108</v>
          </cell>
          <cell r="V191"/>
        </row>
        <row r="192">
          <cell r="E192">
            <v>23</v>
          </cell>
          <cell r="G192">
            <v>3358</v>
          </cell>
          <cell r="J192">
            <v>0</v>
          </cell>
          <cell r="L192">
            <v>0</v>
          </cell>
          <cell r="S192">
            <v>93381</v>
          </cell>
          <cell r="V192">
            <v>199000</v>
          </cell>
        </row>
        <row r="193">
          <cell r="E193">
            <v>26</v>
          </cell>
          <cell r="G193">
            <v>3796</v>
          </cell>
          <cell r="J193">
            <v>0</v>
          </cell>
          <cell r="L193">
            <v>0</v>
          </cell>
          <cell r="S193">
            <v>93832</v>
          </cell>
          <cell r="V193"/>
        </row>
        <row r="194">
          <cell r="E194">
            <v>29</v>
          </cell>
          <cell r="G194">
            <v>4234</v>
          </cell>
          <cell r="J194">
            <v>0</v>
          </cell>
          <cell r="L194">
            <v>0</v>
          </cell>
          <cell r="S194">
            <v>94295</v>
          </cell>
          <cell r="V194">
            <v>177616</v>
          </cell>
        </row>
        <row r="195">
          <cell r="E195">
            <v>28</v>
          </cell>
          <cell r="G195">
            <v>4088</v>
          </cell>
          <cell r="J195">
            <v>0</v>
          </cell>
          <cell r="L195">
            <v>0</v>
          </cell>
          <cell r="S195">
            <v>94170</v>
          </cell>
          <cell r="V195">
            <v>94170</v>
          </cell>
        </row>
        <row r="196">
          <cell r="E196">
            <v>12</v>
          </cell>
          <cell r="G196">
            <v>1752</v>
          </cell>
          <cell r="J196">
            <v>0</v>
          </cell>
          <cell r="L196">
            <v>0</v>
          </cell>
          <cell r="S196">
            <v>146923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145267</v>
          </cell>
          <cell r="V197">
            <v>300000</v>
          </cell>
        </row>
        <row r="198">
          <cell r="E198">
            <v>2</v>
          </cell>
          <cell r="G198">
            <v>292</v>
          </cell>
          <cell r="J198">
            <v>0</v>
          </cell>
          <cell r="L198">
            <v>0</v>
          </cell>
          <cell r="S198">
            <v>90437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174895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>
            <v>92333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6">
        <row r="175">
          <cell r="E175">
            <v>392</v>
          </cell>
          <cell r="G175">
            <v>57232</v>
          </cell>
          <cell r="J175">
            <v>175</v>
          </cell>
          <cell r="L175">
            <v>121225</v>
          </cell>
          <cell r="S175">
            <v>280598</v>
          </cell>
          <cell r="V175"/>
        </row>
        <row r="176">
          <cell r="E176">
            <v>375</v>
          </cell>
          <cell r="G176">
            <v>54750</v>
          </cell>
          <cell r="J176">
            <v>132</v>
          </cell>
          <cell r="L176">
            <v>75948</v>
          </cell>
          <cell r="S176">
            <v>232839</v>
          </cell>
          <cell r="V176"/>
        </row>
        <row r="177">
          <cell r="E177">
            <v>468</v>
          </cell>
          <cell r="G177">
            <v>68328</v>
          </cell>
          <cell r="J177">
            <v>111</v>
          </cell>
          <cell r="L177">
            <v>62049</v>
          </cell>
          <cell r="S177">
            <v>232518</v>
          </cell>
          <cell r="V177"/>
        </row>
        <row r="178">
          <cell r="E178">
            <v>310</v>
          </cell>
          <cell r="G178">
            <v>45260</v>
          </cell>
          <cell r="J178">
            <v>79</v>
          </cell>
          <cell r="L178">
            <v>44161</v>
          </cell>
          <cell r="S178">
            <v>191562</v>
          </cell>
          <cell r="V178">
            <v>1000000</v>
          </cell>
        </row>
        <row r="179">
          <cell r="E179">
            <v>0</v>
          </cell>
          <cell r="G179">
            <v>56064</v>
          </cell>
          <cell r="J179">
            <v>17</v>
          </cell>
          <cell r="L179">
            <v>9503</v>
          </cell>
          <cell r="S179">
            <v>167708</v>
          </cell>
          <cell r="V179"/>
        </row>
        <row r="180">
          <cell r="E180">
            <v>444</v>
          </cell>
          <cell r="G180">
            <v>64824</v>
          </cell>
          <cell r="J180">
            <v>20</v>
          </cell>
          <cell r="L180">
            <v>11180</v>
          </cell>
          <cell r="S180">
            <v>178145</v>
          </cell>
          <cell r="V180"/>
        </row>
        <row r="181">
          <cell r="E181">
            <v>483</v>
          </cell>
          <cell r="G181">
            <v>70518</v>
          </cell>
          <cell r="J181">
            <v>7</v>
          </cell>
          <cell r="L181">
            <v>3913</v>
          </cell>
          <cell r="S181">
            <v>176572</v>
          </cell>
          <cell r="V181"/>
        </row>
        <row r="182">
          <cell r="E182">
            <v>704</v>
          </cell>
          <cell r="G182">
            <v>102784</v>
          </cell>
          <cell r="J182">
            <v>26</v>
          </cell>
          <cell r="L182">
            <v>14534</v>
          </cell>
          <cell r="S182">
            <v>215440</v>
          </cell>
          <cell r="V182"/>
        </row>
        <row r="183">
          <cell r="E183">
            <v>642</v>
          </cell>
          <cell r="G183">
            <v>93732</v>
          </cell>
          <cell r="J183">
            <v>31</v>
          </cell>
          <cell r="L183">
            <v>17329</v>
          </cell>
          <cell r="S183">
            <v>209199</v>
          </cell>
          <cell r="V183"/>
        </row>
        <row r="184">
          <cell r="E184">
            <v>727</v>
          </cell>
          <cell r="G184">
            <v>106142</v>
          </cell>
          <cell r="J184">
            <v>18</v>
          </cell>
          <cell r="L184">
            <v>10062</v>
          </cell>
          <cell r="S184">
            <v>214335</v>
          </cell>
          <cell r="V184">
            <v>444324</v>
          </cell>
        </row>
        <row r="185">
          <cell r="E185">
            <v>557</v>
          </cell>
          <cell r="G185">
            <v>81322</v>
          </cell>
          <cell r="J185">
            <v>50</v>
          </cell>
          <cell r="L185">
            <v>27950</v>
          </cell>
          <cell r="S185">
            <v>207432</v>
          </cell>
          <cell r="V185">
            <v>1000000</v>
          </cell>
        </row>
        <row r="186">
          <cell r="E186">
            <v>646</v>
          </cell>
          <cell r="G186">
            <v>94316</v>
          </cell>
          <cell r="J186">
            <v>111</v>
          </cell>
          <cell r="L186">
            <v>62049</v>
          </cell>
          <cell r="S186">
            <v>254545</v>
          </cell>
          <cell r="V186"/>
        </row>
        <row r="187">
          <cell r="E187">
            <v>491</v>
          </cell>
          <cell r="G187">
            <v>71686</v>
          </cell>
          <cell r="J187">
            <v>135</v>
          </cell>
          <cell r="L187">
            <v>78165</v>
          </cell>
          <cell r="S187">
            <v>249773</v>
          </cell>
          <cell r="V187"/>
        </row>
        <row r="188">
          <cell r="E188">
            <v>382</v>
          </cell>
          <cell r="G188">
            <v>55772</v>
          </cell>
          <cell r="J188">
            <v>82</v>
          </cell>
          <cell r="L188">
            <v>45838</v>
          </cell>
          <cell r="S188">
            <v>201562</v>
          </cell>
          <cell r="V188"/>
        </row>
        <row r="189">
          <cell r="E189">
            <v>500</v>
          </cell>
          <cell r="G189">
            <v>73000</v>
          </cell>
          <cell r="J189">
            <v>114</v>
          </cell>
          <cell r="L189">
            <v>63726</v>
          </cell>
          <cell r="S189">
            <v>236691</v>
          </cell>
          <cell r="V189"/>
        </row>
        <row r="190">
          <cell r="E190">
            <v>404</v>
          </cell>
          <cell r="G190">
            <v>58984</v>
          </cell>
          <cell r="J190">
            <v>89</v>
          </cell>
          <cell r="L190">
            <v>49751</v>
          </cell>
          <cell r="S190">
            <v>208711</v>
          </cell>
          <cell r="V190">
            <v>1000000</v>
          </cell>
        </row>
        <row r="191">
          <cell r="E191">
            <v>451</v>
          </cell>
          <cell r="G191">
            <v>65846</v>
          </cell>
          <cell r="J191">
            <v>99</v>
          </cell>
          <cell r="L191">
            <v>55341</v>
          </cell>
          <cell r="S191">
            <v>221185</v>
          </cell>
          <cell r="V191"/>
        </row>
        <row r="192">
          <cell r="E192">
            <v>347</v>
          </cell>
          <cell r="G192">
            <v>50662</v>
          </cell>
          <cell r="J192">
            <v>87</v>
          </cell>
          <cell r="L192">
            <v>48633</v>
          </cell>
          <cell r="S192">
            <v>199318</v>
          </cell>
          <cell r="V192"/>
        </row>
        <row r="193">
          <cell r="E193">
            <v>294</v>
          </cell>
          <cell r="G193">
            <v>42924</v>
          </cell>
          <cell r="J193">
            <v>40</v>
          </cell>
          <cell r="L193">
            <v>22360</v>
          </cell>
          <cell r="S193">
            <v>165320</v>
          </cell>
          <cell r="V193"/>
        </row>
        <row r="194">
          <cell r="E194">
            <v>220</v>
          </cell>
          <cell r="G194">
            <v>32120</v>
          </cell>
          <cell r="J194">
            <v>1</v>
          </cell>
          <cell r="L194">
            <v>559</v>
          </cell>
          <cell r="S194">
            <v>187455</v>
          </cell>
          <cell r="V194"/>
        </row>
        <row r="195">
          <cell r="E195">
            <v>316</v>
          </cell>
          <cell r="G195">
            <v>46136</v>
          </cell>
          <cell r="J195">
            <v>13</v>
          </cell>
          <cell r="L195">
            <v>7267</v>
          </cell>
          <cell r="S195">
            <v>208349</v>
          </cell>
          <cell r="V195"/>
        </row>
        <row r="196">
          <cell r="E196">
            <v>394</v>
          </cell>
          <cell r="G196">
            <v>57524</v>
          </cell>
          <cell r="J196">
            <v>3</v>
          </cell>
          <cell r="L196">
            <v>1677</v>
          </cell>
          <cell r="S196">
            <v>159306</v>
          </cell>
          <cell r="V196">
            <v>1000000</v>
          </cell>
        </row>
        <row r="197">
          <cell r="E197">
            <v>525</v>
          </cell>
          <cell r="G197">
            <v>76650</v>
          </cell>
          <cell r="J197">
            <v>57</v>
          </cell>
          <cell r="L197">
            <v>31863</v>
          </cell>
          <cell r="S197">
            <v>208648</v>
          </cell>
          <cell r="V197"/>
        </row>
        <row r="198">
          <cell r="E198">
            <v>401</v>
          </cell>
          <cell r="G198">
            <v>58546</v>
          </cell>
          <cell r="J198">
            <v>98</v>
          </cell>
          <cell r="L198">
            <v>54782</v>
          </cell>
          <cell r="S198">
            <v>213473</v>
          </cell>
          <cell r="V198"/>
        </row>
        <row r="199">
          <cell r="E199">
            <v>364</v>
          </cell>
          <cell r="G199">
            <v>53144</v>
          </cell>
          <cell r="J199">
            <v>85</v>
          </cell>
          <cell r="L199">
            <v>47515</v>
          </cell>
          <cell r="S199">
            <v>202927</v>
          </cell>
          <cell r="V199">
            <v>124695</v>
          </cell>
        </row>
        <row r="200">
          <cell r="E200">
            <v>405</v>
          </cell>
          <cell r="G200">
            <v>59130</v>
          </cell>
          <cell r="J200">
            <v>75</v>
          </cell>
          <cell r="L200">
            <v>41925</v>
          </cell>
          <cell r="S200">
            <v>203326</v>
          </cell>
          <cell r="V200"/>
        </row>
        <row r="201">
          <cell r="E201">
            <v>336</v>
          </cell>
          <cell r="G201">
            <v>49056</v>
          </cell>
          <cell r="J201">
            <v>65</v>
          </cell>
          <cell r="L201">
            <v>36335</v>
          </cell>
          <cell r="S201">
            <v>187665</v>
          </cell>
          <cell r="V201">
            <v>390991</v>
          </cell>
        </row>
        <row r="202">
          <cell r="E202">
            <v>294</v>
          </cell>
          <cell r="G202">
            <v>42924</v>
          </cell>
          <cell r="J202">
            <v>60</v>
          </cell>
          <cell r="L202">
            <v>33540</v>
          </cell>
          <cell r="S202">
            <v>178767</v>
          </cell>
          <cell r="V202">
            <v>500000</v>
          </cell>
        </row>
        <row r="203">
          <cell r="E203">
            <v>318</v>
          </cell>
          <cell r="G203">
            <v>46428</v>
          </cell>
          <cell r="J203">
            <v>56</v>
          </cell>
          <cell r="L203">
            <v>31304</v>
          </cell>
          <cell r="S203">
            <v>180065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94004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94004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94004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94004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94004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94004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94004</v>
          </cell>
          <cell r="V210"/>
        </row>
      </sheetData>
      <sheetData sheetId="2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168536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174282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174282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174282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/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176270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88121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178102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179974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180059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180143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182413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184577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82000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90000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90000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90000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90000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90000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90000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90000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90000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90000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90000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90000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90000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90000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90000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90000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90000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90000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90000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90000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95000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95000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>
            <v>95000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2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95000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95000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95000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95000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95000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90000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85923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85923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85000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85923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85923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85923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85923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95000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86000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90000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90000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95000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190000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170000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90000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90000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0">
        <row r="175">
          <cell r="E175">
            <v>217</v>
          </cell>
          <cell r="G175">
            <v>31682</v>
          </cell>
          <cell r="J175">
            <v>32</v>
          </cell>
          <cell r="L175">
            <v>17888</v>
          </cell>
          <cell r="S175">
            <v>143378</v>
          </cell>
          <cell r="V175">
            <v>143378</v>
          </cell>
        </row>
        <row r="176">
          <cell r="E176">
            <v>193</v>
          </cell>
          <cell r="G176">
            <v>28178</v>
          </cell>
          <cell r="J176">
            <v>13</v>
          </cell>
          <cell r="L176">
            <v>7267</v>
          </cell>
          <cell r="S176">
            <v>132586</v>
          </cell>
          <cell r="V176">
            <v>128855</v>
          </cell>
        </row>
        <row r="177">
          <cell r="E177">
            <v>201</v>
          </cell>
          <cell r="G177">
            <v>29346</v>
          </cell>
          <cell r="J177">
            <v>27</v>
          </cell>
          <cell r="L177">
            <v>15093</v>
          </cell>
          <cell r="S177">
            <v>141580</v>
          </cell>
          <cell r="V177">
            <v>145311</v>
          </cell>
        </row>
        <row r="178">
          <cell r="E178">
            <v>146</v>
          </cell>
          <cell r="G178">
            <v>21316</v>
          </cell>
          <cell r="J178">
            <v>27</v>
          </cell>
          <cell r="L178">
            <v>15093</v>
          </cell>
          <cell r="S178">
            <v>133550</v>
          </cell>
          <cell r="V178">
            <v>133550</v>
          </cell>
        </row>
        <row r="179">
          <cell r="E179">
            <v>147</v>
          </cell>
          <cell r="G179">
            <v>21462</v>
          </cell>
          <cell r="J179">
            <v>12</v>
          </cell>
          <cell r="L179">
            <v>6708</v>
          </cell>
          <cell r="S179">
            <v>125311</v>
          </cell>
          <cell r="V179">
            <v>125311</v>
          </cell>
        </row>
        <row r="180">
          <cell r="E180">
            <v>164</v>
          </cell>
          <cell r="G180">
            <v>23944</v>
          </cell>
          <cell r="J180">
            <v>54</v>
          </cell>
          <cell r="L180">
            <v>30186</v>
          </cell>
          <cell r="S180">
            <v>151271</v>
          </cell>
          <cell r="V180">
            <v>151271</v>
          </cell>
        </row>
        <row r="181">
          <cell r="E181">
            <v>192</v>
          </cell>
          <cell r="G181">
            <v>28032</v>
          </cell>
          <cell r="J181">
            <v>10</v>
          </cell>
          <cell r="L181">
            <v>5590</v>
          </cell>
          <cell r="S181">
            <v>130763</v>
          </cell>
          <cell r="V181">
            <v>130763</v>
          </cell>
        </row>
        <row r="182">
          <cell r="E182">
            <v>199</v>
          </cell>
          <cell r="G182">
            <v>29054</v>
          </cell>
          <cell r="J182">
            <v>9</v>
          </cell>
          <cell r="L182">
            <v>5031</v>
          </cell>
          <cell r="S182">
            <v>132207</v>
          </cell>
          <cell r="V182">
            <v>132207</v>
          </cell>
        </row>
        <row r="183">
          <cell r="E183">
            <v>222</v>
          </cell>
          <cell r="G183">
            <v>32412</v>
          </cell>
          <cell r="J183">
            <v>11</v>
          </cell>
          <cell r="L183">
            <v>6149</v>
          </cell>
          <cell r="S183">
            <v>136699</v>
          </cell>
          <cell r="V183">
            <v>136699</v>
          </cell>
        </row>
        <row r="184">
          <cell r="E184">
            <v>229</v>
          </cell>
          <cell r="G184">
            <v>33434</v>
          </cell>
          <cell r="J184">
            <v>8</v>
          </cell>
          <cell r="L184">
            <v>4472</v>
          </cell>
          <cell r="S184">
            <v>136037</v>
          </cell>
          <cell r="V184">
            <v>136037</v>
          </cell>
        </row>
        <row r="185">
          <cell r="E185">
            <v>342</v>
          </cell>
          <cell r="G185">
            <v>49932</v>
          </cell>
          <cell r="J185">
            <v>40</v>
          </cell>
          <cell r="L185">
            <v>22360</v>
          </cell>
          <cell r="S185">
            <v>170452</v>
          </cell>
          <cell r="V185">
            <v>170452</v>
          </cell>
        </row>
        <row r="186">
          <cell r="E186">
            <v>414</v>
          </cell>
          <cell r="G186">
            <v>60444</v>
          </cell>
          <cell r="J186">
            <v>38</v>
          </cell>
          <cell r="L186">
            <v>21242</v>
          </cell>
          <cell r="S186">
            <v>179866</v>
          </cell>
          <cell r="V186">
            <v>179866</v>
          </cell>
        </row>
        <row r="187">
          <cell r="E187">
            <v>489</v>
          </cell>
          <cell r="G187">
            <v>71394</v>
          </cell>
          <cell r="J187">
            <v>26</v>
          </cell>
          <cell r="L187">
            <v>14534</v>
          </cell>
          <cell r="S187">
            <v>185850</v>
          </cell>
          <cell r="V187">
            <v>185850</v>
          </cell>
        </row>
        <row r="188">
          <cell r="E188">
            <v>419</v>
          </cell>
          <cell r="G188">
            <v>61174</v>
          </cell>
          <cell r="J188">
            <v>17</v>
          </cell>
          <cell r="L188">
            <v>9503</v>
          </cell>
          <cell r="S188">
            <v>160629</v>
          </cell>
          <cell r="V188">
            <v>160629</v>
          </cell>
        </row>
        <row r="189">
          <cell r="E189">
            <v>348</v>
          </cell>
          <cell r="G189">
            <v>50808</v>
          </cell>
          <cell r="J189">
            <v>22</v>
          </cell>
          <cell r="L189">
            <v>12298</v>
          </cell>
          <cell r="S189">
            <v>153071</v>
          </cell>
          <cell r="V189"/>
        </row>
        <row r="190">
          <cell r="E190">
            <v>236</v>
          </cell>
          <cell r="G190">
            <v>34456</v>
          </cell>
          <cell r="J190">
            <v>16</v>
          </cell>
          <cell r="L190">
            <v>8944</v>
          </cell>
          <cell r="S190">
            <v>133376</v>
          </cell>
          <cell r="V190">
            <v>286447</v>
          </cell>
        </row>
        <row r="191">
          <cell r="E191">
            <v>213</v>
          </cell>
          <cell r="G191">
            <v>31098</v>
          </cell>
          <cell r="J191">
            <v>7</v>
          </cell>
          <cell r="L191">
            <v>3913</v>
          </cell>
          <cell r="S191">
            <v>125009</v>
          </cell>
          <cell r="V191">
            <v>125009</v>
          </cell>
        </row>
        <row r="192">
          <cell r="E192">
            <v>149</v>
          </cell>
          <cell r="G192">
            <v>21754</v>
          </cell>
          <cell r="J192">
            <v>4</v>
          </cell>
          <cell r="L192">
            <v>2236</v>
          </cell>
          <cell r="S192">
            <v>114013</v>
          </cell>
          <cell r="V192"/>
        </row>
        <row r="193">
          <cell r="E193">
            <v>169</v>
          </cell>
          <cell r="G193">
            <v>24674</v>
          </cell>
          <cell r="J193">
            <v>8</v>
          </cell>
          <cell r="L193">
            <v>4472</v>
          </cell>
          <cell r="S193">
            <v>119182</v>
          </cell>
          <cell r="V193">
            <v>233191</v>
          </cell>
        </row>
        <row r="194">
          <cell r="E194">
            <v>153</v>
          </cell>
          <cell r="G194">
            <v>22338</v>
          </cell>
          <cell r="J194">
            <v>9</v>
          </cell>
          <cell r="L194">
            <v>5031</v>
          </cell>
          <cell r="S194">
            <v>117430</v>
          </cell>
          <cell r="V194">
            <v>117434</v>
          </cell>
        </row>
        <row r="195">
          <cell r="E195">
            <v>155</v>
          </cell>
          <cell r="G195">
            <v>22630</v>
          </cell>
          <cell r="J195">
            <v>14</v>
          </cell>
          <cell r="L195">
            <v>7826</v>
          </cell>
          <cell r="S195">
            <v>120538</v>
          </cell>
          <cell r="V195"/>
        </row>
        <row r="196">
          <cell r="E196">
            <v>187</v>
          </cell>
          <cell r="G196">
            <v>27302</v>
          </cell>
          <cell r="J196">
            <v>12</v>
          </cell>
          <cell r="L196">
            <v>6708</v>
          </cell>
          <cell r="S196">
            <v>124115</v>
          </cell>
          <cell r="V196">
            <v>244653</v>
          </cell>
        </row>
        <row r="197">
          <cell r="E197">
            <v>273</v>
          </cell>
          <cell r="G197">
            <v>39858</v>
          </cell>
          <cell r="J197">
            <v>25</v>
          </cell>
          <cell r="L197">
            <v>13975</v>
          </cell>
          <cell r="S197">
            <v>143968</v>
          </cell>
          <cell r="V197">
            <v>143968</v>
          </cell>
        </row>
        <row r="198">
          <cell r="E198">
            <v>332</v>
          </cell>
          <cell r="G198">
            <v>48472</v>
          </cell>
          <cell r="J198">
            <v>24</v>
          </cell>
          <cell r="L198">
            <v>13416</v>
          </cell>
          <cell r="S198">
            <v>152033</v>
          </cell>
          <cell r="V198">
            <v>152033</v>
          </cell>
        </row>
        <row r="199">
          <cell r="E199">
            <v>450</v>
          </cell>
          <cell r="G199">
            <v>65700</v>
          </cell>
          <cell r="J199">
            <v>27</v>
          </cell>
          <cell r="L199">
            <v>15093</v>
          </cell>
          <cell r="S199">
            <v>173061</v>
          </cell>
          <cell r="V199">
            <v>173061</v>
          </cell>
        </row>
        <row r="200">
          <cell r="E200">
            <v>413</v>
          </cell>
          <cell r="G200">
            <v>60298</v>
          </cell>
          <cell r="J200">
            <v>26</v>
          </cell>
          <cell r="L200">
            <v>14534</v>
          </cell>
          <cell r="S200">
            <v>167103</v>
          </cell>
          <cell r="V200">
            <v>167103</v>
          </cell>
        </row>
        <row r="201">
          <cell r="E201">
            <v>316</v>
          </cell>
          <cell r="G201">
            <v>46136</v>
          </cell>
          <cell r="J201">
            <v>16</v>
          </cell>
          <cell r="L201">
            <v>8944</v>
          </cell>
          <cell r="S201">
            <v>147354</v>
          </cell>
          <cell r="V201">
            <v>147354</v>
          </cell>
        </row>
        <row r="202">
          <cell r="E202">
            <v>244</v>
          </cell>
          <cell r="G202">
            <v>35624</v>
          </cell>
          <cell r="J202">
            <v>12</v>
          </cell>
          <cell r="L202">
            <v>6708</v>
          </cell>
          <cell r="S202">
            <v>134635</v>
          </cell>
          <cell r="V202">
            <v>134635</v>
          </cell>
        </row>
        <row r="203">
          <cell r="E203">
            <v>183</v>
          </cell>
          <cell r="G203">
            <v>26718</v>
          </cell>
          <cell r="J203">
            <v>22</v>
          </cell>
          <cell r="L203">
            <v>12298</v>
          </cell>
          <cell r="S203">
            <v>131349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1">
        <row r="175">
          <cell r="E175">
            <v>117</v>
          </cell>
          <cell r="G175">
            <v>17082</v>
          </cell>
          <cell r="J175">
            <v>22</v>
          </cell>
          <cell r="L175">
            <v>12298</v>
          </cell>
          <cell r="S175">
            <v>131521</v>
          </cell>
          <cell r="V175">
            <v>131521</v>
          </cell>
        </row>
        <row r="176">
          <cell r="E176">
            <v>116</v>
          </cell>
          <cell r="G176">
            <v>16936</v>
          </cell>
          <cell r="J176">
            <v>1</v>
          </cell>
          <cell r="L176">
            <v>559</v>
          </cell>
          <cell r="S176">
            <v>119636</v>
          </cell>
          <cell r="V176">
            <v>119636</v>
          </cell>
        </row>
        <row r="177">
          <cell r="E177">
            <v>11</v>
          </cell>
          <cell r="G177">
            <v>1606</v>
          </cell>
          <cell r="J177">
            <v>0</v>
          </cell>
          <cell r="L177">
            <v>0</v>
          </cell>
          <cell r="S177">
            <v>103747</v>
          </cell>
          <cell r="V177">
            <v>103747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102141</v>
          </cell>
          <cell r="V178">
            <v>102141</v>
          </cell>
        </row>
        <row r="179">
          <cell r="E179">
            <v>19</v>
          </cell>
          <cell r="G179">
            <v>2774</v>
          </cell>
          <cell r="J179">
            <v>1</v>
          </cell>
          <cell r="L179">
            <v>559</v>
          </cell>
          <cell r="S179">
            <v>105474</v>
          </cell>
          <cell r="V179">
            <v>105474</v>
          </cell>
        </row>
        <row r="180">
          <cell r="E180">
            <v>2</v>
          </cell>
          <cell r="G180">
            <v>292</v>
          </cell>
          <cell r="J180">
            <v>0</v>
          </cell>
          <cell r="L180">
            <v>0</v>
          </cell>
          <cell r="S180">
            <v>102433</v>
          </cell>
          <cell r="V180">
            <v>102433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122041</v>
          </cell>
          <cell r="V181">
            <v>122041</v>
          </cell>
        </row>
        <row r="182">
          <cell r="E182">
            <v>49</v>
          </cell>
          <cell r="G182">
            <v>7154</v>
          </cell>
          <cell r="J182">
            <v>0</v>
          </cell>
          <cell r="L182">
            <v>0</v>
          </cell>
          <cell r="S182">
            <v>105276</v>
          </cell>
          <cell r="V182">
            <v>110276</v>
          </cell>
        </row>
        <row r="183">
          <cell r="E183">
            <v>26</v>
          </cell>
          <cell r="G183">
            <v>3796</v>
          </cell>
          <cell r="J183">
            <v>1</v>
          </cell>
          <cell r="L183">
            <v>559</v>
          </cell>
          <cell r="S183">
            <v>102493</v>
          </cell>
          <cell r="V183">
            <v>97493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98131</v>
          </cell>
          <cell r="V184">
            <v>93131</v>
          </cell>
        </row>
        <row r="185">
          <cell r="E185">
            <v>63</v>
          </cell>
          <cell r="G185">
            <v>9198</v>
          </cell>
          <cell r="J185">
            <v>31</v>
          </cell>
          <cell r="L185">
            <v>17329</v>
          </cell>
          <cell r="S185">
            <v>124687</v>
          </cell>
          <cell r="V185">
            <v>124687</v>
          </cell>
        </row>
        <row r="186">
          <cell r="E186">
            <v>280</v>
          </cell>
          <cell r="G186">
            <v>40880</v>
          </cell>
          <cell r="J186">
            <v>10</v>
          </cell>
          <cell r="L186">
            <v>5590</v>
          </cell>
          <cell r="S186">
            <v>144650</v>
          </cell>
          <cell r="V186">
            <v>149600</v>
          </cell>
        </row>
        <row r="187">
          <cell r="E187">
            <v>291</v>
          </cell>
          <cell r="G187">
            <v>42486</v>
          </cell>
          <cell r="J187">
            <v>24</v>
          </cell>
          <cell r="L187">
            <v>13416</v>
          </cell>
          <cell r="S187">
            <v>155824</v>
          </cell>
          <cell r="V187">
            <v>155824</v>
          </cell>
        </row>
        <row r="188">
          <cell r="E188">
            <v>221</v>
          </cell>
          <cell r="G188">
            <v>32266</v>
          </cell>
          <cell r="J188">
            <v>6</v>
          </cell>
          <cell r="L188">
            <v>3354</v>
          </cell>
          <cell r="S188">
            <v>135572</v>
          </cell>
          <cell r="V188">
            <v>135572</v>
          </cell>
        </row>
        <row r="189">
          <cell r="E189">
            <v>286</v>
          </cell>
          <cell r="G189">
            <v>41756</v>
          </cell>
          <cell r="J189">
            <v>12</v>
          </cell>
          <cell r="L189">
            <v>6708</v>
          </cell>
          <cell r="S189">
            <v>155203</v>
          </cell>
          <cell r="V189">
            <v>155203</v>
          </cell>
        </row>
        <row r="190">
          <cell r="E190">
            <v>293</v>
          </cell>
          <cell r="G190">
            <v>42778</v>
          </cell>
          <cell r="J190">
            <v>9</v>
          </cell>
          <cell r="L190">
            <v>5031</v>
          </cell>
          <cell r="S190">
            <v>157785</v>
          </cell>
          <cell r="V190">
            <v>157785</v>
          </cell>
        </row>
        <row r="191">
          <cell r="E191">
            <v>276</v>
          </cell>
          <cell r="G191">
            <v>40296</v>
          </cell>
          <cell r="J191">
            <v>13</v>
          </cell>
          <cell r="L191">
            <v>7267</v>
          </cell>
          <cell r="S191">
            <v>157561</v>
          </cell>
          <cell r="V191">
            <v>157561</v>
          </cell>
        </row>
        <row r="192">
          <cell r="E192">
            <v>223</v>
          </cell>
          <cell r="G192">
            <v>32558</v>
          </cell>
          <cell r="J192">
            <v>3</v>
          </cell>
          <cell r="L192">
            <v>1677</v>
          </cell>
          <cell r="S192">
            <v>133925</v>
          </cell>
          <cell r="V192">
            <v>133925</v>
          </cell>
        </row>
        <row r="193">
          <cell r="E193">
            <v>260</v>
          </cell>
          <cell r="G193">
            <v>37960</v>
          </cell>
          <cell r="J193">
            <v>5</v>
          </cell>
          <cell r="L193">
            <v>2795</v>
          </cell>
          <cell r="S193">
            <v>130791</v>
          </cell>
          <cell r="V193">
            <v>130791</v>
          </cell>
        </row>
        <row r="194">
          <cell r="E194">
            <v>279</v>
          </cell>
          <cell r="G194">
            <v>40734</v>
          </cell>
          <cell r="J194">
            <v>8</v>
          </cell>
          <cell r="L194">
            <v>4472</v>
          </cell>
          <cell r="S194">
            <v>135267</v>
          </cell>
          <cell r="V194">
            <v>135267</v>
          </cell>
        </row>
        <row r="195">
          <cell r="E195">
            <v>249</v>
          </cell>
          <cell r="G195">
            <v>36354</v>
          </cell>
          <cell r="J195">
            <v>7</v>
          </cell>
          <cell r="L195">
            <v>3913</v>
          </cell>
          <cell r="S195">
            <v>130349</v>
          </cell>
          <cell r="V195">
            <v>130349</v>
          </cell>
        </row>
        <row r="196">
          <cell r="E196">
            <v>276</v>
          </cell>
          <cell r="G196">
            <v>40296</v>
          </cell>
          <cell r="J196">
            <v>9</v>
          </cell>
          <cell r="L196">
            <v>5031</v>
          </cell>
          <cell r="S196">
            <v>135432</v>
          </cell>
          <cell r="V196">
            <v>135432</v>
          </cell>
        </row>
        <row r="197">
          <cell r="E197">
            <v>321</v>
          </cell>
          <cell r="G197">
            <v>46866</v>
          </cell>
          <cell r="J197">
            <v>24</v>
          </cell>
          <cell r="L197">
            <v>13416</v>
          </cell>
          <cell r="S197">
            <v>150417</v>
          </cell>
          <cell r="V197">
            <v>150417</v>
          </cell>
        </row>
        <row r="198">
          <cell r="E198">
            <v>321</v>
          </cell>
          <cell r="G198">
            <v>46866</v>
          </cell>
          <cell r="J198">
            <v>33</v>
          </cell>
          <cell r="L198">
            <v>18447</v>
          </cell>
          <cell r="S198">
            <v>155458</v>
          </cell>
          <cell r="V198">
            <v>155458</v>
          </cell>
        </row>
        <row r="199">
          <cell r="E199">
            <v>338</v>
          </cell>
          <cell r="G199">
            <v>49348</v>
          </cell>
          <cell r="J199">
            <v>23</v>
          </cell>
          <cell r="L199">
            <v>12857</v>
          </cell>
          <cell r="S199">
            <v>154473</v>
          </cell>
          <cell r="V199">
            <v>154473</v>
          </cell>
        </row>
        <row r="200">
          <cell r="E200">
            <v>326</v>
          </cell>
          <cell r="G200">
            <v>47596</v>
          </cell>
          <cell r="J200">
            <v>21</v>
          </cell>
          <cell r="L200">
            <v>11739</v>
          </cell>
          <cell r="S200">
            <v>151606</v>
          </cell>
          <cell r="V200">
            <v>151606</v>
          </cell>
        </row>
        <row r="201">
          <cell r="E201">
            <v>319</v>
          </cell>
          <cell r="G201">
            <v>46574</v>
          </cell>
          <cell r="J201">
            <v>18</v>
          </cell>
          <cell r="L201">
            <v>10062</v>
          </cell>
          <cell r="S201">
            <v>148910</v>
          </cell>
          <cell r="V201">
            <v>148910</v>
          </cell>
        </row>
        <row r="202">
          <cell r="E202">
            <v>297</v>
          </cell>
          <cell r="G202">
            <v>43362</v>
          </cell>
          <cell r="J202">
            <v>10</v>
          </cell>
          <cell r="L202">
            <v>5590</v>
          </cell>
          <cell r="S202">
            <v>141255</v>
          </cell>
          <cell r="V202">
            <v>141255</v>
          </cell>
        </row>
        <row r="203">
          <cell r="E203">
            <v>255</v>
          </cell>
          <cell r="G203">
            <v>37230</v>
          </cell>
          <cell r="J203">
            <v>13</v>
          </cell>
          <cell r="L203">
            <v>7267</v>
          </cell>
          <cell r="S203">
            <v>136830</v>
          </cell>
          <cell r="V203">
            <v>136830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87938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88331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90335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89945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3">
        <row r="175">
          <cell r="E175">
            <v>210</v>
          </cell>
          <cell r="G175">
            <v>30660</v>
          </cell>
          <cell r="J175">
            <v>83</v>
          </cell>
          <cell r="L175">
            <v>46397</v>
          </cell>
          <cell r="S175">
            <v>164198</v>
          </cell>
          <cell r="V175">
            <v>164198</v>
          </cell>
        </row>
        <row r="176">
          <cell r="E176">
            <v>199</v>
          </cell>
          <cell r="G176">
            <v>29054</v>
          </cell>
          <cell r="J176">
            <v>73</v>
          </cell>
          <cell r="L176">
            <v>40807</v>
          </cell>
          <cell r="S176">
            <v>157002</v>
          </cell>
          <cell r="V176">
            <v>157002</v>
          </cell>
        </row>
        <row r="177">
          <cell r="E177">
            <v>222</v>
          </cell>
          <cell r="G177">
            <v>32412</v>
          </cell>
          <cell r="J177">
            <v>82</v>
          </cell>
          <cell r="L177">
            <v>45838</v>
          </cell>
          <cell r="S177">
            <v>165391</v>
          </cell>
          <cell r="V177">
            <v>165391</v>
          </cell>
        </row>
        <row r="178">
          <cell r="E178">
            <v>211</v>
          </cell>
          <cell r="G178">
            <v>30806</v>
          </cell>
          <cell r="J178">
            <v>70</v>
          </cell>
          <cell r="L178">
            <v>39130</v>
          </cell>
          <cell r="S178">
            <v>157077</v>
          </cell>
          <cell r="V178">
            <v>157077</v>
          </cell>
        </row>
        <row r="179">
          <cell r="E179">
            <v>196</v>
          </cell>
          <cell r="G179">
            <v>28616</v>
          </cell>
          <cell r="J179">
            <v>24</v>
          </cell>
          <cell r="L179">
            <v>13416</v>
          </cell>
          <cell r="S179">
            <v>129173</v>
          </cell>
          <cell r="V179">
            <v>129173</v>
          </cell>
        </row>
        <row r="180">
          <cell r="E180">
            <v>225</v>
          </cell>
          <cell r="G180">
            <v>32850</v>
          </cell>
          <cell r="J180">
            <v>3</v>
          </cell>
          <cell r="L180">
            <v>1677</v>
          </cell>
          <cell r="S180">
            <v>121668</v>
          </cell>
          <cell r="V180">
            <v>121668</v>
          </cell>
        </row>
        <row r="181">
          <cell r="E181">
            <v>175</v>
          </cell>
          <cell r="G181">
            <v>25550</v>
          </cell>
          <cell r="J181">
            <v>2</v>
          </cell>
          <cell r="L181">
            <v>1118</v>
          </cell>
          <cell r="S181">
            <v>113809</v>
          </cell>
          <cell r="V181">
            <v>113809</v>
          </cell>
        </row>
        <row r="182">
          <cell r="E182">
            <v>230</v>
          </cell>
          <cell r="G182">
            <v>33580</v>
          </cell>
          <cell r="J182">
            <v>0</v>
          </cell>
          <cell r="L182">
            <v>0</v>
          </cell>
          <cell r="S182">
            <v>121702</v>
          </cell>
          <cell r="V182">
            <v>121702</v>
          </cell>
        </row>
        <row r="183">
          <cell r="E183">
            <v>214</v>
          </cell>
          <cell r="G183">
            <v>31244</v>
          </cell>
          <cell r="J183">
            <v>16</v>
          </cell>
          <cell r="L183">
            <v>8944</v>
          </cell>
          <cell r="S183">
            <v>128326</v>
          </cell>
          <cell r="V183">
            <v>128326</v>
          </cell>
        </row>
        <row r="184">
          <cell r="E184">
            <v>124</v>
          </cell>
          <cell r="G184">
            <v>18104</v>
          </cell>
          <cell r="J184">
            <v>38</v>
          </cell>
          <cell r="L184">
            <v>21242</v>
          </cell>
          <cell r="S184">
            <v>127477</v>
          </cell>
          <cell r="V184">
            <v>127477</v>
          </cell>
        </row>
        <row r="185">
          <cell r="E185">
            <v>311</v>
          </cell>
          <cell r="G185">
            <v>45406</v>
          </cell>
          <cell r="J185">
            <v>73</v>
          </cell>
          <cell r="L185">
            <v>40807</v>
          </cell>
          <cell r="S185">
            <v>174373</v>
          </cell>
          <cell r="V185">
            <v>174373</v>
          </cell>
        </row>
        <row r="186">
          <cell r="E186">
            <v>229</v>
          </cell>
          <cell r="G186">
            <v>33434</v>
          </cell>
          <cell r="J186">
            <v>86</v>
          </cell>
          <cell r="L186">
            <v>48074</v>
          </cell>
          <cell r="S186">
            <v>169688</v>
          </cell>
          <cell r="V186">
            <v>169688</v>
          </cell>
        </row>
        <row r="187">
          <cell r="E187">
            <v>226</v>
          </cell>
          <cell r="G187">
            <v>32996</v>
          </cell>
          <cell r="J187">
            <v>109</v>
          </cell>
          <cell r="L187">
            <v>60931</v>
          </cell>
          <cell r="S187">
            <v>183849</v>
          </cell>
          <cell r="V187"/>
        </row>
        <row r="188">
          <cell r="E188">
            <v>177</v>
          </cell>
          <cell r="G188">
            <v>25842</v>
          </cell>
          <cell r="J188">
            <v>61</v>
          </cell>
          <cell r="L188">
            <v>34099</v>
          </cell>
          <cell r="S188">
            <v>149893</v>
          </cell>
          <cell r="V188">
            <v>333742</v>
          </cell>
        </row>
        <row r="189">
          <cell r="E189">
            <v>243</v>
          </cell>
          <cell r="G189">
            <v>35478</v>
          </cell>
          <cell r="J189">
            <v>82</v>
          </cell>
          <cell r="L189">
            <v>45838</v>
          </cell>
          <cell r="S189">
            <v>171281</v>
          </cell>
          <cell r="V189">
            <v>171281</v>
          </cell>
        </row>
        <row r="190">
          <cell r="E190">
            <v>237</v>
          </cell>
          <cell r="G190">
            <v>34602</v>
          </cell>
          <cell r="J190">
            <v>100</v>
          </cell>
          <cell r="L190">
            <v>55900</v>
          </cell>
          <cell r="S190">
            <v>180478</v>
          </cell>
          <cell r="V190">
            <v>180478</v>
          </cell>
        </row>
        <row r="191">
          <cell r="E191">
            <v>236</v>
          </cell>
          <cell r="G191">
            <v>34456</v>
          </cell>
          <cell r="J191">
            <v>80</v>
          </cell>
          <cell r="L191">
            <v>44720</v>
          </cell>
          <cell r="S191">
            <v>169174</v>
          </cell>
          <cell r="V191">
            <v>169174</v>
          </cell>
        </row>
        <row r="192">
          <cell r="E192">
            <v>169</v>
          </cell>
          <cell r="G192">
            <v>24674</v>
          </cell>
          <cell r="J192">
            <v>7</v>
          </cell>
          <cell r="L192">
            <v>3913</v>
          </cell>
          <cell r="S192">
            <v>118610</v>
          </cell>
          <cell r="V192">
            <v>118610</v>
          </cell>
        </row>
        <row r="193">
          <cell r="E193">
            <v>176</v>
          </cell>
          <cell r="G193">
            <v>25696</v>
          </cell>
          <cell r="J193">
            <v>11</v>
          </cell>
          <cell r="L193">
            <v>6149</v>
          </cell>
          <cell r="S193">
            <v>121881</v>
          </cell>
          <cell r="V193">
            <v>121881</v>
          </cell>
        </row>
        <row r="194">
          <cell r="E194">
            <v>123</v>
          </cell>
          <cell r="G194">
            <v>17958</v>
          </cell>
          <cell r="J194">
            <v>20</v>
          </cell>
          <cell r="L194">
            <v>11180</v>
          </cell>
          <cell r="S194">
            <v>119199</v>
          </cell>
          <cell r="V194">
            <v>119199</v>
          </cell>
        </row>
        <row r="195">
          <cell r="E195">
            <v>221</v>
          </cell>
          <cell r="G195">
            <v>32266</v>
          </cell>
          <cell r="J195">
            <v>27</v>
          </cell>
          <cell r="L195">
            <v>15093</v>
          </cell>
          <cell r="S195">
            <v>137441</v>
          </cell>
          <cell r="V195">
            <v>137441</v>
          </cell>
        </row>
        <row r="196">
          <cell r="E196">
            <v>223</v>
          </cell>
          <cell r="G196">
            <v>32558</v>
          </cell>
          <cell r="J196">
            <v>49</v>
          </cell>
          <cell r="L196">
            <v>27391</v>
          </cell>
          <cell r="S196">
            <v>150054</v>
          </cell>
          <cell r="V196">
            <v>150054</v>
          </cell>
        </row>
        <row r="197">
          <cell r="E197">
            <v>210</v>
          </cell>
          <cell r="G197">
            <v>30660</v>
          </cell>
          <cell r="J197">
            <v>86</v>
          </cell>
          <cell r="L197">
            <v>48074</v>
          </cell>
          <cell r="S197">
            <v>187909</v>
          </cell>
          <cell r="V197">
            <v>187909</v>
          </cell>
        </row>
        <row r="198">
          <cell r="E198">
            <v>201</v>
          </cell>
          <cell r="G198">
            <v>29346</v>
          </cell>
          <cell r="J198">
            <v>73</v>
          </cell>
          <cell r="L198">
            <v>40807</v>
          </cell>
          <cell r="S198">
            <v>160298</v>
          </cell>
          <cell r="V198">
            <v>160298</v>
          </cell>
        </row>
        <row r="199">
          <cell r="E199">
            <v>231</v>
          </cell>
          <cell r="G199">
            <v>33726</v>
          </cell>
          <cell r="J199">
            <v>80</v>
          </cell>
          <cell r="L199">
            <v>44720</v>
          </cell>
          <cell r="S199">
            <v>170714</v>
          </cell>
          <cell r="V199">
            <v>170714</v>
          </cell>
        </row>
        <row r="200">
          <cell r="E200">
            <v>234</v>
          </cell>
          <cell r="G200">
            <v>34164</v>
          </cell>
          <cell r="J200">
            <v>89</v>
          </cell>
          <cell r="L200">
            <v>49751</v>
          </cell>
          <cell r="S200">
            <v>176186</v>
          </cell>
          <cell r="V200"/>
        </row>
        <row r="201">
          <cell r="E201">
            <v>208</v>
          </cell>
          <cell r="G201">
            <v>30368</v>
          </cell>
          <cell r="J201">
            <v>65</v>
          </cell>
          <cell r="L201">
            <v>36335</v>
          </cell>
          <cell r="S201">
            <v>158977</v>
          </cell>
          <cell r="V201">
            <v>335163</v>
          </cell>
        </row>
        <row r="202">
          <cell r="E202">
            <v>213</v>
          </cell>
          <cell r="G202">
            <v>31098</v>
          </cell>
          <cell r="J202">
            <v>69</v>
          </cell>
          <cell r="L202">
            <v>38571</v>
          </cell>
          <cell r="S202">
            <v>161972</v>
          </cell>
          <cell r="V202">
            <v>161972</v>
          </cell>
        </row>
        <row r="203">
          <cell r="E203">
            <v>256</v>
          </cell>
          <cell r="G203">
            <v>37376</v>
          </cell>
          <cell r="J203">
            <v>69</v>
          </cell>
          <cell r="L203">
            <v>38571</v>
          </cell>
          <cell r="S203">
            <v>168280</v>
          </cell>
          <cell r="V203">
            <v>168280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174282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174282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174282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176340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88131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91743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180143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182413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184545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5">
        <row r="175">
          <cell r="E175">
            <v>109</v>
          </cell>
          <cell r="G175">
            <v>15914</v>
          </cell>
          <cell r="J175">
            <v>74</v>
          </cell>
          <cell r="L175">
            <v>41366</v>
          </cell>
          <cell r="S175">
            <v>144421</v>
          </cell>
          <cell r="V175">
            <v>144421</v>
          </cell>
        </row>
        <row r="176">
          <cell r="E176">
            <v>154</v>
          </cell>
          <cell r="G176">
            <v>22484</v>
          </cell>
          <cell r="J176">
            <v>75</v>
          </cell>
          <cell r="L176">
            <v>41925</v>
          </cell>
          <cell r="S176">
            <v>151550</v>
          </cell>
          <cell r="V176">
            <v>151550</v>
          </cell>
        </row>
        <row r="177">
          <cell r="E177">
            <v>167</v>
          </cell>
          <cell r="G177">
            <v>24382</v>
          </cell>
          <cell r="J177">
            <v>55</v>
          </cell>
          <cell r="L177">
            <v>30745</v>
          </cell>
          <cell r="S177">
            <v>142268</v>
          </cell>
          <cell r="V177">
            <v>142268</v>
          </cell>
        </row>
        <row r="178">
          <cell r="E178">
            <v>138</v>
          </cell>
          <cell r="G178">
            <v>20148</v>
          </cell>
          <cell r="J178">
            <v>32</v>
          </cell>
          <cell r="L178">
            <v>17888</v>
          </cell>
          <cell r="S178">
            <v>125177</v>
          </cell>
          <cell r="V178">
            <v>125177</v>
          </cell>
        </row>
        <row r="179">
          <cell r="E179">
            <v>119</v>
          </cell>
          <cell r="G179">
            <v>17374</v>
          </cell>
          <cell r="J179">
            <v>12</v>
          </cell>
          <cell r="L179">
            <v>6708</v>
          </cell>
          <cell r="S179">
            <v>111223</v>
          </cell>
          <cell r="V179">
            <v>111223</v>
          </cell>
        </row>
        <row r="180">
          <cell r="E180">
            <v>123</v>
          </cell>
          <cell r="G180">
            <v>17958</v>
          </cell>
          <cell r="J180">
            <v>2</v>
          </cell>
          <cell r="L180">
            <v>1118</v>
          </cell>
          <cell r="S180">
            <v>106217</v>
          </cell>
          <cell r="V180">
            <v>106217</v>
          </cell>
        </row>
        <row r="181">
          <cell r="E181">
            <v>105</v>
          </cell>
          <cell r="G181">
            <v>15330</v>
          </cell>
          <cell r="J181">
            <v>2</v>
          </cell>
          <cell r="L181">
            <v>1118</v>
          </cell>
          <cell r="S181">
            <v>103589</v>
          </cell>
          <cell r="V181">
            <v>103589</v>
          </cell>
        </row>
        <row r="182">
          <cell r="E182">
            <v>150</v>
          </cell>
          <cell r="G182">
            <v>21900</v>
          </cell>
          <cell r="J182">
            <v>8</v>
          </cell>
          <cell r="L182">
            <v>4472</v>
          </cell>
          <cell r="S182">
            <v>114494</v>
          </cell>
          <cell r="V182">
            <v>114494</v>
          </cell>
        </row>
        <row r="183">
          <cell r="E183">
            <v>115</v>
          </cell>
          <cell r="G183">
            <v>16790</v>
          </cell>
          <cell r="J183">
            <v>18</v>
          </cell>
          <cell r="L183">
            <v>10062</v>
          </cell>
          <cell r="S183">
            <v>114990</v>
          </cell>
          <cell r="V183">
            <v>114990</v>
          </cell>
        </row>
        <row r="184">
          <cell r="E184">
            <v>147</v>
          </cell>
          <cell r="G184">
            <v>21462</v>
          </cell>
          <cell r="J184">
            <v>16</v>
          </cell>
          <cell r="L184">
            <v>8944</v>
          </cell>
          <cell r="S184">
            <v>118537</v>
          </cell>
          <cell r="V184">
            <v>118537</v>
          </cell>
        </row>
        <row r="185">
          <cell r="E185">
            <v>143</v>
          </cell>
          <cell r="G185">
            <v>20878</v>
          </cell>
          <cell r="J185">
            <v>44</v>
          </cell>
          <cell r="L185">
            <v>24596</v>
          </cell>
          <cell r="S185">
            <v>133634</v>
          </cell>
          <cell r="V185">
            <v>133634</v>
          </cell>
        </row>
        <row r="186">
          <cell r="E186">
            <v>138</v>
          </cell>
          <cell r="G186">
            <v>20148</v>
          </cell>
          <cell r="J186">
            <v>61</v>
          </cell>
          <cell r="L186">
            <v>34099</v>
          </cell>
          <cell r="S186">
            <v>142427</v>
          </cell>
          <cell r="V186">
            <v>142427</v>
          </cell>
        </row>
        <row r="187">
          <cell r="E187">
            <v>152</v>
          </cell>
          <cell r="G187">
            <v>22192</v>
          </cell>
          <cell r="J187">
            <v>69</v>
          </cell>
          <cell r="L187">
            <v>38571</v>
          </cell>
          <cell r="S187">
            <v>150685</v>
          </cell>
          <cell r="V187">
            <v>150685</v>
          </cell>
        </row>
        <row r="188">
          <cell r="E188">
            <v>150</v>
          </cell>
          <cell r="G188">
            <v>21900</v>
          </cell>
          <cell r="J188">
            <v>47</v>
          </cell>
          <cell r="L188">
            <v>26273</v>
          </cell>
          <cell r="S188">
            <v>138125</v>
          </cell>
          <cell r="V188">
            <v>138125</v>
          </cell>
        </row>
        <row r="189">
          <cell r="E189">
            <v>168</v>
          </cell>
          <cell r="G189">
            <v>24528</v>
          </cell>
          <cell r="J189">
            <v>48</v>
          </cell>
          <cell r="L189">
            <v>26832</v>
          </cell>
          <cell r="S189">
            <v>141325</v>
          </cell>
          <cell r="V189">
            <v>141325</v>
          </cell>
        </row>
        <row r="190">
          <cell r="E190">
            <v>151</v>
          </cell>
          <cell r="G190">
            <v>22046</v>
          </cell>
          <cell r="J190">
            <v>41</v>
          </cell>
          <cell r="L190">
            <v>22919</v>
          </cell>
          <cell r="S190">
            <v>134941</v>
          </cell>
          <cell r="V190">
            <v>134941</v>
          </cell>
        </row>
        <row r="191">
          <cell r="E191">
            <v>155</v>
          </cell>
          <cell r="G191">
            <v>22630</v>
          </cell>
          <cell r="J191">
            <v>33</v>
          </cell>
          <cell r="L191">
            <v>18447</v>
          </cell>
          <cell r="S191">
            <v>131075</v>
          </cell>
          <cell r="V191">
            <v>131075</v>
          </cell>
        </row>
        <row r="192">
          <cell r="E192">
            <v>109</v>
          </cell>
          <cell r="G192">
            <v>15914</v>
          </cell>
          <cell r="J192">
            <v>2</v>
          </cell>
          <cell r="L192">
            <v>1118</v>
          </cell>
          <cell r="S192">
            <v>107055</v>
          </cell>
          <cell r="V192">
            <v>107055</v>
          </cell>
        </row>
        <row r="193">
          <cell r="E193">
            <v>122</v>
          </cell>
          <cell r="G193">
            <v>17812</v>
          </cell>
          <cell r="J193">
            <v>5</v>
          </cell>
          <cell r="L193">
            <v>2795</v>
          </cell>
          <cell r="S193">
            <v>110643</v>
          </cell>
          <cell r="V193">
            <v>110643</v>
          </cell>
        </row>
        <row r="194">
          <cell r="E194">
            <v>119</v>
          </cell>
          <cell r="G194">
            <v>17374</v>
          </cell>
          <cell r="J194">
            <v>9</v>
          </cell>
          <cell r="L194">
            <v>5031</v>
          </cell>
          <cell r="S194">
            <v>112466</v>
          </cell>
          <cell r="V194">
            <v>112466</v>
          </cell>
        </row>
        <row r="195">
          <cell r="E195">
            <v>157</v>
          </cell>
          <cell r="G195">
            <v>22922</v>
          </cell>
          <cell r="J195">
            <v>11</v>
          </cell>
          <cell r="L195">
            <v>6149</v>
          </cell>
          <cell r="S195">
            <v>119153</v>
          </cell>
          <cell r="V195">
            <v>119153</v>
          </cell>
        </row>
        <row r="196">
          <cell r="E196">
            <v>133</v>
          </cell>
          <cell r="G196">
            <v>19418</v>
          </cell>
          <cell r="J196">
            <v>18</v>
          </cell>
          <cell r="L196">
            <v>10062</v>
          </cell>
          <cell r="S196">
            <v>119585</v>
          </cell>
          <cell r="V196">
            <v>119585</v>
          </cell>
        </row>
        <row r="197">
          <cell r="E197">
            <v>162</v>
          </cell>
          <cell r="G197">
            <v>23652</v>
          </cell>
          <cell r="J197">
            <v>52</v>
          </cell>
          <cell r="L197">
            <v>29068</v>
          </cell>
          <cell r="S197">
            <v>142855</v>
          </cell>
          <cell r="V197">
            <v>142855</v>
          </cell>
        </row>
        <row r="198">
          <cell r="E198">
            <v>144</v>
          </cell>
          <cell r="G198">
            <v>21024</v>
          </cell>
          <cell r="J198">
            <v>62</v>
          </cell>
          <cell r="L198">
            <v>34658</v>
          </cell>
          <cell r="S198">
            <v>145827</v>
          </cell>
          <cell r="V198">
            <v>145827</v>
          </cell>
        </row>
        <row r="199">
          <cell r="E199">
            <v>170</v>
          </cell>
          <cell r="G199">
            <v>24820</v>
          </cell>
          <cell r="J199">
            <v>58</v>
          </cell>
          <cell r="L199">
            <v>32422</v>
          </cell>
          <cell r="S199">
            <v>149510</v>
          </cell>
          <cell r="V199">
            <v>149510</v>
          </cell>
        </row>
        <row r="200">
          <cell r="E200">
            <v>160</v>
          </cell>
          <cell r="G200">
            <v>23360</v>
          </cell>
          <cell r="J200">
            <v>63</v>
          </cell>
          <cell r="L200">
            <v>35217</v>
          </cell>
          <cell r="S200">
            <v>150848</v>
          </cell>
          <cell r="V200">
            <v>150848</v>
          </cell>
        </row>
        <row r="201">
          <cell r="E201">
            <v>185</v>
          </cell>
          <cell r="G201">
            <v>27010</v>
          </cell>
          <cell r="J201">
            <v>56</v>
          </cell>
          <cell r="L201">
            <v>31304</v>
          </cell>
          <cell r="S201">
            <v>150588</v>
          </cell>
          <cell r="V201">
            <v>150588</v>
          </cell>
        </row>
        <row r="202">
          <cell r="E202">
            <v>138</v>
          </cell>
          <cell r="G202">
            <v>20148</v>
          </cell>
          <cell r="J202">
            <v>55</v>
          </cell>
          <cell r="L202">
            <v>30745</v>
          </cell>
          <cell r="S202">
            <v>143196</v>
          </cell>
          <cell r="V202">
            <v>143196</v>
          </cell>
        </row>
        <row r="203">
          <cell r="E203">
            <v>202</v>
          </cell>
          <cell r="G203">
            <v>29492</v>
          </cell>
          <cell r="J203">
            <v>80</v>
          </cell>
          <cell r="L203">
            <v>44720</v>
          </cell>
          <cell r="S203">
            <v>166545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6">
        <row r="175">
          <cell r="E175">
            <v>271</v>
          </cell>
          <cell r="G175">
            <v>39566</v>
          </cell>
          <cell r="J175">
            <v>147</v>
          </cell>
          <cell r="L175">
            <v>87033</v>
          </cell>
          <cell r="S175">
            <v>213740</v>
          </cell>
          <cell r="V175"/>
        </row>
        <row r="176">
          <cell r="E176">
            <v>118</v>
          </cell>
          <cell r="G176">
            <v>17228</v>
          </cell>
          <cell r="J176">
            <v>50</v>
          </cell>
          <cell r="L176">
            <v>27950</v>
          </cell>
          <cell r="S176">
            <v>132319</v>
          </cell>
          <cell r="V176">
            <v>346059</v>
          </cell>
        </row>
        <row r="177">
          <cell r="E177">
            <v>165</v>
          </cell>
          <cell r="G177">
            <v>24090</v>
          </cell>
          <cell r="J177">
            <v>90</v>
          </cell>
          <cell r="L177">
            <v>50310</v>
          </cell>
          <cell r="S177">
            <v>161541</v>
          </cell>
          <cell r="V177"/>
        </row>
        <row r="178">
          <cell r="E178">
            <v>143</v>
          </cell>
          <cell r="G178">
            <v>20878</v>
          </cell>
          <cell r="J178">
            <v>83</v>
          </cell>
          <cell r="L178">
            <v>46397</v>
          </cell>
          <cell r="S178">
            <v>154416</v>
          </cell>
          <cell r="V178">
            <v>315957</v>
          </cell>
        </row>
        <row r="179">
          <cell r="E179">
            <v>87</v>
          </cell>
          <cell r="G179">
            <v>12702</v>
          </cell>
          <cell r="J179">
            <v>36</v>
          </cell>
          <cell r="L179">
            <v>20124</v>
          </cell>
          <cell r="S179">
            <v>119967</v>
          </cell>
          <cell r="V179"/>
        </row>
        <row r="180">
          <cell r="E180">
            <v>37</v>
          </cell>
          <cell r="G180">
            <v>5402</v>
          </cell>
          <cell r="J180">
            <v>2</v>
          </cell>
          <cell r="L180">
            <v>1118</v>
          </cell>
          <cell r="S180">
            <v>93661</v>
          </cell>
          <cell r="V180">
            <v>213628</v>
          </cell>
        </row>
        <row r="181">
          <cell r="E181">
            <v>12</v>
          </cell>
          <cell r="G181">
            <v>1752</v>
          </cell>
          <cell r="J181">
            <v>0</v>
          </cell>
          <cell r="L181">
            <v>0</v>
          </cell>
          <cell r="S181">
            <v>88893</v>
          </cell>
          <cell r="V181"/>
        </row>
        <row r="182">
          <cell r="E182">
            <v>47</v>
          </cell>
          <cell r="G182">
            <v>6862</v>
          </cell>
          <cell r="J182">
            <v>5</v>
          </cell>
          <cell r="L182">
            <v>2795</v>
          </cell>
          <cell r="S182">
            <v>97779</v>
          </cell>
          <cell r="V182">
            <v>186672</v>
          </cell>
        </row>
        <row r="183">
          <cell r="E183">
            <v>60</v>
          </cell>
          <cell r="G183">
            <v>8760</v>
          </cell>
          <cell r="J183">
            <v>19</v>
          </cell>
          <cell r="L183">
            <v>10621</v>
          </cell>
          <cell r="S183">
            <v>107519</v>
          </cell>
          <cell r="V183"/>
        </row>
        <row r="184">
          <cell r="E184">
            <v>61</v>
          </cell>
          <cell r="G184">
            <v>8906</v>
          </cell>
          <cell r="J184">
            <v>39</v>
          </cell>
          <cell r="L184">
            <v>21801</v>
          </cell>
          <cell r="S184">
            <v>118838</v>
          </cell>
          <cell r="V184">
            <v>226357</v>
          </cell>
        </row>
        <row r="185">
          <cell r="E185">
            <v>205</v>
          </cell>
          <cell r="G185">
            <v>29930</v>
          </cell>
          <cell r="J185">
            <v>107</v>
          </cell>
          <cell r="L185">
            <v>59813</v>
          </cell>
          <cell r="S185">
            <v>177903</v>
          </cell>
          <cell r="V185"/>
        </row>
        <row r="186">
          <cell r="E186">
            <v>137</v>
          </cell>
          <cell r="G186">
            <v>20002</v>
          </cell>
          <cell r="J186">
            <v>118</v>
          </cell>
          <cell r="L186">
            <v>65962</v>
          </cell>
          <cell r="S186">
            <v>174144</v>
          </cell>
          <cell r="V186">
            <v>352047</v>
          </cell>
        </row>
        <row r="187">
          <cell r="E187">
            <v>254</v>
          </cell>
          <cell r="G187">
            <v>37084</v>
          </cell>
          <cell r="J187">
            <v>124</v>
          </cell>
          <cell r="L187">
            <v>70036</v>
          </cell>
          <cell r="S187">
            <v>197042</v>
          </cell>
          <cell r="V187"/>
        </row>
        <row r="188">
          <cell r="E188">
            <v>119</v>
          </cell>
          <cell r="G188">
            <v>17374</v>
          </cell>
          <cell r="J188">
            <v>62</v>
          </cell>
          <cell r="L188">
            <v>34658</v>
          </cell>
          <cell r="S188">
            <v>141984</v>
          </cell>
          <cell r="V188">
            <v>339026</v>
          </cell>
        </row>
        <row r="189">
          <cell r="E189">
            <v>171</v>
          </cell>
          <cell r="G189">
            <v>24966</v>
          </cell>
          <cell r="J189">
            <v>111</v>
          </cell>
          <cell r="L189">
            <v>62049</v>
          </cell>
          <cell r="S189">
            <v>176980</v>
          </cell>
          <cell r="V189"/>
        </row>
        <row r="190">
          <cell r="E190">
            <v>140</v>
          </cell>
          <cell r="G190">
            <v>20440</v>
          </cell>
          <cell r="J190">
            <v>98</v>
          </cell>
          <cell r="L190">
            <v>54782</v>
          </cell>
          <cell r="S190">
            <v>165198</v>
          </cell>
          <cell r="V190">
            <v>342178</v>
          </cell>
        </row>
        <row r="191">
          <cell r="E191">
            <v>169</v>
          </cell>
          <cell r="G191">
            <v>24674</v>
          </cell>
          <cell r="J191">
            <v>35</v>
          </cell>
          <cell r="L191">
            <v>19565</v>
          </cell>
          <cell r="S191">
            <v>134237</v>
          </cell>
          <cell r="V191"/>
        </row>
        <row r="192">
          <cell r="E192">
            <v>131</v>
          </cell>
          <cell r="G192">
            <v>19126</v>
          </cell>
          <cell r="J192">
            <v>7</v>
          </cell>
          <cell r="L192">
            <v>3913</v>
          </cell>
          <cell r="S192">
            <v>113062</v>
          </cell>
          <cell r="V192">
            <v>247229</v>
          </cell>
        </row>
        <row r="193">
          <cell r="E193">
            <v>121</v>
          </cell>
          <cell r="G193">
            <v>17666</v>
          </cell>
          <cell r="J193">
            <v>3</v>
          </cell>
          <cell r="L193">
            <v>1677</v>
          </cell>
          <cell r="S193">
            <v>109379</v>
          </cell>
          <cell r="V193"/>
        </row>
        <row r="194">
          <cell r="E194">
            <v>129</v>
          </cell>
          <cell r="G194">
            <v>18834</v>
          </cell>
          <cell r="J194">
            <v>12</v>
          </cell>
          <cell r="L194">
            <v>6708</v>
          </cell>
          <cell r="S194">
            <v>115603</v>
          </cell>
          <cell r="V194">
            <v>225052</v>
          </cell>
        </row>
        <row r="195">
          <cell r="E195">
            <v>183</v>
          </cell>
          <cell r="G195">
            <v>26718</v>
          </cell>
          <cell r="J195">
            <v>10</v>
          </cell>
          <cell r="L195">
            <v>5590</v>
          </cell>
          <cell r="S195">
            <v>122390</v>
          </cell>
          <cell r="V195"/>
        </row>
        <row r="196">
          <cell r="E196">
            <v>163</v>
          </cell>
          <cell r="G196">
            <v>23798</v>
          </cell>
          <cell r="J196">
            <v>47</v>
          </cell>
          <cell r="L196">
            <v>26273</v>
          </cell>
          <cell r="S196">
            <v>140176</v>
          </cell>
          <cell r="V196">
            <v>262566</v>
          </cell>
        </row>
        <row r="197">
          <cell r="E197">
            <v>167</v>
          </cell>
          <cell r="G197">
            <v>24382</v>
          </cell>
          <cell r="J197">
            <v>87</v>
          </cell>
          <cell r="L197">
            <v>48633</v>
          </cell>
          <cell r="S197">
            <v>218282</v>
          </cell>
          <cell r="V197"/>
        </row>
        <row r="198">
          <cell r="E198">
            <v>162</v>
          </cell>
          <cell r="G198">
            <v>23652</v>
          </cell>
          <cell r="J198">
            <v>113</v>
          </cell>
          <cell r="L198">
            <v>63167</v>
          </cell>
          <cell r="S198">
            <v>232056</v>
          </cell>
          <cell r="V198">
            <v>450338</v>
          </cell>
        </row>
        <row r="199">
          <cell r="E199">
            <v>180</v>
          </cell>
          <cell r="G199">
            <v>26280</v>
          </cell>
          <cell r="J199">
            <v>79</v>
          </cell>
          <cell r="L199">
            <v>44161</v>
          </cell>
          <cell r="S199">
            <v>162709</v>
          </cell>
          <cell r="V199">
            <v>162709</v>
          </cell>
        </row>
        <row r="200">
          <cell r="E200">
            <v>210</v>
          </cell>
          <cell r="G200">
            <v>30660</v>
          </cell>
          <cell r="J200">
            <v>84</v>
          </cell>
          <cell r="L200">
            <v>46956</v>
          </cell>
          <cell r="S200">
            <v>169887</v>
          </cell>
          <cell r="V200"/>
        </row>
        <row r="201">
          <cell r="E201">
            <v>214</v>
          </cell>
          <cell r="G201">
            <v>31244</v>
          </cell>
          <cell r="J201">
            <v>93</v>
          </cell>
          <cell r="L201">
            <v>51987</v>
          </cell>
          <cell r="S201">
            <v>175505</v>
          </cell>
          <cell r="V201">
            <v>345392</v>
          </cell>
        </row>
        <row r="202">
          <cell r="E202">
            <v>211</v>
          </cell>
          <cell r="G202">
            <v>30806</v>
          </cell>
          <cell r="J202">
            <v>69</v>
          </cell>
          <cell r="L202">
            <v>38571</v>
          </cell>
          <cell r="S202">
            <v>161680</v>
          </cell>
          <cell r="V202"/>
        </row>
        <row r="203">
          <cell r="E203">
            <v>195</v>
          </cell>
          <cell r="G203">
            <v>28470</v>
          </cell>
          <cell r="J203">
            <v>77</v>
          </cell>
          <cell r="L203">
            <v>43043</v>
          </cell>
          <cell r="S203">
            <v>163846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160282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160282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160282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163750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163750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163750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163750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163750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139096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139118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362218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84004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176291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141830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143769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375551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179974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180059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180143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145171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145267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145237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147360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147385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147406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147627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39">
        <row r="175">
          <cell r="E175">
            <v>115</v>
          </cell>
          <cell r="G175">
            <v>16790</v>
          </cell>
          <cell r="J175">
            <v>22</v>
          </cell>
          <cell r="L175">
            <v>12298</v>
          </cell>
          <cell r="S175">
            <v>116229</v>
          </cell>
          <cell r="V175">
            <v>116229</v>
          </cell>
        </row>
        <row r="176">
          <cell r="E176">
            <v>107</v>
          </cell>
          <cell r="G176">
            <v>15622</v>
          </cell>
          <cell r="J176">
            <v>31</v>
          </cell>
          <cell r="L176">
            <v>17329</v>
          </cell>
          <cell r="S176">
            <v>120092</v>
          </cell>
          <cell r="V176">
            <v>120092</v>
          </cell>
        </row>
        <row r="177">
          <cell r="E177">
            <v>152</v>
          </cell>
          <cell r="G177">
            <v>22192</v>
          </cell>
          <cell r="J177">
            <v>25</v>
          </cell>
          <cell r="L177">
            <v>13975</v>
          </cell>
          <cell r="S177">
            <v>123308</v>
          </cell>
          <cell r="V177">
            <v>123308</v>
          </cell>
        </row>
        <row r="178">
          <cell r="E178">
            <v>136</v>
          </cell>
          <cell r="G178">
            <v>19856</v>
          </cell>
          <cell r="J178">
            <v>19</v>
          </cell>
          <cell r="L178">
            <v>10621</v>
          </cell>
          <cell r="S178">
            <v>117618</v>
          </cell>
          <cell r="V178">
            <v>117618</v>
          </cell>
        </row>
        <row r="179">
          <cell r="E179">
            <v>115</v>
          </cell>
          <cell r="G179">
            <v>16790</v>
          </cell>
          <cell r="J179">
            <v>12</v>
          </cell>
          <cell r="L179">
            <v>6708</v>
          </cell>
          <cell r="S179">
            <v>110639</v>
          </cell>
          <cell r="V179"/>
        </row>
        <row r="180">
          <cell r="E180">
            <v>29</v>
          </cell>
          <cell r="G180">
            <v>4234</v>
          </cell>
          <cell r="J180">
            <v>13</v>
          </cell>
          <cell r="L180">
            <v>7267</v>
          </cell>
          <cell r="S180">
            <v>98642</v>
          </cell>
          <cell r="V180">
            <v>209281</v>
          </cell>
        </row>
        <row r="181">
          <cell r="E181">
            <v>23</v>
          </cell>
          <cell r="G181">
            <v>3358</v>
          </cell>
          <cell r="J181">
            <v>9</v>
          </cell>
          <cell r="L181">
            <v>5031</v>
          </cell>
          <cell r="S181">
            <v>95530</v>
          </cell>
          <cell r="V181"/>
        </row>
        <row r="182">
          <cell r="E182">
            <v>28</v>
          </cell>
          <cell r="G182">
            <v>4088</v>
          </cell>
          <cell r="J182">
            <v>10</v>
          </cell>
          <cell r="L182">
            <v>5590</v>
          </cell>
          <cell r="S182">
            <v>97800</v>
          </cell>
          <cell r="V182">
            <v>193330</v>
          </cell>
        </row>
        <row r="183">
          <cell r="E183">
            <v>38</v>
          </cell>
          <cell r="G183">
            <v>5548</v>
          </cell>
          <cell r="J183">
            <v>9</v>
          </cell>
          <cell r="L183">
            <v>5031</v>
          </cell>
          <cell r="S183">
            <v>98717</v>
          </cell>
          <cell r="V183">
            <v>98717</v>
          </cell>
        </row>
        <row r="184">
          <cell r="E184">
            <v>49</v>
          </cell>
          <cell r="G184">
            <v>7154</v>
          </cell>
          <cell r="J184">
            <v>15</v>
          </cell>
          <cell r="L184">
            <v>8385</v>
          </cell>
          <cell r="S184">
            <v>103670</v>
          </cell>
          <cell r="V184"/>
        </row>
        <row r="185">
          <cell r="E185">
            <v>69</v>
          </cell>
          <cell r="G185">
            <v>10074</v>
          </cell>
          <cell r="J185">
            <v>11</v>
          </cell>
          <cell r="L185">
            <v>6149</v>
          </cell>
          <cell r="S185">
            <v>104383</v>
          </cell>
          <cell r="V185">
            <v>208053</v>
          </cell>
        </row>
        <row r="186">
          <cell r="E186">
            <v>75</v>
          </cell>
          <cell r="G186">
            <v>10950</v>
          </cell>
          <cell r="J186">
            <v>17</v>
          </cell>
          <cell r="L186">
            <v>9503</v>
          </cell>
          <cell r="S186">
            <v>108633</v>
          </cell>
          <cell r="V186">
            <v>76410</v>
          </cell>
        </row>
        <row r="187">
          <cell r="E187">
            <v>101</v>
          </cell>
          <cell r="G187">
            <v>14746</v>
          </cell>
          <cell r="J187">
            <v>17</v>
          </cell>
          <cell r="L187">
            <v>9503</v>
          </cell>
          <cell r="S187">
            <v>114171</v>
          </cell>
          <cell r="V187"/>
        </row>
        <row r="188">
          <cell r="E188">
            <v>102</v>
          </cell>
          <cell r="G188">
            <v>14892</v>
          </cell>
          <cell r="J188">
            <v>12</v>
          </cell>
          <cell r="L188">
            <v>6708</v>
          </cell>
          <cell r="S188">
            <v>111552</v>
          </cell>
          <cell r="V188">
            <v>257946</v>
          </cell>
        </row>
        <row r="189">
          <cell r="E189">
            <v>135</v>
          </cell>
          <cell r="G189">
            <v>19710</v>
          </cell>
          <cell r="J189">
            <v>8</v>
          </cell>
          <cell r="L189">
            <v>4472</v>
          </cell>
          <cell r="S189">
            <v>114147</v>
          </cell>
          <cell r="V189"/>
        </row>
        <row r="190">
          <cell r="E190">
            <v>128</v>
          </cell>
          <cell r="G190">
            <v>18688</v>
          </cell>
          <cell r="J190">
            <v>0</v>
          </cell>
          <cell r="L190">
            <v>0</v>
          </cell>
          <cell r="S190">
            <v>108664</v>
          </cell>
          <cell r="V190">
            <v>222811</v>
          </cell>
        </row>
        <row r="191">
          <cell r="E191">
            <v>146</v>
          </cell>
          <cell r="G191">
            <v>21316</v>
          </cell>
          <cell r="J191">
            <v>15</v>
          </cell>
          <cell r="L191">
            <v>8385</v>
          </cell>
          <cell r="S191">
            <v>119699</v>
          </cell>
          <cell r="V191"/>
        </row>
        <row r="192">
          <cell r="E192">
            <v>123</v>
          </cell>
          <cell r="G192">
            <v>17958</v>
          </cell>
          <cell r="J192">
            <v>9</v>
          </cell>
          <cell r="L192">
            <v>5031</v>
          </cell>
          <cell r="S192">
            <v>113012</v>
          </cell>
          <cell r="V192">
            <v>232711</v>
          </cell>
        </row>
        <row r="193">
          <cell r="E193">
            <v>127</v>
          </cell>
          <cell r="G193">
            <v>18542</v>
          </cell>
          <cell r="J193">
            <v>9</v>
          </cell>
          <cell r="L193">
            <v>5031</v>
          </cell>
          <cell r="S193">
            <v>113609</v>
          </cell>
          <cell r="V193"/>
        </row>
        <row r="194">
          <cell r="E194">
            <v>148</v>
          </cell>
          <cell r="G194">
            <v>21608</v>
          </cell>
          <cell r="J194">
            <v>10</v>
          </cell>
          <cell r="L194">
            <v>5590</v>
          </cell>
          <cell r="S194">
            <v>117259</v>
          </cell>
          <cell r="V194">
            <v>230868</v>
          </cell>
        </row>
        <row r="195">
          <cell r="E195">
            <v>120</v>
          </cell>
          <cell r="G195">
            <v>17520</v>
          </cell>
          <cell r="J195">
            <v>7</v>
          </cell>
          <cell r="L195">
            <v>3913</v>
          </cell>
          <cell r="S195">
            <v>111515</v>
          </cell>
          <cell r="V195"/>
        </row>
        <row r="196">
          <cell r="E196">
            <v>134</v>
          </cell>
          <cell r="G196">
            <v>19564</v>
          </cell>
          <cell r="J196">
            <v>9</v>
          </cell>
          <cell r="L196">
            <v>5031</v>
          </cell>
          <cell r="S196">
            <v>114700</v>
          </cell>
          <cell r="V196">
            <v>226215</v>
          </cell>
        </row>
        <row r="197">
          <cell r="E197">
            <v>139</v>
          </cell>
          <cell r="G197">
            <v>20294</v>
          </cell>
          <cell r="J197">
            <v>13</v>
          </cell>
          <cell r="L197">
            <v>7267</v>
          </cell>
          <cell r="S197">
            <v>172828</v>
          </cell>
          <cell r="V197"/>
        </row>
        <row r="198">
          <cell r="E198">
            <v>163</v>
          </cell>
          <cell r="G198">
            <v>23798</v>
          </cell>
          <cell r="J198">
            <v>15</v>
          </cell>
          <cell r="L198">
            <v>8385</v>
          </cell>
          <cell r="S198">
            <v>177420</v>
          </cell>
          <cell r="V198">
            <v>350248</v>
          </cell>
        </row>
        <row r="199">
          <cell r="E199">
            <v>174</v>
          </cell>
          <cell r="G199">
            <v>25404</v>
          </cell>
          <cell r="J199">
            <v>7</v>
          </cell>
          <cell r="L199">
            <v>3913</v>
          </cell>
          <cell r="S199">
            <v>121585</v>
          </cell>
          <cell r="V199">
            <v>121585</v>
          </cell>
        </row>
        <row r="200">
          <cell r="E200">
            <v>142</v>
          </cell>
          <cell r="G200">
            <v>20732</v>
          </cell>
          <cell r="J200">
            <v>10</v>
          </cell>
          <cell r="L200">
            <v>5590</v>
          </cell>
          <cell r="S200">
            <v>118593</v>
          </cell>
          <cell r="V200"/>
        </row>
        <row r="201">
          <cell r="E201">
            <v>181</v>
          </cell>
          <cell r="G201">
            <v>26426</v>
          </cell>
          <cell r="J201">
            <v>9</v>
          </cell>
          <cell r="L201">
            <v>5031</v>
          </cell>
          <cell r="S201">
            <v>123731</v>
          </cell>
          <cell r="V201">
            <v>242324</v>
          </cell>
        </row>
        <row r="202">
          <cell r="E202">
            <v>184</v>
          </cell>
          <cell r="G202">
            <v>26864</v>
          </cell>
          <cell r="J202">
            <v>9</v>
          </cell>
          <cell r="L202">
            <v>5031</v>
          </cell>
          <cell r="S202">
            <v>124198</v>
          </cell>
          <cell r="V202">
            <v>124198</v>
          </cell>
        </row>
        <row r="203">
          <cell r="E203">
            <v>222</v>
          </cell>
          <cell r="G203">
            <v>32412</v>
          </cell>
          <cell r="J203">
            <v>9</v>
          </cell>
          <cell r="L203">
            <v>5031</v>
          </cell>
          <cell r="S203">
            <v>129776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139777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136925</v>
          </cell>
          <cell r="V176">
            <v>400000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133085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133264</v>
          </cell>
          <cell r="V178">
            <v>300000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133403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133471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133336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133349</v>
          </cell>
          <cell r="V182"/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133455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133411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133603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133791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135722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135809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135884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136032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136193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136280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136450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136590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136739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136941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137007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136967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139096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139118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139136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139328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10731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87141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87141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87141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87141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87141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170758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89922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89922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89922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89922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89922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89922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89922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89922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89922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89922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89922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84544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84004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84004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84004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>
            <v>84004</v>
          </cell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89965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89998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180059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90082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90105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180280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92271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92274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92303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80141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82141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81609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81875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84004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84004</v>
          </cell>
        </row>
        <row r="202">
          <cell r="E202">
            <v>1</v>
          </cell>
          <cell r="G202">
            <v>146</v>
          </cell>
          <cell r="J202">
            <v>5</v>
          </cell>
          <cell r="L202">
            <v>2795</v>
          </cell>
          <cell r="S202">
            <v>86945</v>
          </cell>
          <cell r="V202">
            <v>86495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-1</v>
          </cell>
          <cell r="G204">
            <v>-146</v>
          </cell>
          <cell r="J204">
            <v>-5</v>
          </cell>
          <cell r="L204">
            <v>-2795</v>
          </cell>
          <cell r="S204">
            <v>81063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4">
        <row r="175">
          <cell r="E175">
            <v>344</v>
          </cell>
          <cell r="G175">
            <v>50224</v>
          </cell>
          <cell r="J175">
            <v>30</v>
          </cell>
          <cell r="L175">
            <v>16770</v>
          </cell>
          <cell r="S175">
            <v>154135</v>
          </cell>
          <cell r="V175">
            <v>154135</v>
          </cell>
        </row>
        <row r="176">
          <cell r="E176">
            <v>349</v>
          </cell>
          <cell r="G176">
            <v>50954</v>
          </cell>
          <cell r="J176">
            <v>15</v>
          </cell>
          <cell r="L176">
            <v>8385</v>
          </cell>
          <cell r="S176">
            <v>146480</v>
          </cell>
          <cell r="V176">
            <v>146480</v>
          </cell>
        </row>
        <row r="177">
          <cell r="E177">
            <v>431</v>
          </cell>
          <cell r="G177">
            <v>62926</v>
          </cell>
          <cell r="J177">
            <v>20</v>
          </cell>
          <cell r="L177">
            <v>11180</v>
          </cell>
          <cell r="S177">
            <v>161247</v>
          </cell>
          <cell r="V177">
            <v>161247</v>
          </cell>
        </row>
        <row r="178">
          <cell r="E178">
            <v>279</v>
          </cell>
          <cell r="G178">
            <v>40734</v>
          </cell>
          <cell r="J178">
            <v>10</v>
          </cell>
          <cell r="L178">
            <v>5590</v>
          </cell>
          <cell r="S178">
            <v>133465</v>
          </cell>
          <cell r="V178">
            <v>133465</v>
          </cell>
        </row>
        <row r="179">
          <cell r="E179">
            <v>399</v>
          </cell>
          <cell r="G179">
            <v>58254</v>
          </cell>
          <cell r="J179">
            <v>0</v>
          </cell>
          <cell r="L179">
            <v>0</v>
          </cell>
          <cell r="S179">
            <v>145395</v>
          </cell>
          <cell r="V179">
            <v>145395</v>
          </cell>
        </row>
        <row r="180">
          <cell r="E180">
            <v>433</v>
          </cell>
          <cell r="G180">
            <v>63218</v>
          </cell>
          <cell r="J180">
            <v>0</v>
          </cell>
          <cell r="L180">
            <v>0</v>
          </cell>
          <cell r="S180">
            <v>150359</v>
          </cell>
          <cell r="V180">
            <v>150359</v>
          </cell>
        </row>
        <row r="181">
          <cell r="E181">
            <v>331</v>
          </cell>
          <cell r="G181">
            <v>48326</v>
          </cell>
          <cell r="J181">
            <v>0</v>
          </cell>
          <cell r="L181">
            <v>0</v>
          </cell>
          <cell r="S181">
            <v>135467</v>
          </cell>
          <cell r="V181">
            <v>135467</v>
          </cell>
        </row>
        <row r="182">
          <cell r="E182">
            <v>393</v>
          </cell>
          <cell r="G182">
            <v>57378</v>
          </cell>
          <cell r="J182">
            <v>2</v>
          </cell>
          <cell r="L182">
            <v>1118</v>
          </cell>
          <cell r="S182">
            <v>146618</v>
          </cell>
          <cell r="V182">
            <v>146618</v>
          </cell>
        </row>
        <row r="183">
          <cell r="E183">
            <v>338</v>
          </cell>
          <cell r="G183">
            <v>49348</v>
          </cell>
          <cell r="J183">
            <v>1</v>
          </cell>
          <cell r="L183">
            <v>559</v>
          </cell>
          <cell r="S183">
            <v>138045</v>
          </cell>
          <cell r="V183">
            <v>138045</v>
          </cell>
        </row>
        <row r="184">
          <cell r="E184">
            <v>122</v>
          </cell>
          <cell r="G184">
            <v>17812</v>
          </cell>
          <cell r="J184">
            <v>19</v>
          </cell>
          <cell r="L184">
            <v>10621</v>
          </cell>
          <cell r="S184">
            <v>116564</v>
          </cell>
          <cell r="V184">
            <v>116564</v>
          </cell>
        </row>
        <row r="185">
          <cell r="E185">
            <v>300</v>
          </cell>
          <cell r="G185">
            <v>43800</v>
          </cell>
          <cell r="J185">
            <v>9</v>
          </cell>
          <cell r="L185">
            <v>5031</v>
          </cell>
          <cell r="S185">
            <v>136991</v>
          </cell>
          <cell r="V185">
            <v>136991</v>
          </cell>
        </row>
        <row r="186">
          <cell r="E186">
            <v>367</v>
          </cell>
          <cell r="G186">
            <v>53582</v>
          </cell>
          <cell r="J186">
            <v>18</v>
          </cell>
          <cell r="L186">
            <v>10062</v>
          </cell>
          <cell r="S186">
            <v>151824</v>
          </cell>
          <cell r="V186">
            <v>151824</v>
          </cell>
        </row>
        <row r="187">
          <cell r="E187">
            <v>467</v>
          </cell>
          <cell r="G187">
            <v>68182</v>
          </cell>
          <cell r="J187">
            <v>30</v>
          </cell>
          <cell r="L187">
            <v>16770</v>
          </cell>
          <cell r="S187">
            <v>174874</v>
          </cell>
          <cell r="V187">
            <v>174874</v>
          </cell>
        </row>
        <row r="188">
          <cell r="E188">
            <v>610</v>
          </cell>
          <cell r="G188">
            <v>89060</v>
          </cell>
          <cell r="J188">
            <v>16</v>
          </cell>
          <cell r="L188">
            <v>8944</v>
          </cell>
          <cell r="S188">
            <v>187956</v>
          </cell>
          <cell r="V188">
            <v>187956</v>
          </cell>
        </row>
        <row r="189">
          <cell r="E189">
            <v>765</v>
          </cell>
          <cell r="G189">
            <v>111690</v>
          </cell>
          <cell r="J189">
            <v>19</v>
          </cell>
          <cell r="L189">
            <v>10621</v>
          </cell>
          <cell r="S189">
            <v>212276</v>
          </cell>
          <cell r="V189"/>
        </row>
        <row r="190">
          <cell r="E190">
            <v>639</v>
          </cell>
          <cell r="G190">
            <v>93294</v>
          </cell>
          <cell r="J190">
            <v>7</v>
          </cell>
          <cell r="L190">
            <v>3913</v>
          </cell>
          <cell r="S190">
            <v>187183</v>
          </cell>
          <cell r="V190">
            <v>399459</v>
          </cell>
        </row>
        <row r="191">
          <cell r="E191">
            <v>418</v>
          </cell>
          <cell r="G191">
            <v>61028</v>
          </cell>
          <cell r="J191">
            <v>10</v>
          </cell>
          <cell r="L191">
            <v>5590</v>
          </cell>
          <cell r="S191">
            <v>156616</v>
          </cell>
          <cell r="V191"/>
        </row>
        <row r="192">
          <cell r="E192">
            <v>126</v>
          </cell>
          <cell r="G192">
            <v>18396</v>
          </cell>
          <cell r="J192">
            <v>1</v>
          </cell>
          <cell r="L192">
            <v>559</v>
          </cell>
          <cell r="S192">
            <v>108978</v>
          </cell>
          <cell r="V192">
            <v>422210</v>
          </cell>
        </row>
        <row r="193">
          <cell r="E193">
            <v>31</v>
          </cell>
          <cell r="G193">
            <v>4526</v>
          </cell>
          <cell r="J193">
            <v>0</v>
          </cell>
          <cell r="L193">
            <v>0</v>
          </cell>
          <cell r="S193">
            <v>94562</v>
          </cell>
          <cell r="V193"/>
        </row>
        <row r="194">
          <cell r="E194">
            <v>37</v>
          </cell>
          <cell r="G194">
            <v>5402</v>
          </cell>
          <cell r="J194">
            <v>0</v>
          </cell>
          <cell r="L194">
            <v>0</v>
          </cell>
          <cell r="S194">
            <v>95463</v>
          </cell>
          <cell r="V194"/>
        </row>
        <row r="195">
          <cell r="E195">
            <v>36</v>
          </cell>
          <cell r="G195">
            <v>5256</v>
          </cell>
          <cell r="J195">
            <v>0</v>
          </cell>
          <cell r="L195">
            <v>0</v>
          </cell>
          <cell r="S195">
            <v>95338</v>
          </cell>
          <cell r="V195">
            <v>128747</v>
          </cell>
        </row>
        <row r="196">
          <cell r="E196">
            <v>50</v>
          </cell>
          <cell r="G196">
            <v>7300</v>
          </cell>
          <cell r="J196">
            <v>0</v>
          </cell>
          <cell r="L196">
            <v>0</v>
          </cell>
          <cell r="S196">
            <v>97405</v>
          </cell>
          <cell r="V196">
            <v>97405</v>
          </cell>
        </row>
        <row r="197">
          <cell r="E197">
            <v>79</v>
          </cell>
          <cell r="G197">
            <v>11534</v>
          </cell>
          <cell r="J197">
            <v>0</v>
          </cell>
          <cell r="L197">
            <v>0</v>
          </cell>
          <cell r="S197">
            <v>101669</v>
          </cell>
          <cell r="V197"/>
        </row>
        <row r="198">
          <cell r="E198">
            <v>140</v>
          </cell>
          <cell r="G198">
            <v>20440</v>
          </cell>
          <cell r="J198">
            <v>15</v>
          </cell>
          <cell r="L198">
            <v>8385</v>
          </cell>
          <cell r="S198">
            <v>118970</v>
          </cell>
          <cell r="V198">
            <v>220639</v>
          </cell>
        </row>
        <row r="199">
          <cell r="E199">
            <v>553</v>
          </cell>
          <cell r="G199">
            <v>80738</v>
          </cell>
          <cell r="J199">
            <v>9</v>
          </cell>
          <cell r="L199">
            <v>5031</v>
          </cell>
          <cell r="S199">
            <v>178037</v>
          </cell>
          <cell r="V199"/>
        </row>
        <row r="200">
          <cell r="E200">
            <v>220</v>
          </cell>
          <cell r="G200">
            <v>32120</v>
          </cell>
          <cell r="J200">
            <v>10</v>
          </cell>
          <cell r="L200">
            <v>5590</v>
          </cell>
          <cell r="S200">
            <v>129981</v>
          </cell>
          <cell r="V200">
            <v>308018</v>
          </cell>
        </row>
        <row r="201">
          <cell r="E201">
            <v>209</v>
          </cell>
          <cell r="G201">
            <v>30514</v>
          </cell>
          <cell r="J201">
            <v>10</v>
          </cell>
          <cell r="L201">
            <v>5590</v>
          </cell>
          <cell r="S201">
            <v>128378</v>
          </cell>
          <cell r="V201">
            <v>128378</v>
          </cell>
        </row>
        <row r="202">
          <cell r="E202">
            <v>198</v>
          </cell>
          <cell r="G202">
            <v>28908</v>
          </cell>
          <cell r="J202">
            <v>8</v>
          </cell>
          <cell r="L202">
            <v>4472</v>
          </cell>
          <cell r="S202">
            <v>125683</v>
          </cell>
          <cell r="V202">
            <v>125683</v>
          </cell>
        </row>
        <row r="203">
          <cell r="E203">
            <v>230</v>
          </cell>
          <cell r="G203">
            <v>33580</v>
          </cell>
          <cell r="J203">
            <v>2</v>
          </cell>
          <cell r="L203">
            <v>1118</v>
          </cell>
          <cell r="S203">
            <v>127031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5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132925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133085</v>
          </cell>
          <cell r="V177">
            <v>266010</v>
          </cell>
        </row>
        <row r="178">
          <cell r="E178">
            <v>637</v>
          </cell>
          <cell r="G178">
            <v>93002</v>
          </cell>
          <cell r="J178">
            <v>78</v>
          </cell>
          <cell r="L178">
            <v>43602</v>
          </cell>
          <cell r="S178">
            <v>269868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133403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133471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133336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133349</v>
          </cell>
          <cell r="V182"/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133455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1017023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133603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133791</v>
          </cell>
          <cell r="V186">
            <v>267394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135722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135809</v>
          </cell>
          <cell r="V188">
            <v>271531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135884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136032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136193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136280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136450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136590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136739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136941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137007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136967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359662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139118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139136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139328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6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154536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160282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81141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79141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81875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81875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/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168004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84008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84008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7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132777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132925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133085</v>
          </cell>
          <cell r="V177"/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133264</v>
          </cell>
          <cell r="V178"/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133403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133471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133336</v>
          </cell>
          <cell r="V181"/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133349</v>
          </cell>
          <cell r="V182"/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1155748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80142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136450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136590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136739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136941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137007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445087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529090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613094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88000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88000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88000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88000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89000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89000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89000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100000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90000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89000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89000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90000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89000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89000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89000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89000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180000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90000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91000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95000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300000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147385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147406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154480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49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/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174282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83410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178013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83410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91856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/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176266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88160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88180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179917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89976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180021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180097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144946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145171</v>
          </cell>
          <cell r="V196">
            <v>150000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/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320397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92268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147385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147406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147627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0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80000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80000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80000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80000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80000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80000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80000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80000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80000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80000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80000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85000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85000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85000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85000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85000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85000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85000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85000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85000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85000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85000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85000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83000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83000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83000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83000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83000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1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148790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166028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76410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164013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/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/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/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/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136450</v>
          </cell>
          <cell r="V193"/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136590</v>
          </cell>
          <cell r="V194"/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136739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136941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137007</v>
          </cell>
          <cell r="V197">
            <v>1141048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136967</v>
          </cell>
          <cell r="V198">
            <v>160352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139096</v>
          </cell>
          <cell r="V199">
            <v>80176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139118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139136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139328</v>
          </cell>
          <cell r="V202"/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2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168536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/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174282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/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/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268423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/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>
            <v>176291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/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178102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/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179917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144133</v>
          </cell>
          <cell r="V190"/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144316</v>
          </cell>
          <cell r="V191">
            <v>179917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90080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198511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90061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/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180187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90135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182413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147385</v>
          </cell>
          <cell r="V200"/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147406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387094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3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87141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87141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87141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87141</v>
          </cell>
          <cell r="V178">
            <v>87141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87141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87141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87141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88131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88138</v>
          </cell>
          <cell r="V183">
            <v>88138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88138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141622</v>
          </cell>
          <cell r="V185">
            <v>88138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141830</v>
          </cell>
          <cell r="V186">
            <v>87141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87141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92138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89965</v>
          </cell>
          <cell r="V189">
            <v>88138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89976</v>
          </cell>
          <cell r="V190">
            <v>88138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89998</v>
          </cell>
          <cell r="V191">
            <v>88138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88138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88138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90061</v>
          </cell>
          <cell r="V194">
            <v>88138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90082</v>
          </cell>
          <cell r="V195">
            <v>88138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90105</v>
          </cell>
          <cell r="V196">
            <v>88138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90135</v>
          </cell>
          <cell r="V197">
            <v>88138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90145</v>
          </cell>
          <cell r="V198">
            <v>88138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92268</v>
          </cell>
          <cell r="V199">
            <v>88138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92271</v>
          </cell>
          <cell r="V200">
            <v>88138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92274</v>
          </cell>
          <cell r="V201">
            <v>88138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92303</v>
          </cell>
          <cell r="V202">
            <v>126629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92333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4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80141</v>
          </cell>
          <cell r="V175">
            <v>80141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80141</v>
          </cell>
          <cell r="V176">
            <v>80141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80141</v>
          </cell>
          <cell r="V177">
            <v>80141</v>
          </cell>
        </row>
        <row r="178">
          <cell r="E178">
            <v>0</v>
          </cell>
          <cell r="G178">
            <v>0</v>
          </cell>
          <cell r="J178">
            <v>0</v>
          </cell>
          <cell r="L178">
            <v>0</v>
          </cell>
          <cell r="S178">
            <v>80141</v>
          </cell>
          <cell r="V178">
            <v>80141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>
            <v>80141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80141</v>
          </cell>
          <cell r="V182">
            <v>80141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80141</v>
          </cell>
          <cell r="V184">
            <v>80141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80141</v>
          </cell>
          <cell r="V185">
            <v>80141</v>
          </cell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80141</v>
          </cell>
          <cell r="V186">
            <v>80141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81875</v>
          </cell>
          <cell r="V187">
            <v>81875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81875</v>
          </cell>
          <cell r="V188">
            <v>81875</v>
          </cell>
        </row>
        <row r="189">
          <cell r="E189">
            <v>0</v>
          </cell>
          <cell r="G189">
            <v>0</v>
          </cell>
          <cell r="J189">
            <v>0</v>
          </cell>
          <cell r="L189">
            <v>0</v>
          </cell>
          <cell r="S189">
            <v>81875</v>
          </cell>
          <cell r="V189">
            <v>81875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81875</v>
          </cell>
          <cell r="V191">
            <v>81875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>
            <v>81875</v>
          </cell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81875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>
            <v>81875</v>
          </cell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84004</v>
          </cell>
        </row>
        <row r="200">
          <cell r="E200">
            <v>0</v>
          </cell>
          <cell r="G200">
            <v>0</v>
          </cell>
          <cell r="J200">
            <v>0</v>
          </cell>
          <cell r="L200">
            <v>0</v>
          </cell>
          <cell r="S200">
            <v>84004</v>
          </cell>
          <cell r="V200">
            <v>84004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>
            <v>84004</v>
          </cell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84004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5">
        <row r="175">
          <cell r="E175">
            <v>303</v>
          </cell>
          <cell r="G175">
            <v>44238</v>
          </cell>
          <cell r="J175">
            <v>13</v>
          </cell>
          <cell r="L175">
            <v>7267</v>
          </cell>
          <cell r="S175">
            <v>138646</v>
          </cell>
          <cell r="V175"/>
        </row>
        <row r="176">
          <cell r="E176">
            <v>299</v>
          </cell>
          <cell r="G176">
            <v>43654</v>
          </cell>
          <cell r="J176">
            <v>11</v>
          </cell>
          <cell r="L176">
            <v>6149</v>
          </cell>
          <cell r="S176">
            <v>136944</v>
          </cell>
          <cell r="V176">
            <v>275590</v>
          </cell>
        </row>
        <row r="177">
          <cell r="E177">
            <v>272</v>
          </cell>
          <cell r="G177">
            <v>39712</v>
          </cell>
          <cell r="J177">
            <v>11</v>
          </cell>
          <cell r="L177">
            <v>6149</v>
          </cell>
          <cell r="S177">
            <v>133002</v>
          </cell>
          <cell r="V177"/>
        </row>
        <row r="178">
          <cell r="E178">
            <v>213</v>
          </cell>
          <cell r="G178">
            <v>31098</v>
          </cell>
          <cell r="J178">
            <v>8</v>
          </cell>
          <cell r="L178">
            <v>4472</v>
          </cell>
          <cell r="S178">
            <v>122711</v>
          </cell>
          <cell r="V178">
            <v>255713</v>
          </cell>
        </row>
        <row r="179">
          <cell r="E179">
            <v>196</v>
          </cell>
          <cell r="G179">
            <v>28616</v>
          </cell>
          <cell r="J179">
            <v>4</v>
          </cell>
          <cell r="L179">
            <v>2236</v>
          </cell>
          <cell r="S179">
            <v>117993</v>
          </cell>
          <cell r="V179">
            <v>117993</v>
          </cell>
        </row>
        <row r="180">
          <cell r="E180">
            <v>103</v>
          </cell>
          <cell r="G180">
            <v>15038</v>
          </cell>
          <cell r="J180">
            <v>4</v>
          </cell>
          <cell r="L180">
            <v>2236</v>
          </cell>
          <cell r="S180">
            <v>104415</v>
          </cell>
          <cell r="V180"/>
        </row>
        <row r="181">
          <cell r="E181">
            <v>87</v>
          </cell>
          <cell r="G181">
            <v>12702</v>
          </cell>
          <cell r="J181">
            <v>1</v>
          </cell>
          <cell r="L181">
            <v>559</v>
          </cell>
          <cell r="S181">
            <v>100402</v>
          </cell>
          <cell r="V181">
            <v>204817</v>
          </cell>
        </row>
        <row r="182">
          <cell r="E182">
            <v>122</v>
          </cell>
          <cell r="G182">
            <v>17812</v>
          </cell>
          <cell r="J182">
            <v>3</v>
          </cell>
          <cell r="L182">
            <v>1677</v>
          </cell>
          <cell r="S182">
            <v>107611</v>
          </cell>
          <cell r="V182">
            <v>107606</v>
          </cell>
        </row>
        <row r="183">
          <cell r="E183">
            <v>140</v>
          </cell>
          <cell r="G183">
            <v>20440</v>
          </cell>
          <cell r="J183">
            <v>11</v>
          </cell>
          <cell r="L183">
            <v>6149</v>
          </cell>
          <cell r="S183">
            <v>114727</v>
          </cell>
          <cell r="V183"/>
        </row>
        <row r="184">
          <cell r="E184">
            <v>276</v>
          </cell>
          <cell r="G184">
            <v>40296</v>
          </cell>
          <cell r="J184">
            <v>15</v>
          </cell>
          <cell r="L184">
            <v>8385</v>
          </cell>
          <cell r="S184">
            <v>136812</v>
          </cell>
          <cell r="V184">
            <v>251544</v>
          </cell>
        </row>
        <row r="185">
          <cell r="E185">
            <v>306</v>
          </cell>
          <cell r="G185">
            <v>44676</v>
          </cell>
          <cell r="J185">
            <v>20</v>
          </cell>
          <cell r="L185">
            <v>11180</v>
          </cell>
          <cell r="S185">
            <v>144016</v>
          </cell>
          <cell r="V185">
            <v>144016</v>
          </cell>
        </row>
        <row r="186">
          <cell r="E186">
            <v>286</v>
          </cell>
          <cell r="G186">
            <v>41756</v>
          </cell>
          <cell r="J186">
            <v>14</v>
          </cell>
          <cell r="L186">
            <v>7826</v>
          </cell>
          <cell r="S186">
            <v>137762</v>
          </cell>
          <cell r="V186">
            <v>137762</v>
          </cell>
        </row>
        <row r="187">
          <cell r="E187">
            <v>335</v>
          </cell>
          <cell r="G187">
            <v>48910</v>
          </cell>
          <cell r="J187">
            <v>10</v>
          </cell>
          <cell r="L187">
            <v>5590</v>
          </cell>
          <cell r="S187">
            <v>144422</v>
          </cell>
          <cell r="V187">
            <v>144422</v>
          </cell>
        </row>
        <row r="188">
          <cell r="E188">
            <v>256</v>
          </cell>
          <cell r="G188">
            <v>37376</v>
          </cell>
          <cell r="J188">
            <v>9</v>
          </cell>
          <cell r="L188">
            <v>5031</v>
          </cell>
          <cell r="S188">
            <v>132359</v>
          </cell>
          <cell r="V188">
            <v>132359</v>
          </cell>
        </row>
        <row r="189">
          <cell r="E189">
            <v>315</v>
          </cell>
          <cell r="G189">
            <v>45990</v>
          </cell>
          <cell r="J189">
            <v>5</v>
          </cell>
          <cell r="L189">
            <v>2795</v>
          </cell>
          <cell r="S189">
            <v>138750</v>
          </cell>
          <cell r="V189">
            <v>138750</v>
          </cell>
        </row>
        <row r="190">
          <cell r="E190">
            <v>297</v>
          </cell>
          <cell r="G190">
            <v>43362</v>
          </cell>
          <cell r="J190">
            <v>3</v>
          </cell>
          <cell r="L190">
            <v>1677</v>
          </cell>
          <cell r="S190">
            <v>135015</v>
          </cell>
          <cell r="V190">
            <v>135015</v>
          </cell>
        </row>
        <row r="191">
          <cell r="E191">
            <v>353</v>
          </cell>
          <cell r="G191">
            <v>51538</v>
          </cell>
          <cell r="J191">
            <v>3</v>
          </cell>
          <cell r="L191">
            <v>1677</v>
          </cell>
          <cell r="S191">
            <v>143213</v>
          </cell>
          <cell r="V191">
            <v>143213</v>
          </cell>
        </row>
        <row r="192">
          <cell r="E192">
            <v>316</v>
          </cell>
          <cell r="G192">
            <v>46136</v>
          </cell>
          <cell r="J192">
            <v>1</v>
          </cell>
          <cell r="L192">
            <v>559</v>
          </cell>
          <cell r="S192">
            <v>136718</v>
          </cell>
          <cell r="V192">
            <v>136718</v>
          </cell>
        </row>
        <row r="193">
          <cell r="E193">
            <v>312</v>
          </cell>
          <cell r="G193">
            <v>45552</v>
          </cell>
          <cell r="J193">
            <v>1</v>
          </cell>
          <cell r="L193">
            <v>559</v>
          </cell>
          <cell r="S193">
            <v>136147</v>
          </cell>
          <cell r="V193">
            <v>136147</v>
          </cell>
        </row>
        <row r="194">
          <cell r="E194">
            <v>418</v>
          </cell>
          <cell r="G194">
            <v>61028</v>
          </cell>
          <cell r="J194">
            <v>6</v>
          </cell>
          <cell r="L194">
            <v>3354</v>
          </cell>
          <cell r="S194">
            <v>154443</v>
          </cell>
          <cell r="V194">
            <v>154443</v>
          </cell>
        </row>
        <row r="195">
          <cell r="E195">
            <v>352</v>
          </cell>
          <cell r="G195">
            <v>51392</v>
          </cell>
          <cell r="J195">
            <v>7</v>
          </cell>
          <cell r="L195">
            <v>3913</v>
          </cell>
          <cell r="S195">
            <v>145387</v>
          </cell>
          <cell r="V195">
            <v>145387</v>
          </cell>
        </row>
        <row r="196">
          <cell r="E196">
            <v>361</v>
          </cell>
          <cell r="G196">
            <v>52706</v>
          </cell>
          <cell r="J196">
            <v>7</v>
          </cell>
          <cell r="L196">
            <v>3913</v>
          </cell>
          <cell r="S196">
            <v>146724</v>
          </cell>
          <cell r="V196">
            <v>146724</v>
          </cell>
        </row>
        <row r="197">
          <cell r="E197">
            <v>316</v>
          </cell>
          <cell r="G197">
            <v>46136</v>
          </cell>
          <cell r="J197">
            <v>22</v>
          </cell>
          <cell r="L197">
            <v>12298</v>
          </cell>
          <cell r="S197">
            <v>205689</v>
          </cell>
          <cell r="V197">
            <v>205689</v>
          </cell>
        </row>
        <row r="198">
          <cell r="E198">
            <v>246</v>
          </cell>
          <cell r="G198">
            <v>35916</v>
          </cell>
          <cell r="J198">
            <v>16</v>
          </cell>
          <cell r="L198">
            <v>8944</v>
          </cell>
          <cell r="S198">
            <v>135005</v>
          </cell>
          <cell r="V198">
            <v>135005</v>
          </cell>
        </row>
        <row r="199">
          <cell r="E199">
            <v>311</v>
          </cell>
          <cell r="G199">
            <v>45406</v>
          </cell>
          <cell r="J199">
            <v>31</v>
          </cell>
          <cell r="L199">
            <v>17329</v>
          </cell>
          <cell r="S199">
            <v>155003</v>
          </cell>
          <cell r="V199">
            <v>155003</v>
          </cell>
        </row>
        <row r="200">
          <cell r="E200">
            <v>292</v>
          </cell>
          <cell r="G200">
            <v>42632</v>
          </cell>
          <cell r="J200">
            <v>35</v>
          </cell>
          <cell r="L200">
            <v>19565</v>
          </cell>
          <cell r="S200">
            <v>154468</v>
          </cell>
          <cell r="V200">
            <v>154468</v>
          </cell>
        </row>
        <row r="201">
          <cell r="E201">
            <v>264</v>
          </cell>
          <cell r="G201">
            <v>38544</v>
          </cell>
          <cell r="J201">
            <v>26</v>
          </cell>
          <cell r="L201">
            <v>14534</v>
          </cell>
          <cell r="S201">
            <v>145352</v>
          </cell>
          <cell r="V201">
            <v>145352</v>
          </cell>
        </row>
        <row r="202">
          <cell r="E202">
            <v>264</v>
          </cell>
          <cell r="G202">
            <v>38544</v>
          </cell>
          <cell r="J202">
            <v>28</v>
          </cell>
          <cell r="L202">
            <v>15652</v>
          </cell>
          <cell r="S202">
            <v>146499</v>
          </cell>
          <cell r="V202">
            <v>146499</v>
          </cell>
        </row>
        <row r="203">
          <cell r="E203">
            <v>365</v>
          </cell>
          <cell r="G203">
            <v>53290</v>
          </cell>
          <cell r="J203">
            <v>23</v>
          </cell>
          <cell r="L203">
            <v>12857</v>
          </cell>
          <cell r="S203">
            <v>158480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6">
        <row r="175">
          <cell r="E175">
            <v>771</v>
          </cell>
          <cell r="G175">
            <v>112566</v>
          </cell>
          <cell r="J175">
            <v>130</v>
          </cell>
          <cell r="L175">
            <v>74470</v>
          </cell>
          <cell r="S175">
            <v>274177</v>
          </cell>
          <cell r="V175">
            <v>143263</v>
          </cell>
        </row>
        <row r="176">
          <cell r="E176">
            <v>120</v>
          </cell>
          <cell r="G176">
            <v>17520</v>
          </cell>
          <cell r="J176">
            <v>35</v>
          </cell>
          <cell r="L176">
            <v>19565</v>
          </cell>
          <cell r="S176">
            <v>124226</v>
          </cell>
          <cell r="V176">
            <v>200000</v>
          </cell>
        </row>
        <row r="177">
          <cell r="E177">
            <v>212</v>
          </cell>
          <cell r="G177">
            <v>30952</v>
          </cell>
          <cell r="J177">
            <v>48</v>
          </cell>
          <cell r="L177">
            <v>26832</v>
          </cell>
          <cell r="S177">
            <v>144925</v>
          </cell>
          <cell r="V177">
            <v>200000</v>
          </cell>
        </row>
        <row r="178">
          <cell r="E178">
            <v>164</v>
          </cell>
          <cell r="G178">
            <v>23944</v>
          </cell>
          <cell r="J178">
            <v>39</v>
          </cell>
          <cell r="L178">
            <v>21801</v>
          </cell>
          <cell r="S178">
            <v>132886</v>
          </cell>
          <cell r="V178">
            <v>200000</v>
          </cell>
        </row>
        <row r="179">
          <cell r="E179">
            <v>75</v>
          </cell>
          <cell r="G179">
            <v>10950</v>
          </cell>
          <cell r="J179">
            <v>6</v>
          </cell>
          <cell r="L179">
            <v>3354</v>
          </cell>
          <cell r="S179">
            <v>101445</v>
          </cell>
          <cell r="V179">
            <v>200000</v>
          </cell>
        </row>
        <row r="180">
          <cell r="E180">
            <v>25</v>
          </cell>
          <cell r="G180">
            <v>3650</v>
          </cell>
          <cell r="J180">
            <v>1</v>
          </cell>
          <cell r="L180">
            <v>559</v>
          </cell>
          <cell r="S180">
            <v>91350</v>
          </cell>
          <cell r="V180">
            <v>200000</v>
          </cell>
        </row>
        <row r="181">
          <cell r="E181">
            <v>24</v>
          </cell>
          <cell r="G181">
            <v>3504</v>
          </cell>
          <cell r="J181">
            <v>2</v>
          </cell>
          <cell r="L181">
            <v>1118</v>
          </cell>
          <cell r="S181">
            <v>91763</v>
          </cell>
          <cell r="V181"/>
        </row>
        <row r="182">
          <cell r="E182">
            <v>49</v>
          </cell>
          <cell r="G182">
            <v>7154</v>
          </cell>
          <cell r="J182">
            <v>6</v>
          </cell>
          <cell r="L182">
            <v>3354</v>
          </cell>
          <cell r="S182">
            <v>98630</v>
          </cell>
          <cell r="V182">
            <v>215016</v>
          </cell>
        </row>
        <row r="183">
          <cell r="E183">
            <v>24</v>
          </cell>
          <cell r="G183">
            <v>3504</v>
          </cell>
          <cell r="J183">
            <v>1</v>
          </cell>
          <cell r="L183">
            <v>559</v>
          </cell>
          <cell r="S183">
            <v>92201</v>
          </cell>
          <cell r="V183">
            <v>92201</v>
          </cell>
        </row>
        <row r="184">
          <cell r="E184">
            <v>15</v>
          </cell>
          <cell r="G184">
            <v>2190</v>
          </cell>
          <cell r="J184">
            <v>15</v>
          </cell>
          <cell r="L184">
            <v>8385</v>
          </cell>
          <cell r="S184">
            <v>98706</v>
          </cell>
          <cell r="V184"/>
        </row>
        <row r="185">
          <cell r="E185">
            <v>77</v>
          </cell>
          <cell r="G185">
            <v>11242</v>
          </cell>
          <cell r="J185">
            <v>107</v>
          </cell>
          <cell r="L185">
            <v>59813</v>
          </cell>
          <cell r="S185">
            <v>159215</v>
          </cell>
          <cell r="V185">
            <v>257921</v>
          </cell>
        </row>
        <row r="186">
          <cell r="E186">
            <v>192</v>
          </cell>
          <cell r="G186">
            <v>28032</v>
          </cell>
          <cell r="J186">
            <v>61</v>
          </cell>
          <cell r="L186">
            <v>34099</v>
          </cell>
          <cell r="S186">
            <v>150311</v>
          </cell>
          <cell r="V186">
            <v>100000</v>
          </cell>
        </row>
        <row r="187">
          <cell r="E187">
            <v>184</v>
          </cell>
          <cell r="G187">
            <v>26864</v>
          </cell>
          <cell r="J187">
            <v>40</v>
          </cell>
          <cell r="L187">
            <v>22360</v>
          </cell>
          <cell r="S187">
            <v>139146</v>
          </cell>
          <cell r="V187">
            <v>100000</v>
          </cell>
        </row>
        <row r="188">
          <cell r="E188">
            <v>119</v>
          </cell>
          <cell r="G188">
            <v>17374</v>
          </cell>
          <cell r="J188">
            <v>47</v>
          </cell>
          <cell r="L188">
            <v>26273</v>
          </cell>
          <cell r="S188">
            <v>133599</v>
          </cell>
          <cell r="V188">
            <v>100000</v>
          </cell>
        </row>
        <row r="189">
          <cell r="E189">
            <v>146</v>
          </cell>
          <cell r="G189">
            <v>21316</v>
          </cell>
          <cell r="J189">
            <v>20</v>
          </cell>
          <cell r="L189">
            <v>11180</v>
          </cell>
          <cell r="S189">
            <v>122461</v>
          </cell>
          <cell r="V189">
            <v>100000</v>
          </cell>
        </row>
        <row r="190">
          <cell r="E190">
            <v>110</v>
          </cell>
          <cell r="G190">
            <v>16060</v>
          </cell>
          <cell r="J190">
            <v>17</v>
          </cell>
          <cell r="L190">
            <v>9503</v>
          </cell>
          <cell r="S190">
            <v>115539</v>
          </cell>
          <cell r="V190">
            <v>150000</v>
          </cell>
        </row>
        <row r="191">
          <cell r="E191">
            <v>106</v>
          </cell>
          <cell r="G191">
            <v>15476</v>
          </cell>
          <cell r="J191">
            <v>10</v>
          </cell>
          <cell r="L191">
            <v>5590</v>
          </cell>
          <cell r="S191">
            <v>111064</v>
          </cell>
          <cell r="V191">
            <v>100000</v>
          </cell>
        </row>
        <row r="192">
          <cell r="E192">
            <v>77</v>
          </cell>
          <cell r="G192">
            <v>11242</v>
          </cell>
          <cell r="J192">
            <v>5</v>
          </cell>
          <cell r="L192">
            <v>2795</v>
          </cell>
          <cell r="S192">
            <v>104060</v>
          </cell>
          <cell r="V192">
            <v>100000</v>
          </cell>
        </row>
        <row r="193">
          <cell r="E193">
            <v>129</v>
          </cell>
          <cell r="G193">
            <v>18834</v>
          </cell>
          <cell r="J193">
            <v>8</v>
          </cell>
          <cell r="L193">
            <v>4472</v>
          </cell>
          <cell r="S193">
            <v>113342</v>
          </cell>
          <cell r="V193">
            <v>105000</v>
          </cell>
        </row>
        <row r="194">
          <cell r="E194">
            <v>77</v>
          </cell>
          <cell r="G194">
            <v>11242</v>
          </cell>
          <cell r="J194">
            <v>3</v>
          </cell>
          <cell r="L194">
            <v>1677</v>
          </cell>
          <cell r="S194">
            <v>102980</v>
          </cell>
          <cell r="V194">
            <v>110000</v>
          </cell>
        </row>
        <row r="195">
          <cell r="E195">
            <v>87</v>
          </cell>
          <cell r="G195">
            <v>12702</v>
          </cell>
          <cell r="J195">
            <v>7</v>
          </cell>
          <cell r="L195">
            <v>3913</v>
          </cell>
          <cell r="S195">
            <v>106697</v>
          </cell>
          <cell r="V195">
            <v>150000</v>
          </cell>
        </row>
        <row r="196">
          <cell r="E196">
            <v>63</v>
          </cell>
          <cell r="G196">
            <v>9198</v>
          </cell>
          <cell r="J196">
            <v>16</v>
          </cell>
          <cell r="L196">
            <v>8944</v>
          </cell>
          <cell r="S196">
            <v>108247</v>
          </cell>
          <cell r="V196">
            <v>151000</v>
          </cell>
        </row>
        <row r="197">
          <cell r="E197">
            <v>89</v>
          </cell>
          <cell r="G197">
            <v>12994</v>
          </cell>
          <cell r="J197">
            <v>43</v>
          </cell>
          <cell r="L197">
            <v>24037</v>
          </cell>
          <cell r="S197">
            <v>127166</v>
          </cell>
          <cell r="V197">
            <v>105000</v>
          </cell>
        </row>
        <row r="198">
          <cell r="E198">
            <v>128</v>
          </cell>
          <cell r="G198">
            <v>18688</v>
          </cell>
          <cell r="J198">
            <v>10</v>
          </cell>
          <cell r="L198">
            <v>5590</v>
          </cell>
          <cell r="S198">
            <v>114423</v>
          </cell>
          <cell r="V198">
            <v>150000</v>
          </cell>
        </row>
        <row r="199">
          <cell r="E199">
            <v>242</v>
          </cell>
          <cell r="G199">
            <v>35332</v>
          </cell>
          <cell r="J199">
            <v>18</v>
          </cell>
          <cell r="L199">
            <v>10062</v>
          </cell>
          <cell r="S199">
            <v>137662</v>
          </cell>
          <cell r="V199">
            <v>101000</v>
          </cell>
        </row>
        <row r="200">
          <cell r="E200">
            <v>257</v>
          </cell>
          <cell r="G200">
            <v>37522</v>
          </cell>
          <cell r="J200">
            <v>14</v>
          </cell>
          <cell r="L200">
            <v>7826</v>
          </cell>
          <cell r="S200">
            <v>137619</v>
          </cell>
          <cell r="V200">
            <v>105000</v>
          </cell>
        </row>
        <row r="201">
          <cell r="E201">
            <v>155</v>
          </cell>
          <cell r="G201">
            <v>22630</v>
          </cell>
          <cell r="J201">
            <v>21</v>
          </cell>
          <cell r="L201">
            <v>11739</v>
          </cell>
          <cell r="S201">
            <v>126643</v>
          </cell>
          <cell r="V201">
            <v>150000</v>
          </cell>
        </row>
        <row r="202">
          <cell r="E202">
            <v>84</v>
          </cell>
          <cell r="G202">
            <v>12264</v>
          </cell>
          <cell r="J202">
            <v>6</v>
          </cell>
          <cell r="L202">
            <v>3354</v>
          </cell>
          <cell r="S202">
            <v>107921</v>
          </cell>
          <cell r="V202">
            <v>100000</v>
          </cell>
        </row>
        <row r="203">
          <cell r="E203">
            <v>182</v>
          </cell>
          <cell r="G203">
            <v>26572</v>
          </cell>
          <cell r="J203">
            <v>30</v>
          </cell>
          <cell r="L203">
            <v>16770</v>
          </cell>
          <cell r="S203">
            <v>135675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7">
        <row r="175">
          <cell r="E175">
            <v>255</v>
          </cell>
          <cell r="G175">
            <v>37230</v>
          </cell>
          <cell r="J175">
            <v>162</v>
          </cell>
          <cell r="L175">
            <v>104598</v>
          </cell>
          <cell r="S175">
            <v>228969</v>
          </cell>
          <cell r="V175">
            <v>228969</v>
          </cell>
        </row>
        <row r="176">
          <cell r="E176">
            <v>204</v>
          </cell>
          <cell r="G176">
            <v>29784</v>
          </cell>
          <cell r="J176">
            <v>72</v>
          </cell>
          <cell r="L176">
            <v>40248</v>
          </cell>
          <cell r="S176">
            <v>157173</v>
          </cell>
          <cell r="V176">
            <v>157173</v>
          </cell>
        </row>
        <row r="177">
          <cell r="E177">
            <v>283</v>
          </cell>
          <cell r="G177">
            <v>41318</v>
          </cell>
          <cell r="J177">
            <v>67</v>
          </cell>
          <cell r="L177">
            <v>37453</v>
          </cell>
          <cell r="S177">
            <v>165912</v>
          </cell>
          <cell r="V177">
            <v>165912</v>
          </cell>
        </row>
        <row r="178">
          <cell r="E178">
            <v>226</v>
          </cell>
          <cell r="G178">
            <v>32996</v>
          </cell>
          <cell r="J178">
            <v>70</v>
          </cell>
          <cell r="L178">
            <v>39130</v>
          </cell>
          <cell r="S178">
            <v>159267</v>
          </cell>
          <cell r="V178">
            <v>159267</v>
          </cell>
        </row>
        <row r="179">
          <cell r="E179">
            <v>174</v>
          </cell>
          <cell r="G179">
            <v>25404</v>
          </cell>
          <cell r="J179">
            <v>35</v>
          </cell>
          <cell r="L179">
            <v>19565</v>
          </cell>
          <cell r="S179">
            <v>132110</v>
          </cell>
          <cell r="V179">
            <v>132110</v>
          </cell>
        </row>
        <row r="180">
          <cell r="E180">
            <v>162</v>
          </cell>
          <cell r="G180">
            <v>23652</v>
          </cell>
          <cell r="J180">
            <v>33</v>
          </cell>
          <cell r="L180">
            <v>18447</v>
          </cell>
          <cell r="S180">
            <v>129240</v>
          </cell>
          <cell r="V180">
            <v>129240</v>
          </cell>
        </row>
        <row r="181">
          <cell r="E181">
            <v>103</v>
          </cell>
          <cell r="G181">
            <v>15038</v>
          </cell>
          <cell r="J181">
            <v>26</v>
          </cell>
          <cell r="L181">
            <v>14534</v>
          </cell>
          <cell r="S181">
            <v>116713</v>
          </cell>
          <cell r="V181">
            <v>116713</v>
          </cell>
        </row>
        <row r="182">
          <cell r="E182">
            <v>254</v>
          </cell>
          <cell r="G182">
            <v>37084</v>
          </cell>
          <cell r="J182">
            <v>36</v>
          </cell>
          <cell r="L182">
            <v>20124</v>
          </cell>
          <cell r="S182">
            <v>145330</v>
          </cell>
          <cell r="V182">
            <v>145330</v>
          </cell>
        </row>
        <row r="183">
          <cell r="E183">
            <v>251</v>
          </cell>
          <cell r="G183">
            <v>36646</v>
          </cell>
          <cell r="J183">
            <v>40</v>
          </cell>
          <cell r="L183">
            <v>22360</v>
          </cell>
          <cell r="S183">
            <v>147144</v>
          </cell>
          <cell r="V183">
            <v>147144</v>
          </cell>
        </row>
        <row r="184">
          <cell r="E184">
            <v>163</v>
          </cell>
          <cell r="G184">
            <v>23798</v>
          </cell>
          <cell r="J184">
            <v>32</v>
          </cell>
          <cell r="L184">
            <v>17888</v>
          </cell>
          <cell r="S184">
            <v>129817</v>
          </cell>
          <cell r="V184">
            <v>129817</v>
          </cell>
        </row>
        <row r="185">
          <cell r="E185">
            <v>195</v>
          </cell>
          <cell r="G185">
            <v>28470</v>
          </cell>
          <cell r="J185">
            <v>61</v>
          </cell>
          <cell r="L185">
            <v>34099</v>
          </cell>
          <cell r="S185">
            <v>150729</v>
          </cell>
          <cell r="V185">
            <v>150729</v>
          </cell>
        </row>
        <row r="186">
          <cell r="E186">
            <v>217</v>
          </cell>
          <cell r="G186">
            <v>31682</v>
          </cell>
          <cell r="J186">
            <v>80</v>
          </cell>
          <cell r="L186">
            <v>44720</v>
          </cell>
          <cell r="S186">
            <v>164582</v>
          </cell>
          <cell r="V186">
            <v>164582</v>
          </cell>
        </row>
        <row r="187">
          <cell r="E187">
            <v>239</v>
          </cell>
          <cell r="G187">
            <v>34894</v>
          </cell>
          <cell r="J187">
            <v>82</v>
          </cell>
          <cell r="L187">
            <v>45838</v>
          </cell>
          <cell r="S187">
            <v>170654</v>
          </cell>
          <cell r="V187">
            <v>170654</v>
          </cell>
        </row>
        <row r="188">
          <cell r="E188">
            <v>126</v>
          </cell>
          <cell r="G188">
            <v>18396</v>
          </cell>
          <cell r="J188">
            <v>49</v>
          </cell>
          <cell r="L188">
            <v>27391</v>
          </cell>
          <cell r="S188">
            <v>135739</v>
          </cell>
          <cell r="V188">
            <v>135739</v>
          </cell>
        </row>
        <row r="189">
          <cell r="E189">
            <v>171</v>
          </cell>
          <cell r="G189">
            <v>24966</v>
          </cell>
          <cell r="J189">
            <v>88</v>
          </cell>
          <cell r="L189">
            <v>49192</v>
          </cell>
          <cell r="S189">
            <v>164123</v>
          </cell>
          <cell r="V189">
            <v>164123</v>
          </cell>
        </row>
        <row r="190">
          <cell r="E190">
            <v>161</v>
          </cell>
          <cell r="G190">
            <v>23506</v>
          </cell>
          <cell r="J190">
            <v>55</v>
          </cell>
          <cell r="L190">
            <v>30745</v>
          </cell>
          <cell r="S190">
            <v>144227</v>
          </cell>
          <cell r="V190">
            <v>144227</v>
          </cell>
        </row>
        <row r="191">
          <cell r="E191">
            <v>140</v>
          </cell>
          <cell r="G191">
            <v>20440</v>
          </cell>
          <cell r="J191">
            <v>101</v>
          </cell>
          <cell r="L191">
            <v>56459</v>
          </cell>
          <cell r="S191">
            <v>166897</v>
          </cell>
          <cell r="V191">
            <v>166897</v>
          </cell>
        </row>
        <row r="192">
          <cell r="E192">
            <v>144</v>
          </cell>
          <cell r="G192">
            <v>21024</v>
          </cell>
          <cell r="J192">
            <v>2</v>
          </cell>
          <cell r="L192">
            <v>1118</v>
          </cell>
          <cell r="S192">
            <v>112165</v>
          </cell>
          <cell r="V192">
            <v>112165</v>
          </cell>
        </row>
        <row r="193">
          <cell r="E193">
            <v>149</v>
          </cell>
          <cell r="G193">
            <v>21754</v>
          </cell>
          <cell r="J193">
            <v>13</v>
          </cell>
          <cell r="L193">
            <v>7267</v>
          </cell>
          <cell r="S193">
            <v>119057</v>
          </cell>
          <cell r="V193">
            <v>119057</v>
          </cell>
        </row>
        <row r="194">
          <cell r="E194">
            <v>144</v>
          </cell>
          <cell r="G194">
            <v>21024</v>
          </cell>
          <cell r="J194">
            <v>22</v>
          </cell>
          <cell r="L194">
            <v>12298</v>
          </cell>
          <cell r="S194">
            <v>123383</v>
          </cell>
          <cell r="V194">
            <v>123383</v>
          </cell>
        </row>
        <row r="195">
          <cell r="E195">
            <v>168</v>
          </cell>
          <cell r="G195">
            <v>24528</v>
          </cell>
          <cell r="J195">
            <v>43</v>
          </cell>
          <cell r="L195">
            <v>24037</v>
          </cell>
          <cell r="S195">
            <v>138647</v>
          </cell>
          <cell r="V195">
            <v>138647</v>
          </cell>
        </row>
        <row r="196">
          <cell r="E196">
            <v>191</v>
          </cell>
          <cell r="G196">
            <v>27886</v>
          </cell>
          <cell r="J196">
            <v>20</v>
          </cell>
          <cell r="L196">
            <v>11180</v>
          </cell>
          <cell r="S196">
            <v>129171</v>
          </cell>
          <cell r="V196">
            <v>129171</v>
          </cell>
        </row>
        <row r="197">
          <cell r="E197">
            <v>320</v>
          </cell>
          <cell r="G197">
            <v>46720</v>
          </cell>
          <cell r="J197">
            <v>91</v>
          </cell>
          <cell r="L197">
            <v>50869</v>
          </cell>
          <cell r="S197">
            <v>187724</v>
          </cell>
          <cell r="V197">
            <v>187724</v>
          </cell>
        </row>
        <row r="198">
          <cell r="E198">
            <v>322</v>
          </cell>
          <cell r="G198">
            <v>47012</v>
          </cell>
          <cell r="J198">
            <v>78</v>
          </cell>
          <cell r="L198">
            <v>43602</v>
          </cell>
          <cell r="S198">
            <v>180759</v>
          </cell>
          <cell r="V198">
            <v>180759</v>
          </cell>
        </row>
        <row r="199">
          <cell r="E199">
            <v>243</v>
          </cell>
          <cell r="G199">
            <v>35478</v>
          </cell>
          <cell r="J199">
            <v>73</v>
          </cell>
          <cell r="L199">
            <v>40807</v>
          </cell>
          <cell r="S199">
            <v>168553</v>
          </cell>
          <cell r="V199">
            <v>168553</v>
          </cell>
        </row>
        <row r="200">
          <cell r="E200">
            <v>253</v>
          </cell>
          <cell r="G200">
            <v>36938</v>
          </cell>
          <cell r="J200">
            <v>80</v>
          </cell>
          <cell r="L200">
            <v>44720</v>
          </cell>
          <cell r="S200">
            <v>173929</v>
          </cell>
          <cell r="V200">
            <v>173929</v>
          </cell>
        </row>
        <row r="201">
          <cell r="E201">
            <v>188</v>
          </cell>
          <cell r="G201">
            <v>27448</v>
          </cell>
          <cell r="J201">
            <v>67</v>
          </cell>
          <cell r="L201">
            <v>37453</v>
          </cell>
          <cell r="S201">
            <v>157175</v>
          </cell>
          <cell r="V201">
            <v>157175</v>
          </cell>
        </row>
        <row r="202">
          <cell r="E202">
            <v>222</v>
          </cell>
          <cell r="G202">
            <v>32412</v>
          </cell>
          <cell r="J202">
            <v>71</v>
          </cell>
          <cell r="L202">
            <v>39689</v>
          </cell>
          <cell r="S202">
            <v>164404</v>
          </cell>
          <cell r="V202">
            <v>164404</v>
          </cell>
        </row>
        <row r="203">
          <cell r="E203">
            <v>358</v>
          </cell>
          <cell r="G203">
            <v>52268</v>
          </cell>
          <cell r="J203">
            <v>73</v>
          </cell>
          <cell r="L203">
            <v>40807</v>
          </cell>
          <cell r="S203">
            <v>185408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8">
        <row r="175">
          <cell r="E175">
            <v>0</v>
          </cell>
          <cell r="G175">
            <v>0</v>
          </cell>
          <cell r="J175">
            <v>0</v>
          </cell>
          <cell r="L175">
            <v>0</v>
          </cell>
          <cell r="S175">
            <v>87141</v>
          </cell>
          <cell r="V175">
            <v>74395</v>
          </cell>
        </row>
        <row r="176">
          <cell r="E176">
            <v>0</v>
          </cell>
          <cell r="G176">
            <v>0</v>
          </cell>
          <cell r="J176">
            <v>0</v>
          </cell>
          <cell r="L176">
            <v>0</v>
          </cell>
          <cell r="S176">
            <v>87141</v>
          </cell>
          <cell r="V176">
            <v>74395</v>
          </cell>
        </row>
        <row r="177">
          <cell r="E177">
            <v>0</v>
          </cell>
          <cell r="G177">
            <v>0</v>
          </cell>
          <cell r="J177">
            <v>0</v>
          </cell>
          <cell r="L177">
            <v>0</v>
          </cell>
          <cell r="S177">
            <v>87141</v>
          </cell>
          <cell r="V177">
            <v>74395</v>
          </cell>
        </row>
        <row r="178">
          <cell r="E178">
            <v>0</v>
          </cell>
          <cell r="G178">
            <v>0</v>
          </cell>
          <cell r="J178">
            <v>70</v>
          </cell>
          <cell r="L178">
            <v>39130</v>
          </cell>
          <cell r="S178">
            <v>126271</v>
          </cell>
          <cell r="V178">
            <v>187814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87141</v>
          </cell>
          <cell r="V179">
            <v>126271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87141</v>
          </cell>
          <cell r="V180">
            <v>48011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87141</v>
          </cell>
          <cell r="V181">
            <v>126271</v>
          </cell>
        </row>
        <row r="182">
          <cell r="E182">
            <v>0</v>
          </cell>
          <cell r="G182">
            <v>0</v>
          </cell>
          <cell r="J182">
            <v>0</v>
          </cell>
          <cell r="L182">
            <v>0</v>
          </cell>
          <cell r="S182">
            <v>88122</v>
          </cell>
          <cell r="V182">
            <v>88122</v>
          </cell>
        </row>
        <row r="183">
          <cell r="E183">
            <v>0</v>
          </cell>
          <cell r="G183">
            <v>0</v>
          </cell>
          <cell r="J183">
            <v>1</v>
          </cell>
          <cell r="L183">
            <v>559</v>
          </cell>
          <cell r="S183">
            <v>88697</v>
          </cell>
          <cell r="V183">
            <v>88697</v>
          </cell>
        </row>
        <row r="184">
          <cell r="E184">
            <v>0</v>
          </cell>
          <cell r="G184">
            <v>0</v>
          </cell>
          <cell r="J184">
            <v>0</v>
          </cell>
          <cell r="L184">
            <v>0</v>
          </cell>
          <cell r="S184">
            <v>88131</v>
          </cell>
          <cell r="V184">
            <v>88131</v>
          </cell>
        </row>
        <row r="185">
          <cell r="E185">
            <v>0</v>
          </cell>
          <cell r="G185">
            <v>0</v>
          </cell>
          <cell r="J185">
            <v>0</v>
          </cell>
          <cell r="L185">
            <v>0</v>
          </cell>
          <cell r="S185">
            <v>88160</v>
          </cell>
          <cell r="V185"/>
        </row>
        <row r="186">
          <cell r="E186">
            <v>0</v>
          </cell>
          <cell r="G186">
            <v>0</v>
          </cell>
          <cell r="J186">
            <v>0</v>
          </cell>
          <cell r="L186">
            <v>0</v>
          </cell>
          <cell r="S186">
            <v>88180</v>
          </cell>
          <cell r="V186">
            <v>176340</v>
          </cell>
        </row>
        <row r="187">
          <cell r="E187">
            <v>0</v>
          </cell>
          <cell r="G187">
            <v>0</v>
          </cell>
          <cell r="J187">
            <v>0</v>
          </cell>
          <cell r="L187">
            <v>0</v>
          </cell>
          <cell r="S187">
            <v>89922</v>
          </cell>
          <cell r="V187">
            <v>89922</v>
          </cell>
        </row>
        <row r="188">
          <cell r="E188">
            <v>0</v>
          </cell>
          <cell r="G188">
            <v>0</v>
          </cell>
          <cell r="J188">
            <v>0</v>
          </cell>
          <cell r="L188">
            <v>0</v>
          </cell>
          <cell r="S188">
            <v>89952</v>
          </cell>
          <cell r="V188">
            <v>89952</v>
          </cell>
        </row>
        <row r="189">
          <cell r="E189">
            <v>0</v>
          </cell>
          <cell r="G189">
            <v>0</v>
          </cell>
          <cell r="J189">
            <v>1</v>
          </cell>
          <cell r="L189">
            <v>559</v>
          </cell>
          <cell r="S189">
            <v>90524</v>
          </cell>
          <cell r="V189">
            <v>90524</v>
          </cell>
        </row>
        <row r="190">
          <cell r="E190">
            <v>0</v>
          </cell>
          <cell r="G190">
            <v>0</v>
          </cell>
          <cell r="J190">
            <v>2</v>
          </cell>
          <cell r="L190">
            <v>1118</v>
          </cell>
          <cell r="S190">
            <v>91094</v>
          </cell>
          <cell r="V190">
            <v>91094</v>
          </cell>
        </row>
        <row r="191">
          <cell r="E191">
            <v>0</v>
          </cell>
          <cell r="G191">
            <v>0</v>
          </cell>
          <cell r="J191">
            <v>4</v>
          </cell>
          <cell r="L191">
            <v>2236</v>
          </cell>
          <cell r="S191">
            <v>92234</v>
          </cell>
          <cell r="V191">
            <v>92234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90023</v>
          </cell>
          <cell r="V192">
            <v>90023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90036</v>
          </cell>
          <cell r="V193">
            <v>90036</v>
          </cell>
        </row>
        <row r="194">
          <cell r="E194">
            <v>0</v>
          </cell>
          <cell r="G194">
            <v>0</v>
          </cell>
          <cell r="J194">
            <v>1</v>
          </cell>
          <cell r="L194">
            <v>559</v>
          </cell>
          <cell r="S194">
            <v>90620</v>
          </cell>
          <cell r="V194">
            <v>90620</v>
          </cell>
        </row>
        <row r="195">
          <cell r="E195">
            <v>0</v>
          </cell>
          <cell r="G195">
            <v>0</v>
          </cell>
          <cell r="J195">
            <v>1</v>
          </cell>
          <cell r="L195">
            <v>559</v>
          </cell>
          <cell r="S195">
            <v>90641</v>
          </cell>
          <cell r="V195">
            <v>90641</v>
          </cell>
        </row>
        <row r="196">
          <cell r="E196">
            <v>0</v>
          </cell>
          <cell r="G196">
            <v>0</v>
          </cell>
          <cell r="J196">
            <v>1</v>
          </cell>
          <cell r="L196">
            <v>559</v>
          </cell>
          <cell r="S196">
            <v>90664</v>
          </cell>
          <cell r="V196">
            <v>90664</v>
          </cell>
        </row>
        <row r="197">
          <cell r="E197">
            <v>0</v>
          </cell>
          <cell r="G197">
            <v>0</v>
          </cell>
          <cell r="J197">
            <v>4</v>
          </cell>
          <cell r="L197">
            <v>2236</v>
          </cell>
          <cell r="S197">
            <v>92371</v>
          </cell>
          <cell r="V197">
            <v>92371</v>
          </cell>
        </row>
        <row r="198">
          <cell r="E198">
            <v>0</v>
          </cell>
          <cell r="G198">
            <v>0</v>
          </cell>
          <cell r="J198">
            <v>2</v>
          </cell>
          <cell r="L198">
            <v>1118</v>
          </cell>
          <cell r="S198">
            <v>91263</v>
          </cell>
          <cell r="V198">
            <v>91263</v>
          </cell>
        </row>
        <row r="199">
          <cell r="E199">
            <v>0</v>
          </cell>
          <cell r="G199">
            <v>0</v>
          </cell>
          <cell r="J199">
            <v>8</v>
          </cell>
          <cell r="L199">
            <v>4472</v>
          </cell>
          <cell r="S199">
            <v>96740</v>
          </cell>
          <cell r="V199">
            <v>96740</v>
          </cell>
        </row>
        <row r="200">
          <cell r="E200">
            <v>2</v>
          </cell>
          <cell r="G200">
            <v>292</v>
          </cell>
          <cell r="J200">
            <v>11</v>
          </cell>
          <cell r="L200">
            <v>6149</v>
          </cell>
          <cell r="S200">
            <v>98712</v>
          </cell>
          <cell r="V200"/>
        </row>
        <row r="201">
          <cell r="E201">
            <v>0</v>
          </cell>
          <cell r="G201">
            <v>0</v>
          </cell>
          <cell r="J201">
            <v>6</v>
          </cell>
          <cell r="L201">
            <v>3354</v>
          </cell>
          <cell r="S201">
            <v>95628</v>
          </cell>
          <cell r="V201">
            <v>194340</v>
          </cell>
        </row>
        <row r="202">
          <cell r="E202">
            <v>0</v>
          </cell>
          <cell r="G202">
            <v>0</v>
          </cell>
          <cell r="J202">
            <v>3</v>
          </cell>
          <cell r="L202">
            <v>1677</v>
          </cell>
          <cell r="S202">
            <v>93980</v>
          </cell>
          <cell r="V202">
            <v>93980</v>
          </cell>
        </row>
        <row r="203">
          <cell r="E203">
            <v>33</v>
          </cell>
          <cell r="G203">
            <v>4818</v>
          </cell>
          <cell r="J203">
            <v>5</v>
          </cell>
          <cell r="L203">
            <v>2795</v>
          </cell>
          <cell r="S203">
            <v>99946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59">
        <row r="175">
          <cell r="E175">
            <v>10</v>
          </cell>
          <cell r="G175">
            <v>1460</v>
          </cell>
          <cell r="J175">
            <v>10</v>
          </cell>
          <cell r="L175">
            <v>5590</v>
          </cell>
          <cell r="S175">
            <v>87191</v>
          </cell>
          <cell r="V175">
            <v>87191</v>
          </cell>
        </row>
        <row r="176">
          <cell r="E176">
            <v>10</v>
          </cell>
          <cell r="G176">
            <v>1460</v>
          </cell>
          <cell r="J176">
            <v>4</v>
          </cell>
          <cell r="L176">
            <v>2236</v>
          </cell>
          <cell r="S176">
            <v>83837</v>
          </cell>
          <cell r="V176">
            <v>83837</v>
          </cell>
        </row>
        <row r="177">
          <cell r="E177">
            <v>5</v>
          </cell>
          <cell r="G177">
            <v>730</v>
          </cell>
          <cell r="J177">
            <v>3</v>
          </cell>
          <cell r="L177">
            <v>1677</v>
          </cell>
          <cell r="S177">
            <v>82548</v>
          </cell>
          <cell r="V177">
            <v>82548</v>
          </cell>
        </row>
        <row r="178">
          <cell r="E178">
            <v>0</v>
          </cell>
          <cell r="G178">
            <v>0</v>
          </cell>
          <cell r="J178">
            <v>2</v>
          </cell>
          <cell r="L178">
            <v>1118</v>
          </cell>
          <cell r="S178">
            <v>81259</v>
          </cell>
          <cell r="V178">
            <v>81259</v>
          </cell>
        </row>
        <row r="179">
          <cell r="E179">
            <v>0</v>
          </cell>
          <cell r="G179">
            <v>0</v>
          </cell>
          <cell r="J179">
            <v>0</v>
          </cell>
          <cell r="L179">
            <v>0</v>
          </cell>
          <cell r="S179">
            <v>80141</v>
          </cell>
          <cell r="V179">
            <v>80141</v>
          </cell>
        </row>
        <row r="180">
          <cell r="E180">
            <v>0</v>
          </cell>
          <cell r="G180">
            <v>0</v>
          </cell>
          <cell r="J180">
            <v>0</v>
          </cell>
          <cell r="L180">
            <v>0</v>
          </cell>
          <cell r="S180">
            <v>80141</v>
          </cell>
          <cell r="V180">
            <v>80141</v>
          </cell>
        </row>
        <row r="181">
          <cell r="E181">
            <v>0</v>
          </cell>
          <cell r="G181">
            <v>0</v>
          </cell>
          <cell r="J181">
            <v>0</v>
          </cell>
          <cell r="L181">
            <v>0</v>
          </cell>
          <cell r="S181">
            <v>80141</v>
          </cell>
          <cell r="V181"/>
        </row>
        <row r="182">
          <cell r="E182">
            <v>1</v>
          </cell>
          <cell r="G182">
            <v>146</v>
          </cell>
          <cell r="J182">
            <v>1</v>
          </cell>
          <cell r="L182">
            <v>559</v>
          </cell>
          <cell r="S182">
            <v>80846</v>
          </cell>
          <cell r="V182">
            <v>160987</v>
          </cell>
        </row>
        <row r="183">
          <cell r="E183">
            <v>0</v>
          </cell>
          <cell r="G183">
            <v>0</v>
          </cell>
          <cell r="J183">
            <v>0</v>
          </cell>
          <cell r="L183">
            <v>0</v>
          </cell>
          <cell r="S183">
            <v>80141</v>
          </cell>
          <cell r="V183">
            <v>80141</v>
          </cell>
        </row>
        <row r="184">
          <cell r="E184">
            <v>0</v>
          </cell>
          <cell r="G184">
            <v>0</v>
          </cell>
          <cell r="J184">
            <v>1</v>
          </cell>
          <cell r="L184">
            <v>559</v>
          </cell>
          <cell r="S184">
            <v>80700</v>
          </cell>
          <cell r="V184">
            <v>80700</v>
          </cell>
        </row>
        <row r="185">
          <cell r="E185">
            <v>0</v>
          </cell>
          <cell r="G185">
            <v>0</v>
          </cell>
          <cell r="J185">
            <v>1</v>
          </cell>
          <cell r="L185">
            <v>559</v>
          </cell>
          <cell r="S185">
            <v>80700</v>
          </cell>
          <cell r="V185"/>
        </row>
        <row r="186">
          <cell r="E186">
            <v>13</v>
          </cell>
          <cell r="G186">
            <v>1898</v>
          </cell>
          <cell r="J186">
            <v>9</v>
          </cell>
          <cell r="L186">
            <v>5031</v>
          </cell>
          <cell r="S186">
            <v>87070</v>
          </cell>
          <cell r="V186">
            <v>167770</v>
          </cell>
        </row>
        <row r="187">
          <cell r="E187">
            <v>12</v>
          </cell>
          <cell r="G187">
            <v>1752</v>
          </cell>
          <cell r="J187">
            <v>8</v>
          </cell>
          <cell r="L187">
            <v>4472</v>
          </cell>
          <cell r="S187">
            <v>88099</v>
          </cell>
          <cell r="V187">
            <v>88099</v>
          </cell>
        </row>
        <row r="188">
          <cell r="E188">
            <v>10</v>
          </cell>
          <cell r="G188">
            <v>1460</v>
          </cell>
          <cell r="J188">
            <v>2</v>
          </cell>
          <cell r="L188">
            <v>1118</v>
          </cell>
          <cell r="S188">
            <v>84453</v>
          </cell>
          <cell r="V188">
            <v>84453</v>
          </cell>
        </row>
        <row r="189">
          <cell r="E189">
            <v>-10</v>
          </cell>
          <cell r="G189">
            <v>-1460</v>
          </cell>
          <cell r="J189">
            <v>3</v>
          </cell>
          <cell r="L189">
            <v>1677</v>
          </cell>
          <cell r="S189">
            <v>82092</v>
          </cell>
          <cell r="V189">
            <v>82100</v>
          </cell>
        </row>
        <row r="190">
          <cell r="E190">
            <v>0</v>
          </cell>
          <cell r="G190">
            <v>0</v>
          </cell>
          <cell r="J190">
            <v>0</v>
          </cell>
          <cell r="L190">
            <v>0</v>
          </cell>
          <cell r="S190">
            <v>81875</v>
          </cell>
          <cell r="V190">
            <v>81867</v>
          </cell>
        </row>
        <row r="191">
          <cell r="E191">
            <v>0</v>
          </cell>
          <cell r="G191">
            <v>0</v>
          </cell>
          <cell r="J191">
            <v>3</v>
          </cell>
          <cell r="L191">
            <v>1677</v>
          </cell>
          <cell r="S191">
            <v>83552</v>
          </cell>
          <cell r="V191">
            <v>83552</v>
          </cell>
        </row>
        <row r="192">
          <cell r="E192">
            <v>0</v>
          </cell>
          <cell r="G192">
            <v>0</v>
          </cell>
          <cell r="J192">
            <v>0</v>
          </cell>
          <cell r="L192">
            <v>0</v>
          </cell>
          <cell r="S192">
            <v>81875</v>
          </cell>
          <cell r="V192">
            <v>81875</v>
          </cell>
        </row>
        <row r="193">
          <cell r="E193">
            <v>0</v>
          </cell>
          <cell r="G193">
            <v>0</v>
          </cell>
          <cell r="J193">
            <v>0</v>
          </cell>
          <cell r="L193">
            <v>0</v>
          </cell>
          <cell r="S193">
            <v>81875</v>
          </cell>
          <cell r="V193">
            <v>81875</v>
          </cell>
        </row>
        <row r="194">
          <cell r="E194">
            <v>0</v>
          </cell>
          <cell r="G194">
            <v>0</v>
          </cell>
          <cell r="J194">
            <v>0</v>
          </cell>
          <cell r="L194">
            <v>0</v>
          </cell>
          <cell r="S194">
            <v>81875</v>
          </cell>
          <cell r="V194">
            <v>81875</v>
          </cell>
        </row>
        <row r="195">
          <cell r="E195">
            <v>0</v>
          </cell>
          <cell r="G195">
            <v>0</v>
          </cell>
          <cell r="J195">
            <v>0</v>
          </cell>
          <cell r="L195">
            <v>0</v>
          </cell>
          <cell r="S195">
            <v>81875</v>
          </cell>
          <cell r="V195">
            <v>81875</v>
          </cell>
        </row>
        <row r="196">
          <cell r="E196">
            <v>0</v>
          </cell>
          <cell r="G196">
            <v>0</v>
          </cell>
          <cell r="J196">
            <v>0</v>
          </cell>
          <cell r="L196">
            <v>0</v>
          </cell>
          <cell r="S196">
            <v>81875</v>
          </cell>
          <cell r="V196"/>
        </row>
        <row r="197">
          <cell r="E197">
            <v>0</v>
          </cell>
          <cell r="G197">
            <v>0</v>
          </cell>
          <cell r="J197">
            <v>0</v>
          </cell>
          <cell r="L197">
            <v>0</v>
          </cell>
          <cell r="S197">
            <v>81875</v>
          </cell>
          <cell r="V197">
            <v>163750</v>
          </cell>
        </row>
        <row r="198">
          <cell r="E198">
            <v>0</v>
          </cell>
          <cell r="G198">
            <v>0</v>
          </cell>
          <cell r="J198">
            <v>0</v>
          </cell>
          <cell r="L198">
            <v>0</v>
          </cell>
          <cell r="S198">
            <v>81875</v>
          </cell>
          <cell r="V198"/>
        </row>
        <row r="199">
          <cell r="E199">
            <v>0</v>
          </cell>
          <cell r="G199">
            <v>0</v>
          </cell>
          <cell r="J199">
            <v>0</v>
          </cell>
          <cell r="L199">
            <v>0</v>
          </cell>
          <cell r="S199">
            <v>84004</v>
          </cell>
          <cell r="V199">
            <v>165879</v>
          </cell>
        </row>
        <row r="200">
          <cell r="E200">
            <v>1</v>
          </cell>
          <cell r="G200">
            <v>146</v>
          </cell>
          <cell r="J200">
            <v>1</v>
          </cell>
          <cell r="L200">
            <v>559</v>
          </cell>
          <cell r="S200">
            <v>84709</v>
          </cell>
          <cell r="V200">
            <v>84709</v>
          </cell>
        </row>
        <row r="201">
          <cell r="E201">
            <v>0</v>
          </cell>
          <cell r="G201">
            <v>0</v>
          </cell>
          <cell r="J201">
            <v>0</v>
          </cell>
          <cell r="L201">
            <v>0</v>
          </cell>
          <cell r="S201">
            <v>84004</v>
          </cell>
          <cell r="V201"/>
        </row>
        <row r="202">
          <cell r="E202">
            <v>0</v>
          </cell>
          <cell r="G202">
            <v>0</v>
          </cell>
          <cell r="J202">
            <v>0</v>
          </cell>
          <cell r="L202">
            <v>0</v>
          </cell>
          <cell r="S202">
            <v>84004</v>
          </cell>
          <cell r="V202">
            <v>168008</v>
          </cell>
        </row>
        <row r="203">
          <cell r="E203">
            <v>0</v>
          </cell>
          <cell r="G203">
            <v>0</v>
          </cell>
          <cell r="J203">
            <v>0</v>
          </cell>
          <cell r="L203">
            <v>0</v>
          </cell>
          <cell r="S203">
            <v>84004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84004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84004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84004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84004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84004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84004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84004</v>
          </cell>
          <cell r="V210"/>
        </row>
      </sheetData>
      <sheetData sheetId="60">
        <row r="175">
          <cell r="E175">
            <v>402</v>
          </cell>
          <cell r="G175">
            <v>58692</v>
          </cell>
          <cell r="J175">
            <v>72</v>
          </cell>
          <cell r="L175">
            <v>40248</v>
          </cell>
          <cell r="S175">
            <v>191081</v>
          </cell>
          <cell r="V175">
            <v>191081</v>
          </cell>
        </row>
        <row r="176">
          <cell r="E176">
            <v>371</v>
          </cell>
          <cell r="G176">
            <v>54166</v>
          </cell>
          <cell r="J176">
            <v>79</v>
          </cell>
          <cell r="L176">
            <v>44161</v>
          </cell>
          <cell r="S176">
            <v>190468</v>
          </cell>
          <cell r="V176">
            <v>190468</v>
          </cell>
        </row>
        <row r="177">
          <cell r="E177">
            <v>220</v>
          </cell>
          <cell r="G177">
            <v>32120</v>
          </cell>
          <cell r="J177">
            <v>62</v>
          </cell>
          <cell r="L177">
            <v>34658</v>
          </cell>
          <cell r="S177">
            <v>158919</v>
          </cell>
          <cell r="V177">
            <v>158919</v>
          </cell>
        </row>
        <row r="178">
          <cell r="E178">
            <v>121</v>
          </cell>
          <cell r="G178">
            <v>17666</v>
          </cell>
          <cell r="J178">
            <v>32</v>
          </cell>
          <cell r="L178">
            <v>17888</v>
          </cell>
          <cell r="S178">
            <v>127695</v>
          </cell>
          <cell r="V178">
            <v>127695</v>
          </cell>
        </row>
        <row r="179">
          <cell r="E179">
            <v>111</v>
          </cell>
          <cell r="G179">
            <v>16206</v>
          </cell>
          <cell r="J179">
            <v>21</v>
          </cell>
          <cell r="L179">
            <v>11739</v>
          </cell>
          <cell r="S179">
            <v>120086</v>
          </cell>
          <cell r="V179">
            <v>120086</v>
          </cell>
        </row>
        <row r="180">
          <cell r="E180">
            <v>28</v>
          </cell>
          <cell r="G180">
            <v>4088</v>
          </cell>
          <cell r="J180">
            <v>12</v>
          </cell>
          <cell r="L180">
            <v>6708</v>
          </cell>
          <cell r="S180">
            <v>102937</v>
          </cell>
          <cell r="V180">
            <v>102937</v>
          </cell>
        </row>
        <row r="181">
          <cell r="E181">
            <v>0</v>
          </cell>
          <cell r="G181">
            <v>0</v>
          </cell>
          <cell r="J181">
            <v>7</v>
          </cell>
          <cell r="L181">
            <v>3913</v>
          </cell>
          <cell r="S181">
            <v>96054</v>
          </cell>
          <cell r="V181">
            <v>96054</v>
          </cell>
        </row>
        <row r="182">
          <cell r="E182">
            <v>1</v>
          </cell>
          <cell r="G182">
            <v>146</v>
          </cell>
          <cell r="J182">
            <v>12</v>
          </cell>
          <cell r="L182">
            <v>6708</v>
          </cell>
          <cell r="S182">
            <v>99976</v>
          </cell>
          <cell r="V182">
            <v>99976</v>
          </cell>
        </row>
        <row r="183">
          <cell r="E183">
            <v>59</v>
          </cell>
          <cell r="G183">
            <v>8614</v>
          </cell>
          <cell r="J183">
            <v>15</v>
          </cell>
          <cell r="L183">
            <v>8385</v>
          </cell>
          <cell r="S183">
            <v>110137</v>
          </cell>
          <cell r="V183">
            <v>110137</v>
          </cell>
        </row>
        <row r="184">
          <cell r="E184">
            <v>0</v>
          </cell>
          <cell r="G184">
            <v>0</v>
          </cell>
          <cell r="J184">
            <v>8</v>
          </cell>
          <cell r="L184">
            <v>4472</v>
          </cell>
          <cell r="S184">
            <v>97603</v>
          </cell>
          <cell r="V184">
            <v>97603</v>
          </cell>
        </row>
        <row r="185">
          <cell r="E185">
            <v>123</v>
          </cell>
          <cell r="G185">
            <v>17958</v>
          </cell>
          <cell r="J185">
            <v>102</v>
          </cell>
          <cell r="L185">
            <v>57018</v>
          </cell>
          <cell r="S185">
            <v>168136</v>
          </cell>
          <cell r="V185">
            <v>168136</v>
          </cell>
        </row>
        <row r="186">
          <cell r="E186">
            <v>575</v>
          </cell>
          <cell r="G186">
            <v>83950</v>
          </cell>
          <cell r="J186">
            <v>54</v>
          </cell>
          <cell r="L186">
            <v>30186</v>
          </cell>
          <cell r="S186">
            <v>207316</v>
          </cell>
          <cell r="V186">
            <v>207316</v>
          </cell>
        </row>
        <row r="187">
          <cell r="E187">
            <v>395</v>
          </cell>
          <cell r="G187">
            <v>57670</v>
          </cell>
          <cell r="J187">
            <v>53</v>
          </cell>
          <cell r="L187">
            <v>29627</v>
          </cell>
          <cell r="S187">
            <v>182219</v>
          </cell>
          <cell r="V187">
            <v>182219</v>
          </cell>
        </row>
        <row r="188">
          <cell r="E188">
            <v>166</v>
          </cell>
          <cell r="G188">
            <v>24236</v>
          </cell>
          <cell r="J188">
            <v>26</v>
          </cell>
          <cell r="L188">
            <v>14534</v>
          </cell>
          <cell r="S188">
            <v>133722</v>
          </cell>
          <cell r="V188">
            <v>133722</v>
          </cell>
        </row>
        <row r="189">
          <cell r="E189">
            <v>183</v>
          </cell>
          <cell r="G189">
            <v>26718</v>
          </cell>
          <cell r="J189">
            <v>49</v>
          </cell>
          <cell r="L189">
            <v>27391</v>
          </cell>
          <cell r="S189">
            <v>149074</v>
          </cell>
          <cell r="V189">
            <v>149074</v>
          </cell>
        </row>
        <row r="190">
          <cell r="E190">
            <v>196</v>
          </cell>
          <cell r="G190">
            <v>28616</v>
          </cell>
          <cell r="J190">
            <v>37</v>
          </cell>
          <cell r="L190">
            <v>20683</v>
          </cell>
          <cell r="S190">
            <v>144275</v>
          </cell>
          <cell r="V190">
            <v>144275</v>
          </cell>
        </row>
        <row r="191">
          <cell r="E191">
            <v>0</v>
          </cell>
          <cell r="G191">
            <v>0</v>
          </cell>
          <cell r="J191">
            <v>0</v>
          </cell>
          <cell r="L191">
            <v>0</v>
          </cell>
          <cell r="S191">
            <v>94998</v>
          </cell>
          <cell r="V191">
            <v>94998</v>
          </cell>
        </row>
        <row r="192">
          <cell r="E192">
            <v>1</v>
          </cell>
          <cell r="G192">
            <v>146</v>
          </cell>
          <cell r="J192">
            <v>0</v>
          </cell>
          <cell r="L192">
            <v>0</v>
          </cell>
          <cell r="S192">
            <v>95169</v>
          </cell>
          <cell r="V192">
            <v>95169</v>
          </cell>
        </row>
        <row r="193">
          <cell r="E193">
            <v>0</v>
          </cell>
          <cell r="G193">
            <v>0</v>
          </cell>
          <cell r="J193">
            <v>1</v>
          </cell>
          <cell r="L193">
            <v>559</v>
          </cell>
          <cell r="S193">
            <v>95595</v>
          </cell>
          <cell r="V193">
            <v>95595</v>
          </cell>
        </row>
        <row r="194">
          <cell r="E194">
            <v>45</v>
          </cell>
          <cell r="G194">
            <v>6570</v>
          </cell>
          <cell r="J194">
            <v>24</v>
          </cell>
          <cell r="L194">
            <v>13416</v>
          </cell>
          <cell r="S194">
            <v>115047</v>
          </cell>
          <cell r="V194">
            <v>115047</v>
          </cell>
        </row>
        <row r="195">
          <cell r="E195">
            <v>270</v>
          </cell>
          <cell r="G195">
            <v>39420</v>
          </cell>
          <cell r="J195">
            <v>7</v>
          </cell>
          <cell r="L195">
            <v>3913</v>
          </cell>
          <cell r="S195">
            <v>138415</v>
          </cell>
          <cell r="V195">
            <v>138415</v>
          </cell>
        </row>
        <row r="196">
          <cell r="E196">
            <v>134</v>
          </cell>
          <cell r="G196">
            <v>19564</v>
          </cell>
          <cell r="J196">
            <v>7</v>
          </cell>
          <cell r="L196">
            <v>3913</v>
          </cell>
          <cell r="S196">
            <v>118582</v>
          </cell>
          <cell r="V196">
            <v>118582</v>
          </cell>
        </row>
        <row r="197">
          <cell r="E197">
            <v>122</v>
          </cell>
          <cell r="G197">
            <v>17812</v>
          </cell>
          <cell r="J197">
            <v>35</v>
          </cell>
          <cell r="L197">
            <v>19565</v>
          </cell>
          <cell r="S197">
            <v>132512</v>
          </cell>
          <cell r="V197">
            <v>132512</v>
          </cell>
        </row>
        <row r="198">
          <cell r="E198">
            <v>146</v>
          </cell>
          <cell r="G198">
            <v>21316</v>
          </cell>
          <cell r="J198">
            <v>52</v>
          </cell>
          <cell r="L198">
            <v>29068</v>
          </cell>
          <cell r="S198">
            <v>145529</v>
          </cell>
          <cell r="V198">
            <v>145529</v>
          </cell>
        </row>
        <row r="199">
          <cell r="E199">
            <v>253</v>
          </cell>
          <cell r="G199">
            <v>36938</v>
          </cell>
          <cell r="J199">
            <v>53</v>
          </cell>
          <cell r="L199">
            <v>29627</v>
          </cell>
          <cell r="S199">
            <v>163833</v>
          </cell>
          <cell r="V199">
            <v>163833</v>
          </cell>
        </row>
        <row r="200">
          <cell r="E200">
            <v>217</v>
          </cell>
          <cell r="G200">
            <v>31682</v>
          </cell>
          <cell r="J200">
            <v>54</v>
          </cell>
          <cell r="L200">
            <v>30186</v>
          </cell>
          <cell r="S200">
            <v>159139</v>
          </cell>
          <cell r="V200">
            <v>159139</v>
          </cell>
        </row>
        <row r="201">
          <cell r="E201">
            <v>156</v>
          </cell>
          <cell r="G201">
            <v>22776</v>
          </cell>
          <cell r="J201">
            <v>35</v>
          </cell>
          <cell r="L201">
            <v>19565</v>
          </cell>
          <cell r="S201">
            <v>139615</v>
          </cell>
          <cell r="V201">
            <v>139615</v>
          </cell>
        </row>
        <row r="202">
          <cell r="E202">
            <v>126</v>
          </cell>
          <cell r="G202">
            <v>18396</v>
          </cell>
          <cell r="J202">
            <v>31</v>
          </cell>
          <cell r="L202">
            <v>17329</v>
          </cell>
          <cell r="S202">
            <v>133028</v>
          </cell>
          <cell r="V202">
            <v>133028</v>
          </cell>
        </row>
        <row r="203">
          <cell r="E203">
            <v>33</v>
          </cell>
          <cell r="G203">
            <v>4818</v>
          </cell>
          <cell r="J203">
            <v>2</v>
          </cell>
          <cell r="L203">
            <v>1118</v>
          </cell>
          <cell r="S203">
            <v>103269</v>
          </cell>
          <cell r="V203"/>
        </row>
        <row r="204">
          <cell r="E204">
            <v>0</v>
          </cell>
          <cell r="G204">
            <v>0</v>
          </cell>
          <cell r="J204">
            <v>0</v>
          </cell>
          <cell r="L204">
            <v>0</v>
          </cell>
          <cell r="S204">
            <v>89004</v>
          </cell>
          <cell r="V204"/>
        </row>
        <row r="205">
          <cell r="E205">
            <v>0</v>
          </cell>
          <cell r="G205">
            <v>0</v>
          </cell>
          <cell r="J205">
            <v>0</v>
          </cell>
          <cell r="L205">
            <v>0</v>
          </cell>
          <cell r="S205">
            <v>89004</v>
          </cell>
          <cell r="V205"/>
        </row>
        <row r="206">
          <cell r="E206">
            <v>0</v>
          </cell>
          <cell r="G206">
            <v>0</v>
          </cell>
          <cell r="J206">
            <v>0</v>
          </cell>
          <cell r="L206">
            <v>0</v>
          </cell>
          <cell r="S206">
            <v>89004</v>
          </cell>
          <cell r="V206"/>
        </row>
        <row r="207">
          <cell r="E207">
            <v>0</v>
          </cell>
          <cell r="G207">
            <v>0</v>
          </cell>
          <cell r="J207">
            <v>0</v>
          </cell>
          <cell r="L207">
            <v>0</v>
          </cell>
          <cell r="S207">
            <v>89004</v>
          </cell>
          <cell r="V207"/>
        </row>
        <row r="208">
          <cell r="E208">
            <v>0</v>
          </cell>
          <cell r="G208">
            <v>0</v>
          </cell>
          <cell r="J208">
            <v>0</v>
          </cell>
          <cell r="L208">
            <v>0</v>
          </cell>
          <cell r="S208">
            <v>89004</v>
          </cell>
          <cell r="V208"/>
        </row>
        <row r="209">
          <cell r="E209">
            <v>0</v>
          </cell>
          <cell r="G209">
            <v>0</v>
          </cell>
          <cell r="J209">
            <v>0</v>
          </cell>
          <cell r="L209">
            <v>0</v>
          </cell>
          <cell r="S209">
            <v>89004</v>
          </cell>
          <cell r="V209"/>
        </row>
        <row r="210">
          <cell r="E210">
            <v>0</v>
          </cell>
          <cell r="G210">
            <v>0</v>
          </cell>
          <cell r="J210">
            <v>0</v>
          </cell>
          <cell r="L210">
            <v>0</v>
          </cell>
          <cell r="S210">
            <v>89004</v>
          </cell>
          <cell r="V210"/>
        </row>
      </sheetData>
      <sheetData sheetId="61"/>
      <sheetData sheetId="62"/>
      <sheetData sheetId="63"/>
      <sheetData sheetId="64"/>
      <sheetData sheetId="65"/>
      <sheetData sheetId="66"/>
      <sheetData sheetId="6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Hoja1"/>
      <sheetName val="LP (1)"/>
      <sheetName val="LP (3)"/>
      <sheetName val="LP (4)"/>
      <sheetName val="LP (5)"/>
      <sheetName val="LP (6)"/>
      <sheetName val="LP (7)"/>
      <sheetName val="LP (8)"/>
      <sheetName val="LP (9)"/>
      <sheetName val="LP (11)"/>
      <sheetName val="LP (12)"/>
      <sheetName val="LP (13)"/>
      <sheetName val="LP (14)"/>
      <sheetName val="LP (15)"/>
      <sheetName val="LP (16)"/>
      <sheetName val="LP (29)"/>
      <sheetName val="LP (30)"/>
      <sheetName val="LP (31)"/>
      <sheetName val="LP (32)"/>
      <sheetName val="LP (33)"/>
      <sheetName val="LP (34)"/>
      <sheetName val="LP (35)"/>
      <sheetName val="LP (36)"/>
      <sheetName val="LP (37)"/>
      <sheetName val="LP (38)"/>
      <sheetName val="LP (39)"/>
      <sheetName val="LP (40)"/>
      <sheetName val="LP (41)"/>
      <sheetName val="LP (42)"/>
      <sheetName val="LP (43)"/>
      <sheetName val="LP (44)"/>
      <sheetName val="LP (45)"/>
      <sheetName val="LP (46)"/>
      <sheetName val="LP (47)"/>
      <sheetName val="LP (48A)"/>
      <sheetName val="LP (48B)"/>
      <sheetName val="LP (49)"/>
      <sheetName val="LP (50)"/>
      <sheetName val="LP (51)"/>
      <sheetName val="LP (55A)"/>
      <sheetName val="LP (55B)"/>
      <sheetName val="LP (59A)"/>
      <sheetName val="LP (59B)"/>
      <sheetName val="LP (59C)"/>
      <sheetName val="LP (60)"/>
      <sheetName val="LP (61)"/>
      <sheetName val="LP (62)"/>
      <sheetName val="LP (63)"/>
      <sheetName val="LP (64)"/>
      <sheetName val="LP (65)"/>
      <sheetName val="LP (67)"/>
      <sheetName val="LP (71)"/>
      <sheetName val="LP (72)"/>
      <sheetName val="LP (73)"/>
      <sheetName val="LP (75)"/>
      <sheetName val="LP (81)"/>
      <sheetName val="LP (82)"/>
      <sheetName val="LP (83)"/>
      <sheetName val="final"/>
      <sheetName val="Hoja5"/>
      <sheetName val="Hoja6"/>
      <sheetName val="Hoja7"/>
      <sheetName val="Hoja8"/>
      <sheetName val="Hoja9"/>
      <sheetName val="Hoja10"/>
      <sheetName val="Hoja11"/>
      <sheetName val="Hoja4"/>
      <sheetName val="Hoja2"/>
    </sheetNames>
    <sheetDataSet>
      <sheetData sheetId="0"/>
      <sheetData sheetId="1"/>
      <sheetData sheetId="2"/>
      <sheetData sheetId="3"/>
      <sheetData sheetId="4">
        <row r="175">
          <cell r="E175">
            <v>921</v>
          </cell>
          <cell r="M175">
            <v>3731</v>
          </cell>
          <cell r="N175">
            <v>7000</v>
          </cell>
          <cell r="O175">
            <v>0</v>
          </cell>
          <cell r="P175">
            <v>20000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20000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20000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20000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20000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20000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20000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20000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20000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20000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20000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20000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20000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20000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20000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20000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20000</v>
          </cell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19333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207455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146804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230808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314812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398816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482820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566824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650828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734832</v>
          </cell>
        </row>
      </sheetData>
      <sheetData sheetId="5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W175">
            <v>5746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981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1978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2968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3987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5026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89965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89998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90036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90082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180187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91539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-697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-1364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82640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166644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250648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334652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418656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502660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586664</v>
          </cell>
        </row>
      </sheetData>
      <sheetData sheetId="6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97097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114021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198025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282029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366033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450037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534041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618045</v>
          </cell>
        </row>
      </sheetData>
      <sheetData sheetId="7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20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92303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184636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268640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352644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436648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520652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604656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688660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772664</v>
          </cell>
        </row>
      </sheetData>
      <sheetData sheetId="8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R175">
            <v>52636</v>
          </cell>
          <cell r="W175">
            <v>273868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>
            <v>52784</v>
          </cell>
          <cell r="W176">
            <v>413793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W177">
            <v>-66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W178">
            <v>-66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W179">
            <v>-66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W180">
            <v>-2925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W182">
            <v>122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W183">
            <v>260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W184">
            <v>391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W185">
            <v>551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W186">
            <v>731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W187">
            <v>2653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W188">
            <v>4605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W189">
            <v>6570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W190">
            <v>8546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W191">
            <v>10544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W192">
            <v>12567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W193">
            <v>14603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W194">
            <v>16664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/>
          <cell r="W195">
            <v>18746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/>
          <cell r="W196">
            <v>20851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/>
          <cell r="W197">
            <v>22986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/>
          <cell r="W198">
            <v>-62869</v>
          </cell>
        </row>
        <row r="199"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R199"/>
          <cell r="W199">
            <v>29399</v>
          </cell>
        </row>
        <row r="200"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/>
          <cell r="W200">
            <v>-54330</v>
          </cell>
        </row>
        <row r="201"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/>
          <cell r="W201">
            <v>-50056</v>
          </cell>
        </row>
        <row r="202"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/>
          <cell r="W202">
            <v>-45753</v>
          </cell>
        </row>
        <row r="203"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/>
          <cell r="W203">
            <v>46580</v>
          </cell>
        </row>
        <row r="204"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W204">
            <v>130584</v>
          </cell>
        </row>
        <row r="205"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W205">
            <v>214588</v>
          </cell>
        </row>
        <row r="206"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W206">
            <v>298592</v>
          </cell>
        </row>
        <row r="207"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W207">
            <v>382596</v>
          </cell>
        </row>
        <row r="208"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W208">
            <v>466600</v>
          </cell>
        </row>
        <row r="209"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W209">
            <v>550604</v>
          </cell>
        </row>
        <row r="210"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W210">
            <v>634608</v>
          </cell>
        </row>
      </sheetData>
      <sheetData sheetId="9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>
            <v>55066</v>
          </cell>
          <cell r="W196">
            <v>55066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>
            <v>55132</v>
          </cell>
          <cell r="W197">
            <v>110198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192073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276077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110198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110198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194202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278206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362210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446214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530218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614222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698226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782230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866234</v>
          </cell>
        </row>
      </sheetData>
      <sheetData sheetId="10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-146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90135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95138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95461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95983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179987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263991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347995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431999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516003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600007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684011</v>
          </cell>
        </row>
      </sheetData>
      <sheetData sheetId="11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-208947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-121806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-34665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52476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-260383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-173242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-86101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2021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90159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-421710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-333550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-245370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-655448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-565496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-475531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-385555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-295557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-205534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-115498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-625437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-535355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-445250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-355115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-264970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-172702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-80431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11843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-395854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-303521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-219517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-135513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-51509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32495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116499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200503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284507</v>
          </cell>
        </row>
      </sheetData>
      <sheetData sheetId="12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W175">
            <v>87141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174282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261423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348564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435705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-154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86987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88138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176269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264429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352609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442531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89965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179941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269939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359962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449998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90105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90145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182413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13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>
            <v>0</v>
          </cell>
          <cell r="P176">
            <v>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/>
          <cell r="O177">
            <v>0</v>
          </cell>
          <cell r="P177">
            <v>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>
            <v>0</v>
          </cell>
          <cell r="P178">
            <v>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/>
          <cell r="O179">
            <v>0</v>
          </cell>
          <cell r="P179">
            <v>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>
            <v>0</v>
          </cell>
          <cell r="P180">
            <v>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>
            <v>0</v>
          </cell>
          <cell r="P181">
            <v>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>
            <v>0</v>
          </cell>
          <cell r="P182">
            <v>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>
            <v>0</v>
          </cell>
          <cell r="P183">
            <v>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>
            <v>0</v>
          </cell>
          <cell r="P184">
            <v>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>
            <v>0</v>
          </cell>
          <cell r="P185">
            <v>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>
            <v>0</v>
          </cell>
          <cell r="P186">
            <v>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>
            <v>0</v>
          </cell>
          <cell r="P187">
            <v>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/>
          <cell r="O188">
            <v>0</v>
          </cell>
          <cell r="P188">
            <v>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>
            <v>0</v>
          </cell>
          <cell r="P189">
            <v>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>
            <v>0</v>
          </cell>
          <cell r="P190">
            <v>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/>
          <cell r="O191">
            <v>0</v>
          </cell>
          <cell r="P191">
            <v>0</v>
          </cell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>
            <v>0</v>
          </cell>
          <cell r="P192">
            <v>0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/>
          <cell r="O193">
            <v>0</v>
          </cell>
          <cell r="P193">
            <v>0</v>
          </cell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>
            <v>0</v>
          </cell>
          <cell r="P194">
            <v>0</v>
          </cell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>
            <v>0</v>
          </cell>
          <cell r="P195">
            <v>0</v>
          </cell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/>
          <cell r="O196">
            <v>0</v>
          </cell>
          <cell r="P196">
            <v>0</v>
          </cell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/>
          <cell r="O197">
            <v>0</v>
          </cell>
          <cell r="P197">
            <v>0</v>
          </cell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/>
          <cell r="O198">
            <v>0</v>
          </cell>
          <cell r="P198">
            <v>0</v>
          </cell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/>
          <cell r="O199">
            <v>0</v>
          </cell>
          <cell r="P199">
            <v>0</v>
          </cell>
          <cell r="Q199">
            <v>80176</v>
          </cell>
          <cell r="R199"/>
          <cell r="W199">
            <v>84004</v>
          </cell>
        </row>
        <row r="200">
          <cell r="M200">
            <v>3828</v>
          </cell>
          <cell r="N200"/>
          <cell r="O200">
            <v>0</v>
          </cell>
          <cell r="P200">
            <v>0</v>
          </cell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/>
          <cell r="O201">
            <v>0</v>
          </cell>
          <cell r="P201">
            <v>0</v>
          </cell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/>
          <cell r="O202">
            <v>0</v>
          </cell>
          <cell r="P202">
            <v>0</v>
          </cell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/>
          <cell r="O203">
            <v>0</v>
          </cell>
          <cell r="P203">
            <v>0</v>
          </cell>
          <cell r="Q203">
            <v>80176</v>
          </cell>
          <cell r="R203"/>
          <cell r="W203">
            <v>84004</v>
          </cell>
        </row>
        <row r="204"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W204">
            <v>168008</v>
          </cell>
        </row>
        <row r="205"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W205">
            <v>252012</v>
          </cell>
        </row>
        <row r="206"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W206">
            <v>336016</v>
          </cell>
        </row>
        <row r="207"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W207">
            <v>420020</v>
          </cell>
        </row>
        <row r="208"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W208">
            <v>504024</v>
          </cell>
        </row>
        <row r="209"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W209">
            <v>588028</v>
          </cell>
        </row>
        <row r="210"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W210">
            <v>672032</v>
          </cell>
        </row>
      </sheetData>
      <sheetData sheetId="14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-68531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-78390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-88249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-98108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-107967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-117826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-127685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-137544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-147403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-157262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-167121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-166980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-165105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-173230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-181355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-179480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-187605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-195730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-183855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-181980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-180105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-188230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-196355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-114480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-30476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-186472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-192468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-108464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-24460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59544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143548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227552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311556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395560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479564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563568</v>
          </cell>
        </row>
      </sheetData>
      <sheetData sheetId="15">
        <row r="175">
          <cell r="E175">
            <v>68</v>
          </cell>
          <cell r="M175">
            <v>3731</v>
          </cell>
          <cell r="N175">
            <v>7000</v>
          </cell>
          <cell r="O175">
            <v>0</v>
          </cell>
          <cell r="P175">
            <v>20000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>
            <v>20000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>
            <v>20000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>
            <v>20000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>
            <v>20000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>
            <v>20000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>
            <v>20000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>
            <v>15000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>
            <v>15000</v>
          </cell>
          <cell r="Q183">
            <v>76410</v>
          </cell>
          <cell r="R183"/>
          <cell r="W183">
            <v>103138</v>
          </cell>
        </row>
        <row r="184">
          <cell r="M184">
            <v>3731</v>
          </cell>
          <cell r="N184">
            <v>7990</v>
          </cell>
          <cell r="O184"/>
          <cell r="P184">
            <v>15000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>
            <v>15000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122464</v>
          </cell>
          <cell r="P186">
            <v>15000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>
            <v>15000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>
            <v>15000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>
            <v>15000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>
            <v>15000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>
            <v>15000</v>
          </cell>
          <cell r="Q191">
            <v>78144</v>
          </cell>
          <cell r="R191"/>
          <cell r="W191">
            <v>104998</v>
          </cell>
        </row>
        <row r="192">
          <cell r="M192">
            <v>3731</v>
          </cell>
          <cell r="N192">
            <v>8148</v>
          </cell>
          <cell r="O192"/>
          <cell r="P192">
            <v>12500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10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90092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90135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16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87141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87141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87141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88138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-1840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86340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-3738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86214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89998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90061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-15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W197">
            <v>145252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W198">
            <v>290489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382757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17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89973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87114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>
            <v>52944</v>
          </cell>
          <cell r="W177">
            <v>227199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>
            <v>53123</v>
          </cell>
          <cell r="W178">
            <v>367463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>
            <v>53262</v>
          </cell>
          <cell r="W179">
            <v>507866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>
            <v>53330</v>
          </cell>
          <cell r="W180">
            <v>648337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735478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981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988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-881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W185">
            <v>-9259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W186">
            <v>12571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53847</v>
          </cell>
          <cell r="W187">
            <v>46340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>
            <v>53934</v>
          </cell>
          <cell r="W188">
            <v>190226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>
            <v>54009</v>
          </cell>
          <cell r="W189">
            <v>334200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54157</v>
          </cell>
          <cell r="W190">
            <v>478333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54318</v>
          </cell>
          <cell r="W191">
            <v>622649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-79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-69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16662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27767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39194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46544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138812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92303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184636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246280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330284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414288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498292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582296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666300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750304</v>
          </cell>
        </row>
      </sheetData>
      <sheetData sheetId="18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981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1978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2968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3987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8047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-1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-24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-26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-3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33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-6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-24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-19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-26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95329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163868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247872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331876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415880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499884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583888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667892</v>
          </cell>
        </row>
      </sheetData>
      <sheetData sheetId="19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95063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20">
        <row r="175">
          <cell r="E175">
            <v>0</v>
          </cell>
          <cell r="M175">
            <v>0</v>
          </cell>
          <cell r="O175">
            <v>0</v>
          </cell>
          <cell r="W175">
            <v>306981</v>
          </cell>
        </row>
        <row r="176">
          <cell r="M176"/>
          <cell r="N176"/>
          <cell r="O176"/>
          <cell r="P176"/>
          <cell r="Q176"/>
          <cell r="R176"/>
          <cell r="W176">
            <v>306981</v>
          </cell>
        </row>
        <row r="177">
          <cell r="M177"/>
          <cell r="N177"/>
          <cell r="O177"/>
          <cell r="P177"/>
          <cell r="Q177"/>
          <cell r="R177"/>
          <cell r="W177">
            <v>306981</v>
          </cell>
        </row>
        <row r="178">
          <cell r="M178"/>
          <cell r="N178"/>
          <cell r="O178"/>
          <cell r="P178"/>
          <cell r="Q178"/>
          <cell r="R178"/>
          <cell r="W178">
            <v>306981</v>
          </cell>
        </row>
        <row r="179">
          <cell r="M179">
            <v>3731</v>
          </cell>
          <cell r="N179"/>
          <cell r="O179">
            <v>76410</v>
          </cell>
          <cell r="P179"/>
          <cell r="Q179">
            <v>76410</v>
          </cell>
          <cell r="R179"/>
          <cell r="W179">
            <v>463532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543673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306981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306981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7997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89922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1000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90965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11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54318</v>
          </cell>
          <cell r="W191">
            <v>144327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>
            <v>54405</v>
          </cell>
          <cell r="W192">
            <v>288755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378791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-6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90076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23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30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90175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182443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92274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84004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168008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252012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336016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420020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504024</v>
          </cell>
        </row>
      </sheetData>
      <sheetData sheetId="21">
        <row r="175">
          <cell r="E175">
            <v>142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136887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85321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64223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-14780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-131419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43941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-25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109084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27153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3416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14237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W186">
            <v>35519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53847</v>
          </cell>
          <cell r="W187">
            <v>-6874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-18128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-17743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145773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88370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-5822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103478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24283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9463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10291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6643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54606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285211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W200">
            <v>252811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W201">
            <v>476527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-56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130684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214688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298692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382696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466700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550704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634708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718712</v>
          </cell>
        </row>
      </sheetData>
      <sheetData sheetId="22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W175">
            <v>87141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88131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23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5746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87141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16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89998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24">
        <row r="175">
          <cell r="E175">
            <v>84</v>
          </cell>
          <cell r="M175">
            <v>3731</v>
          </cell>
          <cell r="N175">
            <v>7000</v>
          </cell>
          <cell r="O175">
            <v>0</v>
          </cell>
          <cell r="P175">
            <v>5000</v>
          </cell>
          <cell r="W175">
            <v>41437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5000</v>
          </cell>
          <cell r="Q176"/>
          <cell r="R176"/>
          <cell r="W176">
            <v>49706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5000</v>
          </cell>
          <cell r="Q177"/>
          <cell r="R177"/>
          <cell r="W177">
            <v>61147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5000</v>
          </cell>
          <cell r="Q178"/>
          <cell r="R178"/>
          <cell r="W178">
            <v>72588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5000</v>
          </cell>
          <cell r="Q179"/>
          <cell r="R179"/>
          <cell r="W179">
            <v>84029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5000</v>
          </cell>
          <cell r="Q180"/>
          <cell r="R180"/>
          <cell r="W180">
            <v>95448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5000</v>
          </cell>
          <cell r="Q181"/>
          <cell r="R181"/>
          <cell r="W181">
            <v>106889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5000</v>
          </cell>
          <cell r="Q182"/>
          <cell r="R182"/>
          <cell r="W182">
            <v>113721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/>
          <cell r="Q183"/>
          <cell r="R183"/>
          <cell r="W183">
            <v>121718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/>
          <cell r="Q184"/>
          <cell r="R184"/>
          <cell r="W184">
            <v>129708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/>
          <cell r="Q185"/>
          <cell r="R185"/>
          <cell r="W185">
            <v>137727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/>
          <cell r="Q186"/>
          <cell r="R186"/>
          <cell r="W186">
            <v>145766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/>
          <cell r="Q187"/>
          <cell r="R187"/>
          <cell r="W187">
            <v>153813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/>
          <cell r="Q188"/>
          <cell r="R188"/>
          <cell r="W188">
            <v>161890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/>
          <cell r="Q189"/>
          <cell r="R189"/>
          <cell r="W189">
            <v>169980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/>
          <cell r="Q190"/>
          <cell r="R190"/>
          <cell r="W190">
            <v>178081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/>
          <cell r="Q191"/>
          <cell r="R191"/>
          <cell r="W191">
            <v>186204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/>
          <cell r="Q192"/>
          <cell r="R192"/>
          <cell r="W192">
            <v>194352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/>
          <cell r="Q193"/>
          <cell r="R193"/>
          <cell r="W193">
            <v>202513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/>
          <cell r="Q194"/>
          <cell r="R194"/>
          <cell r="W194">
            <v>290463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/>
          <cell r="Q195"/>
          <cell r="R195"/>
          <cell r="W195">
            <v>218906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/>
          <cell r="Q196"/>
          <cell r="R196"/>
          <cell r="W196">
            <v>277800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/>
          <cell r="Q197"/>
          <cell r="R197"/>
          <cell r="W197">
            <v>235396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/>
          <cell r="Q198"/>
          <cell r="R198"/>
          <cell r="W198">
            <v>243666</v>
          </cell>
        </row>
        <row r="199">
          <cell r="M199">
            <v>3828</v>
          </cell>
          <cell r="N199">
            <v>8264</v>
          </cell>
          <cell r="O199">
            <v>0</v>
          </cell>
          <cell r="P199"/>
          <cell r="Q199"/>
          <cell r="R199"/>
          <cell r="W199">
            <v>265782</v>
          </cell>
        </row>
        <row r="200">
          <cell r="M200">
            <v>3828</v>
          </cell>
          <cell r="N200">
            <v>8267</v>
          </cell>
          <cell r="O200">
            <v>0</v>
          </cell>
          <cell r="P200"/>
          <cell r="Q200"/>
          <cell r="R200"/>
          <cell r="W200">
            <v>260853</v>
          </cell>
        </row>
        <row r="201">
          <cell r="M201">
            <v>3828</v>
          </cell>
          <cell r="N201">
            <v>8270</v>
          </cell>
          <cell r="O201">
            <v>0</v>
          </cell>
          <cell r="P201"/>
          <cell r="Q201"/>
          <cell r="R201"/>
          <cell r="W201">
            <v>269123</v>
          </cell>
        </row>
        <row r="202">
          <cell r="M202">
            <v>3828</v>
          </cell>
          <cell r="N202">
            <v>8299</v>
          </cell>
          <cell r="O202">
            <v>0</v>
          </cell>
          <cell r="P202"/>
          <cell r="Q202"/>
          <cell r="R202"/>
          <cell r="W202">
            <v>277422</v>
          </cell>
        </row>
        <row r="203">
          <cell r="M203">
            <v>3828</v>
          </cell>
          <cell r="N203">
            <v>8329</v>
          </cell>
          <cell r="O203">
            <v>0</v>
          </cell>
          <cell r="P203"/>
          <cell r="Q203"/>
          <cell r="R203"/>
          <cell r="W203">
            <v>349969</v>
          </cell>
        </row>
        <row r="204">
          <cell r="M204">
            <v>3828</v>
          </cell>
          <cell r="N204"/>
          <cell r="O204">
            <v>0</v>
          </cell>
          <cell r="P204"/>
          <cell r="Q204"/>
          <cell r="R204"/>
          <cell r="W204">
            <v>353797</v>
          </cell>
        </row>
        <row r="205">
          <cell r="M205">
            <v>3828</v>
          </cell>
          <cell r="N205"/>
          <cell r="O205">
            <v>0</v>
          </cell>
          <cell r="P205"/>
          <cell r="Q205"/>
          <cell r="R205"/>
          <cell r="W205">
            <v>357625</v>
          </cell>
        </row>
        <row r="206">
          <cell r="M206">
            <v>3828</v>
          </cell>
          <cell r="N206"/>
          <cell r="O206">
            <v>0</v>
          </cell>
          <cell r="P206"/>
          <cell r="Q206"/>
          <cell r="R206"/>
          <cell r="W206">
            <v>361453</v>
          </cell>
        </row>
        <row r="207">
          <cell r="M207">
            <v>3828</v>
          </cell>
          <cell r="N207"/>
          <cell r="O207">
            <v>0</v>
          </cell>
          <cell r="P207"/>
          <cell r="Q207"/>
          <cell r="R207"/>
          <cell r="W207">
            <v>365281</v>
          </cell>
        </row>
        <row r="208">
          <cell r="M208">
            <v>3828</v>
          </cell>
          <cell r="N208"/>
          <cell r="O208">
            <v>0</v>
          </cell>
          <cell r="P208"/>
          <cell r="Q208"/>
          <cell r="R208"/>
          <cell r="W208">
            <v>369109</v>
          </cell>
        </row>
        <row r="209">
          <cell r="M209">
            <v>3828</v>
          </cell>
          <cell r="N209"/>
          <cell r="O209">
            <v>0</v>
          </cell>
          <cell r="P209"/>
          <cell r="Q209"/>
          <cell r="R209"/>
          <cell r="W209">
            <v>372937</v>
          </cell>
        </row>
        <row r="210">
          <cell r="M210">
            <v>3828</v>
          </cell>
          <cell r="N210"/>
          <cell r="O210">
            <v>0</v>
          </cell>
          <cell r="P210"/>
          <cell r="Q210"/>
          <cell r="R210"/>
          <cell r="W210">
            <v>376765</v>
          </cell>
        </row>
      </sheetData>
      <sheetData sheetId="25">
        <row r="175">
          <cell r="E175">
            <v>51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94587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91521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-418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91541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-89168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4949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97514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-402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95987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95108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-10511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83321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55066</v>
          </cell>
          <cell r="W196">
            <v>146923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W197">
            <v>-7810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82627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174895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0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84004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168008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252012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336016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420020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504024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588028</v>
          </cell>
        </row>
      </sheetData>
      <sheetData sheetId="26">
        <row r="175">
          <cell r="E175">
            <v>392</v>
          </cell>
          <cell r="M175">
            <v>3731</v>
          </cell>
          <cell r="N175">
            <v>7000</v>
          </cell>
          <cell r="O175">
            <v>0</v>
          </cell>
          <cell r="P175">
            <v>15000</v>
          </cell>
          <cell r="Q175">
            <v>76410</v>
          </cell>
          <cell r="W175">
            <v>-324373</v>
          </cell>
        </row>
        <row r="176">
          <cell r="M176">
            <v>3731</v>
          </cell>
          <cell r="N176">
            <v>7000</v>
          </cell>
          <cell r="O176"/>
          <cell r="P176">
            <v>15000</v>
          </cell>
          <cell r="Q176">
            <v>76410</v>
          </cell>
          <cell r="R176"/>
          <cell r="W176">
            <v>-87803</v>
          </cell>
        </row>
        <row r="177">
          <cell r="M177">
            <v>3731</v>
          </cell>
          <cell r="N177">
            <v>7000</v>
          </cell>
          <cell r="O177"/>
          <cell r="P177">
            <v>15000</v>
          </cell>
          <cell r="Q177">
            <v>76410</v>
          </cell>
          <cell r="R177"/>
          <cell r="W177">
            <v>148446</v>
          </cell>
        </row>
        <row r="178">
          <cell r="M178">
            <v>3731</v>
          </cell>
          <cell r="N178">
            <v>7000</v>
          </cell>
          <cell r="O178"/>
          <cell r="P178">
            <v>15000</v>
          </cell>
          <cell r="Q178">
            <v>76410</v>
          </cell>
          <cell r="R178"/>
          <cell r="W178">
            <v>-656261</v>
          </cell>
        </row>
        <row r="179">
          <cell r="M179">
            <v>3731</v>
          </cell>
          <cell r="N179">
            <v>7000</v>
          </cell>
          <cell r="O179"/>
          <cell r="P179">
            <v>15000</v>
          </cell>
          <cell r="Q179">
            <v>76410</v>
          </cell>
          <cell r="R179"/>
          <cell r="W179">
            <v>-484822</v>
          </cell>
        </row>
        <row r="180">
          <cell r="M180">
            <v>3731</v>
          </cell>
          <cell r="N180">
            <v>7000</v>
          </cell>
          <cell r="O180"/>
          <cell r="P180">
            <v>15000</v>
          </cell>
          <cell r="Q180">
            <v>76410</v>
          </cell>
          <cell r="R180"/>
          <cell r="W180">
            <v>-302946</v>
          </cell>
        </row>
        <row r="181">
          <cell r="M181">
            <v>3731</v>
          </cell>
          <cell r="N181">
            <v>7000</v>
          </cell>
          <cell r="O181"/>
          <cell r="P181">
            <v>15000</v>
          </cell>
          <cell r="Q181">
            <v>76410</v>
          </cell>
          <cell r="R181"/>
          <cell r="W181">
            <v>-122643</v>
          </cell>
        </row>
        <row r="182">
          <cell r="M182">
            <v>3731</v>
          </cell>
          <cell r="N182">
            <v>7981</v>
          </cell>
          <cell r="O182"/>
          <cell r="P182">
            <v>10000</v>
          </cell>
          <cell r="Q182">
            <v>76410</v>
          </cell>
          <cell r="R182"/>
          <cell r="W182">
            <v>20790</v>
          </cell>
        </row>
        <row r="183">
          <cell r="M183">
            <v>3731</v>
          </cell>
          <cell r="N183">
            <v>7997</v>
          </cell>
          <cell r="O183"/>
          <cell r="P183">
            <v>10000</v>
          </cell>
          <cell r="Q183">
            <v>76410</v>
          </cell>
          <cell r="R183"/>
          <cell r="W183">
            <v>229989</v>
          </cell>
        </row>
        <row r="184">
          <cell r="M184">
            <v>3731</v>
          </cell>
          <cell r="N184">
            <v>7990</v>
          </cell>
          <cell r="O184"/>
          <cell r="P184">
            <v>10000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>
            <v>10000</v>
          </cell>
          <cell r="Q185">
            <v>76410</v>
          </cell>
          <cell r="R185"/>
          <cell r="W185">
            <v>-792568</v>
          </cell>
        </row>
        <row r="186">
          <cell r="M186">
            <v>3731</v>
          </cell>
          <cell r="N186">
            <v>8039</v>
          </cell>
          <cell r="O186"/>
          <cell r="P186">
            <v>10000</v>
          </cell>
          <cell r="Q186">
            <v>76410</v>
          </cell>
          <cell r="R186"/>
          <cell r="W186">
            <v>-538023</v>
          </cell>
        </row>
        <row r="187">
          <cell r="M187">
            <v>3731</v>
          </cell>
          <cell r="N187">
            <v>8047</v>
          </cell>
          <cell r="O187"/>
          <cell r="P187">
            <v>10000</v>
          </cell>
          <cell r="Q187">
            <v>78144</v>
          </cell>
          <cell r="R187"/>
          <cell r="W187">
            <v>-288250</v>
          </cell>
        </row>
        <row r="188">
          <cell r="M188">
            <v>3731</v>
          </cell>
          <cell r="N188">
            <v>8077</v>
          </cell>
          <cell r="O188"/>
          <cell r="P188">
            <v>10000</v>
          </cell>
          <cell r="Q188">
            <v>78144</v>
          </cell>
          <cell r="R188"/>
          <cell r="W188">
            <v>-86688</v>
          </cell>
        </row>
        <row r="189">
          <cell r="M189">
            <v>3731</v>
          </cell>
          <cell r="N189">
            <v>8090</v>
          </cell>
          <cell r="O189"/>
          <cell r="P189">
            <v>10000</v>
          </cell>
          <cell r="Q189">
            <v>78144</v>
          </cell>
          <cell r="R189"/>
          <cell r="W189">
            <v>150003</v>
          </cell>
        </row>
        <row r="190">
          <cell r="M190">
            <v>3731</v>
          </cell>
          <cell r="N190">
            <v>8101</v>
          </cell>
          <cell r="O190"/>
          <cell r="P190">
            <v>10000</v>
          </cell>
          <cell r="Q190">
            <v>78144</v>
          </cell>
          <cell r="R190"/>
          <cell r="W190">
            <v>-641286</v>
          </cell>
        </row>
        <row r="191">
          <cell r="M191">
            <v>3731</v>
          </cell>
          <cell r="N191">
            <v>8123</v>
          </cell>
          <cell r="O191"/>
          <cell r="P191">
            <v>10000</v>
          </cell>
          <cell r="Q191">
            <v>78144</v>
          </cell>
          <cell r="R191"/>
          <cell r="W191">
            <v>-420101</v>
          </cell>
        </row>
        <row r="192">
          <cell r="M192">
            <v>3731</v>
          </cell>
          <cell r="N192">
            <v>8148</v>
          </cell>
          <cell r="O192"/>
          <cell r="P192">
            <v>10000</v>
          </cell>
          <cell r="Q192">
            <v>78144</v>
          </cell>
          <cell r="R192"/>
          <cell r="W192">
            <v>-220783</v>
          </cell>
        </row>
        <row r="193">
          <cell r="M193">
            <v>3731</v>
          </cell>
          <cell r="N193">
            <v>8161</v>
          </cell>
          <cell r="O193"/>
          <cell r="P193">
            <v>10000</v>
          </cell>
          <cell r="Q193">
            <v>78144</v>
          </cell>
          <cell r="R193"/>
          <cell r="W193">
            <v>-55463</v>
          </cell>
        </row>
        <row r="194">
          <cell r="M194">
            <v>3731</v>
          </cell>
          <cell r="N194">
            <v>8186</v>
          </cell>
          <cell r="O194"/>
          <cell r="P194">
            <v>10000</v>
          </cell>
          <cell r="Q194">
            <v>78144</v>
          </cell>
          <cell r="R194">
            <v>54715</v>
          </cell>
          <cell r="W194">
            <v>131992</v>
          </cell>
        </row>
        <row r="195">
          <cell r="M195">
            <v>3731</v>
          </cell>
          <cell r="N195">
            <v>8207</v>
          </cell>
          <cell r="O195"/>
          <cell r="P195">
            <v>10000</v>
          </cell>
          <cell r="Q195">
            <v>78144</v>
          </cell>
          <cell r="R195">
            <v>54864</v>
          </cell>
          <cell r="W195">
            <v>340341</v>
          </cell>
        </row>
        <row r="196">
          <cell r="M196">
            <v>3731</v>
          </cell>
          <cell r="N196">
            <v>8230</v>
          </cell>
          <cell r="O196"/>
          <cell r="P196">
            <v>10000</v>
          </cell>
          <cell r="Q196">
            <v>78144</v>
          </cell>
          <cell r="R196"/>
          <cell r="W196">
            <v>-500353</v>
          </cell>
        </row>
        <row r="197">
          <cell r="M197">
            <v>3731</v>
          </cell>
          <cell r="N197">
            <v>8260</v>
          </cell>
          <cell r="O197"/>
          <cell r="P197">
            <v>10000</v>
          </cell>
          <cell r="Q197">
            <v>78144</v>
          </cell>
          <cell r="R197"/>
          <cell r="W197">
            <v>-291705</v>
          </cell>
        </row>
        <row r="198">
          <cell r="M198">
            <v>3731</v>
          </cell>
          <cell r="N198">
            <v>8270</v>
          </cell>
          <cell r="O198"/>
          <cell r="P198">
            <v>10000</v>
          </cell>
          <cell r="Q198">
            <v>78144</v>
          </cell>
          <cell r="R198"/>
          <cell r="W198">
            <v>-78232</v>
          </cell>
        </row>
        <row r="199">
          <cell r="M199">
            <v>3828</v>
          </cell>
          <cell r="N199">
            <v>8264</v>
          </cell>
          <cell r="O199"/>
          <cell r="P199">
            <v>10000</v>
          </cell>
          <cell r="Q199">
            <v>80176</v>
          </cell>
          <cell r="R199"/>
          <cell r="W199">
            <v>0</v>
          </cell>
        </row>
        <row r="200">
          <cell r="M200">
            <v>3828</v>
          </cell>
          <cell r="N200">
            <v>8267</v>
          </cell>
          <cell r="O200"/>
          <cell r="P200">
            <v>10000</v>
          </cell>
          <cell r="Q200">
            <v>80176</v>
          </cell>
          <cell r="R200"/>
          <cell r="W200">
            <v>203326</v>
          </cell>
        </row>
        <row r="201">
          <cell r="M201">
            <v>3828</v>
          </cell>
          <cell r="N201">
            <v>8270</v>
          </cell>
          <cell r="O201"/>
          <cell r="P201">
            <v>10000</v>
          </cell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>
            <v>10000</v>
          </cell>
          <cell r="Q202">
            <v>80176</v>
          </cell>
          <cell r="R202"/>
          <cell r="W202">
            <v>-321233</v>
          </cell>
        </row>
        <row r="203">
          <cell r="M203">
            <v>3828</v>
          </cell>
          <cell r="N203">
            <v>8329</v>
          </cell>
          <cell r="O203"/>
          <cell r="P203">
            <v>10000</v>
          </cell>
          <cell r="Q203">
            <v>80176</v>
          </cell>
          <cell r="R203"/>
          <cell r="W203">
            <v>-141168</v>
          </cell>
        </row>
        <row r="204">
          <cell r="M204">
            <v>3828</v>
          </cell>
          <cell r="N204"/>
          <cell r="O204"/>
          <cell r="P204">
            <v>10000</v>
          </cell>
          <cell r="Q204">
            <v>80176</v>
          </cell>
          <cell r="R204"/>
          <cell r="W204">
            <v>-47164</v>
          </cell>
        </row>
        <row r="205">
          <cell r="M205">
            <v>3828</v>
          </cell>
          <cell r="N205"/>
          <cell r="O205"/>
          <cell r="P205">
            <v>10000</v>
          </cell>
          <cell r="Q205">
            <v>80176</v>
          </cell>
          <cell r="R205"/>
          <cell r="W205">
            <v>46840</v>
          </cell>
        </row>
        <row r="206">
          <cell r="M206">
            <v>3828</v>
          </cell>
          <cell r="N206"/>
          <cell r="O206"/>
          <cell r="P206">
            <v>10000</v>
          </cell>
          <cell r="Q206">
            <v>80176</v>
          </cell>
          <cell r="R206"/>
          <cell r="W206">
            <v>140844</v>
          </cell>
        </row>
        <row r="207">
          <cell r="M207">
            <v>3828</v>
          </cell>
          <cell r="N207"/>
          <cell r="O207"/>
          <cell r="P207">
            <v>10000</v>
          </cell>
          <cell r="Q207">
            <v>80176</v>
          </cell>
          <cell r="R207"/>
          <cell r="W207">
            <v>234848</v>
          </cell>
        </row>
        <row r="208">
          <cell r="M208">
            <v>3828</v>
          </cell>
          <cell r="N208"/>
          <cell r="O208"/>
          <cell r="P208">
            <v>10000</v>
          </cell>
          <cell r="Q208">
            <v>80176</v>
          </cell>
          <cell r="R208"/>
          <cell r="W208">
            <v>328852</v>
          </cell>
        </row>
        <row r="209">
          <cell r="M209">
            <v>3828</v>
          </cell>
          <cell r="N209"/>
          <cell r="O209"/>
          <cell r="P209">
            <v>10000</v>
          </cell>
          <cell r="Q209">
            <v>80176</v>
          </cell>
          <cell r="R209"/>
          <cell r="W209">
            <v>422856</v>
          </cell>
        </row>
        <row r="210">
          <cell r="M210">
            <v>3828</v>
          </cell>
          <cell r="N210"/>
          <cell r="O210"/>
          <cell r="P210">
            <v>10000</v>
          </cell>
          <cell r="Q210">
            <v>80176</v>
          </cell>
          <cell r="R210"/>
          <cell r="W210">
            <v>516860</v>
          </cell>
        </row>
      </sheetData>
      <sheetData sheetId="27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87141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87141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87141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88122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-10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88180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89976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90023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90061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90145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182413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92274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28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-128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-2987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-5846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-8705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-11564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-14423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-17282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-19160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-21022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-22891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-24731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-26551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-26629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-26677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-26712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-26736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-26738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-26715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-26679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-26618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-26536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-26431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-26296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-26151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66117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-21612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-24338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-27035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-29702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54302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138306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222310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306314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390318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474322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558326</v>
          </cell>
        </row>
      </sheetData>
      <sheetData sheetId="29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33077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25218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17359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9500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1641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-1218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2199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5337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7545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9782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12039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16038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10990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14955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14931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14929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14952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14988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15049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10131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10236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100371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516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92784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15055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17329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19632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111965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195969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279973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363977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447981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531985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615989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699993</v>
          </cell>
        </row>
      </sheetData>
      <sheetData sheetId="30">
        <row r="175">
          <cell r="E175">
            <v>217</v>
          </cell>
          <cell r="M175">
            <v>3731</v>
          </cell>
          <cell r="N175">
            <v>7000</v>
          </cell>
          <cell r="O175">
            <v>0</v>
          </cell>
          <cell r="P175">
            <v>6667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R176"/>
          <cell r="W176">
            <v>3731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R189"/>
          <cell r="W189">
            <v>153071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R192"/>
          <cell r="W192">
            <v>114013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W193">
            <v>4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W195">
            <v>120538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173061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131349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215353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299357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383361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467365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551369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635373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719377</v>
          </cell>
        </row>
      </sheetData>
      <sheetData sheetId="31">
        <row r="175">
          <cell r="E175">
            <v>117</v>
          </cell>
          <cell r="M175">
            <v>3731</v>
          </cell>
          <cell r="N175">
            <v>7000</v>
          </cell>
          <cell r="O175">
            <v>0</v>
          </cell>
          <cell r="P175">
            <v>15000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15000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15000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15000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15000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15000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24900</v>
          </cell>
          <cell r="P181">
            <v>10000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R182"/>
          <cell r="W182">
            <v>-5000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R184"/>
          <cell r="W184">
            <v>4950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R185"/>
          <cell r="W185">
            <v>4950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16774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20000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20000</v>
          </cell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9667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R199"/>
          <cell r="W199">
            <v>154473</v>
          </cell>
        </row>
        <row r="200"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R203"/>
          <cell r="W203">
            <v>0</v>
          </cell>
        </row>
        <row r="204">
          <cell r="M204">
            <v>3828</v>
          </cell>
          <cell r="N204"/>
          <cell r="O204">
            <v>0</v>
          </cell>
          <cell r="P204"/>
          <cell r="Q204">
            <v>80176</v>
          </cell>
          <cell r="R204"/>
          <cell r="W204">
            <v>84004</v>
          </cell>
        </row>
        <row r="205">
          <cell r="M205">
            <v>3828</v>
          </cell>
          <cell r="N205"/>
          <cell r="O205">
            <v>0</v>
          </cell>
          <cell r="P205"/>
          <cell r="Q205">
            <v>80176</v>
          </cell>
          <cell r="R205"/>
          <cell r="W205">
            <v>168008</v>
          </cell>
        </row>
        <row r="206">
          <cell r="M206">
            <v>3828</v>
          </cell>
          <cell r="N206"/>
          <cell r="O206">
            <v>0</v>
          </cell>
          <cell r="P206"/>
          <cell r="Q206">
            <v>80176</v>
          </cell>
          <cell r="R206"/>
          <cell r="W206">
            <v>252012</v>
          </cell>
        </row>
        <row r="207">
          <cell r="M207">
            <v>3828</v>
          </cell>
          <cell r="N207"/>
          <cell r="O207">
            <v>0</v>
          </cell>
          <cell r="P207"/>
          <cell r="Q207">
            <v>80176</v>
          </cell>
          <cell r="R207"/>
          <cell r="W207">
            <v>336016</v>
          </cell>
        </row>
        <row r="208">
          <cell r="M208">
            <v>3828</v>
          </cell>
          <cell r="N208"/>
          <cell r="O208">
            <v>0</v>
          </cell>
          <cell r="P208"/>
          <cell r="Q208">
            <v>80176</v>
          </cell>
          <cell r="R208"/>
          <cell r="W208">
            <v>420020</v>
          </cell>
        </row>
        <row r="209">
          <cell r="M209">
            <v>3828</v>
          </cell>
          <cell r="N209"/>
          <cell r="O209">
            <v>0</v>
          </cell>
          <cell r="P209"/>
          <cell r="Q209">
            <v>80176</v>
          </cell>
          <cell r="R209"/>
          <cell r="W209">
            <v>504024</v>
          </cell>
        </row>
        <row r="210">
          <cell r="M210">
            <v>3828</v>
          </cell>
          <cell r="N210"/>
          <cell r="O210">
            <v>0</v>
          </cell>
          <cell r="P210"/>
          <cell r="Q210">
            <v>80176</v>
          </cell>
          <cell r="R210"/>
          <cell r="W210">
            <v>588028</v>
          </cell>
        </row>
      </sheetData>
      <sheetData sheetId="32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200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-200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33">
        <row r="175">
          <cell r="E175">
            <v>210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183849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170714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176186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0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84004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168008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252012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336016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420020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504024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588028</v>
          </cell>
        </row>
      </sheetData>
      <sheetData sheetId="34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87141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87141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87141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88160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1791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90061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90145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182413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92271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92303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184636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268640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352644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436648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520652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604656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688660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772664</v>
          </cell>
        </row>
      </sheetData>
      <sheetData sheetId="35">
        <row r="175">
          <cell r="E175">
            <v>109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149510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166545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250549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334553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418557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502561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586565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670569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754573</v>
          </cell>
        </row>
      </sheetData>
      <sheetData sheetId="36">
        <row r="175">
          <cell r="E175">
            <v>271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213740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161541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119967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88893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107519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177903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197042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176980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134237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70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109449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122390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W197">
            <v>218282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162709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169887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161680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325526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409530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493534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577538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661542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745546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829550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913554</v>
          </cell>
        </row>
      </sheetData>
      <sheetData sheetId="37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80141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80141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80141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81875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81875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81875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81875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81875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84004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W200">
            <v>278214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84004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168008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252012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336016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420020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504024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588028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672032</v>
          </cell>
        </row>
      </sheetData>
      <sheetData sheetId="38">
        <row r="175">
          <cell r="E175">
            <v>0</v>
          </cell>
          <cell r="M175">
            <v>3731</v>
          </cell>
          <cell r="O175">
            <v>0</v>
          </cell>
          <cell r="P175">
            <v>7000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88131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W186">
            <v>141830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>
            <v>53847</v>
          </cell>
          <cell r="W187">
            <v>285599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89976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90023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90061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>
            <v>55066</v>
          </cell>
          <cell r="W196">
            <v>145171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W197">
            <v>290438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W198">
            <v>435675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527943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W200">
            <v>730420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W201">
            <v>877826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>
            <v>55324</v>
          </cell>
          <cell r="W202">
            <v>1025453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1117786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1201790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1285794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1369798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1453802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1537806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1621810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1705814</v>
          </cell>
        </row>
      </sheetData>
      <sheetData sheetId="39">
        <row r="175">
          <cell r="E175">
            <v>115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110639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95530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103670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32223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146394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114147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119699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113609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111515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>
            <v>55132</v>
          </cell>
          <cell r="W197">
            <v>172828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>
            <v>55092</v>
          </cell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121585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118593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129776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213780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297784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381788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465792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549796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633800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717804</v>
          </cell>
        </row>
      </sheetData>
      <sheetData sheetId="40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R175">
            <v>59636</v>
          </cell>
          <cell r="W175">
            <v>273868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>
            <v>56784</v>
          </cell>
          <cell r="W176">
            <v>10793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>
            <v>52944</v>
          </cell>
          <cell r="W177">
            <v>143878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>
            <v>53123</v>
          </cell>
          <cell r="W178">
            <v>-22858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>
            <v>53262</v>
          </cell>
          <cell r="W179">
            <v>110545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>
            <v>53330</v>
          </cell>
          <cell r="W180">
            <v>244016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>
            <v>53195</v>
          </cell>
          <cell r="W181">
            <v>377352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>
            <v>53208</v>
          </cell>
          <cell r="W182">
            <v>510701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>
            <v>53314</v>
          </cell>
          <cell r="W183">
            <v>644156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>
            <v>53270</v>
          </cell>
          <cell r="W184">
            <v>777567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>
            <v>53462</v>
          </cell>
          <cell r="W185">
            <v>911170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>
            <v>53650</v>
          </cell>
          <cell r="W186">
            <v>1044961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>
            <v>53847</v>
          </cell>
          <cell r="W187">
            <v>1180683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>
            <v>53934</v>
          </cell>
          <cell r="W188">
            <v>1316492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>
            <v>54009</v>
          </cell>
          <cell r="W189">
            <v>1452376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>
            <v>54157</v>
          </cell>
          <cell r="W190">
            <v>1588408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>
            <v>54318</v>
          </cell>
          <cell r="W191">
            <v>1724601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>
            <v>54405</v>
          </cell>
          <cell r="W192">
            <v>1860881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>
            <v>54575</v>
          </cell>
          <cell r="W193">
            <v>1997331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>
            <v>54715</v>
          </cell>
          <cell r="W194">
            <v>2133921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>
            <v>54864</v>
          </cell>
          <cell r="W195">
            <v>2270660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>
            <v>55066</v>
          </cell>
          <cell r="W196">
            <v>2407601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>
            <v>55132</v>
          </cell>
          <cell r="W197">
            <v>2544608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>
            <v>55092</v>
          </cell>
          <cell r="W198">
            <v>2681575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2765579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W200">
            <v>2959789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>
            <v>55132</v>
          </cell>
          <cell r="W201">
            <v>3098925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>
            <v>55324</v>
          </cell>
          <cell r="W202">
            <v>3238253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3322257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3406261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3490265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3574269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3658273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3742277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3826281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3910285</v>
          </cell>
        </row>
      </sheetData>
      <sheetData sheetId="41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76410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76410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76410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76410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77391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78388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79378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80397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81436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600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630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673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727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803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904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1018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1157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1317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1500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1713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1936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80716</v>
          </cell>
          <cell r="R199"/>
          <cell r="W199">
            <v>10200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17927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26197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34496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42825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126829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210833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294837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378841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462845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546849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630853</v>
          </cell>
        </row>
      </sheetData>
      <sheetData sheetId="42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90023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90135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43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-266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84004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450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84454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165517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249521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333525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417529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501533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585537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669541</v>
          </cell>
        </row>
      </sheetData>
      <sheetData sheetId="44">
        <row r="175">
          <cell r="E175">
            <v>344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W189">
            <v>212276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W191">
            <v>156616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W192">
            <v>-156616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W193">
            <v>-62054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W194">
            <v>33409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/>
          <cell r="W197">
            <v>101669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178037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127031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211035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295039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379043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463047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547051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631055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715059</v>
          </cell>
        </row>
      </sheetData>
      <sheetData sheetId="45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>
            <v>0</v>
          </cell>
          <cell r="P176">
            <v>0</v>
          </cell>
          <cell r="Q176">
            <v>76410</v>
          </cell>
          <cell r="R176">
            <v>52784</v>
          </cell>
          <cell r="W176">
            <v>132925</v>
          </cell>
        </row>
        <row r="177">
          <cell r="M177">
            <v>3731</v>
          </cell>
          <cell r="N177"/>
          <cell r="O177">
            <v>0</v>
          </cell>
          <cell r="P177">
            <v>0</v>
          </cell>
          <cell r="Q177">
            <v>76410</v>
          </cell>
          <cell r="R177">
            <v>52944</v>
          </cell>
          <cell r="W177">
            <v>0</v>
          </cell>
        </row>
        <row r="178">
          <cell r="M178">
            <v>3731</v>
          </cell>
          <cell r="N178"/>
          <cell r="O178">
            <v>0</v>
          </cell>
          <cell r="P178">
            <v>0</v>
          </cell>
          <cell r="Q178">
            <v>76410</v>
          </cell>
          <cell r="R178">
            <v>53123</v>
          </cell>
          <cell r="W178">
            <v>269868</v>
          </cell>
        </row>
        <row r="179">
          <cell r="M179">
            <v>3731</v>
          </cell>
          <cell r="N179"/>
          <cell r="O179">
            <v>0</v>
          </cell>
          <cell r="P179">
            <v>0</v>
          </cell>
          <cell r="Q179">
            <v>76410</v>
          </cell>
          <cell r="R179">
            <v>53262</v>
          </cell>
          <cell r="W179">
            <v>403271</v>
          </cell>
        </row>
        <row r="180">
          <cell r="M180">
            <v>3731</v>
          </cell>
          <cell r="N180"/>
          <cell r="O180">
            <v>0</v>
          </cell>
          <cell r="P180">
            <v>0</v>
          </cell>
          <cell r="Q180">
            <v>76410</v>
          </cell>
          <cell r="R180">
            <v>53330</v>
          </cell>
          <cell r="W180">
            <v>536742</v>
          </cell>
        </row>
        <row r="181">
          <cell r="M181">
            <v>3731</v>
          </cell>
          <cell r="N181"/>
          <cell r="O181">
            <v>0</v>
          </cell>
          <cell r="P181">
            <v>0</v>
          </cell>
          <cell r="Q181">
            <v>76410</v>
          </cell>
          <cell r="R181">
            <v>53195</v>
          </cell>
          <cell r="W181">
            <v>670078</v>
          </cell>
        </row>
        <row r="182">
          <cell r="M182">
            <v>3731</v>
          </cell>
          <cell r="N182"/>
          <cell r="O182">
            <v>0</v>
          </cell>
          <cell r="P182">
            <v>0</v>
          </cell>
          <cell r="Q182">
            <v>76410</v>
          </cell>
          <cell r="R182">
            <v>53208</v>
          </cell>
          <cell r="W182">
            <v>803427</v>
          </cell>
        </row>
        <row r="183">
          <cell r="M183">
            <v>3731</v>
          </cell>
          <cell r="N183"/>
          <cell r="O183">
            <v>0</v>
          </cell>
          <cell r="P183">
            <v>0</v>
          </cell>
          <cell r="Q183">
            <v>76410</v>
          </cell>
          <cell r="R183">
            <v>53314</v>
          </cell>
          <cell r="W183">
            <v>936882</v>
          </cell>
        </row>
        <row r="184">
          <cell r="M184">
            <v>3731</v>
          </cell>
          <cell r="N184"/>
          <cell r="O184">
            <v>0</v>
          </cell>
          <cell r="P184">
            <v>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>
            <v>0</v>
          </cell>
          <cell r="P185">
            <v>0</v>
          </cell>
          <cell r="Q185">
            <v>76410</v>
          </cell>
          <cell r="R185">
            <v>53462</v>
          </cell>
          <cell r="W185">
            <v>133603</v>
          </cell>
        </row>
        <row r="186">
          <cell r="M186">
            <v>3731</v>
          </cell>
          <cell r="N186"/>
          <cell r="O186">
            <v>0</v>
          </cell>
          <cell r="P186">
            <v>0</v>
          </cell>
          <cell r="Q186">
            <v>76410</v>
          </cell>
          <cell r="R186">
            <v>53650</v>
          </cell>
          <cell r="W186">
            <v>0</v>
          </cell>
        </row>
        <row r="187">
          <cell r="M187">
            <v>3731</v>
          </cell>
          <cell r="N187"/>
          <cell r="O187">
            <v>0</v>
          </cell>
          <cell r="P187">
            <v>0</v>
          </cell>
          <cell r="Q187">
            <v>78144</v>
          </cell>
          <cell r="R187">
            <v>53847</v>
          </cell>
          <cell r="W187">
            <v>135722</v>
          </cell>
        </row>
        <row r="188">
          <cell r="M188">
            <v>3731</v>
          </cell>
          <cell r="N188"/>
          <cell r="O188">
            <v>0</v>
          </cell>
          <cell r="P188">
            <v>0</v>
          </cell>
          <cell r="Q188">
            <v>78144</v>
          </cell>
          <cell r="R188">
            <v>53934</v>
          </cell>
          <cell r="W188">
            <v>0</v>
          </cell>
        </row>
        <row r="189">
          <cell r="M189">
            <v>3731</v>
          </cell>
          <cell r="N189"/>
          <cell r="O189">
            <v>0</v>
          </cell>
          <cell r="P189">
            <v>0</v>
          </cell>
          <cell r="Q189">
            <v>78144</v>
          </cell>
          <cell r="R189">
            <v>54009</v>
          </cell>
          <cell r="W189">
            <v>135884</v>
          </cell>
        </row>
        <row r="190">
          <cell r="M190">
            <v>3731</v>
          </cell>
          <cell r="N190"/>
          <cell r="O190">
            <v>0</v>
          </cell>
          <cell r="P190">
            <v>0</v>
          </cell>
          <cell r="Q190">
            <v>78144</v>
          </cell>
          <cell r="R190">
            <v>54157</v>
          </cell>
          <cell r="W190">
            <v>271916</v>
          </cell>
        </row>
        <row r="191">
          <cell r="M191">
            <v>3731</v>
          </cell>
          <cell r="N191"/>
          <cell r="O191">
            <v>0</v>
          </cell>
          <cell r="P191">
            <v>0</v>
          </cell>
          <cell r="Q191">
            <v>78144</v>
          </cell>
          <cell r="R191">
            <v>54318</v>
          </cell>
          <cell r="W191">
            <v>408109</v>
          </cell>
        </row>
        <row r="192">
          <cell r="M192">
            <v>3731</v>
          </cell>
          <cell r="N192"/>
          <cell r="O192">
            <v>0</v>
          </cell>
          <cell r="P192">
            <v>0</v>
          </cell>
          <cell r="Q192">
            <v>78144</v>
          </cell>
          <cell r="R192">
            <v>54405</v>
          </cell>
          <cell r="W192">
            <v>544389</v>
          </cell>
        </row>
        <row r="193">
          <cell r="M193">
            <v>3731</v>
          </cell>
          <cell r="N193"/>
          <cell r="O193">
            <v>0</v>
          </cell>
          <cell r="P193">
            <v>0</v>
          </cell>
          <cell r="Q193">
            <v>78144</v>
          </cell>
          <cell r="R193">
            <v>54575</v>
          </cell>
          <cell r="W193">
            <v>680839</v>
          </cell>
        </row>
        <row r="194">
          <cell r="M194">
            <v>3731</v>
          </cell>
          <cell r="N194"/>
          <cell r="O194">
            <v>0</v>
          </cell>
          <cell r="P194">
            <v>0</v>
          </cell>
          <cell r="Q194">
            <v>78144</v>
          </cell>
          <cell r="R194">
            <v>54715</v>
          </cell>
          <cell r="W194">
            <v>817429</v>
          </cell>
        </row>
        <row r="195">
          <cell r="M195">
            <v>3731</v>
          </cell>
          <cell r="N195"/>
          <cell r="O195">
            <v>0</v>
          </cell>
          <cell r="P195">
            <v>0</v>
          </cell>
          <cell r="Q195">
            <v>78144</v>
          </cell>
          <cell r="R195">
            <v>54864</v>
          </cell>
          <cell r="W195">
            <v>954168</v>
          </cell>
        </row>
        <row r="196">
          <cell r="M196">
            <v>3731</v>
          </cell>
          <cell r="N196"/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W196">
            <v>1091109</v>
          </cell>
        </row>
        <row r="197">
          <cell r="M197">
            <v>3731</v>
          </cell>
          <cell r="N197"/>
          <cell r="O197">
            <v>0</v>
          </cell>
          <cell r="P197">
            <v>0</v>
          </cell>
          <cell r="Q197">
            <v>78144</v>
          </cell>
          <cell r="R197">
            <v>55132</v>
          </cell>
          <cell r="W197">
            <v>1228116</v>
          </cell>
        </row>
        <row r="198">
          <cell r="M198">
            <v>3731</v>
          </cell>
          <cell r="N198"/>
          <cell r="O198">
            <v>0</v>
          </cell>
          <cell r="P198">
            <v>0</v>
          </cell>
          <cell r="Q198">
            <v>78144</v>
          </cell>
          <cell r="R198">
            <v>55092</v>
          </cell>
          <cell r="W198">
            <v>1365083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>
            <v>275658</v>
          </cell>
          <cell r="W199">
            <v>1724745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W200">
            <v>1863863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>
            <v>55132</v>
          </cell>
          <cell r="W201">
            <v>2002999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>
            <v>55324</v>
          </cell>
          <cell r="W202">
            <v>2142327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2226331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2310335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2394339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2478343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2562347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2646351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2730355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2814359</v>
          </cell>
        </row>
      </sheetData>
      <sheetData sheetId="46">
        <row r="175">
          <cell r="E175">
            <v>0</v>
          </cell>
          <cell r="M175">
            <v>3731</v>
          </cell>
          <cell r="O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80141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-1000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84004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4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-4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84000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168004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252008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336012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420016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504020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588024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672028</v>
          </cell>
        </row>
      </sheetData>
      <sheetData sheetId="47">
        <row r="175">
          <cell r="E175">
            <v>0</v>
          </cell>
          <cell r="M175">
            <v>3731</v>
          </cell>
          <cell r="O175">
            <v>0</v>
          </cell>
          <cell r="Q175">
            <v>76410</v>
          </cell>
          <cell r="R175">
            <v>52636</v>
          </cell>
          <cell r="W175">
            <v>640649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>
            <v>52784</v>
          </cell>
          <cell r="W176">
            <v>195700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>
            <v>52944</v>
          </cell>
          <cell r="W177">
            <v>328785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>
            <v>53123</v>
          </cell>
          <cell r="W178">
            <v>462049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>
            <v>53262</v>
          </cell>
          <cell r="W179">
            <v>595452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>
            <v>53330</v>
          </cell>
          <cell r="W180">
            <v>728923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>
            <v>53195</v>
          </cell>
          <cell r="W181">
            <v>862259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>
            <v>53208</v>
          </cell>
          <cell r="W182">
            <v>995608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1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>
            <v>53462</v>
          </cell>
          <cell r="W185">
            <v>133603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>
            <v>53650</v>
          </cell>
          <cell r="W186">
            <v>267394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>
            <v>53847</v>
          </cell>
          <cell r="W187">
            <v>403116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>
            <v>53934</v>
          </cell>
          <cell r="W188">
            <v>538925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>
            <v>54009</v>
          </cell>
          <cell r="W189">
            <v>674809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>
            <v>54157</v>
          </cell>
          <cell r="W190">
            <v>810841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>
            <v>54318</v>
          </cell>
          <cell r="W191">
            <v>947034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>
            <v>54405</v>
          </cell>
          <cell r="W192">
            <v>1083314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>
            <v>54575</v>
          </cell>
          <cell r="W193">
            <v>1219764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>
            <v>54715</v>
          </cell>
          <cell r="W194">
            <v>1356354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>
            <v>54864</v>
          </cell>
          <cell r="W195">
            <v>1493093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>
            <v>55066</v>
          </cell>
          <cell r="W196">
            <v>1630034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>
            <v>55132</v>
          </cell>
          <cell r="W197">
            <v>1767041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1767041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1851045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974176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529090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84004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168008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252012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336016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420020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504024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588028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672032</v>
          </cell>
        </row>
      </sheetData>
      <sheetData sheetId="48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-859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-1718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-2577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-3436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-5295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-7154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-9013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-20891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-22753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-23622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-24462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-26282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-25360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-24408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-23443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-22467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-21469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-20446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-19410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70651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-19267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-19162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-20027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70118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162386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W200">
            <v>-85229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W201">
            <v>62177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49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87141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R178"/>
          <cell r="W178">
            <v>3731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R179"/>
          <cell r="W179">
            <v>90872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R181"/>
          <cell r="W181">
            <v>3731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R182"/>
          <cell r="W182">
            <v>-3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R183"/>
          <cell r="W183">
            <v>88135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R188"/>
          <cell r="W188">
            <v>89952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R191"/>
          <cell r="W191">
            <v>89998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R193"/>
          <cell r="W193">
            <v>90036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R195">
            <v>54864</v>
          </cell>
          <cell r="W195">
            <v>144946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R196">
            <v>55066</v>
          </cell>
          <cell r="W196">
            <v>140117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R197"/>
          <cell r="W197">
            <v>230252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R199"/>
          <cell r="W199">
            <v>92268</v>
          </cell>
        </row>
        <row r="200"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R200">
            <v>55114</v>
          </cell>
          <cell r="W200">
            <v>147385</v>
          </cell>
        </row>
        <row r="201"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R201">
            <v>55132</v>
          </cell>
          <cell r="W201">
            <v>294791</v>
          </cell>
        </row>
        <row r="202"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R202">
            <v>55324</v>
          </cell>
          <cell r="W202">
            <v>442418</v>
          </cell>
        </row>
        <row r="203"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R203"/>
          <cell r="W203">
            <v>534751</v>
          </cell>
        </row>
        <row r="204"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W204">
            <v>618755</v>
          </cell>
        </row>
        <row r="205"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W205">
            <v>702759</v>
          </cell>
        </row>
        <row r="206"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W206">
            <v>786763</v>
          </cell>
        </row>
        <row r="207"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W207">
            <v>870767</v>
          </cell>
        </row>
        <row r="208"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W208">
            <v>954771</v>
          </cell>
        </row>
        <row r="209"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W209">
            <v>1038775</v>
          </cell>
        </row>
        <row r="210"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W210">
            <v>1122779</v>
          </cell>
        </row>
      </sheetData>
      <sheetData sheetId="50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-49743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-49602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-49461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-49320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-49179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-49038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-48897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-48756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-48615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-48474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-48333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-53192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-56317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-59442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-62567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-65692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-68817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-71942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-75067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-78192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-81317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-84442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-87567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-88692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-4688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-86684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-85680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-84676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-672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83332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167336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251340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335344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419348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503352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587356</v>
          </cell>
        </row>
      </sheetData>
      <sheetData sheetId="51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5746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85887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3731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83872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>
            <v>53270</v>
          </cell>
          <cell r="W184">
            <v>133411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>
            <v>53462</v>
          </cell>
          <cell r="W185">
            <v>267014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>
            <v>53650</v>
          </cell>
          <cell r="W186">
            <v>400805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>
            <v>53847</v>
          </cell>
          <cell r="W187">
            <v>536527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404173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486048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567923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649798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731673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>
            <v>54575</v>
          </cell>
          <cell r="W193">
            <v>868123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>
            <v>54715</v>
          </cell>
          <cell r="W194">
            <v>1004713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>
            <v>54864</v>
          </cell>
          <cell r="W195">
            <v>1141452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>
            <v>55066</v>
          </cell>
          <cell r="W196">
            <v>1278393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>
            <v>55132</v>
          </cell>
          <cell r="W197">
            <v>274352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356227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440231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>
            <v>55114</v>
          </cell>
          <cell r="W200">
            <v>449005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>
            <v>55132</v>
          </cell>
          <cell r="W201">
            <v>588141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>
            <v>55324</v>
          </cell>
          <cell r="W202">
            <v>727469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811473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895477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979481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1063485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1147489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1231493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1315497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1399501</v>
          </cell>
        </row>
      </sheetData>
      <sheetData sheetId="52">
        <row r="175">
          <cell r="E175">
            <v>0</v>
          </cell>
          <cell r="M175">
            <v>3731</v>
          </cell>
          <cell r="N175">
            <v>7000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87141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7000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94141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181282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88131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88180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89952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>
            <v>54157</v>
          </cell>
          <cell r="W190">
            <v>144133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>
            <v>54318</v>
          </cell>
          <cell r="W191">
            <v>108532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108475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90082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90145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182413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>
            <v>55114</v>
          </cell>
          <cell r="W200">
            <v>147385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>
            <v>55132</v>
          </cell>
          <cell r="W201">
            <v>294791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92333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176337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260341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344345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428349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512353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596357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680361</v>
          </cell>
        </row>
      </sheetData>
      <sheetData sheetId="53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-9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-9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-16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>
            <v>53462</v>
          </cell>
          <cell r="W185">
            <v>53468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>
            <v>53650</v>
          </cell>
          <cell r="W186">
            <v>108157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110938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108752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110579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112417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114277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116162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118060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119983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121927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123894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125891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127898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220166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136161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140297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105971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198304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282308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366312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450316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534320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618324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702328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786332</v>
          </cell>
        </row>
      </sheetData>
      <sheetData sheetId="54">
        <row r="175">
          <cell r="E175">
            <v>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/>
          <cell r="O176">
            <v>0</v>
          </cell>
          <cell r="P176">
            <v>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/>
          <cell r="O177">
            <v>0</v>
          </cell>
          <cell r="P177">
            <v>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/>
          <cell r="O178">
            <v>0</v>
          </cell>
          <cell r="P178">
            <v>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/>
          <cell r="O179">
            <v>0</v>
          </cell>
          <cell r="P179">
            <v>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/>
          <cell r="O180">
            <v>0</v>
          </cell>
          <cell r="P180">
            <v>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/>
          <cell r="O181">
            <v>0</v>
          </cell>
          <cell r="P181">
            <v>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/>
          <cell r="O182">
            <v>0</v>
          </cell>
          <cell r="P182">
            <v>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/>
          <cell r="O183">
            <v>0</v>
          </cell>
          <cell r="P183">
            <v>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/>
          <cell r="O184">
            <v>0</v>
          </cell>
          <cell r="P184">
            <v>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/>
          <cell r="O185">
            <v>0</v>
          </cell>
          <cell r="P185">
            <v>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/>
          <cell r="O186">
            <v>0</v>
          </cell>
          <cell r="P186">
            <v>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/>
          <cell r="O187">
            <v>0</v>
          </cell>
          <cell r="P187">
            <v>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/>
          <cell r="O188">
            <v>0</v>
          </cell>
          <cell r="P188">
            <v>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/>
          <cell r="O189">
            <v>0</v>
          </cell>
          <cell r="P189">
            <v>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/>
          <cell r="O190">
            <v>0</v>
          </cell>
          <cell r="P190">
            <v>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/>
          <cell r="O191">
            <v>0</v>
          </cell>
          <cell r="P191">
            <v>0</v>
          </cell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/>
          <cell r="O192">
            <v>0</v>
          </cell>
          <cell r="P192">
            <v>0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/>
          <cell r="O193">
            <v>0</v>
          </cell>
          <cell r="P193">
            <v>0</v>
          </cell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/>
          <cell r="O194">
            <v>0</v>
          </cell>
          <cell r="P194">
            <v>0</v>
          </cell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/>
          <cell r="O195">
            <v>0</v>
          </cell>
          <cell r="P195">
            <v>0</v>
          </cell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/>
          <cell r="O196">
            <v>0</v>
          </cell>
          <cell r="P196">
            <v>0</v>
          </cell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/>
          <cell r="O197">
            <v>0</v>
          </cell>
          <cell r="P197">
            <v>0</v>
          </cell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/>
          <cell r="O198">
            <v>0</v>
          </cell>
          <cell r="P198">
            <v>0</v>
          </cell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/>
          <cell r="O199">
            <v>0</v>
          </cell>
          <cell r="P199">
            <v>0</v>
          </cell>
          <cell r="Q199">
            <v>80176</v>
          </cell>
          <cell r="R199"/>
          <cell r="W199">
            <v>84004</v>
          </cell>
        </row>
        <row r="200">
          <cell r="M200">
            <v>3828</v>
          </cell>
          <cell r="N200"/>
          <cell r="O200">
            <v>0</v>
          </cell>
          <cell r="P200">
            <v>0</v>
          </cell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/>
          <cell r="O201">
            <v>0</v>
          </cell>
          <cell r="P201">
            <v>0</v>
          </cell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/>
          <cell r="O202">
            <v>0</v>
          </cell>
          <cell r="P202">
            <v>0</v>
          </cell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/>
          <cell r="O203">
            <v>0</v>
          </cell>
          <cell r="P203">
            <v>0</v>
          </cell>
          <cell r="Q203">
            <v>80176</v>
          </cell>
          <cell r="R203"/>
          <cell r="W203">
            <v>84004</v>
          </cell>
        </row>
        <row r="204"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R204"/>
          <cell r="W204">
            <v>168008</v>
          </cell>
        </row>
        <row r="205"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R205"/>
          <cell r="W205">
            <v>252012</v>
          </cell>
        </row>
        <row r="206"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R206"/>
          <cell r="W206">
            <v>336016</v>
          </cell>
        </row>
        <row r="207"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R207"/>
          <cell r="W207">
            <v>420020</v>
          </cell>
        </row>
        <row r="208"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R208"/>
          <cell r="W208">
            <v>504024</v>
          </cell>
        </row>
        <row r="209"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R209"/>
          <cell r="W209">
            <v>588028</v>
          </cell>
        </row>
        <row r="210"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R210"/>
          <cell r="W210">
            <v>672032</v>
          </cell>
        </row>
      </sheetData>
      <sheetData sheetId="55">
        <row r="175">
          <cell r="E175">
            <v>303</v>
          </cell>
          <cell r="M175">
            <v>3731</v>
          </cell>
          <cell r="N175">
            <v>7000</v>
          </cell>
          <cell r="O175">
            <v>0</v>
          </cell>
          <cell r="Q175">
            <v>76410</v>
          </cell>
          <cell r="W175">
            <v>138646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133002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104415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5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114732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57120</v>
          </cell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155003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158480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242484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326488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410492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494496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578500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662504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746508</v>
          </cell>
        </row>
      </sheetData>
      <sheetData sheetId="56">
        <row r="175">
          <cell r="E175">
            <v>771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429791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354017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298942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231828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133273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24623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116386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98706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50311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89457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123056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145517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111056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122120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126180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134522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127502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84199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41446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63612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28035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165697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97316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73959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81880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217555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301559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385563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469567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553571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637575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721579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805583</v>
          </cell>
        </row>
      </sheetData>
      <sheetData sheetId="57">
        <row r="175">
          <cell r="E175">
            <v>255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168553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185408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269412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353416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437420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521424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605428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689432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773436</v>
          </cell>
        </row>
      </sheetData>
      <sheetData sheetId="58">
        <row r="175">
          <cell r="E175">
            <v>0</v>
          </cell>
          <cell r="M175">
            <v>3731</v>
          </cell>
          <cell r="N175">
            <v>7000</v>
          </cell>
          <cell r="O175">
            <v>0</v>
          </cell>
          <cell r="P175">
            <v>0</v>
          </cell>
          <cell r="Q175">
            <v>76410</v>
          </cell>
          <cell r="W175">
            <v>75181</v>
          </cell>
        </row>
        <row r="176"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R176"/>
          <cell r="W176">
            <v>87927</v>
          </cell>
        </row>
        <row r="177"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R177"/>
          <cell r="W177">
            <v>100673</v>
          </cell>
        </row>
        <row r="178"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R178"/>
          <cell r="W178">
            <v>39130</v>
          </cell>
        </row>
        <row r="179"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R180"/>
          <cell r="W180">
            <v>39130</v>
          </cell>
        </row>
        <row r="181"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R185"/>
          <cell r="W185">
            <v>88160</v>
          </cell>
        </row>
        <row r="186"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R199"/>
          <cell r="W199">
            <v>96740</v>
          </cell>
        </row>
        <row r="200"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R200"/>
          <cell r="W200">
            <v>98712</v>
          </cell>
        </row>
        <row r="201"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R203"/>
          <cell r="W203">
            <v>99946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183950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267954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351958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435962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519966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603970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687974</v>
          </cell>
        </row>
      </sheetData>
      <sheetData sheetId="59">
        <row r="175">
          <cell r="E175">
            <v>10</v>
          </cell>
          <cell r="M175">
            <v>3731</v>
          </cell>
          <cell r="O175">
            <v>0</v>
          </cell>
          <cell r="P175">
            <v>0</v>
          </cell>
          <cell r="Q175">
            <v>76410</v>
          </cell>
          <cell r="W175">
            <v>-0.39999999990686774</v>
          </cell>
        </row>
        <row r="176">
          <cell r="M176">
            <v>3731</v>
          </cell>
          <cell r="N176"/>
          <cell r="O176"/>
          <cell r="P176"/>
          <cell r="Q176">
            <v>76410</v>
          </cell>
          <cell r="R176"/>
          <cell r="W176">
            <v>-0.39999999990686774</v>
          </cell>
        </row>
        <row r="177">
          <cell r="M177">
            <v>3731</v>
          </cell>
          <cell r="N177"/>
          <cell r="O177"/>
          <cell r="P177"/>
          <cell r="Q177">
            <v>76410</v>
          </cell>
          <cell r="R177"/>
          <cell r="W177">
            <v>-0.39999999990686774</v>
          </cell>
        </row>
        <row r="178">
          <cell r="M178">
            <v>3731</v>
          </cell>
          <cell r="N178"/>
          <cell r="O178"/>
          <cell r="P178"/>
          <cell r="Q178">
            <v>76410</v>
          </cell>
          <cell r="R178"/>
          <cell r="W178">
            <v>-0.39999999990686774</v>
          </cell>
        </row>
        <row r="179">
          <cell r="M179">
            <v>3731</v>
          </cell>
          <cell r="N179"/>
          <cell r="O179"/>
          <cell r="P179"/>
          <cell r="Q179">
            <v>76410</v>
          </cell>
          <cell r="R179"/>
          <cell r="W179">
            <v>-0.39999999990686774</v>
          </cell>
        </row>
        <row r="180">
          <cell r="M180">
            <v>3731</v>
          </cell>
          <cell r="N180"/>
          <cell r="O180"/>
          <cell r="P180"/>
          <cell r="Q180">
            <v>76410</v>
          </cell>
          <cell r="R180"/>
          <cell r="W180">
            <v>-0.39999999990686774</v>
          </cell>
        </row>
        <row r="181">
          <cell r="M181">
            <v>3731</v>
          </cell>
          <cell r="N181"/>
          <cell r="O181"/>
          <cell r="P181"/>
          <cell r="Q181">
            <v>76410</v>
          </cell>
          <cell r="R181"/>
          <cell r="W181">
            <v>80140.600000000093</v>
          </cell>
        </row>
        <row r="182">
          <cell r="M182">
            <v>3731</v>
          </cell>
          <cell r="N182"/>
          <cell r="O182"/>
          <cell r="P182"/>
          <cell r="Q182">
            <v>76410</v>
          </cell>
          <cell r="R182"/>
          <cell r="W182">
            <v>-0.39999999990686774</v>
          </cell>
        </row>
        <row r="183">
          <cell r="M183">
            <v>3731</v>
          </cell>
          <cell r="N183"/>
          <cell r="O183"/>
          <cell r="P183"/>
          <cell r="Q183">
            <v>76410</v>
          </cell>
          <cell r="R183"/>
          <cell r="W183">
            <v>-0.39999999990686774</v>
          </cell>
        </row>
        <row r="184">
          <cell r="M184">
            <v>3731</v>
          </cell>
          <cell r="N184"/>
          <cell r="O184"/>
          <cell r="P184"/>
          <cell r="Q184">
            <v>76410</v>
          </cell>
          <cell r="R184"/>
          <cell r="W184">
            <v>-0.39999999990686774</v>
          </cell>
        </row>
        <row r="185">
          <cell r="M185">
            <v>3731</v>
          </cell>
          <cell r="N185"/>
          <cell r="O185"/>
          <cell r="P185"/>
          <cell r="Q185">
            <v>76410</v>
          </cell>
          <cell r="R185"/>
          <cell r="W185">
            <v>80699.600000000093</v>
          </cell>
        </row>
        <row r="186">
          <cell r="M186">
            <v>3731</v>
          </cell>
          <cell r="N186"/>
          <cell r="O186"/>
          <cell r="P186"/>
          <cell r="Q186">
            <v>76410</v>
          </cell>
          <cell r="R186"/>
          <cell r="W186">
            <v>-0.39999999990686774</v>
          </cell>
        </row>
        <row r="187">
          <cell r="M187">
            <v>3731</v>
          </cell>
          <cell r="N187"/>
          <cell r="O187"/>
          <cell r="P187"/>
          <cell r="Q187">
            <v>78144</v>
          </cell>
          <cell r="R187"/>
          <cell r="W187">
            <v>-0.39999999990686774</v>
          </cell>
        </row>
        <row r="188">
          <cell r="M188">
            <v>3731</v>
          </cell>
          <cell r="N188"/>
          <cell r="O188"/>
          <cell r="P188"/>
          <cell r="Q188">
            <v>78144</v>
          </cell>
          <cell r="R188"/>
          <cell r="W188">
            <v>-0.39999999990686774</v>
          </cell>
        </row>
        <row r="189">
          <cell r="M189">
            <v>3731</v>
          </cell>
          <cell r="N189"/>
          <cell r="O189"/>
          <cell r="P189"/>
          <cell r="Q189">
            <v>78144</v>
          </cell>
          <cell r="R189"/>
          <cell r="W189">
            <v>-8.3999999999068677</v>
          </cell>
        </row>
        <row r="190">
          <cell r="M190">
            <v>3731</v>
          </cell>
          <cell r="N190"/>
          <cell r="O190"/>
          <cell r="P190"/>
          <cell r="Q190">
            <v>78144</v>
          </cell>
          <cell r="R190"/>
          <cell r="W190">
            <v>-0.39999999990686774</v>
          </cell>
        </row>
        <row r="191">
          <cell r="M191">
            <v>3731</v>
          </cell>
          <cell r="N191"/>
          <cell r="O191"/>
          <cell r="P191"/>
          <cell r="Q191">
            <v>78144</v>
          </cell>
          <cell r="R191"/>
          <cell r="W191">
            <v>-0.39999999990686774</v>
          </cell>
        </row>
        <row r="192">
          <cell r="M192">
            <v>3731</v>
          </cell>
          <cell r="N192"/>
          <cell r="O192"/>
          <cell r="P192"/>
          <cell r="Q192">
            <v>78144</v>
          </cell>
          <cell r="R192"/>
          <cell r="W192">
            <v>-0.39999999990686774</v>
          </cell>
        </row>
        <row r="193">
          <cell r="M193">
            <v>3731</v>
          </cell>
          <cell r="N193"/>
          <cell r="O193"/>
          <cell r="P193"/>
          <cell r="Q193">
            <v>78144</v>
          </cell>
          <cell r="R193"/>
          <cell r="W193">
            <v>-0.39999999990686774</v>
          </cell>
        </row>
        <row r="194">
          <cell r="M194">
            <v>3731</v>
          </cell>
          <cell r="N194"/>
          <cell r="O194"/>
          <cell r="P194"/>
          <cell r="Q194">
            <v>78144</v>
          </cell>
          <cell r="R194"/>
          <cell r="W194">
            <v>-0.39999999990686774</v>
          </cell>
        </row>
        <row r="195">
          <cell r="M195">
            <v>3731</v>
          </cell>
          <cell r="N195"/>
          <cell r="O195"/>
          <cell r="P195"/>
          <cell r="Q195">
            <v>78144</v>
          </cell>
          <cell r="R195"/>
          <cell r="W195">
            <v>-0.39999999990686774</v>
          </cell>
        </row>
        <row r="196">
          <cell r="M196">
            <v>3731</v>
          </cell>
          <cell r="N196"/>
          <cell r="O196"/>
          <cell r="P196"/>
          <cell r="Q196">
            <v>78144</v>
          </cell>
          <cell r="R196"/>
          <cell r="W196">
            <v>81874.600000000093</v>
          </cell>
        </row>
        <row r="197">
          <cell r="M197">
            <v>3731</v>
          </cell>
          <cell r="N197"/>
          <cell r="O197"/>
          <cell r="P197"/>
          <cell r="Q197">
            <v>78144</v>
          </cell>
          <cell r="R197"/>
          <cell r="W197">
            <v>-0.39999999990686774</v>
          </cell>
        </row>
        <row r="198">
          <cell r="M198">
            <v>3731</v>
          </cell>
          <cell r="N198"/>
          <cell r="O198"/>
          <cell r="P198"/>
          <cell r="Q198">
            <v>78144</v>
          </cell>
          <cell r="R198"/>
          <cell r="W198">
            <v>81874.600000000093</v>
          </cell>
        </row>
        <row r="199">
          <cell r="M199">
            <v>3828</v>
          </cell>
          <cell r="N199"/>
          <cell r="O199"/>
          <cell r="P199"/>
          <cell r="Q199">
            <v>80176</v>
          </cell>
          <cell r="R199"/>
          <cell r="W199">
            <v>165878.60000000009</v>
          </cell>
        </row>
        <row r="200">
          <cell r="M200">
            <v>3828</v>
          </cell>
          <cell r="N200"/>
          <cell r="O200"/>
          <cell r="P200"/>
          <cell r="Q200">
            <v>80176</v>
          </cell>
          <cell r="R200"/>
          <cell r="W200">
            <v>-0.39999999990686774</v>
          </cell>
        </row>
        <row r="201">
          <cell r="M201">
            <v>3828</v>
          </cell>
          <cell r="N201"/>
          <cell r="O201"/>
          <cell r="P201"/>
          <cell r="Q201">
            <v>80176</v>
          </cell>
          <cell r="R201"/>
          <cell r="W201">
            <v>84003.600000000093</v>
          </cell>
        </row>
        <row r="202">
          <cell r="M202">
            <v>3828</v>
          </cell>
          <cell r="N202"/>
          <cell r="O202"/>
          <cell r="P202"/>
          <cell r="Q202">
            <v>80176</v>
          </cell>
          <cell r="R202"/>
          <cell r="W202">
            <v>-0.39999999990686774</v>
          </cell>
        </row>
        <row r="203">
          <cell r="M203">
            <v>3828</v>
          </cell>
          <cell r="N203"/>
          <cell r="O203"/>
          <cell r="P203"/>
          <cell r="Q203">
            <v>80176</v>
          </cell>
          <cell r="R203"/>
          <cell r="W203">
            <v>84003.600000000093</v>
          </cell>
        </row>
        <row r="204">
          <cell r="M204">
            <v>3828</v>
          </cell>
          <cell r="N204"/>
          <cell r="O204"/>
          <cell r="P204"/>
          <cell r="Q204">
            <v>80176</v>
          </cell>
          <cell r="R204"/>
          <cell r="W204">
            <v>168007.60000000009</v>
          </cell>
        </row>
        <row r="205">
          <cell r="M205">
            <v>3828</v>
          </cell>
          <cell r="N205"/>
          <cell r="O205"/>
          <cell r="P205"/>
          <cell r="Q205">
            <v>80176</v>
          </cell>
          <cell r="R205"/>
          <cell r="W205">
            <v>252011.60000000009</v>
          </cell>
        </row>
        <row r="206">
          <cell r="M206">
            <v>3828</v>
          </cell>
          <cell r="N206"/>
          <cell r="O206"/>
          <cell r="P206"/>
          <cell r="Q206">
            <v>80176</v>
          </cell>
          <cell r="R206"/>
          <cell r="W206">
            <v>336015.60000000009</v>
          </cell>
        </row>
        <row r="207">
          <cell r="M207">
            <v>3828</v>
          </cell>
          <cell r="N207"/>
          <cell r="O207"/>
          <cell r="P207"/>
          <cell r="Q207">
            <v>80176</v>
          </cell>
          <cell r="R207"/>
          <cell r="W207">
            <v>420019.60000000009</v>
          </cell>
        </row>
        <row r="208">
          <cell r="M208">
            <v>3828</v>
          </cell>
          <cell r="N208"/>
          <cell r="O208"/>
          <cell r="P208"/>
          <cell r="Q208">
            <v>80176</v>
          </cell>
          <cell r="R208"/>
          <cell r="W208">
            <v>504023.60000000009</v>
          </cell>
        </row>
        <row r="209">
          <cell r="M209">
            <v>3828</v>
          </cell>
          <cell r="N209"/>
          <cell r="O209"/>
          <cell r="P209"/>
          <cell r="Q209">
            <v>80176</v>
          </cell>
          <cell r="R209"/>
          <cell r="W209">
            <v>588027.60000000009</v>
          </cell>
        </row>
        <row r="210">
          <cell r="M210">
            <v>3828</v>
          </cell>
          <cell r="N210"/>
          <cell r="O210"/>
          <cell r="P210"/>
          <cell r="Q210">
            <v>80176</v>
          </cell>
          <cell r="R210"/>
          <cell r="W210">
            <v>672031.60000000009</v>
          </cell>
        </row>
      </sheetData>
      <sheetData sheetId="60">
        <row r="175">
          <cell r="E175">
            <v>402</v>
          </cell>
          <cell r="M175">
            <v>3731</v>
          </cell>
          <cell r="N175">
            <v>7000</v>
          </cell>
          <cell r="O175">
            <v>0</v>
          </cell>
          <cell r="P175">
            <v>5000</v>
          </cell>
          <cell r="Q175">
            <v>76410</v>
          </cell>
          <cell r="W175">
            <v>0</v>
          </cell>
        </row>
        <row r="176">
          <cell r="M176">
            <v>3731</v>
          </cell>
          <cell r="N176">
            <v>7000</v>
          </cell>
          <cell r="O176">
            <v>0</v>
          </cell>
          <cell r="P176">
            <v>5000</v>
          </cell>
          <cell r="Q176">
            <v>76410</v>
          </cell>
          <cell r="R176"/>
          <cell r="W176">
            <v>0</v>
          </cell>
        </row>
        <row r="177">
          <cell r="M177">
            <v>3731</v>
          </cell>
          <cell r="N177">
            <v>7000</v>
          </cell>
          <cell r="O177">
            <v>0</v>
          </cell>
          <cell r="P177">
            <v>5000</v>
          </cell>
          <cell r="Q177">
            <v>76410</v>
          </cell>
          <cell r="R177"/>
          <cell r="W177">
            <v>0</v>
          </cell>
        </row>
        <row r="178">
          <cell r="M178">
            <v>3731</v>
          </cell>
          <cell r="N178">
            <v>7000</v>
          </cell>
          <cell r="O178">
            <v>0</v>
          </cell>
          <cell r="P178">
            <v>5000</v>
          </cell>
          <cell r="Q178">
            <v>76410</v>
          </cell>
          <cell r="R178"/>
          <cell r="W178">
            <v>0</v>
          </cell>
        </row>
        <row r="179">
          <cell r="M179">
            <v>3731</v>
          </cell>
          <cell r="N179">
            <v>7000</v>
          </cell>
          <cell r="O179">
            <v>0</v>
          </cell>
          <cell r="P179">
            <v>5000</v>
          </cell>
          <cell r="Q179">
            <v>76410</v>
          </cell>
          <cell r="R179"/>
          <cell r="W179">
            <v>0</v>
          </cell>
        </row>
        <row r="180">
          <cell r="M180">
            <v>3731</v>
          </cell>
          <cell r="N180">
            <v>7000</v>
          </cell>
          <cell r="O180">
            <v>0</v>
          </cell>
          <cell r="P180">
            <v>5000</v>
          </cell>
          <cell r="Q180">
            <v>76410</v>
          </cell>
          <cell r="R180"/>
          <cell r="W180">
            <v>0</v>
          </cell>
        </row>
        <row r="181">
          <cell r="M181">
            <v>3731</v>
          </cell>
          <cell r="N181">
            <v>7000</v>
          </cell>
          <cell r="O181">
            <v>0</v>
          </cell>
          <cell r="P181">
            <v>5000</v>
          </cell>
          <cell r="Q181">
            <v>76410</v>
          </cell>
          <cell r="R181"/>
          <cell r="W181">
            <v>0</v>
          </cell>
        </row>
        <row r="182">
          <cell r="M182">
            <v>3731</v>
          </cell>
          <cell r="N182">
            <v>7981</v>
          </cell>
          <cell r="O182">
            <v>0</v>
          </cell>
          <cell r="P182">
            <v>5000</v>
          </cell>
          <cell r="Q182">
            <v>76410</v>
          </cell>
          <cell r="R182"/>
          <cell r="W182">
            <v>0</v>
          </cell>
        </row>
        <row r="183">
          <cell r="M183">
            <v>3731</v>
          </cell>
          <cell r="N183">
            <v>7997</v>
          </cell>
          <cell r="O183">
            <v>0</v>
          </cell>
          <cell r="P183">
            <v>5000</v>
          </cell>
          <cell r="Q183">
            <v>76410</v>
          </cell>
          <cell r="R183"/>
          <cell r="W183">
            <v>0</v>
          </cell>
        </row>
        <row r="184">
          <cell r="M184">
            <v>3731</v>
          </cell>
          <cell r="N184">
            <v>7990</v>
          </cell>
          <cell r="O184">
            <v>0</v>
          </cell>
          <cell r="P184">
            <v>5000</v>
          </cell>
          <cell r="Q184">
            <v>76410</v>
          </cell>
          <cell r="R184"/>
          <cell r="W184">
            <v>0</v>
          </cell>
        </row>
        <row r="185">
          <cell r="M185">
            <v>3731</v>
          </cell>
          <cell r="N185">
            <v>8019</v>
          </cell>
          <cell r="O185">
            <v>0</v>
          </cell>
          <cell r="P185">
            <v>5000</v>
          </cell>
          <cell r="Q185">
            <v>76410</v>
          </cell>
          <cell r="R185"/>
          <cell r="W185">
            <v>0</v>
          </cell>
        </row>
        <row r="186">
          <cell r="M186">
            <v>3731</v>
          </cell>
          <cell r="N186">
            <v>8039</v>
          </cell>
          <cell r="O186">
            <v>0</v>
          </cell>
          <cell r="P186">
            <v>5000</v>
          </cell>
          <cell r="Q186">
            <v>76410</v>
          </cell>
          <cell r="R186"/>
          <cell r="W186">
            <v>0</v>
          </cell>
        </row>
        <row r="187">
          <cell r="M187">
            <v>3731</v>
          </cell>
          <cell r="N187">
            <v>8047</v>
          </cell>
          <cell r="O187">
            <v>0</v>
          </cell>
          <cell r="P187">
            <v>5000</v>
          </cell>
          <cell r="Q187">
            <v>78144</v>
          </cell>
          <cell r="R187"/>
          <cell r="W187">
            <v>0</v>
          </cell>
        </row>
        <row r="188">
          <cell r="M188">
            <v>3731</v>
          </cell>
          <cell r="N188">
            <v>8077</v>
          </cell>
          <cell r="O188">
            <v>0</v>
          </cell>
          <cell r="P188">
            <v>5000</v>
          </cell>
          <cell r="Q188">
            <v>78144</v>
          </cell>
          <cell r="R188"/>
          <cell r="W188">
            <v>0</v>
          </cell>
        </row>
        <row r="189">
          <cell r="M189">
            <v>3731</v>
          </cell>
          <cell r="N189">
            <v>8090</v>
          </cell>
          <cell r="O189">
            <v>0</v>
          </cell>
          <cell r="P189">
            <v>5000</v>
          </cell>
          <cell r="Q189">
            <v>78144</v>
          </cell>
          <cell r="R189"/>
          <cell r="W189">
            <v>0</v>
          </cell>
        </row>
        <row r="190">
          <cell r="M190">
            <v>3731</v>
          </cell>
          <cell r="N190">
            <v>8101</v>
          </cell>
          <cell r="O190">
            <v>0</v>
          </cell>
          <cell r="P190">
            <v>5000</v>
          </cell>
          <cell r="Q190">
            <v>78144</v>
          </cell>
          <cell r="R190"/>
          <cell r="W190">
            <v>0</v>
          </cell>
        </row>
        <row r="191">
          <cell r="M191">
            <v>3731</v>
          </cell>
          <cell r="N191">
            <v>8123</v>
          </cell>
          <cell r="O191">
            <v>0</v>
          </cell>
          <cell r="P191">
            <v>5000</v>
          </cell>
          <cell r="Q191">
            <v>78144</v>
          </cell>
          <cell r="R191"/>
          <cell r="W191">
            <v>0</v>
          </cell>
        </row>
        <row r="192">
          <cell r="M192">
            <v>3731</v>
          </cell>
          <cell r="N192">
            <v>8148</v>
          </cell>
          <cell r="O192">
            <v>0</v>
          </cell>
          <cell r="P192">
            <v>5000</v>
          </cell>
          <cell r="Q192">
            <v>78144</v>
          </cell>
          <cell r="R192"/>
          <cell r="W192">
            <v>0</v>
          </cell>
        </row>
        <row r="193">
          <cell r="M193">
            <v>3731</v>
          </cell>
          <cell r="N193">
            <v>8161</v>
          </cell>
          <cell r="O193">
            <v>0</v>
          </cell>
          <cell r="P193">
            <v>5000</v>
          </cell>
          <cell r="Q193">
            <v>78144</v>
          </cell>
          <cell r="R193"/>
          <cell r="W193">
            <v>0</v>
          </cell>
        </row>
        <row r="194">
          <cell r="M194">
            <v>3731</v>
          </cell>
          <cell r="N194">
            <v>8186</v>
          </cell>
          <cell r="O194">
            <v>0</v>
          </cell>
          <cell r="P194">
            <v>5000</v>
          </cell>
          <cell r="Q194">
            <v>78144</v>
          </cell>
          <cell r="R194"/>
          <cell r="W194">
            <v>0</v>
          </cell>
        </row>
        <row r="195">
          <cell r="M195">
            <v>3731</v>
          </cell>
          <cell r="N195">
            <v>8207</v>
          </cell>
          <cell r="O195">
            <v>0</v>
          </cell>
          <cell r="P195">
            <v>5000</v>
          </cell>
          <cell r="Q195">
            <v>78144</v>
          </cell>
          <cell r="R195"/>
          <cell r="W195">
            <v>0</v>
          </cell>
        </row>
        <row r="196">
          <cell r="M196">
            <v>3731</v>
          </cell>
          <cell r="N196">
            <v>8230</v>
          </cell>
          <cell r="O196">
            <v>0</v>
          </cell>
          <cell r="P196">
            <v>5000</v>
          </cell>
          <cell r="Q196">
            <v>78144</v>
          </cell>
          <cell r="R196"/>
          <cell r="W196">
            <v>0</v>
          </cell>
        </row>
        <row r="197">
          <cell r="M197">
            <v>3731</v>
          </cell>
          <cell r="N197">
            <v>8260</v>
          </cell>
          <cell r="O197">
            <v>0</v>
          </cell>
          <cell r="P197">
            <v>5000</v>
          </cell>
          <cell r="Q197">
            <v>78144</v>
          </cell>
          <cell r="R197"/>
          <cell r="W197">
            <v>0</v>
          </cell>
        </row>
        <row r="198">
          <cell r="M198">
            <v>3731</v>
          </cell>
          <cell r="N198">
            <v>8270</v>
          </cell>
          <cell r="O198">
            <v>0</v>
          </cell>
          <cell r="P198">
            <v>5000</v>
          </cell>
          <cell r="Q198">
            <v>78144</v>
          </cell>
          <cell r="R198"/>
          <cell r="W198">
            <v>0</v>
          </cell>
        </row>
        <row r="199">
          <cell r="M199">
            <v>3828</v>
          </cell>
          <cell r="N199">
            <v>8264</v>
          </cell>
          <cell r="O199">
            <v>0</v>
          </cell>
          <cell r="P199">
            <v>5000</v>
          </cell>
          <cell r="Q199">
            <v>80176</v>
          </cell>
          <cell r="R199"/>
          <cell r="W199">
            <v>163833</v>
          </cell>
        </row>
        <row r="200">
          <cell r="M200">
            <v>3828</v>
          </cell>
          <cell r="N200">
            <v>8267</v>
          </cell>
          <cell r="O200">
            <v>0</v>
          </cell>
          <cell r="P200">
            <v>5000</v>
          </cell>
          <cell r="Q200">
            <v>80176</v>
          </cell>
          <cell r="R200"/>
          <cell r="W200">
            <v>0</v>
          </cell>
        </row>
        <row r="201">
          <cell r="M201">
            <v>3828</v>
          </cell>
          <cell r="N201">
            <v>8270</v>
          </cell>
          <cell r="O201">
            <v>0</v>
          </cell>
          <cell r="P201">
            <v>5000</v>
          </cell>
          <cell r="Q201">
            <v>80176</v>
          </cell>
          <cell r="R201"/>
          <cell r="W201">
            <v>0</v>
          </cell>
        </row>
        <row r="202">
          <cell r="M202">
            <v>3828</v>
          </cell>
          <cell r="N202">
            <v>8299</v>
          </cell>
          <cell r="O202">
            <v>0</v>
          </cell>
          <cell r="P202">
            <v>5000</v>
          </cell>
          <cell r="Q202">
            <v>80176</v>
          </cell>
          <cell r="R202"/>
          <cell r="W202">
            <v>0</v>
          </cell>
        </row>
        <row r="203">
          <cell r="M203">
            <v>3828</v>
          </cell>
          <cell r="N203">
            <v>8329</v>
          </cell>
          <cell r="O203">
            <v>0</v>
          </cell>
          <cell r="P203">
            <v>5000</v>
          </cell>
          <cell r="Q203">
            <v>80176</v>
          </cell>
          <cell r="R203"/>
          <cell r="W203">
            <v>103269</v>
          </cell>
        </row>
        <row r="204">
          <cell r="M204">
            <v>3828</v>
          </cell>
          <cell r="N204"/>
          <cell r="O204">
            <v>0</v>
          </cell>
          <cell r="P204">
            <v>5000</v>
          </cell>
          <cell r="Q204">
            <v>80176</v>
          </cell>
          <cell r="R204"/>
          <cell r="W204">
            <v>192273</v>
          </cell>
        </row>
        <row r="205">
          <cell r="M205">
            <v>3828</v>
          </cell>
          <cell r="N205"/>
          <cell r="O205">
            <v>0</v>
          </cell>
          <cell r="P205">
            <v>5000</v>
          </cell>
          <cell r="Q205">
            <v>80176</v>
          </cell>
          <cell r="R205"/>
          <cell r="W205">
            <v>281277</v>
          </cell>
        </row>
        <row r="206">
          <cell r="M206">
            <v>3828</v>
          </cell>
          <cell r="N206"/>
          <cell r="O206">
            <v>0</v>
          </cell>
          <cell r="P206">
            <v>5000</v>
          </cell>
          <cell r="Q206">
            <v>80176</v>
          </cell>
          <cell r="R206"/>
          <cell r="W206">
            <v>370281</v>
          </cell>
        </row>
        <row r="207">
          <cell r="M207">
            <v>3828</v>
          </cell>
          <cell r="N207"/>
          <cell r="O207">
            <v>0</v>
          </cell>
          <cell r="P207">
            <v>5000</v>
          </cell>
          <cell r="Q207">
            <v>80176</v>
          </cell>
          <cell r="R207"/>
          <cell r="W207">
            <v>459285</v>
          </cell>
        </row>
        <row r="208">
          <cell r="M208">
            <v>3828</v>
          </cell>
          <cell r="N208"/>
          <cell r="O208">
            <v>0</v>
          </cell>
          <cell r="P208">
            <v>5000</v>
          </cell>
          <cell r="Q208">
            <v>80176</v>
          </cell>
          <cell r="R208"/>
          <cell r="W208">
            <v>548289</v>
          </cell>
        </row>
        <row r="209">
          <cell r="M209">
            <v>3828</v>
          </cell>
          <cell r="N209"/>
          <cell r="O209">
            <v>0</v>
          </cell>
          <cell r="P209">
            <v>5000</v>
          </cell>
          <cell r="Q209">
            <v>80176</v>
          </cell>
          <cell r="R209"/>
          <cell r="W209">
            <v>637293</v>
          </cell>
        </row>
        <row r="210">
          <cell r="M210">
            <v>3828</v>
          </cell>
          <cell r="N210"/>
          <cell r="O210">
            <v>0</v>
          </cell>
          <cell r="P210">
            <v>5000</v>
          </cell>
          <cell r="Q210">
            <v>80176</v>
          </cell>
          <cell r="R210"/>
          <cell r="W210">
            <v>726297</v>
          </cell>
        </row>
      </sheetData>
      <sheetData sheetId="61"/>
      <sheetData sheetId="62"/>
      <sheetData sheetId="63"/>
      <sheetData sheetId="64"/>
      <sheetData sheetId="65"/>
      <sheetData sheetId="66"/>
      <sheetData sheetId="67"/>
      <sheetData sheetId="68" refreshError="1"/>
      <sheetData sheetId="69" refreshError="1"/>
      <sheetData sheetId="7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P (1-A)P2"/>
      <sheetName val="LP (2-A)P2"/>
      <sheetName val="LP (3-A)P2  "/>
      <sheetName val="LP (4-A)P2 "/>
      <sheetName val="LP (5-A)P2 "/>
      <sheetName val="LP (6-A)P2"/>
      <sheetName val="LP (7-A)P2 "/>
      <sheetName val="LP (1)P2"/>
      <sheetName val="LP (2)P2"/>
      <sheetName val="LP (3)P2"/>
      <sheetName val="LP (4)P2"/>
      <sheetName val="LP (5)P2"/>
      <sheetName val="LP (6)P2"/>
      <sheetName val="LP (7)P2 "/>
      <sheetName val="LP (8)P2 "/>
      <sheetName val="LP (9)P2"/>
      <sheetName val="LP (10)P2"/>
      <sheetName val="LP (11)P2"/>
      <sheetName val="LP (12)P2"/>
      <sheetName val="LP (13)P2"/>
      <sheetName val="LP (14)P2"/>
      <sheetName val="LP (15)P2"/>
      <sheetName val="LP (16)P2 "/>
      <sheetName val="LP (17)P2 "/>
      <sheetName val="LP (18)P2 "/>
      <sheetName val="LP (19)P2"/>
      <sheetName val="LP (20)P2"/>
      <sheetName val="LP (21)P2"/>
      <sheetName val="LP (22)P2 "/>
      <sheetName val="LP (23)P2"/>
      <sheetName val="LP (26)P2"/>
      <sheetName val="LP (27)P2 "/>
      <sheetName val="LP (28)P2"/>
      <sheetName val="LP (29)P2"/>
      <sheetName val="LP (30)P2"/>
      <sheetName val="LP (31)P2"/>
      <sheetName val="LP (32)P2 "/>
      <sheetName val="LP (33)P2"/>
      <sheetName val="LP (34)P2"/>
      <sheetName val="LP (35)P2"/>
      <sheetName val="LP (5L-2)P2"/>
      <sheetName val="Bomba Trifasica (2019)"/>
      <sheetName val="final"/>
      <sheetName val="Bomba Trifasica (historial)"/>
      <sheetName val="LP (25)P2 "/>
      <sheetName val="Bomba Trifasica"/>
      <sheetName val="bosques 16"/>
      <sheetName val="Bosques 5E2c"/>
      <sheetName val="bosques 46"/>
    </sheetNames>
    <sheetDataSet>
      <sheetData sheetId="0"/>
      <sheetData sheetId="1"/>
      <sheetData sheetId="2"/>
      <sheetData sheetId="3">
        <row r="176">
          <cell r="E176">
            <v>97</v>
          </cell>
          <cell r="G176">
            <v>14162</v>
          </cell>
          <cell r="L176">
            <v>1677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102980</v>
          </cell>
        </row>
        <row r="177">
          <cell r="E177">
            <v>87</v>
          </cell>
          <cell r="G177">
            <v>12702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64</v>
          </cell>
          <cell r="G178">
            <v>9344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96485</v>
          </cell>
        </row>
        <row r="179">
          <cell r="E179">
            <v>61</v>
          </cell>
          <cell r="G179">
            <v>8906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63</v>
          </cell>
          <cell r="G180">
            <v>9198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96339</v>
          </cell>
        </row>
        <row r="181">
          <cell r="E181">
            <v>55</v>
          </cell>
          <cell r="G181">
            <v>8030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84</v>
          </cell>
          <cell r="G182">
            <v>12264</v>
          </cell>
          <cell r="L182">
            <v>559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100945</v>
          </cell>
        </row>
        <row r="183">
          <cell r="E183">
            <v>74</v>
          </cell>
          <cell r="G183">
            <v>10804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199887</v>
          </cell>
        </row>
        <row r="184">
          <cell r="E184">
            <v>70</v>
          </cell>
          <cell r="G184">
            <v>10220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79</v>
          </cell>
          <cell r="G185">
            <v>11534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78</v>
          </cell>
          <cell r="G186">
            <v>11388</v>
          </cell>
          <cell r="L186">
            <v>559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96</v>
          </cell>
          <cell r="G187">
            <v>14016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85</v>
          </cell>
          <cell r="G188">
            <v>12410</v>
          </cell>
          <cell r="L188">
            <v>1118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-103938</v>
          </cell>
        </row>
        <row r="189">
          <cell r="E189">
            <v>105</v>
          </cell>
          <cell r="G189">
            <v>15330</v>
          </cell>
          <cell r="L189">
            <v>1118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91</v>
          </cell>
          <cell r="G190">
            <v>13286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90</v>
          </cell>
          <cell r="G191">
            <v>13140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103138</v>
          </cell>
        </row>
        <row r="192">
          <cell r="E192">
            <v>55</v>
          </cell>
          <cell r="G192">
            <v>8030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61</v>
          </cell>
          <cell r="G193">
            <v>8906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53</v>
          </cell>
          <cell r="G194">
            <v>7738</v>
          </cell>
          <cell r="L194">
            <v>559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98358</v>
          </cell>
        </row>
        <row r="195">
          <cell r="E195">
            <v>21</v>
          </cell>
          <cell r="G195">
            <v>3066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26</v>
          </cell>
          <cell r="G196">
            <v>3796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93901</v>
          </cell>
        </row>
        <row r="197">
          <cell r="E197">
            <v>31</v>
          </cell>
          <cell r="G197">
            <v>4526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27</v>
          </cell>
          <cell r="G198">
            <v>3942</v>
          </cell>
          <cell r="L198">
            <v>559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94646</v>
          </cell>
        </row>
        <row r="199">
          <cell r="E199">
            <v>29</v>
          </cell>
          <cell r="G199">
            <v>4234</v>
          </cell>
          <cell r="L199">
            <v>1677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192825</v>
          </cell>
        </row>
        <row r="200">
          <cell r="E200">
            <v>21</v>
          </cell>
          <cell r="G200">
            <v>3066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150451</v>
          </cell>
        </row>
        <row r="201">
          <cell r="E201">
            <v>26</v>
          </cell>
          <cell r="G201">
            <v>3796</v>
          </cell>
          <cell r="L201">
            <v>559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302212</v>
          </cell>
        </row>
        <row r="202">
          <cell r="E202">
            <v>20</v>
          </cell>
          <cell r="G202">
            <v>2920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18</v>
          </cell>
          <cell r="G203">
            <v>2628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94961</v>
          </cell>
        </row>
        <row r="204">
          <cell r="E204">
            <v>-4656</v>
          </cell>
          <cell r="G204">
            <v>-679776</v>
          </cell>
          <cell r="L204">
            <v>-184470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-685281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-601277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-517273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-433269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-349265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-265261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-181257</v>
          </cell>
        </row>
      </sheetData>
      <sheetData sheetId="4">
        <row r="176">
          <cell r="E176">
            <v>1059</v>
          </cell>
          <cell r="G176">
            <v>154614</v>
          </cell>
          <cell r="L176">
            <v>73731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4000</v>
          </cell>
        </row>
        <row r="177">
          <cell r="E177">
            <v>591</v>
          </cell>
          <cell r="G177">
            <v>86286</v>
          </cell>
          <cell r="L177">
            <v>30186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-4000</v>
          </cell>
        </row>
        <row r="178">
          <cell r="E178">
            <v>0</v>
          </cell>
          <cell r="G178">
            <v>0</v>
          </cell>
          <cell r="L178">
            <v>1677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84818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-11193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-14924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-11193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76929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141622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283452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89952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92274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92333</v>
          </cell>
        </row>
        <row r="204">
          <cell r="E204">
            <v>-5511</v>
          </cell>
          <cell r="G204">
            <v>-804606</v>
          </cell>
          <cell r="L204">
            <v>-204594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-832863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-748859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-664855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-580851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-496847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-412843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-328839</v>
          </cell>
        </row>
      </sheetData>
      <sheetData sheetId="5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W176">
            <v>31548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W177">
            <v>33689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W178">
            <v>35830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W179">
            <v>37971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W180">
            <v>40112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W181">
            <v>42253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W182">
            <v>45375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W183">
            <v>48513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W184">
            <v>51644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W185">
            <v>54804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W186">
            <v>57984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W187">
            <v>47906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W188">
            <v>37858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W189">
            <v>27823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W190">
            <v>17799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W191">
            <v>7797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-2180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-12144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-22083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-32001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-41896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-51761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-61616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W199">
            <v>30652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W200">
            <v>-77077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W201">
            <v>-84803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W202">
            <v>-92500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-167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83837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167841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251845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335849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419853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503857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587861</v>
          </cell>
        </row>
      </sheetData>
      <sheetData sheetId="6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/>
          <cell r="O176"/>
          <cell r="P176"/>
          <cell r="Q176">
            <v>76410</v>
          </cell>
          <cell r="W176">
            <v>6717908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/>
          <cell r="O177"/>
          <cell r="P177"/>
          <cell r="Q177">
            <v>76410</v>
          </cell>
          <cell r="W177">
            <v>6850993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/>
          <cell r="O178"/>
          <cell r="P178"/>
          <cell r="Q178">
            <v>76410</v>
          </cell>
          <cell r="W178">
            <v>6984257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/>
          <cell r="O179"/>
          <cell r="P179"/>
          <cell r="Q179">
            <v>76410</v>
          </cell>
          <cell r="W179">
            <v>7117660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/>
          <cell r="O180"/>
          <cell r="P180"/>
          <cell r="Q180">
            <v>76410</v>
          </cell>
          <cell r="W180">
            <v>7251131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/>
          <cell r="O181"/>
          <cell r="P181"/>
          <cell r="Q181">
            <v>76410</v>
          </cell>
          <cell r="W181">
            <v>7384467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/>
          <cell r="O182"/>
          <cell r="P182"/>
          <cell r="Q182">
            <v>76410</v>
          </cell>
          <cell r="W182">
            <v>7517816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/>
          <cell r="O183"/>
          <cell r="P183"/>
          <cell r="Q183">
            <v>76410</v>
          </cell>
          <cell r="W183">
            <v>7651271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/>
          <cell r="O184"/>
          <cell r="P184"/>
          <cell r="Q184">
            <v>76410</v>
          </cell>
          <cell r="W184">
            <v>7784682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/>
          <cell r="O185"/>
          <cell r="P185"/>
          <cell r="Q185">
            <v>76410</v>
          </cell>
          <cell r="W185">
            <v>7918285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/>
          <cell r="O186"/>
          <cell r="P186"/>
          <cell r="Q186">
            <v>76410</v>
          </cell>
          <cell r="W186">
            <v>8062076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/>
          <cell r="O187"/>
          <cell r="P187"/>
          <cell r="Q187">
            <v>78144</v>
          </cell>
          <cell r="W187">
            <v>8197798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/>
          <cell r="O188"/>
          <cell r="P188"/>
          <cell r="Q188">
            <v>78144</v>
          </cell>
          <cell r="W188">
            <v>8333607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/>
          <cell r="O189"/>
          <cell r="P189"/>
          <cell r="Q189">
            <v>78144</v>
          </cell>
          <cell r="W189">
            <v>8469491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/>
          <cell r="O190"/>
          <cell r="P190"/>
          <cell r="Q190">
            <v>78144</v>
          </cell>
          <cell r="W190">
            <v>8605523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/>
          <cell r="O191"/>
          <cell r="P191"/>
          <cell r="Q191">
            <v>78144</v>
          </cell>
          <cell r="W191">
            <v>8741716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/>
          <cell r="O192"/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/>
          <cell r="O193"/>
          <cell r="P193"/>
          <cell r="Q193">
            <v>78144</v>
          </cell>
          <cell r="W193">
            <v>81875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/>
          <cell r="O194"/>
          <cell r="P194"/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/>
          <cell r="O195"/>
          <cell r="P195"/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/>
          <cell r="O196"/>
          <cell r="P196"/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/>
          <cell r="O197"/>
          <cell r="P197"/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/>
          <cell r="O198"/>
          <cell r="P198"/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W199">
            <v>84004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W201">
            <v>0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W203">
            <v>84004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168008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252012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336016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420020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504024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588028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672032</v>
          </cell>
        </row>
      </sheetData>
      <sheetData sheetId="7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87141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981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6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6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90135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92274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8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1600678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1740763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1881027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2021430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2161901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2302237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2443567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2585019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2726420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2868042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3009872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3153641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4658188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4802162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147406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295033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387366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471370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555374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639378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723382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807386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891390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975394</v>
          </cell>
        </row>
      </sheetData>
      <sheetData sheetId="9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13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10">
        <row r="176">
          <cell r="E176">
            <v>4</v>
          </cell>
          <cell r="G176">
            <v>584</v>
          </cell>
          <cell r="L176">
            <v>12298</v>
          </cell>
          <cell r="M176">
            <v>3731</v>
          </cell>
          <cell r="N176"/>
          <cell r="O176">
            <v>0</v>
          </cell>
          <cell r="P176"/>
          <cell r="Q176">
            <v>76410</v>
          </cell>
          <cell r="W176">
            <v>0</v>
          </cell>
        </row>
        <row r="177">
          <cell r="E177">
            <v>5</v>
          </cell>
          <cell r="G177">
            <v>730</v>
          </cell>
          <cell r="L177">
            <v>15093</v>
          </cell>
          <cell r="M177">
            <v>3731</v>
          </cell>
          <cell r="N177"/>
          <cell r="O177">
            <v>0</v>
          </cell>
          <cell r="P177"/>
          <cell r="Q177">
            <v>76410</v>
          </cell>
          <cell r="W177">
            <v>0</v>
          </cell>
        </row>
        <row r="178">
          <cell r="E178">
            <v>22</v>
          </cell>
          <cell r="G178">
            <v>3212</v>
          </cell>
          <cell r="L178">
            <v>8944</v>
          </cell>
          <cell r="M178">
            <v>3731</v>
          </cell>
          <cell r="N178"/>
          <cell r="O178">
            <v>0</v>
          </cell>
          <cell r="P178"/>
          <cell r="Q178">
            <v>76410</v>
          </cell>
          <cell r="W178">
            <v>0</v>
          </cell>
        </row>
        <row r="179">
          <cell r="E179">
            <v>8</v>
          </cell>
          <cell r="G179">
            <v>1168</v>
          </cell>
          <cell r="L179">
            <v>559</v>
          </cell>
          <cell r="M179">
            <v>3731</v>
          </cell>
          <cell r="N179"/>
          <cell r="O179">
            <v>0</v>
          </cell>
          <cell r="P179"/>
          <cell r="Q179">
            <v>76410</v>
          </cell>
          <cell r="W179">
            <v>0</v>
          </cell>
        </row>
        <row r="180">
          <cell r="E180">
            <v>30</v>
          </cell>
          <cell r="G180">
            <v>4380</v>
          </cell>
          <cell r="L180">
            <v>0</v>
          </cell>
          <cell r="M180">
            <v>3731</v>
          </cell>
          <cell r="N180"/>
          <cell r="O180">
            <v>0</v>
          </cell>
          <cell r="P180"/>
          <cell r="Q180">
            <v>76410</v>
          </cell>
          <cell r="W180">
            <v>0</v>
          </cell>
        </row>
        <row r="181">
          <cell r="E181">
            <v>23</v>
          </cell>
          <cell r="G181">
            <v>3358</v>
          </cell>
          <cell r="L181">
            <v>559</v>
          </cell>
          <cell r="M181">
            <v>3731</v>
          </cell>
          <cell r="N181"/>
          <cell r="O181">
            <v>0</v>
          </cell>
          <cell r="P181"/>
          <cell r="Q181">
            <v>76410</v>
          </cell>
          <cell r="W181">
            <v>84058</v>
          </cell>
        </row>
        <row r="182">
          <cell r="E182">
            <v>26</v>
          </cell>
          <cell r="G182">
            <v>3796</v>
          </cell>
          <cell r="L182">
            <v>0</v>
          </cell>
          <cell r="M182">
            <v>3731</v>
          </cell>
          <cell r="N182"/>
          <cell r="O182">
            <v>0</v>
          </cell>
          <cell r="P182"/>
          <cell r="Q182">
            <v>76410</v>
          </cell>
          <cell r="W182">
            <v>0</v>
          </cell>
        </row>
        <row r="183">
          <cell r="E183">
            <v>30</v>
          </cell>
          <cell r="G183">
            <v>4380</v>
          </cell>
          <cell r="L183">
            <v>0</v>
          </cell>
          <cell r="M183">
            <v>3731</v>
          </cell>
          <cell r="N183"/>
          <cell r="O183">
            <v>0</v>
          </cell>
          <cell r="P183"/>
          <cell r="Q183">
            <v>76410</v>
          </cell>
          <cell r="W183">
            <v>0</v>
          </cell>
        </row>
        <row r="184">
          <cell r="E184">
            <v>39</v>
          </cell>
          <cell r="G184">
            <v>5694</v>
          </cell>
          <cell r="L184"/>
          <cell r="M184">
            <v>3731</v>
          </cell>
          <cell r="N184"/>
          <cell r="O184">
            <v>0</v>
          </cell>
          <cell r="P184"/>
          <cell r="Q184">
            <v>76410</v>
          </cell>
          <cell r="W184">
            <v>0</v>
          </cell>
        </row>
        <row r="185">
          <cell r="E185">
            <v>27</v>
          </cell>
          <cell r="G185">
            <v>3942</v>
          </cell>
          <cell r="L185">
            <v>0</v>
          </cell>
          <cell r="M185">
            <v>3731</v>
          </cell>
          <cell r="N185"/>
          <cell r="O185">
            <v>0</v>
          </cell>
          <cell r="P185"/>
          <cell r="Q185">
            <v>76410</v>
          </cell>
          <cell r="W185">
            <v>0</v>
          </cell>
        </row>
        <row r="186">
          <cell r="E186">
            <v>66</v>
          </cell>
          <cell r="G186">
            <v>9636</v>
          </cell>
          <cell r="L186">
            <v>2236</v>
          </cell>
          <cell r="M186">
            <v>3731</v>
          </cell>
          <cell r="N186"/>
          <cell r="O186">
            <v>0</v>
          </cell>
          <cell r="P186"/>
          <cell r="Q186">
            <v>76410</v>
          </cell>
          <cell r="W186">
            <v>0</v>
          </cell>
        </row>
        <row r="187">
          <cell r="E187">
            <v>62</v>
          </cell>
          <cell r="G187">
            <v>9052</v>
          </cell>
          <cell r="L187">
            <v>0</v>
          </cell>
          <cell r="M187">
            <v>3731</v>
          </cell>
          <cell r="N187"/>
          <cell r="O187">
            <v>0</v>
          </cell>
          <cell r="P187"/>
          <cell r="Q187">
            <v>78144</v>
          </cell>
          <cell r="W187">
            <v>90927</v>
          </cell>
        </row>
        <row r="188">
          <cell r="E188">
            <v>38</v>
          </cell>
          <cell r="G188">
            <v>5548</v>
          </cell>
          <cell r="L188">
            <v>0</v>
          </cell>
          <cell r="M188">
            <v>3731</v>
          </cell>
          <cell r="N188"/>
          <cell r="O188">
            <v>0</v>
          </cell>
          <cell r="P188"/>
          <cell r="Q188">
            <v>78144</v>
          </cell>
          <cell r="W188">
            <v>0</v>
          </cell>
        </row>
        <row r="189">
          <cell r="E189">
            <v>45</v>
          </cell>
          <cell r="G189">
            <v>6570</v>
          </cell>
          <cell r="L189">
            <v>0</v>
          </cell>
          <cell r="M189">
            <v>3731</v>
          </cell>
          <cell r="N189"/>
          <cell r="O189">
            <v>0</v>
          </cell>
          <cell r="P189"/>
          <cell r="Q189">
            <v>78144</v>
          </cell>
          <cell r="W189">
            <v>0</v>
          </cell>
        </row>
        <row r="190">
          <cell r="E190">
            <v>46</v>
          </cell>
          <cell r="G190">
            <v>6716</v>
          </cell>
          <cell r="L190">
            <v>559</v>
          </cell>
          <cell r="M190">
            <v>3731</v>
          </cell>
          <cell r="N190"/>
          <cell r="O190">
            <v>0</v>
          </cell>
          <cell r="P190"/>
          <cell r="Q190">
            <v>78144</v>
          </cell>
          <cell r="W190">
            <v>89150</v>
          </cell>
        </row>
        <row r="191">
          <cell r="E191">
            <v>34</v>
          </cell>
          <cell r="G191">
            <v>4964</v>
          </cell>
          <cell r="L191">
            <v>0</v>
          </cell>
          <cell r="M191">
            <v>3731</v>
          </cell>
          <cell r="N191"/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24</v>
          </cell>
          <cell r="G192">
            <v>3504</v>
          </cell>
          <cell r="L192">
            <v>0</v>
          </cell>
          <cell r="M192">
            <v>3731</v>
          </cell>
          <cell r="N192"/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26</v>
          </cell>
          <cell r="G193">
            <v>3796</v>
          </cell>
          <cell r="L193">
            <v>0</v>
          </cell>
          <cell r="M193">
            <v>3731</v>
          </cell>
          <cell r="N193"/>
          <cell r="O193">
            <v>0</v>
          </cell>
          <cell r="P193"/>
          <cell r="Q193">
            <v>78144</v>
          </cell>
          <cell r="W193">
            <v>85671</v>
          </cell>
        </row>
        <row r="194">
          <cell r="E194">
            <v>31</v>
          </cell>
          <cell r="G194">
            <v>4526</v>
          </cell>
          <cell r="L194">
            <v>0</v>
          </cell>
          <cell r="M194">
            <v>3731</v>
          </cell>
          <cell r="N194"/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61</v>
          </cell>
          <cell r="G195">
            <v>8906</v>
          </cell>
          <cell r="L195">
            <v>1118</v>
          </cell>
          <cell r="M195">
            <v>3731</v>
          </cell>
          <cell r="N195"/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34</v>
          </cell>
          <cell r="G196">
            <v>4964</v>
          </cell>
          <cell r="L196">
            <v>0</v>
          </cell>
          <cell r="M196">
            <v>3731</v>
          </cell>
          <cell r="N196"/>
          <cell r="O196">
            <v>0</v>
          </cell>
          <cell r="P196"/>
          <cell r="Q196">
            <v>78144</v>
          </cell>
          <cell r="W196">
            <v>141905</v>
          </cell>
        </row>
        <row r="197">
          <cell r="E197">
            <v>44</v>
          </cell>
          <cell r="G197">
            <v>6424</v>
          </cell>
          <cell r="L197">
            <v>559</v>
          </cell>
          <cell r="M197">
            <v>3731</v>
          </cell>
          <cell r="N197"/>
          <cell r="O197">
            <v>0</v>
          </cell>
          <cell r="P197"/>
          <cell r="Q197">
            <v>78144</v>
          </cell>
          <cell r="W197">
            <v>110198</v>
          </cell>
        </row>
        <row r="198">
          <cell r="E198">
            <v>60</v>
          </cell>
          <cell r="G198">
            <v>8760</v>
          </cell>
          <cell r="L198">
            <v>2795</v>
          </cell>
          <cell r="M198">
            <v>3731</v>
          </cell>
          <cell r="N198"/>
          <cell r="O198">
            <v>0</v>
          </cell>
          <cell r="P198"/>
          <cell r="Q198">
            <v>78144</v>
          </cell>
          <cell r="W198">
            <v>110198</v>
          </cell>
        </row>
        <row r="199">
          <cell r="E199">
            <v>10</v>
          </cell>
          <cell r="G199">
            <v>1460</v>
          </cell>
          <cell r="L199">
            <v>0</v>
          </cell>
          <cell r="M199">
            <v>3828</v>
          </cell>
          <cell r="N199"/>
          <cell r="O199"/>
          <cell r="P199"/>
          <cell r="Q199">
            <v>80176</v>
          </cell>
          <cell r="W199">
            <v>195662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/>
          <cell r="O200"/>
          <cell r="P200"/>
          <cell r="Q200">
            <v>80176</v>
          </cell>
          <cell r="W200">
            <v>110198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/>
          <cell r="O201"/>
          <cell r="P201"/>
          <cell r="Q201">
            <v>80176</v>
          </cell>
          <cell r="W201">
            <v>194202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/>
          <cell r="O202"/>
          <cell r="P202"/>
          <cell r="Q202">
            <v>80176</v>
          </cell>
          <cell r="W202">
            <v>110198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/>
          <cell r="O203"/>
          <cell r="P203"/>
          <cell r="Q203">
            <v>80176</v>
          </cell>
          <cell r="W203">
            <v>194202</v>
          </cell>
        </row>
        <row r="204">
          <cell r="E204">
            <v>-7226</v>
          </cell>
          <cell r="G204">
            <v>-1054996</v>
          </cell>
          <cell r="L204">
            <v>-2917980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-3694770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-3610766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-3526762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-3442758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-3358754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-3274750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-3190746</v>
          </cell>
        </row>
      </sheetData>
      <sheetData sheetId="11">
        <row r="176">
          <cell r="E176">
            <v>170</v>
          </cell>
          <cell r="G176">
            <v>24820</v>
          </cell>
          <cell r="L176">
            <v>38012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2132</v>
          </cell>
        </row>
        <row r="177">
          <cell r="E177">
            <v>207</v>
          </cell>
          <cell r="G177">
            <v>30222</v>
          </cell>
          <cell r="L177">
            <v>36335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152</v>
          </cell>
          <cell r="G178">
            <v>22192</v>
          </cell>
          <cell r="L178">
            <v>22360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154</v>
          </cell>
          <cell r="G179">
            <v>22484</v>
          </cell>
          <cell r="L179">
            <v>13975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102</v>
          </cell>
          <cell r="G180">
            <v>14892</v>
          </cell>
          <cell r="L180">
            <v>3913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2</v>
          </cell>
        </row>
        <row r="181">
          <cell r="E181">
            <v>87</v>
          </cell>
          <cell r="G181">
            <v>12702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121</v>
          </cell>
          <cell r="G182">
            <v>17666</v>
          </cell>
          <cell r="L182">
            <v>3913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135</v>
          </cell>
          <cell r="G183">
            <v>19710</v>
          </cell>
          <cell r="L183">
            <v>16211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105</v>
          </cell>
          <cell r="G184">
            <v>15330</v>
          </cell>
          <cell r="L184">
            <v>10062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174</v>
          </cell>
          <cell r="G185">
            <v>25404</v>
          </cell>
          <cell r="L185">
            <v>21801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207</v>
          </cell>
          <cell r="G186">
            <v>30222</v>
          </cell>
          <cell r="L186">
            <v>17888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226</v>
          </cell>
          <cell r="G187">
            <v>32996</v>
          </cell>
          <cell r="L187">
            <v>21801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194</v>
          </cell>
          <cell r="G188">
            <v>28324</v>
          </cell>
          <cell r="L188">
            <v>17888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215</v>
          </cell>
          <cell r="G189">
            <v>31390</v>
          </cell>
          <cell r="L189">
            <v>19565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191</v>
          </cell>
          <cell r="G190">
            <v>27886</v>
          </cell>
          <cell r="L190">
            <v>18447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155</v>
          </cell>
          <cell r="G191">
            <v>22630</v>
          </cell>
          <cell r="L191">
            <v>17329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114</v>
          </cell>
          <cell r="G192">
            <v>16644</v>
          </cell>
          <cell r="L192">
            <v>7267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157</v>
          </cell>
          <cell r="G193">
            <v>22922</v>
          </cell>
          <cell r="L193">
            <v>8944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140</v>
          </cell>
          <cell r="G194">
            <v>20440</v>
          </cell>
          <cell r="L194">
            <v>9503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140</v>
          </cell>
          <cell r="G195">
            <v>20440</v>
          </cell>
          <cell r="L195">
            <v>10621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93</v>
          </cell>
          <cell r="G196">
            <v>13578</v>
          </cell>
          <cell r="L196">
            <v>9503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124</v>
          </cell>
          <cell r="G197">
            <v>18104</v>
          </cell>
          <cell r="L197">
            <v>30186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191</v>
          </cell>
          <cell r="G198">
            <v>27886</v>
          </cell>
          <cell r="L198">
            <v>29068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252</v>
          </cell>
          <cell r="G199">
            <v>36792</v>
          </cell>
          <cell r="L199">
            <v>31304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160364</v>
          </cell>
        </row>
        <row r="200">
          <cell r="E200">
            <v>252</v>
          </cell>
          <cell r="G200">
            <v>36792</v>
          </cell>
          <cell r="L200">
            <v>36894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209</v>
          </cell>
          <cell r="G201">
            <v>30514</v>
          </cell>
          <cell r="L201">
            <v>31304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193</v>
          </cell>
          <cell r="G202">
            <v>28178</v>
          </cell>
          <cell r="L202">
            <v>27950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148431</v>
          </cell>
        </row>
        <row r="203">
          <cell r="E203">
            <v>189</v>
          </cell>
          <cell r="G203">
            <v>27594</v>
          </cell>
          <cell r="L203">
            <v>16211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284569</v>
          </cell>
        </row>
        <row r="204">
          <cell r="E204">
            <v>-7131</v>
          </cell>
          <cell r="G204">
            <v>-1041126</v>
          </cell>
          <cell r="L204">
            <v>-993902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-1666455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-1582451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-1498447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-1414443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-1330439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-1246435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-1162431</v>
          </cell>
        </row>
      </sheetData>
      <sheetData sheetId="12">
        <row r="176">
          <cell r="E176">
            <v>52</v>
          </cell>
          <cell r="G176">
            <v>7592</v>
          </cell>
          <cell r="L176">
            <v>1677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75</v>
          </cell>
          <cell r="G177">
            <v>10950</v>
          </cell>
          <cell r="L177">
            <v>1118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70</v>
          </cell>
          <cell r="G178">
            <v>10220</v>
          </cell>
          <cell r="L178">
            <v>2795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73</v>
          </cell>
          <cell r="G179">
            <v>10658</v>
          </cell>
          <cell r="L179">
            <v>2795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63</v>
          </cell>
          <cell r="G180">
            <v>9198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72</v>
          </cell>
          <cell r="G181">
            <v>10512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73</v>
          </cell>
          <cell r="G182">
            <v>10658</v>
          </cell>
          <cell r="L182">
            <v>2236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69</v>
          </cell>
          <cell r="G183">
            <v>10074</v>
          </cell>
          <cell r="L183">
            <v>3354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73</v>
          </cell>
          <cell r="G184">
            <v>10658</v>
          </cell>
          <cell r="L184">
            <v>5031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82</v>
          </cell>
          <cell r="G185">
            <v>11972</v>
          </cell>
          <cell r="L185">
            <v>2795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80</v>
          </cell>
          <cell r="G186">
            <v>11680</v>
          </cell>
          <cell r="L186">
            <v>3354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113</v>
          </cell>
          <cell r="G187">
            <v>16498</v>
          </cell>
          <cell r="L187">
            <v>4472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79</v>
          </cell>
          <cell r="G188">
            <v>11534</v>
          </cell>
          <cell r="L188">
            <v>2795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95</v>
          </cell>
          <cell r="G189">
            <v>13870</v>
          </cell>
          <cell r="L189">
            <v>4472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106</v>
          </cell>
          <cell r="G190">
            <v>15476</v>
          </cell>
          <cell r="L190">
            <v>5031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95</v>
          </cell>
          <cell r="G191">
            <v>13870</v>
          </cell>
          <cell r="L191">
            <v>7267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83</v>
          </cell>
          <cell r="G192">
            <v>12118</v>
          </cell>
          <cell r="L192">
            <v>3913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96</v>
          </cell>
          <cell r="G193">
            <v>14016</v>
          </cell>
          <cell r="L193">
            <v>3913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90</v>
          </cell>
          <cell r="G194">
            <v>13140</v>
          </cell>
          <cell r="L194">
            <v>4472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61</v>
          </cell>
          <cell r="G195">
            <v>8906</v>
          </cell>
          <cell r="L195">
            <v>3913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92</v>
          </cell>
          <cell r="G196">
            <v>13432</v>
          </cell>
          <cell r="L196">
            <v>6149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85</v>
          </cell>
          <cell r="G197">
            <v>12410</v>
          </cell>
          <cell r="L197">
            <v>8944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-9</v>
          </cell>
        </row>
        <row r="198">
          <cell r="E198">
            <v>81</v>
          </cell>
          <cell r="G198">
            <v>11826</v>
          </cell>
          <cell r="L198">
            <v>11739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90</v>
          </cell>
          <cell r="G199">
            <v>13140</v>
          </cell>
          <cell r="L199">
            <v>11180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116588</v>
          </cell>
        </row>
        <row r="200">
          <cell r="E200">
            <v>98</v>
          </cell>
          <cell r="G200">
            <v>14308</v>
          </cell>
          <cell r="L200">
            <v>12857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65</v>
          </cell>
          <cell r="G201">
            <v>9490</v>
          </cell>
          <cell r="L201">
            <v>10621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52</v>
          </cell>
          <cell r="G202">
            <v>7592</v>
          </cell>
          <cell r="L202">
            <v>8385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66</v>
          </cell>
          <cell r="G203">
            <v>9636</v>
          </cell>
          <cell r="L203">
            <v>10062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112031</v>
          </cell>
        </row>
        <row r="204">
          <cell r="E204">
            <v>-2741</v>
          </cell>
          <cell r="G204">
            <v>-400186</v>
          </cell>
          <cell r="L204">
            <v>-178321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-382472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-298468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-214464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-130460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-46456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37548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121552</v>
          </cell>
        </row>
      </sheetData>
      <sheetData sheetId="13">
        <row r="176">
          <cell r="E176">
            <v>381</v>
          </cell>
          <cell r="G176">
            <v>55626</v>
          </cell>
          <cell r="L176">
            <v>19565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3731</v>
          </cell>
        </row>
        <row r="177">
          <cell r="E177">
            <v>355</v>
          </cell>
          <cell r="G177">
            <v>51830</v>
          </cell>
          <cell r="L177">
            <v>34099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257</v>
          </cell>
          <cell r="G178">
            <v>37522</v>
          </cell>
          <cell r="L178">
            <v>27950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110</v>
          </cell>
          <cell r="G179">
            <v>16060</v>
          </cell>
          <cell r="L179">
            <v>78904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246</v>
          </cell>
          <cell r="G180">
            <v>35916</v>
          </cell>
          <cell r="L180">
            <v>3354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277</v>
          </cell>
          <cell r="G181">
            <v>40442</v>
          </cell>
          <cell r="L181">
            <v>5590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216</v>
          </cell>
          <cell r="G182">
            <v>31536</v>
          </cell>
          <cell r="L182">
            <v>5031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167</v>
          </cell>
          <cell r="G183">
            <v>24382</v>
          </cell>
          <cell r="L183">
            <v>6708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118</v>
          </cell>
          <cell r="G184">
            <v>17228</v>
          </cell>
          <cell r="L184">
            <v>10062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115421</v>
          </cell>
        </row>
        <row r="185">
          <cell r="E185">
            <v>127</v>
          </cell>
          <cell r="G185">
            <v>18542</v>
          </cell>
          <cell r="L185">
            <v>13416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177</v>
          </cell>
          <cell r="G186">
            <v>25842</v>
          </cell>
          <cell r="L186">
            <v>16770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130792</v>
          </cell>
        </row>
        <row r="187">
          <cell r="E187">
            <v>196</v>
          </cell>
          <cell r="G187">
            <v>28616</v>
          </cell>
          <cell r="L187">
            <v>20683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70013</v>
          </cell>
        </row>
        <row r="188">
          <cell r="E188">
            <v>144</v>
          </cell>
          <cell r="G188">
            <v>21024</v>
          </cell>
          <cell r="L188">
            <v>13416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-55595</v>
          </cell>
        </row>
        <row r="189">
          <cell r="E189">
            <v>271</v>
          </cell>
          <cell r="G189">
            <v>39566</v>
          </cell>
          <cell r="L189">
            <v>16770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90706</v>
          </cell>
        </row>
        <row r="190">
          <cell r="E190">
            <v>287</v>
          </cell>
          <cell r="G190">
            <v>41902</v>
          </cell>
          <cell r="L190">
            <v>7826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30410</v>
          </cell>
        </row>
        <row r="191">
          <cell r="E191">
            <v>493</v>
          </cell>
          <cell r="G191">
            <v>71978</v>
          </cell>
          <cell r="L191">
            <v>8385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200771</v>
          </cell>
        </row>
        <row r="192">
          <cell r="E192">
            <v>59</v>
          </cell>
          <cell r="G192">
            <v>8614</v>
          </cell>
          <cell r="L192">
            <v>1677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100000</v>
          </cell>
        </row>
        <row r="193">
          <cell r="E193">
            <v>29</v>
          </cell>
          <cell r="G193">
            <v>4234</v>
          </cell>
          <cell r="L193">
            <v>559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-5171</v>
          </cell>
        </row>
        <row r="194">
          <cell r="E194">
            <v>39</v>
          </cell>
          <cell r="G194">
            <v>5694</v>
          </cell>
          <cell r="L194">
            <v>1677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3</v>
          </cell>
          <cell r="G195">
            <v>438</v>
          </cell>
          <cell r="L195">
            <v>1677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147061</v>
          </cell>
        </row>
        <row r="196">
          <cell r="E196">
            <v>17</v>
          </cell>
          <cell r="G196">
            <v>2482</v>
          </cell>
          <cell r="L196">
            <v>3354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27</v>
          </cell>
          <cell r="G197">
            <v>3942</v>
          </cell>
          <cell r="L197">
            <v>9503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103580</v>
          </cell>
        </row>
        <row r="198">
          <cell r="E198">
            <v>10</v>
          </cell>
          <cell r="G198">
            <v>1460</v>
          </cell>
          <cell r="L198">
            <v>28509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278</v>
          </cell>
          <cell r="G199">
            <v>40588</v>
          </cell>
          <cell r="L199">
            <v>27391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160247</v>
          </cell>
        </row>
        <row r="200">
          <cell r="E200">
            <v>443</v>
          </cell>
          <cell r="G200">
            <v>64678</v>
          </cell>
          <cell r="L200">
            <v>46956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268</v>
          </cell>
          <cell r="G201">
            <v>39128</v>
          </cell>
          <cell r="L201">
            <v>36335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242</v>
          </cell>
          <cell r="G202">
            <v>35332</v>
          </cell>
          <cell r="L202">
            <v>16211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-1154</v>
          </cell>
        </row>
        <row r="203">
          <cell r="E203">
            <v>223</v>
          </cell>
          <cell r="G203">
            <v>32558</v>
          </cell>
          <cell r="L203">
            <v>11180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134917</v>
          </cell>
        </row>
        <row r="204">
          <cell r="E204">
            <v>-18657</v>
          </cell>
          <cell r="G204">
            <v>-2723922</v>
          </cell>
          <cell r="L204">
            <v>-930735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-3435736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-3351732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-3267728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-3183724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-3099720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-3015716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-2931712</v>
          </cell>
        </row>
      </sheetData>
      <sheetData sheetId="14">
        <row r="176">
          <cell r="E176">
            <v>44</v>
          </cell>
          <cell r="G176">
            <v>6424</v>
          </cell>
          <cell r="L176">
            <v>26832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53</v>
          </cell>
          <cell r="G177">
            <v>7738</v>
          </cell>
          <cell r="L177">
            <v>38571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47</v>
          </cell>
          <cell r="G178">
            <v>6862</v>
          </cell>
          <cell r="L178">
            <v>27391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33</v>
          </cell>
          <cell r="G179">
            <v>4818</v>
          </cell>
          <cell r="L179">
            <v>12857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104816</v>
          </cell>
        </row>
        <row r="180">
          <cell r="E180">
            <v>36</v>
          </cell>
          <cell r="G180">
            <v>5256</v>
          </cell>
          <cell r="L180">
            <v>11180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32</v>
          </cell>
          <cell r="G181">
            <v>4672</v>
          </cell>
          <cell r="L181">
            <v>11739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36</v>
          </cell>
          <cell r="G182">
            <v>5256</v>
          </cell>
          <cell r="L182">
            <v>9503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30</v>
          </cell>
          <cell r="G183">
            <v>4380</v>
          </cell>
          <cell r="L183">
            <v>1118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38</v>
          </cell>
          <cell r="G184">
            <v>5548</v>
          </cell>
          <cell r="L184">
            <v>6708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100387</v>
          </cell>
        </row>
        <row r="185">
          <cell r="E185">
            <v>33</v>
          </cell>
          <cell r="G185">
            <v>4818</v>
          </cell>
          <cell r="L185">
            <v>13975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34</v>
          </cell>
          <cell r="G186">
            <v>4964</v>
          </cell>
          <cell r="L186">
            <v>19006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57</v>
          </cell>
          <cell r="G187">
            <v>8322</v>
          </cell>
          <cell r="L187">
            <v>25714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-1042</v>
          </cell>
        </row>
        <row r="188">
          <cell r="E188">
            <v>30</v>
          </cell>
          <cell r="G188">
            <v>4380</v>
          </cell>
          <cell r="L188">
            <v>13975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-1042</v>
          </cell>
        </row>
        <row r="189">
          <cell r="E189">
            <v>45</v>
          </cell>
          <cell r="G189">
            <v>6570</v>
          </cell>
          <cell r="L189">
            <v>19006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14499</v>
          </cell>
        </row>
        <row r="190">
          <cell r="E190">
            <v>43</v>
          </cell>
          <cell r="G190">
            <v>6278</v>
          </cell>
          <cell r="L190">
            <v>15652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34</v>
          </cell>
          <cell r="G191">
            <v>4964</v>
          </cell>
          <cell r="L191">
            <v>15652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20</v>
          </cell>
          <cell r="G192">
            <v>2920</v>
          </cell>
          <cell r="L192">
            <v>559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48</v>
          </cell>
          <cell r="G193">
            <v>7008</v>
          </cell>
          <cell r="L193">
            <v>559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30</v>
          </cell>
          <cell r="G194">
            <v>4380</v>
          </cell>
          <cell r="L194">
            <v>2236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-3323</v>
          </cell>
        </row>
        <row r="195">
          <cell r="E195">
            <v>18</v>
          </cell>
          <cell r="G195">
            <v>2628</v>
          </cell>
          <cell r="L195">
            <v>8944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-1669</v>
          </cell>
        </row>
        <row r="196">
          <cell r="E196">
            <v>36</v>
          </cell>
          <cell r="G196">
            <v>5256</v>
          </cell>
          <cell r="L196">
            <v>13416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52</v>
          </cell>
          <cell r="G197">
            <v>7592</v>
          </cell>
          <cell r="L197">
            <v>19006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47</v>
          </cell>
          <cell r="G198">
            <v>6862</v>
          </cell>
          <cell r="L198">
            <v>20124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117131</v>
          </cell>
        </row>
        <row r="199">
          <cell r="E199">
            <v>57</v>
          </cell>
          <cell r="G199">
            <v>8322</v>
          </cell>
          <cell r="L199">
            <v>17329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235050</v>
          </cell>
        </row>
        <row r="200">
          <cell r="E200">
            <v>25</v>
          </cell>
          <cell r="G200">
            <v>3650</v>
          </cell>
          <cell r="L200">
            <v>16770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-81</v>
          </cell>
        </row>
        <row r="201">
          <cell r="E201">
            <v>21</v>
          </cell>
          <cell r="G201">
            <v>3066</v>
          </cell>
          <cell r="L201">
            <v>16211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111470</v>
          </cell>
        </row>
        <row r="202">
          <cell r="E202">
            <v>39</v>
          </cell>
          <cell r="G202">
            <v>5694</v>
          </cell>
          <cell r="L202">
            <v>17888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60</v>
          </cell>
          <cell r="G203">
            <v>8760</v>
          </cell>
          <cell r="L203">
            <v>63726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164819</v>
          </cell>
        </row>
        <row r="204">
          <cell r="E204">
            <v>-3111</v>
          </cell>
          <cell r="G204">
            <v>-454206</v>
          </cell>
          <cell r="L204">
            <v>-1575821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-1781204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-1697200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-1613196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-1529192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-1445188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-1361184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-1277180</v>
          </cell>
        </row>
      </sheetData>
      <sheetData sheetId="15">
        <row r="176">
          <cell r="E176">
            <v>58</v>
          </cell>
          <cell r="G176">
            <v>8468</v>
          </cell>
          <cell r="L176">
            <v>6149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79</v>
          </cell>
          <cell r="G177">
            <v>11534</v>
          </cell>
          <cell r="L177">
            <v>10062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58</v>
          </cell>
          <cell r="G178">
            <v>8468</v>
          </cell>
          <cell r="L178">
            <v>1118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49</v>
          </cell>
          <cell r="G179">
            <v>7154</v>
          </cell>
          <cell r="L179">
            <v>2236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43</v>
          </cell>
          <cell r="G180">
            <v>6278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34</v>
          </cell>
          <cell r="G181">
            <v>4964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47</v>
          </cell>
          <cell r="G182">
            <v>6862</v>
          </cell>
          <cell r="L182">
            <v>1118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97</v>
          </cell>
          <cell r="G183">
            <v>14162</v>
          </cell>
          <cell r="L183">
            <v>5590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44</v>
          </cell>
          <cell r="G184">
            <v>6424</v>
          </cell>
          <cell r="L184">
            <v>559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37</v>
          </cell>
          <cell r="G185">
            <v>5402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215</v>
          </cell>
          <cell r="G186">
            <v>31390</v>
          </cell>
          <cell r="L186">
            <v>34658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219</v>
          </cell>
          <cell r="G187">
            <v>31974</v>
          </cell>
          <cell r="L187">
            <v>42484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90</v>
          </cell>
          <cell r="G188">
            <v>13140</v>
          </cell>
          <cell r="L188">
            <v>5031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187</v>
          </cell>
          <cell r="G189">
            <v>27302</v>
          </cell>
          <cell r="L189">
            <v>6708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36</v>
          </cell>
          <cell r="G190">
            <v>5256</v>
          </cell>
          <cell r="L190">
            <v>1118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61</v>
          </cell>
          <cell r="G191">
            <v>8906</v>
          </cell>
          <cell r="L191">
            <v>7267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6</v>
          </cell>
          <cell r="G192">
            <v>876</v>
          </cell>
          <cell r="L192">
            <v>1118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21</v>
          </cell>
          <cell r="G195">
            <v>3066</v>
          </cell>
          <cell r="L195">
            <v>36335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6</v>
          </cell>
          <cell r="G196">
            <v>876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51</v>
          </cell>
          <cell r="G198">
            <v>7446</v>
          </cell>
          <cell r="L198">
            <v>21242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115</v>
          </cell>
          <cell r="G199">
            <v>16790</v>
          </cell>
          <cell r="L199">
            <v>27950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137008</v>
          </cell>
        </row>
        <row r="200">
          <cell r="E200">
            <v>88</v>
          </cell>
          <cell r="G200">
            <v>12848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113</v>
          </cell>
          <cell r="G201">
            <v>16498</v>
          </cell>
          <cell r="L201">
            <v>5031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105</v>
          </cell>
          <cell r="G202">
            <v>15330</v>
          </cell>
          <cell r="L202">
            <v>3354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104</v>
          </cell>
          <cell r="G203">
            <v>15184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107517</v>
          </cell>
        </row>
        <row r="204">
          <cell r="E204">
            <v>-11073</v>
          </cell>
          <cell r="G204">
            <v>-1616658</v>
          </cell>
          <cell r="L204">
            <v>-600366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-2025503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-1941499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-1857495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-1773491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-1689487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-1605483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-1521479</v>
          </cell>
        </row>
      </sheetData>
      <sheetData sheetId="16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-29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88180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178102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89998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40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92308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92274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17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103800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103800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103800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103800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103800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190941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104781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104781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192912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104781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192961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104781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104781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194746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104781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249097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393525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213504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90082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145267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290504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382772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92333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176337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260341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344345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428349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512353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596357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680361</v>
          </cell>
        </row>
      </sheetData>
      <sheetData sheetId="18">
        <row r="176">
          <cell r="E176">
            <v>50</v>
          </cell>
          <cell r="G176">
            <v>7300</v>
          </cell>
          <cell r="L176">
            <v>23478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114188</v>
          </cell>
        </row>
        <row r="177">
          <cell r="E177">
            <v>26</v>
          </cell>
          <cell r="G177">
            <v>3796</v>
          </cell>
          <cell r="L177">
            <v>19565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114188</v>
          </cell>
        </row>
        <row r="178">
          <cell r="E178">
            <v>13</v>
          </cell>
          <cell r="G178">
            <v>1898</v>
          </cell>
          <cell r="L178">
            <v>13416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114188</v>
          </cell>
        </row>
        <row r="179">
          <cell r="E179">
            <v>3</v>
          </cell>
          <cell r="G179">
            <v>438</v>
          </cell>
          <cell r="L179">
            <v>4472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115188</v>
          </cell>
        </row>
        <row r="180">
          <cell r="E180">
            <v>1</v>
          </cell>
          <cell r="G180">
            <v>146</v>
          </cell>
          <cell r="L180">
            <v>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103</v>
          </cell>
          <cell r="G181">
            <v>15038</v>
          </cell>
          <cell r="L181">
            <v>13975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371</v>
          </cell>
          <cell r="G182">
            <v>54166</v>
          </cell>
          <cell r="L182">
            <v>60931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329</v>
          </cell>
          <cell r="G183">
            <v>48034</v>
          </cell>
          <cell r="L183">
            <v>75209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211381</v>
          </cell>
        </row>
        <row r="184">
          <cell r="E184">
            <v>335</v>
          </cell>
          <cell r="G184">
            <v>48910</v>
          </cell>
          <cell r="L184">
            <v>39689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426</v>
          </cell>
          <cell r="G185">
            <v>62196</v>
          </cell>
          <cell r="L185">
            <v>84816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397</v>
          </cell>
          <cell r="G186">
            <v>57962</v>
          </cell>
          <cell r="L186">
            <v>59254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375</v>
          </cell>
          <cell r="G187">
            <v>54750</v>
          </cell>
          <cell r="L187">
            <v>54223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520</v>
          </cell>
          <cell r="G188">
            <v>75920</v>
          </cell>
          <cell r="L188">
            <v>50869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427</v>
          </cell>
          <cell r="G189">
            <v>62342</v>
          </cell>
          <cell r="L189">
            <v>46397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449</v>
          </cell>
          <cell r="G190">
            <v>65554</v>
          </cell>
          <cell r="L190">
            <v>43043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448</v>
          </cell>
          <cell r="G191">
            <v>65408</v>
          </cell>
          <cell r="L191">
            <v>23478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411</v>
          </cell>
          <cell r="G192">
            <v>60006</v>
          </cell>
          <cell r="L192">
            <v>6149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319</v>
          </cell>
          <cell r="G193">
            <v>46574</v>
          </cell>
          <cell r="L193">
            <v>3913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474</v>
          </cell>
          <cell r="G194">
            <v>69204</v>
          </cell>
          <cell r="L194">
            <v>17888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325</v>
          </cell>
          <cell r="G195">
            <v>47450</v>
          </cell>
          <cell r="L195">
            <v>13975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399</v>
          </cell>
          <cell r="G196">
            <v>58254</v>
          </cell>
          <cell r="L196">
            <v>34658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464</v>
          </cell>
          <cell r="G197">
            <v>67744</v>
          </cell>
          <cell r="L197">
            <v>34658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535</v>
          </cell>
          <cell r="G198">
            <v>78110</v>
          </cell>
          <cell r="L198">
            <v>55900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459</v>
          </cell>
          <cell r="G199">
            <v>67014</v>
          </cell>
          <cell r="L199">
            <v>45838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205120</v>
          </cell>
        </row>
        <row r="200">
          <cell r="E200">
            <v>583</v>
          </cell>
          <cell r="G200">
            <v>85118</v>
          </cell>
          <cell r="L200">
            <v>47515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457</v>
          </cell>
          <cell r="G201">
            <v>66722</v>
          </cell>
          <cell r="L201">
            <v>53664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564</v>
          </cell>
          <cell r="G202">
            <v>82344</v>
          </cell>
          <cell r="L202">
            <v>28509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584</v>
          </cell>
          <cell r="G203">
            <v>85264</v>
          </cell>
          <cell r="L203">
            <v>24037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201634</v>
          </cell>
        </row>
        <row r="204">
          <cell r="E204">
            <v>-12464</v>
          </cell>
          <cell r="G204">
            <v>-1819744</v>
          </cell>
          <cell r="L204">
            <v>-1380730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-2914836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-2830832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-2746828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-2662824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-2578820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-2494816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-2410812</v>
          </cell>
        </row>
      </sheetData>
      <sheetData sheetId="19">
        <row r="176">
          <cell r="E176">
            <v>99</v>
          </cell>
          <cell r="G176">
            <v>14454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134</v>
          </cell>
          <cell r="G177">
            <v>19564</v>
          </cell>
          <cell r="L177">
            <v>0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109</v>
          </cell>
          <cell r="G178">
            <v>15914</v>
          </cell>
          <cell r="L178">
            <v>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120</v>
          </cell>
          <cell r="G179">
            <v>17520</v>
          </cell>
          <cell r="L179">
            <v>559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178</v>
          </cell>
          <cell r="G180">
            <v>25988</v>
          </cell>
          <cell r="L180">
            <v>559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183</v>
          </cell>
          <cell r="G181">
            <v>26718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113859</v>
          </cell>
        </row>
        <row r="182">
          <cell r="E182">
            <v>259</v>
          </cell>
          <cell r="G182">
            <v>37814</v>
          </cell>
          <cell r="L182">
            <v>1118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120</v>
          </cell>
          <cell r="G183">
            <v>17520</v>
          </cell>
          <cell r="L183">
            <v>0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105658</v>
          </cell>
        </row>
        <row r="184">
          <cell r="E184">
            <v>142</v>
          </cell>
          <cell r="G184">
            <v>20732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118</v>
          </cell>
          <cell r="G185">
            <v>17228</v>
          </cell>
          <cell r="L185">
            <v>559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61</v>
          </cell>
          <cell r="G186">
            <v>8906</v>
          </cell>
          <cell r="L186">
            <v>0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89965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90061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90105</v>
          </cell>
        </row>
        <row r="197">
          <cell r="E197">
            <v>25</v>
          </cell>
          <cell r="G197">
            <v>3650</v>
          </cell>
          <cell r="L197">
            <v>16211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147385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294791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92333</v>
          </cell>
        </row>
        <row r="204">
          <cell r="E204">
            <v>-6230</v>
          </cell>
          <cell r="G204">
            <v>-909580</v>
          </cell>
          <cell r="L204">
            <v>-152607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-885850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-801846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-717842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-633838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-549834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-465830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-381826</v>
          </cell>
        </row>
      </sheetData>
      <sheetData sheetId="20">
        <row r="176">
          <cell r="E176">
            <v>27</v>
          </cell>
          <cell r="G176">
            <v>3942</v>
          </cell>
          <cell r="L176">
            <v>5031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72412</v>
          </cell>
        </row>
        <row r="177">
          <cell r="E177">
            <v>37</v>
          </cell>
          <cell r="G177">
            <v>5402</v>
          </cell>
          <cell r="L177">
            <v>5590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70545</v>
          </cell>
        </row>
        <row r="178">
          <cell r="E178">
            <v>30</v>
          </cell>
          <cell r="G178">
            <v>4380</v>
          </cell>
          <cell r="L178">
            <v>2795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64861</v>
          </cell>
        </row>
        <row r="179">
          <cell r="E179">
            <v>55</v>
          </cell>
          <cell r="G179">
            <v>8030</v>
          </cell>
          <cell r="L179">
            <v>1118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61150</v>
          </cell>
        </row>
        <row r="180">
          <cell r="E180">
            <v>66</v>
          </cell>
          <cell r="G180">
            <v>9636</v>
          </cell>
          <cell r="L180">
            <v>1118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59045</v>
          </cell>
        </row>
        <row r="181">
          <cell r="E181">
            <v>60</v>
          </cell>
          <cell r="G181">
            <v>8760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156623</v>
          </cell>
        </row>
        <row r="182">
          <cell r="E182">
            <v>57</v>
          </cell>
          <cell r="G182">
            <v>8322</v>
          </cell>
          <cell r="L182">
            <v>1677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39</v>
          </cell>
          <cell r="G183">
            <v>5694</v>
          </cell>
          <cell r="L183">
            <v>1677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79</v>
          </cell>
          <cell r="G184">
            <v>11534</v>
          </cell>
          <cell r="L184">
            <v>5031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111</v>
          </cell>
          <cell r="G185">
            <v>16206</v>
          </cell>
          <cell r="L185">
            <v>8385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113</v>
          </cell>
          <cell r="G186">
            <v>16498</v>
          </cell>
          <cell r="L186">
            <v>7826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259</v>
          </cell>
          <cell r="G187">
            <v>37814</v>
          </cell>
          <cell r="L187">
            <v>6708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174</v>
          </cell>
          <cell r="G188">
            <v>25404</v>
          </cell>
          <cell r="L188">
            <v>6149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104</v>
          </cell>
          <cell r="G189">
            <v>15184</v>
          </cell>
          <cell r="L189">
            <v>5590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131</v>
          </cell>
          <cell r="G190">
            <v>19126</v>
          </cell>
          <cell r="L190">
            <v>9503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163</v>
          </cell>
          <cell r="G191">
            <v>23798</v>
          </cell>
          <cell r="L191">
            <v>6149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268</v>
          </cell>
          <cell r="G192">
            <v>39128</v>
          </cell>
          <cell r="L192">
            <v>7267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234</v>
          </cell>
          <cell r="G193">
            <v>34164</v>
          </cell>
          <cell r="L193">
            <v>4472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310</v>
          </cell>
          <cell r="G194">
            <v>45260</v>
          </cell>
          <cell r="L194">
            <v>10621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200</v>
          </cell>
          <cell r="G195">
            <v>29200</v>
          </cell>
          <cell r="L195">
            <v>5590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293</v>
          </cell>
          <cell r="G196">
            <v>42778</v>
          </cell>
          <cell r="L196">
            <v>10062</v>
          </cell>
          <cell r="M196">
            <v>3731</v>
          </cell>
          <cell r="N196">
            <v>8230</v>
          </cell>
          <cell r="O196"/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207</v>
          </cell>
          <cell r="G197">
            <v>30222</v>
          </cell>
          <cell r="L197">
            <v>12857</v>
          </cell>
          <cell r="M197">
            <v>3731</v>
          </cell>
          <cell r="N197">
            <v>8260</v>
          </cell>
          <cell r="O197">
            <v>57120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187</v>
          </cell>
          <cell r="G198">
            <v>27302</v>
          </cell>
          <cell r="L198">
            <v>8385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259</v>
          </cell>
          <cell r="G199">
            <v>37814</v>
          </cell>
          <cell r="L199">
            <v>13416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143498</v>
          </cell>
        </row>
        <row r="200">
          <cell r="E200">
            <v>266</v>
          </cell>
          <cell r="G200">
            <v>38836</v>
          </cell>
          <cell r="L200">
            <v>12298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225</v>
          </cell>
          <cell r="G201">
            <v>32850</v>
          </cell>
          <cell r="L201">
            <v>10621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214</v>
          </cell>
          <cell r="G202">
            <v>31244</v>
          </cell>
          <cell r="L202">
            <v>10062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324</v>
          </cell>
          <cell r="G203">
            <v>47304</v>
          </cell>
          <cell r="L203">
            <v>8944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148581</v>
          </cell>
        </row>
        <row r="204">
          <cell r="E204">
            <v>-9425</v>
          </cell>
          <cell r="G204">
            <v>-1376050</v>
          </cell>
          <cell r="L204">
            <v>-816140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-1959605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-1875601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-1791597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-1707593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-1623589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-1539585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-1455581</v>
          </cell>
        </row>
      </sheetData>
      <sheetData sheetId="21">
        <row r="176">
          <cell r="E176">
            <v>105</v>
          </cell>
          <cell r="G176">
            <v>15330</v>
          </cell>
          <cell r="L176">
            <v>9503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131</v>
          </cell>
          <cell r="G177">
            <v>19126</v>
          </cell>
          <cell r="L177">
            <v>13975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120242</v>
          </cell>
        </row>
        <row r="178">
          <cell r="E178">
            <v>103</v>
          </cell>
          <cell r="G178">
            <v>15038</v>
          </cell>
          <cell r="L178">
            <v>11180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138</v>
          </cell>
          <cell r="G179">
            <v>20148</v>
          </cell>
          <cell r="L179">
            <v>559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107848</v>
          </cell>
        </row>
        <row r="180">
          <cell r="E180">
            <v>237</v>
          </cell>
          <cell r="G180">
            <v>34602</v>
          </cell>
          <cell r="L180">
            <v>6149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233</v>
          </cell>
          <cell r="G181">
            <v>34018</v>
          </cell>
          <cell r="L181">
            <v>5590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126749</v>
          </cell>
        </row>
        <row r="182">
          <cell r="E182">
            <v>244</v>
          </cell>
          <cell r="G182">
            <v>35624</v>
          </cell>
          <cell r="L182">
            <v>4472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213</v>
          </cell>
          <cell r="G183">
            <v>31098</v>
          </cell>
          <cell r="L183">
            <v>7267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126503</v>
          </cell>
        </row>
        <row r="184">
          <cell r="E184">
            <v>166</v>
          </cell>
          <cell r="G184">
            <v>24236</v>
          </cell>
          <cell r="L184">
            <v>8944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119</v>
          </cell>
          <cell r="G185">
            <v>17374</v>
          </cell>
          <cell r="L185">
            <v>10621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116155</v>
          </cell>
        </row>
        <row r="186">
          <cell r="E186">
            <v>86</v>
          </cell>
          <cell r="G186">
            <v>12556</v>
          </cell>
          <cell r="L186">
            <v>8944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127</v>
          </cell>
          <cell r="G187">
            <v>18542</v>
          </cell>
          <cell r="L187">
            <v>15093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123557</v>
          </cell>
        </row>
        <row r="188">
          <cell r="E188">
            <v>95</v>
          </cell>
          <cell r="G188">
            <v>13870</v>
          </cell>
          <cell r="L188">
            <v>10062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112</v>
          </cell>
          <cell r="G189">
            <v>16352</v>
          </cell>
          <cell r="L189">
            <v>11739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118056</v>
          </cell>
        </row>
        <row r="190">
          <cell r="E190">
            <v>121</v>
          </cell>
          <cell r="G190">
            <v>17666</v>
          </cell>
          <cell r="L190">
            <v>10621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176</v>
          </cell>
          <cell r="G191">
            <v>25696</v>
          </cell>
          <cell r="L191">
            <v>10062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279</v>
          </cell>
          <cell r="G192">
            <v>40734</v>
          </cell>
          <cell r="L192">
            <v>6149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136906</v>
          </cell>
        </row>
        <row r="193">
          <cell r="E193">
            <v>277</v>
          </cell>
          <cell r="G193">
            <v>40442</v>
          </cell>
          <cell r="L193">
            <v>7267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505</v>
          </cell>
          <cell r="G194">
            <v>73730</v>
          </cell>
          <cell r="L194">
            <v>7267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171058</v>
          </cell>
        </row>
        <row r="195">
          <cell r="E195">
            <v>200</v>
          </cell>
          <cell r="G195">
            <v>29200</v>
          </cell>
          <cell r="L195">
            <v>8944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140</v>
          </cell>
          <cell r="G196">
            <v>20440</v>
          </cell>
          <cell r="L196">
            <v>9503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120048</v>
          </cell>
        </row>
        <row r="197">
          <cell r="E197">
            <v>110</v>
          </cell>
          <cell r="G197">
            <v>16060</v>
          </cell>
          <cell r="L197">
            <v>11739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96</v>
          </cell>
          <cell r="G198">
            <v>14016</v>
          </cell>
          <cell r="L198">
            <v>12857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117018</v>
          </cell>
        </row>
        <row r="199">
          <cell r="E199">
            <v>108</v>
          </cell>
          <cell r="G199">
            <v>15768</v>
          </cell>
          <cell r="L199">
            <v>15093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240147</v>
          </cell>
        </row>
        <row r="200">
          <cell r="E200">
            <v>97</v>
          </cell>
          <cell r="G200">
            <v>14162</v>
          </cell>
          <cell r="L200">
            <v>17888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124321</v>
          </cell>
        </row>
        <row r="201">
          <cell r="E201">
            <v>82</v>
          </cell>
          <cell r="G201">
            <v>11972</v>
          </cell>
          <cell r="L201">
            <v>13416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85</v>
          </cell>
          <cell r="G202">
            <v>12410</v>
          </cell>
          <cell r="L202">
            <v>7267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111980</v>
          </cell>
        </row>
        <row r="203">
          <cell r="E203">
            <v>161</v>
          </cell>
          <cell r="G203">
            <v>23506</v>
          </cell>
          <cell r="L203">
            <v>10621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238440</v>
          </cell>
        </row>
        <row r="204">
          <cell r="E204">
            <v>-11458</v>
          </cell>
          <cell r="G204">
            <v>-1672868</v>
          </cell>
          <cell r="L204">
            <v>-812786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-2163210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-2079206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-1995202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-1911198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-1827194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-1743190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-1659186</v>
          </cell>
        </row>
      </sheetData>
      <sheetData sheetId="22">
        <row r="176">
          <cell r="E176">
            <v>77</v>
          </cell>
          <cell r="G176">
            <v>11242</v>
          </cell>
          <cell r="L176">
            <v>0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98383</v>
          </cell>
        </row>
        <row r="177">
          <cell r="E177">
            <v>64</v>
          </cell>
          <cell r="G177">
            <v>9344</v>
          </cell>
          <cell r="L177">
            <v>1118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91</v>
          </cell>
          <cell r="G178">
            <v>13286</v>
          </cell>
          <cell r="L178">
            <v>2795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103222</v>
          </cell>
        </row>
        <row r="179">
          <cell r="E179">
            <v>64</v>
          </cell>
          <cell r="G179">
            <v>9344</v>
          </cell>
          <cell r="L179">
            <v>1118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51</v>
          </cell>
          <cell r="G180">
            <v>7446</v>
          </cell>
          <cell r="L180">
            <v>1677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149594</v>
          </cell>
        </row>
        <row r="181">
          <cell r="E181">
            <v>103</v>
          </cell>
          <cell r="G181">
            <v>15038</v>
          </cell>
          <cell r="L181">
            <v>1677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253450</v>
          </cell>
        </row>
        <row r="182">
          <cell r="E182">
            <v>47</v>
          </cell>
          <cell r="G182">
            <v>6862</v>
          </cell>
          <cell r="L182">
            <v>1118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67</v>
          </cell>
          <cell r="G183">
            <v>9782</v>
          </cell>
          <cell r="L183">
            <v>3354</v>
          </cell>
          <cell r="M183">
            <v>3731</v>
          </cell>
          <cell r="N183">
            <v>7997</v>
          </cell>
          <cell r="O183">
            <v>15900</v>
          </cell>
          <cell r="P183"/>
          <cell r="Q183">
            <v>76410</v>
          </cell>
          <cell r="W183">
            <v>15900</v>
          </cell>
        </row>
        <row r="184">
          <cell r="E184">
            <v>21</v>
          </cell>
          <cell r="G184">
            <v>3066</v>
          </cell>
          <cell r="L184">
            <v>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107097</v>
          </cell>
        </row>
        <row r="185">
          <cell r="E185">
            <v>37</v>
          </cell>
          <cell r="G185">
            <v>5402</v>
          </cell>
          <cell r="L185">
            <v>0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48</v>
          </cell>
          <cell r="G186">
            <v>7008</v>
          </cell>
          <cell r="L186">
            <v>1118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96306</v>
          </cell>
        </row>
        <row r="187">
          <cell r="E187">
            <v>46</v>
          </cell>
          <cell r="G187">
            <v>6716</v>
          </cell>
          <cell r="L187">
            <v>1677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-2000</v>
          </cell>
        </row>
        <row r="188">
          <cell r="E188">
            <v>45</v>
          </cell>
          <cell r="G188">
            <v>6570</v>
          </cell>
          <cell r="L188">
            <v>1118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95640</v>
          </cell>
        </row>
        <row r="189">
          <cell r="E189">
            <v>11</v>
          </cell>
          <cell r="G189">
            <v>1606</v>
          </cell>
          <cell r="L189">
            <v>0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89976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90023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90061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145171</v>
          </cell>
        </row>
        <row r="197">
          <cell r="E197">
            <v>29</v>
          </cell>
          <cell r="G197">
            <v>4234</v>
          </cell>
          <cell r="L197">
            <v>559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32</v>
          </cell>
          <cell r="G198">
            <v>4672</v>
          </cell>
          <cell r="L198">
            <v>559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95376</v>
          </cell>
        </row>
        <row r="199">
          <cell r="E199">
            <v>50</v>
          </cell>
          <cell r="G199">
            <v>7300</v>
          </cell>
          <cell r="L199">
            <v>4472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199416</v>
          </cell>
        </row>
        <row r="200">
          <cell r="E200">
            <v>64</v>
          </cell>
          <cell r="G200">
            <v>9344</v>
          </cell>
          <cell r="L200">
            <v>3913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45</v>
          </cell>
          <cell r="G201">
            <v>6570</v>
          </cell>
          <cell r="L201">
            <v>2795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101639</v>
          </cell>
        </row>
        <row r="202">
          <cell r="E202">
            <v>111</v>
          </cell>
          <cell r="G202">
            <v>16206</v>
          </cell>
          <cell r="L202">
            <v>10062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206</v>
          </cell>
          <cell r="G203">
            <v>30076</v>
          </cell>
          <cell r="L203">
            <v>16770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139179</v>
          </cell>
        </row>
        <row r="204">
          <cell r="E204">
            <v>-745</v>
          </cell>
          <cell r="G204">
            <v>-108770</v>
          </cell>
          <cell r="L204">
            <v>-133601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-19188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64816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148820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232824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316828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400832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484836</v>
          </cell>
        </row>
      </sheetData>
      <sheetData sheetId="23">
        <row r="176">
          <cell r="E176">
            <v>194</v>
          </cell>
          <cell r="G176">
            <v>28324</v>
          </cell>
          <cell r="L176">
            <v>15652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215</v>
          </cell>
          <cell r="G177">
            <v>31390</v>
          </cell>
          <cell r="L177">
            <v>24596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218</v>
          </cell>
          <cell r="G178">
            <v>31828</v>
          </cell>
          <cell r="L178">
            <v>6708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193</v>
          </cell>
          <cell r="G179">
            <v>28178</v>
          </cell>
          <cell r="L179">
            <v>7826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3731</v>
          </cell>
        </row>
        <row r="180">
          <cell r="E180">
            <v>230</v>
          </cell>
          <cell r="G180">
            <v>33580</v>
          </cell>
          <cell r="L180">
            <v>11180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216</v>
          </cell>
          <cell r="G181">
            <v>31536</v>
          </cell>
          <cell r="L181">
            <v>2236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240</v>
          </cell>
          <cell r="G182">
            <v>35040</v>
          </cell>
          <cell r="L182">
            <v>1677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207</v>
          </cell>
          <cell r="G183">
            <v>30222</v>
          </cell>
          <cell r="L183">
            <v>8944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175</v>
          </cell>
          <cell r="G184">
            <v>25550</v>
          </cell>
          <cell r="L184">
            <v>13975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189</v>
          </cell>
          <cell r="G185">
            <v>27594</v>
          </cell>
          <cell r="L185">
            <v>13975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171</v>
          </cell>
          <cell r="G186">
            <v>24966</v>
          </cell>
          <cell r="L186">
            <v>15652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319</v>
          </cell>
          <cell r="G187">
            <v>46574</v>
          </cell>
          <cell r="L187">
            <v>16770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217</v>
          </cell>
          <cell r="G188">
            <v>31682</v>
          </cell>
          <cell r="L188">
            <v>10621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394</v>
          </cell>
          <cell r="G189">
            <v>57524</v>
          </cell>
          <cell r="L189">
            <v>13975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179</v>
          </cell>
          <cell r="G190">
            <v>26134</v>
          </cell>
          <cell r="L190">
            <v>13416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165</v>
          </cell>
          <cell r="G191">
            <v>24090</v>
          </cell>
          <cell r="L191">
            <v>12298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153</v>
          </cell>
          <cell r="G192">
            <v>22338</v>
          </cell>
          <cell r="L192">
            <v>8944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168</v>
          </cell>
          <cell r="G193">
            <v>24528</v>
          </cell>
          <cell r="L193">
            <v>12298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209</v>
          </cell>
          <cell r="G194">
            <v>30514</v>
          </cell>
          <cell r="L194">
            <v>12857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134</v>
          </cell>
          <cell r="G195">
            <v>19564</v>
          </cell>
          <cell r="L195">
            <v>11739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152</v>
          </cell>
          <cell r="G196">
            <v>22192</v>
          </cell>
          <cell r="L196">
            <v>10062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199</v>
          </cell>
          <cell r="G197">
            <v>29054</v>
          </cell>
          <cell r="L197">
            <v>31304</v>
          </cell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W197">
            <v>0</v>
          </cell>
        </row>
        <row r="198">
          <cell r="E198">
            <v>156</v>
          </cell>
          <cell r="G198">
            <v>22776</v>
          </cell>
          <cell r="L198">
            <v>12857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-10</v>
          </cell>
        </row>
        <row r="199">
          <cell r="E199">
            <v>231</v>
          </cell>
          <cell r="G199">
            <v>33726</v>
          </cell>
          <cell r="L199">
            <v>13416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139400</v>
          </cell>
        </row>
        <row r="200">
          <cell r="E200">
            <v>211</v>
          </cell>
          <cell r="G200">
            <v>30806</v>
          </cell>
          <cell r="L200">
            <v>14534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157</v>
          </cell>
          <cell r="G201">
            <v>22922</v>
          </cell>
          <cell r="L201">
            <v>12298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183</v>
          </cell>
          <cell r="G202">
            <v>26718</v>
          </cell>
          <cell r="L202">
            <v>15652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285</v>
          </cell>
          <cell r="G203">
            <v>41610</v>
          </cell>
          <cell r="L203">
            <v>16770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150713</v>
          </cell>
        </row>
        <row r="204">
          <cell r="E204">
            <v>-11726</v>
          </cell>
          <cell r="G204">
            <v>-1711996</v>
          </cell>
          <cell r="L204">
            <v>-673595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-2150874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-2066870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-1982866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-1898862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-1814858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-1730854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-1646850</v>
          </cell>
        </row>
      </sheetData>
      <sheetData sheetId="24">
        <row r="176">
          <cell r="E176">
            <v>288</v>
          </cell>
          <cell r="G176">
            <v>42048</v>
          </cell>
          <cell r="L176">
            <v>62608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3913</v>
          </cell>
        </row>
        <row r="177">
          <cell r="E177">
            <v>331</v>
          </cell>
          <cell r="G177">
            <v>48326</v>
          </cell>
          <cell r="L177">
            <v>51987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284</v>
          </cell>
          <cell r="G178">
            <v>41464</v>
          </cell>
          <cell r="L178">
            <v>39130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278</v>
          </cell>
          <cell r="G179">
            <v>40588</v>
          </cell>
          <cell r="L179">
            <v>7267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134996</v>
          </cell>
        </row>
        <row r="180">
          <cell r="E180">
            <v>262</v>
          </cell>
          <cell r="G180">
            <v>38252</v>
          </cell>
          <cell r="L180">
            <v>3913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232</v>
          </cell>
          <cell r="G181">
            <v>33872</v>
          </cell>
          <cell r="L181">
            <v>3913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124926</v>
          </cell>
        </row>
        <row r="182">
          <cell r="E182">
            <v>269</v>
          </cell>
          <cell r="G182">
            <v>39274</v>
          </cell>
          <cell r="L182">
            <v>6149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259</v>
          </cell>
          <cell r="G183">
            <v>37814</v>
          </cell>
          <cell r="L183">
            <v>20124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278</v>
          </cell>
          <cell r="G184">
            <v>40588</v>
          </cell>
          <cell r="L184">
            <v>30186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158905</v>
          </cell>
        </row>
        <row r="185">
          <cell r="E185">
            <v>283</v>
          </cell>
          <cell r="G185">
            <v>41318</v>
          </cell>
          <cell r="L185">
            <v>64285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271</v>
          </cell>
          <cell r="G186">
            <v>39566</v>
          </cell>
          <cell r="L186">
            <v>64285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345</v>
          </cell>
          <cell r="G187">
            <v>50370</v>
          </cell>
          <cell r="L187">
            <v>66521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252</v>
          </cell>
          <cell r="G188">
            <v>36792</v>
          </cell>
          <cell r="L188">
            <v>41366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309</v>
          </cell>
          <cell r="G189">
            <v>45114</v>
          </cell>
          <cell r="L189">
            <v>48633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183712</v>
          </cell>
        </row>
        <row r="190">
          <cell r="E190">
            <v>274</v>
          </cell>
          <cell r="G190">
            <v>40004</v>
          </cell>
          <cell r="L190">
            <v>46956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281</v>
          </cell>
          <cell r="G191">
            <v>41026</v>
          </cell>
          <cell r="L191">
            <v>27950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158974</v>
          </cell>
        </row>
        <row r="192">
          <cell r="E192">
            <v>258</v>
          </cell>
          <cell r="G192">
            <v>37668</v>
          </cell>
          <cell r="L192">
            <v>5031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233</v>
          </cell>
          <cell r="G193">
            <v>34018</v>
          </cell>
          <cell r="L193">
            <v>4472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128526</v>
          </cell>
        </row>
        <row r="194">
          <cell r="E194">
            <v>280</v>
          </cell>
          <cell r="G194">
            <v>40880</v>
          </cell>
          <cell r="L194">
            <v>8385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208</v>
          </cell>
          <cell r="G195">
            <v>30368</v>
          </cell>
          <cell r="L195">
            <v>12298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132748</v>
          </cell>
        </row>
        <row r="196">
          <cell r="E196">
            <v>247</v>
          </cell>
          <cell r="G196">
            <v>36062</v>
          </cell>
          <cell r="L196">
            <v>21242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313</v>
          </cell>
          <cell r="G197">
            <v>45698</v>
          </cell>
          <cell r="L197">
            <v>39689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328</v>
          </cell>
          <cell r="G198">
            <v>47888</v>
          </cell>
          <cell r="L198">
            <v>46956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184989</v>
          </cell>
        </row>
        <row r="199">
          <cell r="E199">
            <v>398</v>
          </cell>
          <cell r="G199">
            <v>58108</v>
          </cell>
          <cell r="L199">
            <v>48074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383439</v>
          </cell>
        </row>
        <row r="200">
          <cell r="E200">
            <v>385</v>
          </cell>
          <cell r="G200">
            <v>56210</v>
          </cell>
          <cell r="L200">
            <v>43602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301</v>
          </cell>
          <cell r="G201">
            <v>43946</v>
          </cell>
          <cell r="L201">
            <v>36894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283</v>
          </cell>
          <cell r="G202">
            <v>41318</v>
          </cell>
          <cell r="L202">
            <v>29627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163248</v>
          </cell>
        </row>
        <row r="203">
          <cell r="E203">
            <v>320</v>
          </cell>
          <cell r="G203">
            <v>46720</v>
          </cell>
          <cell r="L203">
            <v>21242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323543</v>
          </cell>
        </row>
        <row r="204">
          <cell r="E204">
            <v>-16020</v>
          </cell>
          <cell r="G204">
            <v>-2338920</v>
          </cell>
          <cell r="L204">
            <v>-1886625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-3817998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-3733994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-3649990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-3565986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-3481982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-3397978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-3313974</v>
          </cell>
        </row>
      </sheetData>
      <sheetData sheetId="25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87141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981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89119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88160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89965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89998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90036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144946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290117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1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1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92269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0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92274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0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92333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176337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260341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344345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428349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512353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596357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680361</v>
          </cell>
        </row>
      </sheetData>
      <sheetData sheetId="26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87141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87141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88138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-7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88180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89952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89976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90023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90082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90135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92268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294745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0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92303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184636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268640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352644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436648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520652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604656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688660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772664</v>
          </cell>
        </row>
      </sheetData>
      <sheetData sheetId="27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W176">
            <v>339204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W177">
            <v>226345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W178">
            <v>113486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W180">
            <v>0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W181">
            <v>87141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W182">
            <v>0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W183">
            <v>88138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W184">
            <v>0</v>
          </cell>
        </row>
        <row r="185">
          <cell r="E185">
            <v>0</v>
          </cell>
          <cell r="G185">
            <v>0</v>
          </cell>
          <cell r="L185">
            <v>8944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W185">
            <v>97104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W186">
            <v>0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W187">
            <v>89922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W189">
            <v>0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W190">
            <v>0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145267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290504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W199">
            <v>382772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W200">
            <v>294745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W201">
            <v>442151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W202">
            <v>534454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626787</v>
          </cell>
        </row>
        <row r="204">
          <cell r="E204">
            <v>0</v>
          </cell>
          <cell r="G204">
            <v>0</v>
          </cell>
          <cell r="L204">
            <v>-8944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701847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785851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869855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953859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1037863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1121867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1205871</v>
          </cell>
        </row>
      </sheetData>
      <sheetData sheetId="28">
        <row r="176">
          <cell r="E176">
            <v>240</v>
          </cell>
          <cell r="G176">
            <v>35040</v>
          </cell>
          <cell r="L176">
            <v>19565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203</v>
          </cell>
          <cell r="G177">
            <v>29638</v>
          </cell>
          <cell r="L177">
            <v>4472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3731</v>
          </cell>
        </row>
        <row r="178">
          <cell r="E178">
            <v>157</v>
          </cell>
          <cell r="G178">
            <v>22922</v>
          </cell>
          <cell r="L178">
            <v>3913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156</v>
          </cell>
          <cell r="G179">
            <v>22776</v>
          </cell>
          <cell r="L179">
            <v>1677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161</v>
          </cell>
          <cell r="G180">
            <v>23506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1</v>
          </cell>
        </row>
        <row r="181">
          <cell r="E181">
            <v>200</v>
          </cell>
          <cell r="G181">
            <v>29200</v>
          </cell>
          <cell r="L181">
            <v>4472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278</v>
          </cell>
          <cell r="G182">
            <v>40588</v>
          </cell>
          <cell r="L182">
            <v>5031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202</v>
          </cell>
          <cell r="G183">
            <v>29492</v>
          </cell>
          <cell r="L183">
            <v>7267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202</v>
          </cell>
          <cell r="G184">
            <v>29492</v>
          </cell>
          <cell r="L184">
            <v>6149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221</v>
          </cell>
          <cell r="G185">
            <v>32266</v>
          </cell>
          <cell r="L185">
            <v>13416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201</v>
          </cell>
          <cell r="G186">
            <v>29346</v>
          </cell>
          <cell r="L186">
            <v>21801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308</v>
          </cell>
          <cell r="G187">
            <v>44968</v>
          </cell>
          <cell r="L187">
            <v>32422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226</v>
          </cell>
          <cell r="G188">
            <v>32996</v>
          </cell>
          <cell r="L188">
            <v>18447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221</v>
          </cell>
          <cell r="G189">
            <v>32266</v>
          </cell>
          <cell r="L189">
            <v>21242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22222</v>
          </cell>
        </row>
        <row r="190">
          <cell r="E190">
            <v>401</v>
          </cell>
          <cell r="G190">
            <v>58546</v>
          </cell>
          <cell r="L190">
            <v>17329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558</v>
          </cell>
          <cell r="G191">
            <v>81468</v>
          </cell>
          <cell r="L191">
            <v>16770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603</v>
          </cell>
          <cell r="G192">
            <v>88038</v>
          </cell>
          <cell r="L192">
            <v>6149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653</v>
          </cell>
          <cell r="G193">
            <v>95338</v>
          </cell>
          <cell r="L193">
            <v>7267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529</v>
          </cell>
          <cell r="G194">
            <v>77234</v>
          </cell>
          <cell r="L194">
            <v>6149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422</v>
          </cell>
          <cell r="G195">
            <v>61612</v>
          </cell>
          <cell r="L195">
            <v>9503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438</v>
          </cell>
          <cell r="G196">
            <v>63948</v>
          </cell>
          <cell r="L196">
            <v>46397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547</v>
          </cell>
          <cell r="G197">
            <v>79862</v>
          </cell>
          <cell r="L197">
            <v>21242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527</v>
          </cell>
          <cell r="G198">
            <v>76942</v>
          </cell>
          <cell r="L198">
            <v>28509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797</v>
          </cell>
          <cell r="G199">
            <v>116362</v>
          </cell>
          <cell r="L199">
            <v>29627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238257</v>
          </cell>
        </row>
        <row r="200">
          <cell r="E200">
            <v>680</v>
          </cell>
          <cell r="G200">
            <v>99280</v>
          </cell>
          <cell r="L200">
            <v>22360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545</v>
          </cell>
          <cell r="G201">
            <v>79570</v>
          </cell>
          <cell r="L201">
            <v>12857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369</v>
          </cell>
          <cell r="G202">
            <v>53874</v>
          </cell>
          <cell r="L202">
            <v>3354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422</v>
          </cell>
          <cell r="G203">
            <v>61612</v>
          </cell>
          <cell r="L203">
            <v>10062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164007</v>
          </cell>
        </row>
        <row r="204">
          <cell r="E204">
            <v>-12334</v>
          </cell>
          <cell r="G204">
            <v>-1800764</v>
          </cell>
          <cell r="L204">
            <v>-590304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-2143057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-2059053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-1975049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-1891045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-1807041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-1723037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-1639033</v>
          </cell>
        </row>
      </sheetData>
      <sheetData sheetId="29">
        <row r="176">
          <cell r="E176">
            <v>229</v>
          </cell>
          <cell r="G176">
            <v>33434</v>
          </cell>
          <cell r="L176">
            <v>11180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4333</v>
          </cell>
        </row>
        <row r="177">
          <cell r="E177">
            <v>175</v>
          </cell>
          <cell r="G177">
            <v>25550</v>
          </cell>
          <cell r="L177">
            <v>21801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87</v>
          </cell>
          <cell r="G178">
            <v>12702</v>
          </cell>
          <cell r="L178">
            <v>34099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88</v>
          </cell>
          <cell r="G179">
            <v>12848</v>
          </cell>
          <cell r="L179">
            <v>5590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93</v>
          </cell>
          <cell r="G180">
            <v>13578</v>
          </cell>
          <cell r="L180">
            <v>7826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72</v>
          </cell>
          <cell r="G181">
            <v>10512</v>
          </cell>
          <cell r="L181">
            <v>2795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70</v>
          </cell>
          <cell r="G182">
            <v>10220</v>
          </cell>
          <cell r="L182">
            <v>3354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101696</v>
          </cell>
        </row>
        <row r="183">
          <cell r="E183">
            <v>104</v>
          </cell>
          <cell r="G183">
            <v>15184</v>
          </cell>
          <cell r="L183">
            <v>7826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91</v>
          </cell>
          <cell r="G184">
            <v>13286</v>
          </cell>
          <cell r="L184">
            <v>6708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138</v>
          </cell>
          <cell r="G185">
            <v>20148</v>
          </cell>
          <cell r="L185">
            <v>31304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163</v>
          </cell>
          <cell r="G186">
            <v>23798</v>
          </cell>
          <cell r="L186">
            <v>20683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220</v>
          </cell>
          <cell r="G187">
            <v>32120</v>
          </cell>
          <cell r="L187">
            <v>19006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141048</v>
          </cell>
        </row>
        <row r="188">
          <cell r="E188">
            <v>139</v>
          </cell>
          <cell r="G188">
            <v>20294</v>
          </cell>
          <cell r="L188">
            <v>24037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177</v>
          </cell>
          <cell r="G189">
            <v>25842</v>
          </cell>
          <cell r="L189">
            <v>17888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154</v>
          </cell>
          <cell r="G190">
            <v>22484</v>
          </cell>
          <cell r="L190">
            <v>12298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159</v>
          </cell>
          <cell r="G191">
            <v>23214</v>
          </cell>
          <cell r="L191">
            <v>7267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147</v>
          </cell>
          <cell r="G192">
            <v>21462</v>
          </cell>
          <cell r="L192">
            <v>2236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157</v>
          </cell>
          <cell r="G193">
            <v>22922</v>
          </cell>
          <cell r="L193">
            <v>1677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168</v>
          </cell>
          <cell r="G194">
            <v>24528</v>
          </cell>
          <cell r="L194">
            <v>559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160</v>
          </cell>
          <cell r="G195">
            <v>23360</v>
          </cell>
          <cell r="L195">
            <v>2795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116237</v>
          </cell>
        </row>
        <row r="196">
          <cell r="E196">
            <v>167</v>
          </cell>
          <cell r="G196">
            <v>24382</v>
          </cell>
          <cell r="L196">
            <v>10621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214</v>
          </cell>
          <cell r="G197">
            <v>31244</v>
          </cell>
          <cell r="L197">
            <v>16211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272</v>
          </cell>
          <cell r="G198">
            <v>39712</v>
          </cell>
          <cell r="L198">
            <v>12298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496</v>
          </cell>
          <cell r="G199">
            <v>72416</v>
          </cell>
          <cell r="L199">
            <v>21242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185926</v>
          </cell>
        </row>
        <row r="200">
          <cell r="E200">
            <v>491</v>
          </cell>
          <cell r="G200">
            <v>71686</v>
          </cell>
          <cell r="L200">
            <v>20683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274</v>
          </cell>
          <cell r="G201">
            <v>40004</v>
          </cell>
          <cell r="L201">
            <v>13416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173</v>
          </cell>
          <cell r="G202">
            <v>25258</v>
          </cell>
          <cell r="L202">
            <v>45279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184</v>
          </cell>
          <cell r="G203">
            <v>26864</v>
          </cell>
          <cell r="L203">
            <v>7826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127023</v>
          </cell>
        </row>
        <row r="204">
          <cell r="E204">
            <v>-14355</v>
          </cell>
          <cell r="G204">
            <v>-2095830</v>
          </cell>
          <cell r="L204">
            <v>-1640106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-3524909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-3440905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-3356901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-3272897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-3188893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-3104889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-3020885</v>
          </cell>
        </row>
      </sheetData>
      <sheetData sheetId="30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87141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3731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1</v>
          </cell>
          <cell r="G181">
            <v>146</v>
          </cell>
          <cell r="L181">
            <v>44720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146</v>
          </cell>
        </row>
        <row r="182">
          <cell r="E182">
            <v>140</v>
          </cell>
          <cell r="G182">
            <v>20440</v>
          </cell>
          <cell r="L182">
            <v>10621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10767</v>
          </cell>
        </row>
        <row r="183">
          <cell r="E183">
            <v>133</v>
          </cell>
          <cell r="G183">
            <v>19418</v>
          </cell>
          <cell r="L183">
            <v>21801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20696</v>
          </cell>
        </row>
        <row r="184">
          <cell r="E184">
            <v>114</v>
          </cell>
          <cell r="G184">
            <v>16644</v>
          </cell>
          <cell r="L184">
            <v>52546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91</v>
          </cell>
          <cell r="G185">
            <v>13286</v>
          </cell>
          <cell r="L185">
            <v>20683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87</v>
          </cell>
          <cell r="G186">
            <v>12702</v>
          </cell>
          <cell r="L186">
            <v>87033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116</v>
          </cell>
          <cell r="G187">
            <v>16936</v>
          </cell>
          <cell r="L187">
            <v>18447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81</v>
          </cell>
          <cell r="G188">
            <v>11826</v>
          </cell>
          <cell r="L188">
            <v>16211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97</v>
          </cell>
          <cell r="G189">
            <v>14162</v>
          </cell>
          <cell r="L189">
            <v>15652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90</v>
          </cell>
          <cell r="G190">
            <v>13140</v>
          </cell>
          <cell r="L190">
            <v>153166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126282</v>
          </cell>
        </row>
        <row r="191">
          <cell r="E191">
            <v>92</v>
          </cell>
          <cell r="G191">
            <v>13432</v>
          </cell>
          <cell r="L191">
            <v>9503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126282</v>
          </cell>
        </row>
        <row r="192">
          <cell r="E192">
            <v>132</v>
          </cell>
          <cell r="G192">
            <v>19272</v>
          </cell>
          <cell r="L192">
            <v>6708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100000</v>
          </cell>
        </row>
        <row r="193">
          <cell r="E193">
            <v>117</v>
          </cell>
          <cell r="G193">
            <v>17082</v>
          </cell>
          <cell r="L193">
            <v>3913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70000</v>
          </cell>
        </row>
        <row r="194">
          <cell r="E194">
            <v>143</v>
          </cell>
          <cell r="G194">
            <v>20878</v>
          </cell>
          <cell r="L194">
            <v>18447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70000</v>
          </cell>
        </row>
        <row r="195">
          <cell r="E195">
            <v>102</v>
          </cell>
          <cell r="G195">
            <v>14892</v>
          </cell>
          <cell r="L195">
            <v>10621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40000</v>
          </cell>
        </row>
        <row r="196">
          <cell r="E196">
            <v>116</v>
          </cell>
          <cell r="G196">
            <v>16936</v>
          </cell>
          <cell r="L196">
            <v>8944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113</v>
          </cell>
          <cell r="G197">
            <v>16498</v>
          </cell>
          <cell r="L197">
            <v>15093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90</v>
          </cell>
          <cell r="G198">
            <v>13140</v>
          </cell>
          <cell r="L198">
            <v>26273</v>
          </cell>
          <cell r="M198">
            <v>3731</v>
          </cell>
          <cell r="N198">
            <v>8270</v>
          </cell>
          <cell r="O198">
            <v>38080</v>
          </cell>
          <cell r="P198"/>
          <cell r="Q198">
            <v>78144</v>
          </cell>
          <cell r="W198">
            <v>167638</v>
          </cell>
        </row>
        <row r="199">
          <cell r="E199">
            <v>112</v>
          </cell>
          <cell r="G199">
            <v>16352</v>
          </cell>
          <cell r="L199">
            <v>14534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290792</v>
          </cell>
        </row>
        <row r="200">
          <cell r="E200">
            <v>227</v>
          </cell>
          <cell r="G200">
            <v>33142</v>
          </cell>
          <cell r="L200">
            <v>51428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123</v>
          </cell>
          <cell r="G201">
            <v>17958</v>
          </cell>
          <cell r="L201">
            <v>45279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125</v>
          </cell>
          <cell r="G202">
            <v>18250</v>
          </cell>
          <cell r="L202">
            <v>10621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121174</v>
          </cell>
        </row>
        <row r="203">
          <cell r="E203">
            <v>154</v>
          </cell>
          <cell r="G203">
            <v>22484</v>
          </cell>
          <cell r="L203">
            <v>12857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248848</v>
          </cell>
        </row>
        <row r="204">
          <cell r="E204">
            <v>-3108</v>
          </cell>
          <cell r="G204">
            <v>-453768</v>
          </cell>
          <cell r="L204">
            <v>-625521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-746437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-662433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-578429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-494425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-410421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-326417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-242413</v>
          </cell>
        </row>
      </sheetData>
      <sheetData sheetId="31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W176">
            <v>279702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W177">
            <v>419787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W178">
            <v>560051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W179">
            <v>700454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W180">
            <v>840925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W181">
            <v>981261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W182">
            <v>1122591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W183">
            <v>-32686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W184">
            <v>108715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W185">
            <v>250337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W186">
            <v>392167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W187">
            <v>535936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W188">
            <v>0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W189">
            <v>143974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W190">
            <v>288107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-35224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-70278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74893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220160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365397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W199">
            <v>457665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W200">
            <v>9936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W201">
            <v>-80790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W202">
            <v>11513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-154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83850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167854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251858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335862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419866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503870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587874</v>
          </cell>
        </row>
      </sheetData>
      <sheetData sheetId="32">
        <row r="176">
          <cell r="E176">
            <v>1</v>
          </cell>
        </row>
        <row r="200">
          <cell r="E200"/>
          <cell r="G200"/>
          <cell r="L200"/>
          <cell r="M200"/>
          <cell r="N200"/>
          <cell r="O200"/>
          <cell r="P200"/>
          <cell r="Q200"/>
          <cell r="W200"/>
        </row>
        <row r="201">
          <cell r="E201"/>
          <cell r="G201"/>
          <cell r="L201"/>
          <cell r="M201"/>
          <cell r="N201"/>
          <cell r="O201"/>
          <cell r="P201"/>
          <cell r="Q201"/>
          <cell r="W201"/>
        </row>
        <row r="202">
          <cell r="E202"/>
          <cell r="G202"/>
          <cell r="L202"/>
          <cell r="M202"/>
          <cell r="N202"/>
          <cell r="O202"/>
          <cell r="P202"/>
          <cell r="Q202"/>
          <cell r="W202"/>
        </row>
        <row r="203">
          <cell r="E203">
            <v>29</v>
          </cell>
          <cell r="G203">
            <v>4234</v>
          </cell>
          <cell r="L203">
            <v>559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97126</v>
          </cell>
        </row>
        <row r="204">
          <cell r="E204">
            <v>-50</v>
          </cell>
          <cell r="G204">
            <v>-7300</v>
          </cell>
          <cell r="L204">
            <v>-55341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118489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202493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286497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370501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454505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538509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622513</v>
          </cell>
        </row>
      </sheetData>
      <sheetData sheetId="33">
        <row r="176">
          <cell r="E176">
            <v>399</v>
          </cell>
          <cell r="G176">
            <v>58254</v>
          </cell>
          <cell r="L176">
            <v>7267</v>
          </cell>
          <cell r="M176">
            <v>3731</v>
          </cell>
          <cell r="N176">
            <v>7000</v>
          </cell>
          <cell r="O176"/>
          <cell r="P176"/>
          <cell r="Q176"/>
          <cell r="W176">
            <v>0</v>
          </cell>
        </row>
        <row r="177">
          <cell r="E177">
            <v>441</v>
          </cell>
          <cell r="G177">
            <v>64386</v>
          </cell>
          <cell r="L177">
            <v>6149</v>
          </cell>
          <cell r="M177">
            <v>3731</v>
          </cell>
          <cell r="N177">
            <v>7000</v>
          </cell>
          <cell r="O177"/>
          <cell r="P177"/>
          <cell r="Q177"/>
          <cell r="W177">
            <v>0</v>
          </cell>
        </row>
        <row r="178">
          <cell r="E178">
            <v>280</v>
          </cell>
          <cell r="G178">
            <v>40880</v>
          </cell>
          <cell r="L178">
            <v>3354</v>
          </cell>
          <cell r="M178">
            <v>3731</v>
          </cell>
          <cell r="N178">
            <v>7000</v>
          </cell>
          <cell r="O178"/>
          <cell r="P178"/>
          <cell r="Q178"/>
          <cell r="W178">
            <v>0</v>
          </cell>
        </row>
        <row r="179">
          <cell r="E179">
            <v>382</v>
          </cell>
          <cell r="G179">
            <v>55772</v>
          </cell>
          <cell r="L179">
            <v>3354</v>
          </cell>
          <cell r="M179">
            <v>3731</v>
          </cell>
          <cell r="N179">
            <v>7000</v>
          </cell>
          <cell r="O179"/>
          <cell r="P179"/>
          <cell r="Q179"/>
          <cell r="W179">
            <v>0</v>
          </cell>
        </row>
        <row r="180">
          <cell r="E180">
            <v>794</v>
          </cell>
          <cell r="G180">
            <v>115924</v>
          </cell>
          <cell r="L180">
            <v>3354</v>
          </cell>
          <cell r="M180">
            <v>3731</v>
          </cell>
          <cell r="N180">
            <v>7000</v>
          </cell>
          <cell r="O180"/>
          <cell r="P180"/>
          <cell r="Q180"/>
          <cell r="W180">
            <v>130009</v>
          </cell>
        </row>
        <row r="181">
          <cell r="E181">
            <v>826</v>
          </cell>
          <cell r="G181">
            <v>120596</v>
          </cell>
          <cell r="L181">
            <v>5031</v>
          </cell>
          <cell r="M181">
            <v>3731</v>
          </cell>
          <cell r="N181">
            <v>7000</v>
          </cell>
          <cell r="O181"/>
          <cell r="P181"/>
          <cell r="Q181"/>
          <cell r="W181">
            <v>0</v>
          </cell>
        </row>
        <row r="182">
          <cell r="E182">
            <v>778</v>
          </cell>
          <cell r="G182">
            <v>113588</v>
          </cell>
          <cell r="L182">
            <v>3354</v>
          </cell>
          <cell r="M182">
            <v>3731</v>
          </cell>
          <cell r="N182">
            <v>7981</v>
          </cell>
          <cell r="O182"/>
          <cell r="P182"/>
          <cell r="Q182"/>
          <cell r="W182">
            <v>128654</v>
          </cell>
        </row>
        <row r="183">
          <cell r="E183">
            <v>402</v>
          </cell>
          <cell r="G183">
            <v>58692</v>
          </cell>
          <cell r="L183">
            <v>3913</v>
          </cell>
          <cell r="M183">
            <v>3731</v>
          </cell>
          <cell r="N183">
            <v>7997</v>
          </cell>
          <cell r="O183"/>
          <cell r="P183"/>
          <cell r="Q183"/>
          <cell r="W183">
            <v>0</v>
          </cell>
        </row>
        <row r="184">
          <cell r="E184">
            <v>124</v>
          </cell>
          <cell r="G184">
            <v>18104</v>
          </cell>
          <cell r="L184">
            <v>3913</v>
          </cell>
          <cell r="M184">
            <v>3731</v>
          </cell>
          <cell r="N184">
            <v>7990</v>
          </cell>
          <cell r="O184"/>
          <cell r="P184"/>
          <cell r="Q184"/>
          <cell r="W184">
            <v>0</v>
          </cell>
        </row>
        <row r="185">
          <cell r="E185">
            <v>151</v>
          </cell>
          <cell r="G185">
            <v>22046</v>
          </cell>
          <cell r="L185">
            <v>4472</v>
          </cell>
          <cell r="M185">
            <v>3731</v>
          </cell>
          <cell r="N185">
            <v>8019</v>
          </cell>
          <cell r="O185"/>
          <cell r="P185"/>
          <cell r="Q185"/>
          <cell r="W185">
            <v>0</v>
          </cell>
        </row>
        <row r="186">
          <cell r="E186">
            <v>187</v>
          </cell>
          <cell r="G186">
            <v>27302</v>
          </cell>
          <cell r="L186">
            <v>7267</v>
          </cell>
          <cell r="M186">
            <v>3731</v>
          </cell>
          <cell r="N186">
            <v>8039</v>
          </cell>
          <cell r="O186"/>
          <cell r="P186"/>
          <cell r="Q186"/>
          <cell r="W186">
            <v>0</v>
          </cell>
        </row>
        <row r="187">
          <cell r="E187">
            <v>387</v>
          </cell>
          <cell r="G187">
            <v>56502</v>
          </cell>
          <cell r="L187">
            <v>24037</v>
          </cell>
          <cell r="M187">
            <v>3731</v>
          </cell>
          <cell r="N187">
            <v>8047</v>
          </cell>
          <cell r="O187"/>
          <cell r="P187"/>
          <cell r="Q187"/>
          <cell r="W187">
            <v>0</v>
          </cell>
        </row>
        <row r="188">
          <cell r="E188">
            <v>224</v>
          </cell>
          <cell r="G188">
            <v>32704</v>
          </cell>
          <cell r="L188">
            <v>7826</v>
          </cell>
          <cell r="M188">
            <v>3731</v>
          </cell>
          <cell r="N188">
            <v>8077</v>
          </cell>
          <cell r="O188"/>
          <cell r="P188"/>
          <cell r="Q188"/>
          <cell r="W188">
            <v>0</v>
          </cell>
        </row>
        <row r="189">
          <cell r="E189">
            <v>262</v>
          </cell>
          <cell r="G189">
            <v>38252</v>
          </cell>
          <cell r="L189">
            <v>7826</v>
          </cell>
          <cell r="M189">
            <v>3731</v>
          </cell>
          <cell r="N189">
            <v>8090</v>
          </cell>
          <cell r="O189"/>
          <cell r="P189"/>
          <cell r="Q189"/>
          <cell r="W189">
            <v>0</v>
          </cell>
        </row>
        <row r="190">
          <cell r="E190">
            <v>191</v>
          </cell>
          <cell r="G190">
            <v>27886</v>
          </cell>
          <cell r="L190">
            <v>9503</v>
          </cell>
          <cell r="M190">
            <v>3731</v>
          </cell>
          <cell r="N190">
            <v>8101</v>
          </cell>
          <cell r="O190"/>
          <cell r="P190"/>
          <cell r="Q190"/>
          <cell r="W190">
            <v>0</v>
          </cell>
        </row>
        <row r="191">
          <cell r="E191">
            <v>203</v>
          </cell>
          <cell r="G191">
            <v>29638</v>
          </cell>
          <cell r="L191">
            <v>0</v>
          </cell>
          <cell r="M191">
            <v>3731</v>
          </cell>
          <cell r="N191">
            <v>8123</v>
          </cell>
          <cell r="O191"/>
          <cell r="P191"/>
          <cell r="Q191"/>
          <cell r="W191">
            <v>0</v>
          </cell>
        </row>
        <row r="192">
          <cell r="E192">
            <v>193</v>
          </cell>
          <cell r="G192">
            <v>28178</v>
          </cell>
          <cell r="L192">
            <v>9503</v>
          </cell>
          <cell r="M192">
            <v>3731</v>
          </cell>
          <cell r="N192">
            <v>8148</v>
          </cell>
          <cell r="O192"/>
          <cell r="P192"/>
          <cell r="Q192"/>
          <cell r="W192">
            <v>0</v>
          </cell>
        </row>
        <row r="193">
          <cell r="E193">
            <v>209</v>
          </cell>
          <cell r="G193">
            <v>30514</v>
          </cell>
          <cell r="L193">
            <v>0</v>
          </cell>
          <cell r="M193">
            <v>3731</v>
          </cell>
          <cell r="N193">
            <v>8161</v>
          </cell>
          <cell r="O193"/>
          <cell r="P193"/>
          <cell r="Q193"/>
          <cell r="W193">
            <v>0</v>
          </cell>
        </row>
        <row r="194">
          <cell r="E194">
            <v>219</v>
          </cell>
          <cell r="G194">
            <v>31974</v>
          </cell>
          <cell r="L194">
            <v>0</v>
          </cell>
          <cell r="M194">
            <v>3731</v>
          </cell>
          <cell r="N194">
            <v>8186</v>
          </cell>
          <cell r="O194"/>
          <cell r="P194"/>
          <cell r="Q194"/>
          <cell r="W194">
            <v>0</v>
          </cell>
        </row>
        <row r="195">
          <cell r="E195">
            <v>366</v>
          </cell>
          <cell r="G195">
            <v>53436</v>
          </cell>
          <cell r="L195">
            <v>0</v>
          </cell>
          <cell r="M195">
            <v>3731</v>
          </cell>
          <cell r="N195">
            <v>8207</v>
          </cell>
          <cell r="O195"/>
          <cell r="P195"/>
          <cell r="Q195"/>
          <cell r="W195">
            <v>11938</v>
          </cell>
        </row>
        <row r="196">
          <cell r="E196">
            <v>186</v>
          </cell>
          <cell r="G196">
            <v>27156</v>
          </cell>
          <cell r="L196">
            <v>0</v>
          </cell>
          <cell r="M196">
            <v>3731</v>
          </cell>
          <cell r="N196">
            <v>8230</v>
          </cell>
          <cell r="O196"/>
          <cell r="P196"/>
          <cell r="Q196"/>
          <cell r="W196">
            <v>0</v>
          </cell>
        </row>
        <row r="197">
          <cell r="E197">
            <v>210</v>
          </cell>
          <cell r="G197">
            <v>30660</v>
          </cell>
          <cell r="L197">
            <v>559</v>
          </cell>
          <cell r="M197">
            <v>3731</v>
          </cell>
          <cell r="N197">
            <v>8260</v>
          </cell>
          <cell r="O197"/>
          <cell r="P197"/>
          <cell r="Q197"/>
          <cell r="W197">
            <v>0</v>
          </cell>
        </row>
        <row r="198">
          <cell r="E198">
            <v>290</v>
          </cell>
          <cell r="G198">
            <v>42340</v>
          </cell>
          <cell r="L198">
            <v>559</v>
          </cell>
          <cell r="M198">
            <v>3731</v>
          </cell>
          <cell r="N198">
            <v>8270</v>
          </cell>
          <cell r="O198"/>
          <cell r="P198"/>
          <cell r="Q198"/>
          <cell r="W198">
            <v>0</v>
          </cell>
        </row>
        <row r="199">
          <cell r="E199">
            <v>343</v>
          </cell>
          <cell r="G199">
            <v>50078</v>
          </cell>
          <cell r="L199">
            <v>0</v>
          </cell>
          <cell r="M199">
            <v>3828</v>
          </cell>
          <cell r="N199">
            <v>8264</v>
          </cell>
          <cell r="O199"/>
          <cell r="P199"/>
          <cell r="Q199"/>
          <cell r="W199">
            <v>62170</v>
          </cell>
        </row>
        <row r="200">
          <cell r="E200">
            <v>356</v>
          </cell>
          <cell r="G200">
            <v>51976</v>
          </cell>
          <cell r="L200">
            <v>2795</v>
          </cell>
          <cell r="M200">
            <v>3828</v>
          </cell>
          <cell r="N200">
            <v>8267</v>
          </cell>
          <cell r="O200"/>
          <cell r="P200"/>
          <cell r="Q200"/>
          <cell r="W200">
            <v>0</v>
          </cell>
        </row>
        <row r="201">
          <cell r="E201">
            <v>323</v>
          </cell>
          <cell r="G201">
            <v>47158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/>
          <cell r="W201">
            <v>59256</v>
          </cell>
        </row>
        <row r="202">
          <cell r="E202">
            <v>256</v>
          </cell>
          <cell r="G202">
            <v>37376</v>
          </cell>
          <cell r="L202">
            <v>0</v>
          </cell>
          <cell r="M202">
            <v>3828</v>
          </cell>
          <cell r="N202">
            <v>8299</v>
          </cell>
          <cell r="O202"/>
          <cell r="P202"/>
          <cell r="Q202"/>
          <cell r="W202">
            <v>0</v>
          </cell>
        </row>
        <row r="203">
          <cell r="E203">
            <v>300</v>
          </cell>
          <cell r="G203">
            <v>43800</v>
          </cell>
          <cell r="L203">
            <v>559</v>
          </cell>
          <cell r="M203">
            <v>3828</v>
          </cell>
          <cell r="N203">
            <v>8329</v>
          </cell>
          <cell r="O203"/>
          <cell r="P203"/>
          <cell r="Q203"/>
          <cell r="W203">
            <v>56516</v>
          </cell>
        </row>
        <row r="204">
          <cell r="E204">
            <v>-34948</v>
          </cell>
          <cell r="G204">
            <v>-5102408</v>
          </cell>
          <cell r="L204">
            <v>-691483</v>
          </cell>
          <cell r="M204">
            <v>3828</v>
          </cell>
          <cell r="N204"/>
          <cell r="O204"/>
          <cell r="P204"/>
          <cell r="Q204"/>
          <cell r="W204">
            <v>-5733547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/>
          <cell r="W205">
            <v>-5729719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/>
          <cell r="W206">
            <v>-5725891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/>
          <cell r="W207">
            <v>-5722063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/>
          <cell r="W208">
            <v>-5718235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/>
          <cell r="W209">
            <v>-5714407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/>
          <cell r="W210">
            <v>-5710579</v>
          </cell>
        </row>
      </sheetData>
      <sheetData sheetId="34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/>
          <cell r="Q176">
            <v>76410</v>
          </cell>
          <cell r="W176">
            <v>-356509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/>
          <cell r="Q177">
            <v>76410</v>
          </cell>
          <cell r="W177">
            <v>-352778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/>
          <cell r="Q178">
            <v>76410</v>
          </cell>
          <cell r="W178">
            <v>-349047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/>
          <cell r="Q179">
            <v>76410</v>
          </cell>
          <cell r="W179">
            <v>-345316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/>
          <cell r="Q180">
            <v>76410</v>
          </cell>
          <cell r="W180">
            <v>-341585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/>
          <cell r="Q181">
            <v>76410</v>
          </cell>
          <cell r="W181">
            <v>-337854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/>
          <cell r="Q182">
            <v>76410</v>
          </cell>
          <cell r="W182">
            <v>-334123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/>
          <cell r="Q183">
            <v>76410</v>
          </cell>
          <cell r="W183">
            <v>-334123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/>
          <cell r="Q184">
            <v>76410</v>
          </cell>
          <cell r="W184">
            <v>-334123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/>
          <cell r="Q185">
            <v>76410</v>
          </cell>
          <cell r="W185">
            <v>-334123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/>
          <cell r="Q186">
            <v>76410</v>
          </cell>
          <cell r="W186">
            <v>-334123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/>
          <cell r="Q187">
            <v>78144</v>
          </cell>
          <cell r="W187">
            <v>-334123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W188">
            <v>-334123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W189">
            <v>-334123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W190">
            <v>-334123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W191">
            <v>-334123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-334123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-334123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-334123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-334123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-334123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-334123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-334123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W199">
            <v>-241855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W200">
            <v>-241852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W201">
            <v>-149578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W202">
            <v>-57275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35058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119062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203066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287070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371074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455078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539082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623086</v>
          </cell>
        </row>
      </sheetData>
      <sheetData sheetId="35">
        <row r="176">
          <cell r="E176">
            <v>144</v>
          </cell>
          <cell r="G176">
            <v>21024</v>
          </cell>
          <cell r="L176">
            <v>17738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157</v>
          </cell>
          <cell r="G177">
            <v>22922</v>
          </cell>
          <cell r="L177">
            <v>22919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127</v>
          </cell>
          <cell r="G178">
            <v>18542</v>
          </cell>
          <cell r="L178">
            <v>19565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99</v>
          </cell>
          <cell r="G179">
            <v>14454</v>
          </cell>
          <cell r="L179">
            <v>8385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120</v>
          </cell>
          <cell r="G180">
            <v>17520</v>
          </cell>
          <cell r="L180">
            <v>1118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3731</v>
          </cell>
        </row>
        <row r="181">
          <cell r="E181">
            <v>108</v>
          </cell>
          <cell r="G181">
            <v>15768</v>
          </cell>
          <cell r="L181">
            <v>1118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81</v>
          </cell>
          <cell r="G182">
            <v>11826</v>
          </cell>
          <cell r="L182">
            <v>559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95</v>
          </cell>
          <cell r="G183">
            <v>13870</v>
          </cell>
          <cell r="L183">
            <v>3354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105362</v>
          </cell>
        </row>
        <row r="184">
          <cell r="E184">
            <v>95</v>
          </cell>
          <cell r="G184">
            <v>13870</v>
          </cell>
          <cell r="L184">
            <v>5590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106</v>
          </cell>
          <cell r="G185">
            <v>15476</v>
          </cell>
          <cell r="L185">
            <v>12857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-13507</v>
          </cell>
        </row>
        <row r="186">
          <cell r="E186">
            <v>137</v>
          </cell>
          <cell r="G186">
            <v>20002</v>
          </cell>
          <cell r="L186">
            <v>12298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-23027</v>
          </cell>
        </row>
        <row r="187">
          <cell r="E187">
            <v>162</v>
          </cell>
          <cell r="G187">
            <v>23652</v>
          </cell>
          <cell r="L187">
            <v>15652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-23801</v>
          </cell>
        </row>
        <row r="188">
          <cell r="E188">
            <v>101</v>
          </cell>
          <cell r="G188">
            <v>14746</v>
          </cell>
          <cell r="L188">
            <v>9503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-39600</v>
          </cell>
        </row>
        <row r="189">
          <cell r="E189">
            <v>116</v>
          </cell>
          <cell r="G189">
            <v>16936</v>
          </cell>
          <cell r="L189">
            <v>12857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-49842</v>
          </cell>
        </row>
        <row r="190">
          <cell r="E190">
            <v>112</v>
          </cell>
          <cell r="G190">
            <v>16352</v>
          </cell>
          <cell r="L190">
            <v>14534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-48980</v>
          </cell>
        </row>
        <row r="191">
          <cell r="E191">
            <v>119</v>
          </cell>
          <cell r="G191">
            <v>17374</v>
          </cell>
          <cell r="L191">
            <v>15652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-45956</v>
          </cell>
        </row>
        <row r="192">
          <cell r="E192">
            <v>50</v>
          </cell>
          <cell r="G192">
            <v>7300</v>
          </cell>
          <cell r="L192">
            <v>4472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-64161</v>
          </cell>
        </row>
        <row r="193">
          <cell r="E193">
            <v>98</v>
          </cell>
          <cell r="G193">
            <v>14308</v>
          </cell>
          <cell r="L193">
            <v>1677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-78140</v>
          </cell>
        </row>
        <row r="194">
          <cell r="E194">
            <v>83</v>
          </cell>
          <cell r="G194">
            <v>12118</v>
          </cell>
          <cell r="L194">
            <v>1118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-94843</v>
          </cell>
        </row>
        <row r="195">
          <cell r="E195">
            <v>68</v>
          </cell>
          <cell r="G195">
            <v>9928</v>
          </cell>
          <cell r="L195">
            <v>1118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-113715</v>
          </cell>
        </row>
        <row r="196">
          <cell r="E196">
            <v>131</v>
          </cell>
          <cell r="G196">
            <v>19126</v>
          </cell>
          <cell r="L196">
            <v>5031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-119453</v>
          </cell>
        </row>
        <row r="197">
          <cell r="E197">
            <v>173</v>
          </cell>
          <cell r="G197">
            <v>25258</v>
          </cell>
          <cell r="L197">
            <v>6708</v>
          </cell>
          <cell r="M197">
            <v>3731</v>
          </cell>
          <cell r="N197">
            <v>8260</v>
          </cell>
          <cell r="O197">
            <v>19040</v>
          </cell>
          <cell r="P197"/>
          <cell r="Q197">
            <v>78144</v>
          </cell>
          <cell r="W197">
            <v>-98312</v>
          </cell>
        </row>
        <row r="198">
          <cell r="E198">
            <v>148</v>
          </cell>
          <cell r="G198">
            <v>21608</v>
          </cell>
          <cell r="L198">
            <v>8385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-98174</v>
          </cell>
        </row>
        <row r="199">
          <cell r="E199">
            <v>166</v>
          </cell>
          <cell r="G199">
            <v>24236</v>
          </cell>
          <cell r="L199">
            <v>18447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-83223</v>
          </cell>
        </row>
        <row r="200">
          <cell r="E200">
            <v>169</v>
          </cell>
          <cell r="G200">
            <v>24674</v>
          </cell>
          <cell r="L200">
            <v>46397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-39881</v>
          </cell>
        </row>
        <row r="201">
          <cell r="E201">
            <v>170</v>
          </cell>
          <cell r="G201">
            <v>24820</v>
          </cell>
          <cell r="L201">
            <v>9503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86716</v>
          </cell>
        </row>
        <row r="202">
          <cell r="E202">
            <v>118</v>
          </cell>
          <cell r="G202">
            <v>17228</v>
          </cell>
          <cell r="L202">
            <v>9503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-4250</v>
          </cell>
        </row>
        <row r="203">
          <cell r="E203">
            <v>88</v>
          </cell>
          <cell r="G203">
            <v>12848</v>
          </cell>
          <cell r="L203">
            <v>6708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-12361</v>
          </cell>
        </row>
        <row r="204">
          <cell r="E204">
            <v>-12898</v>
          </cell>
          <cell r="G204">
            <v>-1883108</v>
          </cell>
          <cell r="L204">
            <v>-1326507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-3137972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-3053968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-2969964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-2885960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-2801956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-2717952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-2633948</v>
          </cell>
        </row>
      </sheetData>
      <sheetData sheetId="36">
        <row r="176">
          <cell r="E176">
            <v>91</v>
          </cell>
          <cell r="G176">
            <v>13286</v>
          </cell>
          <cell r="L176">
            <v>35217</v>
          </cell>
          <cell r="M176">
            <v>3731</v>
          </cell>
          <cell r="N176">
            <v>7000</v>
          </cell>
          <cell r="O176"/>
          <cell r="P176"/>
          <cell r="Q176">
            <v>76410</v>
          </cell>
          <cell r="W176">
            <v>0</v>
          </cell>
        </row>
        <row r="177">
          <cell r="E177">
            <v>125</v>
          </cell>
          <cell r="G177">
            <v>18250</v>
          </cell>
          <cell r="L177">
            <v>58695</v>
          </cell>
          <cell r="M177">
            <v>3731</v>
          </cell>
          <cell r="N177">
            <v>7000</v>
          </cell>
          <cell r="O177"/>
          <cell r="P177"/>
          <cell r="Q177">
            <v>76410</v>
          </cell>
          <cell r="W177">
            <v>0</v>
          </cell>
        </row>
        <row r="178">
          <cell r="E178">
            <v>97</v>
          </cell>
          <cell r="G178">
            <v>14162</v>
          </cell>
          <cell r="L178">
            <v>44720</v>
          </cell>
          <cell r="M178">
            <v>3731</v>
          </cell>
          <cell r="N178">
            <v>7000</v>
          </cell>
          <cell r="O178"/>
          <cell r="P178"/>
          <cell r="Q178">
            <v>76410</v>
          </cell>
          <cell r="W178">
            <v>0</v>
          </cell>
        </row>
        <row r="179">
          <cell r="E179">
            <v>101</v>
          </cell>
          <cell r="G179">
            <v>14746</v>
          </cell>
          <cell r="L179">
            <v>75209</v>
          </cell>
          <cell r="M179">
            <v>3731</v>
          </cell>
          <cell r="N179">
            <v>7000</v>
          </cell>
          <cell r="O179"/>
          <cell r="P179"/>
          <cell r="Q179">
            <v>76410</v>
          </cell>
          <cell r="W179">
            <v>0</v>
          </cell>
        </row>
        <row r="180">
          <cell r="E180">
            <v>88</v>
          </cell>
          <cell r="G180">
            <v>12848</v>
          </cell>
          <cell r="L180">
            <v>559</v>
          </cell>
          <cell r="M180">
            <v>3731</v>
          </cell>
          <cell r="N180">
            <v>7000</v>
          </cell>
          <cell r="O180"/>
          <cell r="P180"/>
          <cell r="Q180">
            <v>76410</v>
          </cell>
          <cell r="W180">
            <v>0</v>
          </cell>
        </row>
        <row r="181">
          <cell r="E181">
            <v>50</v>
          </cell>
          <cell r="G181">
            <v>7300</v>
          </cell>
          <cell r="L181">
            <v>0</v>
          </cell>
          <cell r="M181">
            <v>3731</v>
          </cell>
          <cell r="N181">
            <v>7000</v>
          </cell>
          <cell r="O181"/>
          <cell r="P181"/>
          <cell r="Q181">
            <v>76410</v>
          </cell>
          <cell r="W181">
            <v>0</v>
          </cell>
        </row>
        <row r="182">
          <cell r="E182">
            <v>80</v>
          </cell>
          <cell r="G182">
            <v>11680</v>
          </cell>
          <cell r="L182">
            <v>8944</v>
          </cell>
          <cell r="M182">
            <v>3731</v>
          </cell>
          <cell r="N182">
            <v>7981</v>
          </cell>
          <cell r="O182"/>
          <cell r="P182"/>
          <cell r="Q182">
            <v>76410</v>
          </cell>
          <cell r="W182">
            <v>0</v>
          </cell>
        </row>
        <row r="183">
          <cell r="E183">
            <v>79</v>
          </cell>
          <cell r="G183">
            <v>11534</v>
          </cell>
          <cell r="L183">
            <v>1677</v>
          </cell>
          <cell r="M183">
            <v>3731</v>
          </cell>
          <cell r="N183">
            <v>7997</v>
          </cell>
          <cell r="O183"/>
          <cell r="P183"/>
          <cell r="Q183">
            <v>76410</v>
          </cell>
          <cell r="W183">
            <v>0</v>
          </cell>
        </row>
        <row r="184">
          <cell r="E184">
            <v>85</v>
          </cell>
          <cell r="G184">
            <v>12410</v>
          </cell>
          <cell r="L184">
            <v>9503</v>
          </cell>
          <cell r="M184">
            <v>3731</v>
          </cell>
          <cell r="N184">
            <v>7990</v>
          </cell>
          <cell r="O184"/>
          <cell r="P184"/>
          <cell r="Q184">
            <v>76410</v>
          </cell>
          <cell r="W184">
            <v>0</v>
          </cell>
        </row>
        <row r="185">
          <cell r="E185">
            <v>85</v>
          </cell>
          <cell r="G185">
            <v>12410</v>
          </cell>
          <cell r="L185">
            <v>36894</v>
          </cell>
          <cell r="M185">
            <v>3731</v>
          </cell>
          <cell r="N185">
            <v>8019</v>
          </cell>
          <cell r="O185"/>
          <cell r="P185"/>
          <cell r="Q185">
            <v>76410</v>
          </cell>
          <cell r="W185">
            <v>0</v>
          </cell>
        </row>
        <row r="186">
          <cell r="E186">
            <v>91</v>
          </cell>
          <cell r="G186">
            <v>13286</v>
          </cell>
          <cell r="L186">
            <v>45279</v>
          </cell>
          <cell r="M186">
            <v>3731</v>
          </cell>
          <cell r="N186">
            <v>8039</v>
          </cell>
          <cell r="O186"/>
          <cell r="P186"/>
          <cell r="Q186">
            <v>76410</v>
          </cell>
          <cell r="W186">
            <v>0</v>
          </cell>
        </row>
        <row r="187">
          <cell r="E187">
            <v>130</v>
          </cell>
          <cell r="G187">
            <v>18980</v>
          </cell>
          <cell r="L187">
            <v>45838</v>
          </cell>
          <cell r="M187">
            <v>3731</v>
          </cell>
          <cell r="N187">
            <v>8047</v>
          </cell>
          <cell r="O187"/>
          <cell r="P187"/>
          <cell r="Q187">
            <v>78144</v>
          </cell>
          <cell r="W187">
            <v>0</v>
          </cell>
        </row>
        <row r="188">
          <cell r="E188">
            <v>97</v>
          </cell>
          <cell r="G188">
            <v>14162</v>
          </cell>
          <cell r="L188">
            <v>50310</v>
          </cell>
          <cell r="M188">
            <v>3731</v>
          </cell>
          <cell r="N188">
            <v>8077</v>
          </cell>
          <cell r="O188"/>
          <cell r="P188"/>
          <cell r="Q188">
            <v>78144</v>
          </cell>
          <cell r="W188">
            <v>0</v>
          </cell>
        </row>
        <row r="189">
          <cell r="E189">
            <v>114</v>
          </cell>
          <cell r="G189">
            <v>16644</v>
          </cell>
          <cell r="L189">
            <v>21801</v>
          </cell>
          <cell r="M189">
            <v>3731</v>
          </cell>
          <cell r="N189">
            <v>8090</v>
          </cell>
          <cell r="O189"/>
          <cell r="P189"/>
          <cell r="Q189">
            <v>78144</v>
          </cell>
          <cell r="W189">
            <v>0</v>
          </cell>
        </row>
        <row r="190">
          <cell r="E190">
            <v>93</v>
          </cell>
          <cell r="G190">
            <v>13578</v>
          </cell>
          <cell r="L190">
            <v>28509</v>
          </cell>
          <cell r="M190">
            <v>3731</v>
          </cell>
          <cell r="N190">
            <v>8101</v>
          </cell>
          <cell r="O190"/>
          <cell r="P190"/>
          <cell r="Q190">
            <v>78144</v>
          </cell>
          <cell r="W190">
            <v>0</v>
          </cell>
        </row>
        <row r="191">
          <cell r="E191">
            <v>8</v>
          </cell>
          <cell r="G191">
            <v>1168</v>
          </cell>
          <cell r="L191">
            <v>25714</v>
          </cell>
          <cell r="M191">
            <v>3731</v>
          </cell>
          <cell r="N191">
            <v>8123</v>
          </cell>
          <cell r="O191"/>
          <cell r="P191"/>
          <cell r="Q191">
            <v>78144</v>
          </cell>
          <cell r="W191">
            <v>0</v>
          </cell>
        </row>
        <row r="192">
          <cell r="E192">
            <v>47</v>
          </cell>
          <cell r="G192">
            <v>6862</v>
          </cell>
          <cell r="L192">
            <v>3354</v>
          </cell>
          <cell r="M192">
            <v>3731</v>
          </cell>
          <cell r="N192">
            <v>8148</v>
          </cell>
          <cell r="O192"/>
          <cell r="P192"/>
          <cell r="Q192">
            <v>78144</v>
          </cell>
          <cell r="W192">
            <v>0</v>
          </cell>
        </row>
        <row r="193">
          <cell r="E193">
            <v>43</v>
          </cell>
          <cell r="G193">
            <v>6278</v>
          </cell>
          <cell r="L193">
            <v>559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0</v>
          </cell>
        </row>
        <row r="194">
          <cell r="E194">
            <v>70</v>
          </cell>
          <cell r="G194">
            <v>10220</v>
          </cell>
          <cell r="L194">
            <v>2236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0</v>
          </cell>
        </row>
        <row r="195">
          <cell r="E195">
            <v>53</v>
          </cell>
          <cell r="G195">
            <v>7738</v>
          </cell>
          <cell r="L195">
            <v>2236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0</v>
          </cell>
        </row>
        <row r="196">
          <cell r="E196">
            <v>70</v>
          </cell>
          <cell r="G196">
            <v>10220</v>
          </cell>
          <cell r="L196">
            <v>12857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0</v>
          </cell>
        </row>
        <row r="197">
          <cell r="E197">
            <v>109</v>
          </cell>
          <cell r="G197">
            <v>15914</v>
          </cell>
          <cell r="L197">
            <v>64285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0</v>
          </cell>
        </row>
        <row r="198">
          <cell r="E198">
            <v>142</v>
          </cell>
          <cell r="G198">
            <v>20732</v>
          </cell>
          <cell r="L198">
            <v>34658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0</v>
          </cell>
        </row>
        <row r="199">
          <cell r="E199">
            <v>160</v>
          </cell>
          <cell r="G199">
            <v>23360</v>
          </cell>
          <cell r="L199">
            <v>39689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155317</v>
          </cell>
        </row>
        <row r="200">
          <cell r="E200">
            <v>152</v>
          </cell>
          <cell r="G200">
            <v>22192</v>
          </cell>
          <cell r="L200">
            <v>45279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143</v>
          </cell>
          <cell r="G201">
            <v>20878</v>
          </cell>
          <cell r="L201">
            <v>36894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79</v>
          </cell>
          <cell r="G202">
            <v>11534</v>
          </cell>
          <cell r="L202">
            <v>24596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63</v>
          </cell>
          <cell r="G203">
            <v>9198</v>
          </cell>
          <cell r="L203">
            <v>27950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0</v>
          </cell>
        </row>
        <row r="204">
          <cell r="E204">
            <v>-9741</v>
          </cell>
          <cell r="G204">
            <v>-1422186</v>
          </cell>
          <cell r="L204">
            <v>-569621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-1907803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-1823799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-1739795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-1655791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-1571787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-1487783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-1403779</v>
          </cell>
        </row>
      </sheetData>
      <sheetData sheetId="37">
        <row r="176">
          <cell r="E176">
            <v>48</v>
          </cell>
          <cell r="G176">
            <v>7008</v>
          </cell>
          <cell r="L176">
            <v>50869</v>
          </cell>
          <cell r="M176">
            <v>3731</v>
          </cell>
          <cell r="N176">
            <v>7000</v>
          </cell>
          <cell r="O176"/>
          <cell r="P176">
            <v>5000</v>
          </cell>
          <cell r="Q176">
            <v>76410</v>
          </cell>
          <cell r="W176">
            <v>106</v>
          </cell>
        </row>
        <row r="177">
          <cell r="E177">
            <v>48</v>
          </cell>
          <cell r="G177">
            <v>7008</v>
          </cell>
          <cell r="L177">
            <v>39130</v>
          </cell>
          <cell r="M177">
            <v>3731</v>
          </cell>
          <cell r="N177">
            <v>7000</v>
          </cell>
          <cell r="O177"/>
          <cell r="P177">
            <v>5000</v>
          </cell>
          <cell r="Q177">
            <v>76410</v>
          </cell>
          <cell r="W177">
            <v>-15</v>
          </cell>
        </row>
        <row r="178">
          <cell r="E178">
            <v>30</v>
          </cell>
          <cell r="G178">
            <v>4380</v>
          </cell>
          <cell r="L178">
            <v>26832</v>
          </cell>
          <cell r="M178">
            <v>3731</v>
          </cell>
          <cell r="N178">
            <v>7000</v>
          </cell>
          <cell r="O178"/>
          <cell r="P178">
            <v>5000</v>
          </cell>
          <cell r="Q178">
            <v>76410</v>
          </cell>
          <cell r="W178">
            <v>-662</v>
          </cell>
        </row>
        <row r="179">
          <cell r="E179">
            <v>27</v>
          </cell>
          <cell r="G179">
            <v>3942</v>
          </cell>
          <cell r="L179">
            <v>31304</v>
          </cell>
          <cell r="M179">
            <v>3731</v>
          </cell>
          <cell r="N179">
            <v>7000</v>
          </cell>
          <cell r="O179"/>
          <cell r="P179">
            <v>5000</v>
          </cell>
          <cell r="Q179">
            <v>76410</v>
          </cell>
          <cell r="W179">
            <v>-275</v>
          </cell>
        </row>
        <row r="180">
          <cell r="E180">
            <v>13</v>
          </cell>
          <cell r="G180">
            <v>1898</v>
          </cell>
          <cell r="L180">
            <v>6149</v>
          </cell>
          <cell r="M180">
            <v>3731</v>
          </cell>
          <cell r="N180">
            <v>7000</v>
          </cell>
          <cell r="O180"/>
          <cell r="P180">
            <v>5000</v>
          </cell>
          <cell r="Q180">
            <v>76410</v>
          </cell>
          <cell r="W180">
            <v>913</v>
          </cell>
        </row>
        <row r="181">
          <cell r="E181">
            <v>76</v>
          </cell>
          <cell r="G181">
            <v>11096</v>
          </cell>
          <cell r="L181">
            <v>2236</v>
          </cell>
          <cell r="M181">
            <v>3731</v>
          </cell>
          <cell r="N181">
            <v>7000</v>
          </cell>
          <cell r="O181"/>
          <cell r="P181">
            <v>5000</v>
          </cell>
          <cell r="Q181">
            <v>76410</v>
          </cell>
          <cell r="W181">
            <v>6386</v>
          </cell>
        </row>
        <row r="182">
          <cell r="E182">
            <v>13</v>
          </cell>
          <cell r="G182">
            <v>1898</v>
          </cell>
          <cell r="L182">
            <v>0</v>
          </cell>
          <cell r="M182">
            <v>3731</v>
          </cell>
          <cell r="N182">
            <v>7981</v>
          </cell>
          <cell r="O182"/>
          <cell r="P182">
            <v>5000</v>
          </cell>
          <cell r="Q182">
            <v>76410</v>
          </cell>
          <cell r="W182">
            <v>406</v>
          </cell>
        </row>
        <row r="183">
          <cell r="E183">
            <v>46</v>
          </cell>
          <cell r="G183">
            <v>6716</v>
          </cell>
          <cell r="L183">
            <v>1118</v>
          </cell>
          <cell r="M183">
            <v>3731</v>
          </cell>
          <cell r="N183">
            <v>7997</v>
          </cell>
          <cell r="O183"/>
          <cell r="P183">
            <v>5000</v>
          </cell>
          <cell r="Q183">
            <v>76410</v>
          </cell>
          <cell r="W183">
            <v>378</v>
          </cell>
        </row>
        <row r="184">
          <cell r="E184">
            <v>22</v>
          </cell>
          <cell r="G184">
            <v>3212</v>
          </cell>
          <cell r="L184">
            <v>17329</v>
          </cell>
          <cell r="M184">
            <v>3731</v>
          </cell>
          <cell r="N184">
            <v>7990</v>
          </cell>
          <cell r="O184"/>
          <cell r="P184">
            <v>5000</v>
          </cell>
          <cell r="Q184">
            <v>76410</v>
          </cell>
          <cell r="W184">
            <v>50</v>
          </cell>
        </row>
        <row r="185">
          <cell r="E185">
            <v>26</v>
          </cell>
          <cell r="G185">
            <v>3796</v>
          </cell>
          <cell r="L185">
            <v>44720</v>
          </cell>
          <cell r="M185">
            <v>3731</v>
          </cell>
          <cell r="N185">
            <v>8019</v>
          </cell>
          <cell r="O185"/>
          <cell r="P185">
            <v>5000</v>
          </cell>
          <cell r="Q185">
            <v>76410</v>
          </cell>
          <cell r="W185">
            <v>1726</v>
          </cell>
        </row>
        <row r="186">
          <cell r="E186">
            <v>33</v>
          </cell>
          <cell r="G186">
            <v>4818</v>
          </cell>
          <cell r="L186">
            <v>34658</v>
          </cell>
          <cell r="M186">
            <v>3731</v>
          </cell>
          <cell r="N186">
            <v>8039</v>
          </cell>
          <cell r="O186"/>
          <cell r="P186">
            <v>5000</v>
          </cell>
          <cell r="Q186">
            <v>76410</v>
          </cell>
          <cell r="W186">
            <v>382</v>
          </cell>
        </row>
        <row r="187">
          <cell r="E187">
            <v>33</v>
          </cell>
          <cell r="G187">
            <v>4818</v>
          </cell>
          <cell r="L187">
            <v>34658</v>
          </cell>
          <cell r="M187">
            <v>3731</v>
          </cell>
          <cell r="N187">
            <v>8047</v>
          </cell>
          <cell r="O187"/>
          <cell r="P187">
            <v>5000</v>
          </cell>
          <cell r="Q187">
            <v>78144</v>
          </cell>
          <cell r="W187">
            <v>780</v>
          </cell>
        </row>
        <row r="188">
          <cell r="E188">
            <v>27</v>
          </cell>
          <cell r="G188">
            <v>3942</v>
          </cell>
          <cell r="L188">
            <v>24596</v>
          </cell>
          <cell r="M188">
            <v>3731</v>
          </cell>
          <cell r="N188">
            <v>8077</v>
          </cell>
          <cell r="O188"/>
          <cell r="P188">
            <v>5893</v>
          </cell>
          <cell r="Q188">
            <v>78144</v>
          </cell>
          <cell r="W188">
            <v>163</v>
          </cell>
        </row>
        <row r="189">
          <cell r="E189">
            <v>64</v>
          </cell>
          <cell r="G189">
            <v>9344</v>
          </cell>
          <cell r="L189">
            <v>44720</v>
          </cell>
          <cell r="M189">
            <v>3731</v>
          </cell>
          <cell r="N189">
            <v>8090</v>
          </cell>
          <cell r="O189"/>
          <cell r="P189">
            <v>10000</v>
          </cell>
          <cell r="Q189">
            <v>78144</v>
          </cell>
          <cell r="W189">
            <v>4192</v>
          </cell>
        </row>
        <row r="190">
          <cell r="E190">
            <v>70</v>
          </cell>
          <cell r="G190">
            <v>10220</v>
          </cell>
          <cell r="L190">
            <v>20683</v>
          </cell>
          <cell r="M190">
            <v>3731</v>
          </cell>
          <cell r="N190">
            <v>8101</v>
          </cell>
          <cell r="O190"/>
          <cell r="P190">
            <v>10000</v>
          </cell>
          <cell r="Q190">
            <v>78144</v>
          </cell>
          <cell r="W190">
            <v>71</v>
          </cell>
        </row>
        <row r="191">
          <cell r="E191">
            <v>83</v>
          </cell>
          <cell r="G191">
            <v>12118</v>
          </cell>
          <cell r="L191">
            <v>31304</v>
          </cell>
          <cell r="M191">
            <v>3731</v>
          </cell>
          <cell r="N191">
            <v>8123</v>
          </cell>
          <cell r="O191"/>
          <cell r="P191">
            <v>10000</v>
          </cell>
          <cell r="Q191">
            <v>78144</v>
          </cell>
          <cell r="W191">
            <v>143491</v>
          </cell>
        </row>
        <row r="192">
          <cell r="E192">
            <v>58</v>
          </cell>
          <cell r="G192">
            <v>8468</v>
          </cell>
          <cell r="L192">
            <v>38012</v>
          </cell>
          <cell r="M192">
            <v>3731</v>
          </cell>
          <cell r="N192">
            <v>8148</v>
          </cell>
          <cell r="O192"/>
          <cell r="P192">
            <v>9000</v>
          </cell>
          <cell r="Q192">
            <v>78144</v>
          </cell>
          <cell r="W192">
            <v>994</v>
          </cell>
        </row>
        <row r="193">
          <cell r="E193">
            <v>66</v>
          </cell>
          <cell r="G193">
            <v>9636</v>
          </cell>
          <cell r="L193">
            <v>3354</v>
          </cell>
          <cell r="M193">
            <v>3731</v>
          </cell>
          <cell r="N193">
            <v>8161</v>
          </cell>
          <cell r="O193"/>
          <cell r="P193"/>
          <cell r="Q193">
            <v>78144</v>
          </cell>
          <cell r="W193">
            <v>20</v>
          </cell>
        </row>
        <row r="194">
          <cell r="E194">
            <v>18</v>
          </cell>
          <cell r="G194">
            <v>2628</v>
          </cell>
          <cell r="L194">
            <v>11180</v>
          </cell>
          <cell r="M194">
            <v>3731</v>
          </cell>
          <cell r="N194">
            <v>8186</v>
          </cell>
          <cell r="O194"/>
          <cell r="P194"/>
          <cell r="Q194">
            <v>78144</v>
          </cell>
          <cell r="W194">
            <v>-111</v>
          </cell>
        </row>
        <row r="195">
          <cell r="E195">
            <v>69</v>
          </cell>
          <cell r="G195">
            <v>10074</v>
          </cell>
          <cell r="L195">
            <v>13416</v>
          </cell>
          <cell r="M195">
            <v>3731</v>
          </cell>
          <cell r="N195">
            <v>8207</v>
          </cell>
          <cell r="O195"/>
          <cell r="P195"/>
          <cell r="Q195">
            <v>78144</v>
          </cell>
          <cell r="W195">
            <v>-39</v>
          </cell>
        </row>
        <row r="196">
          <cell r="E196">
            <v>38</v>
          </cell>
          <cell r="G196">
            <v>5548</v>
          </cell>
          <cell r="L196">
            <v>27950</v>
          </cell>
          <cell r="M196">
            <v>3731</v>
          </cell>
          <cell r="N196">
            <v>8230</v>
          </cell>
          <cell r="O196"/>
          <cell r="P196"/>
          <cell r="Q196">
            <v>78144</v>
          </cell>
          <cell r="W196">
            <v>-436</v>
          </cell>
        </row>
        <row r="197">
          <cell r="E197">
            <v>67</v>
          </cell>
          <cell r="G197">
            <v>9782</v>
          </cell>
          <cell r="L197">
            <v>32422</v>
          </cell>
          <cell r="M197">
            <v>3731</v>
          </cell>
          <cell r="N197">
            <v>8260</v>
          </cell>
          <cell r="O197"/>
          <cell r="P197"/>
          <cell r="Q197">
            <v>78144</v>
          </cell>
          <cell r="W197">
            <v>7903</v>
          </cell>
        </row>
        <row r="198">
          <cell r="E198">
            <v>63</v>
          </cell>
          <cell r="G198">
            <v>9198</v>
          </cell>
          <cell r="L198">
            <v>35776</v>
          </cell>
          <cell r="M198">
            <v>3731</v>
          </cell>
          <cell r="N198">
            <v>8270</v>
          </cell>
          <cell r="O198"/>
          <cell r="P198"/>
          <cell r="Q198">
            <v>78144</v>
          </cell>
          <cell r="W198">
            <v>22</v>
          </cell>
        </row>
        <row r="199">
          <cell r="E199">
            <v>74</v>
          </cell>
          <cell r="G199">
            <v>10804</v>
          </cell>
          <cell r="L199">
            <v>40807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143901</v>
          </cell>
        </row>
        <row r="200">
          <cell r="E200">
            <v>1</v>
          </cell>
          <cell r="G200">
            <v>146</v>
          </cell>
          <cell r="L200">
            <v>31863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181</v>
          </cell>
        </row>
        <row r="201">
          <cell r="E201">
            <v>6</v>
          </cell>
          <cell r="G201">
            <v>876</v>
          </cell>
          <cell r="L201">
            <v>42484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135815</v>
          </cell>
        </row>
        <row r="202">
          <cell r="E202">
            <v>129</v>
          </cell>
          <cell r="G202">
            <v>18834</v>
          </cell>
          <cell r="L202">
            <v>13416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368</v>
          </cell>
        </row>
        <row r="203">
          <cell r="E203">
            <v>32</v>
          </cell>
          <cell r="G203">
            <v>4672</v>
          </cell>
          <cell r="L203">
            <v>39689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62</v>
          </cell>
        </row>
        <row r="204">
          <cell r="E204">
            <v>-168</v>
          </cell>
          <cell r="G204">
            <v>-24528</v>
          </cell>
          <cell r="L204">
            <v>-2991209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-2931671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-2847667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-2763663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-2679659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-2595655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-2511651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-2427647</v>
          </cell>
        </row>
      </sheetData>
      <sheetData sheetId="38">
        <row r="176">
          <cell r="E176">
            <v>299</v>
          </cell>
          <cell r="G176">
            <v>44252</v>
          </cell>
          <cell r="L176">
            <v>79643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318</v>
          </cell>
          <cell r="G177">
            <v>47382</v>
          </cell>
          <cell r="L177">
            <v>46397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212</v>
          </cell>
          <cell r="G178">
            <v>30952</v>
          </cell>
          <cell r="L178">
            <v>34099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288</v>
          </cell>
          <cell r="G179">
            <v>42048</v>
          </cell>
          <cell r="L179">
            <v>6149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-3000</v>
          </cell>
        </row>
        <row r="180">
          <cell r="E180">
            <v>310</v>
          </cell>
          <cell r="G180">
            <v>45260</v>
          </cell>
          <cell r="L180">
            <v>1677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309</v>
          </cell>
          <cell r="G181">
            <v>45114</v>
          </cell>
          <cell r="L181">
            <v>2795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301</v>
          </cell>
          <cell r="G182">
            <v>43946</v>
          </cell>
          <cell r="L182">
            <v>3354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199</v>
          </cell>
          <cell r="G183">
            <v>29054</v>
          </cell>
          <cell r="L183">
            <v>2236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211</v>
          </cell>
          <cell r="G184">
            <v>30806</v>
          </cell>
          <cell r="L184">
            <v>27391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2</v>
          </cell>
        </row>
        <row r="185">
          <cell r="E185">
            <v>285</v>
          </cell>
          <cell r="G185">
            <v>41610</v>
          </cell>
          <cell r="L185">
            <v>48633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284</v>
          </cell>
          <cell r="G186">
            <v>41464</v>
          </cell>
          <cell r="L186">
            <v>43602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331</v>
          </cell>
          <cell r="G187">
            <v>48326</v>
          </cell>
          <cell r="L187">
            <v>40807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216</v>
          </cell>
          <cell r="G188">
            <v>31536</v>
          </cell>
          <cell r="L188">
            <v>24596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353</v>
          </cell>
          <cell r="G189">
            <v>51538</v>
          </cell>
          <cell r="L189">
            <v>35217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337</v>
          </cell>
          <cell r="G190">
            <v>49202</v>
          </cell>
          <cell r="L190">
            <v>28509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0</v>
          </cell>
        </row>
        <row r="191">
          <cell r="E191">
            <v>448</v>
          </cell>
          <cell r="G191">
            <v>65408</v>
          </cell>
          <cell r="L191">
            <v>62049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248</v>
          </cell>
          <cell r="G192">
            <v>36208</v>
          </cell>
          <cell r="L192">
            <v>2236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254</v>
          </cell>
          <cell r="G193">
            <v>37084</v>
          </cell>
          <cell r="L193">
            <v>2795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365</v>
          </cell>
          <cell r="G194">
            <v>53290</v>
          </cell>
          <cell r="L194">
            <v>5031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235</v>
          </cell>
          <cell r="G195">
            <v>34310</v>
          </cell>
          <cell r="L195">
            <v>12298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218</v>
          </cell>
          <cell r="G196">
            <v>31828</v>
          </cell>
          <cell r="L196">
            <v>3354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256</v>
          </cell>
          <cell r="G197">
            <v>37376</v>
          </cell>
          <cell r="L197">
            <v>29627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258</v>
          </cell>
          <cell r="G198">
            <v>37668</v>
          </cell>
          <cell r="L198">
            <v>9503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0</v>
          </cell>
        </row>
        <row r="199">
          <cell r="E199">
            <v>353</v>
          </cell>
          <cell r="G199">
            <v>51538</v>
          </cell>
          <cell r="L199">
            <v>24037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167843</v>
          </cell>
        </row>
        <row r="200">
          <cell r="E200">
            <v>329</v>
          </cell>
          <cell r="G200">
            <v>48034</v>
          </cell>
          <cell r="L200">
            <v>32422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321</v>
          </cell>
          <cell r="G201">
            <v>46866</v>
          </cell>
          <cell r="L201">
            <v>39130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245</v>
          </cell>
          <cell r="G202">
            <v>35770</v>
          </cell>
          <cell r="L202">
            <v>38571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166644</v>
          </cell>
        </row>
        <row r="203">
          <cell r="E203">
            <v>276</v>
          </cell>
          <cell r="G203">
            <v>40296</v>
          </cell>
          <cell r="L203">
            <v>21801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321074</v>
          </cell>
        </row>
        <row r="204">
          <cell r="E204">
            <v>-13813</v>
          </cell>
          <cell r="G204">
            <v>-2016698</v>
          </cell>
          <cell r="L204">
            <v>-2716740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-4328360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-4244356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-4160352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-4076348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-3992344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-3908340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-3824336</v>
          </cell>
        </row>
      </sheetData>
      <sheetData sheetId="39">
        <row r="176">
          <cell r="E176">
            <v>0</v>
          </cell>
          <cell r="G176">
            <v>0</v>
          </cell>
          <cell r="L176">
            <v>0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105492</v>
          </cell>
        </row>
        <row r="177">
          <cell r="E177">
            <v>0</v>
          </cell>
          <cell r="G177">
            <v>0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119238</v>
          </cell>
        </row>
        <row r="178">
          <cell r="E178">
            <v>0</v>
          </cell>
          <cell r="G178">
            <v>0</v>
          </cell>
          <cell r="L178">
            <v>0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132984</v>
          </cell>
        </row>
        <row r="179">
          <cell r="E179">
            <v>0</v>
          </cell>
          <cell r="G179">
            <v>0</v>
          </cell>
          <cell r="L179">
            <v>0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-73395</v>
          </cell>
        </row>
        <row r="180">
          <cell r="E180">
            <v>0</v>
          </cell>
          <cell r="G180">
            <v>0</v>
          </cell>
          <cell r="L180">
            <v>0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-73395</v>
          </cell>
        </row>
        <row r="181">
          <cell r="E181">
            <v>0</v>
          </cell>
          <cell r="G181">
            <v>0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-73395</v>
          </cell>
        </row>
        <row r="182">
          <cell r="E182">
            <v>0</v>
          </cell>
          <cell r="G182">
            <v>0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-72414</v>
          </cell>
        </row>
        <row r="183">
          <cell r="E183">
            <v>0</v>
          </cell>
          <cell r="G183">
            <v>0</v>
          </cell>
          <cell r="L183">
            <v>0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-71417</v>
          </cell>
        </row>
        <row r="184">
          <cell r="E184">
            <v>0</v>
          </cell>
          <cell r="G184">
            <v>0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-70427</v>
          </cell>
        </row>
        <row r="185">
          <cell r="E185">
            <v>0</v>
          </cell>
          <cell r="G185">
            <v>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-69408</v>
          </cell>
        </row>
        <row r="186">
          <cell r="E186">
            <v>0</v>
          </cell>
          <cell r="G186">
            <v>0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-68369</v>
          </cell>
        </row>
        <row r="187">
          <cell r="E187">
            <v>0</v>
          </cell>
          <cell r="G187">
            <v>0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-65588</v>
          </cell>
        </row>
        <row r="188">
          <cell r="E188">
            <v>0</v>
          </cell>
          <cell r="G188">
            <v>0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-62777</v>
          </cell>
        </row>
        <row r="189">
          <cell r="E189">
            <v>0</v>
          </cell>
          <cell r="G189">
            <v>0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-59953</v>
          </cell>
        </row>
        <row r="190">
          <cell r="E190">
            <v>0</v>
          </cell>
          <cell r="G190">
            <v>0</v>
          </cell>
          <cell r="L190">
            <v>0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-57118</v>
          </cell>
        </row>
        <row r="191">
          <cell r="E191">
            <v>0</v>
          </cell>
          <cell r="G191">
            <v>0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-54261</v>
          </cell>
        </row>
        <row r="192">
          <cell r="E192">
            <v>0</v>
          </cell>
          <cell r="G192">
            <v>0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-51379</v>
          </cell>
        </row>
        <row r="193">
          <cell r="E193">
            <v>0</v>
          </cell>
          <cell r="G193">
            <v>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-48484</v>
          </cell>
        </row>
        <row r="194">
          <cell r="E194">
            <v>0</v>
          </cell>
          <cell r="G194">
            <v>0</v>
          </cell>
          <cell r="L194">
            <v>0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-45564</v>
          </cell>
        </row>
        <row r="195">
          <cell r="E195">
            <v>0</v>
          </cell>
          <cell r="G195">
            <v>0</v>
          </cell>
          <cell r="L195">
            <v>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-42623</v>
          </cell>
        </row>
        <row r="196">
          <cell r="E196">
            <v>0</v>
          </cell>
          <cell r="G196">
            <v>0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-39659</v>
          </cell>
        </row>
        <row r="197">
          <cell r="E197">
            <v>0</v>
          </cell>
          <cell r="G197">
            <v>0</v>
          </cell>
          <cell r="L197">
            <v>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-36665</v>
          </cell>
        </row>
        <row r="198">
          <cell r="E198">
            <v>0</v>
          </cell>
          <cell r="G198">
            <v>0</v>
          </cell>
          <cell r="L198">
            <v>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-33661</v>
          </cell>
        </row>
        <row r="199">
          <cell r="E199">
            <v>0</v>
          </cell>
          <cell r="G199">
            <v>0</v>
          </cell>
          <cell r="L199">
            <v>0</v>
          </cell>
          <cell r="M199">
            <v>3828</v>
          </cell>
          <cell r="N199">
            <v>8264</v>
          </cell>
          <cell r="O199">
            <v>0</v>
          </cell>
          <cell r="P199">
            <v>0</v>
          </cell>
          <cell r="Q199">
            <v>80176</v>
          </cell>
          <cell r="W199">
            <v>58607</v>
          </cell>
        </row>
        <row r="200">
          <cell r="E200">
            <v>0</v>
          </cell>
          <cell r="G200">
            <v>0</v>
          </cell>
          <cell r="L200">
            <v>0</v>
          </cell>
          <cell r="M200">
            <v>3828</v>
          </cell>
          <cell r="N200">
            <v>8267</v>
          </cell>
          <cell r="O200">
            <v>0</v>
          </cell>
          <cell r="P200">
            <v>0</v>
          </cell>
          <cell r="Q200">
            <v>80176</v>
          </cell>
          <cell r="W200">
            <v>-23404</v>
          </cell>
        </row>
        <row r="201">
          <cell r="E201">
            <v>0</v>
          </cell>
          <cell r="G201">
            <v>0</v>
          </cell>
          <cell r="L201">
            <v>0</v>
          </cell>
          <cell r="M201">
            <v>3828</v>
          </cell>
          <cell r="N201">
            <v>8270</v>
          </cell>
          <cell r="O201">
            <v>0</v>
          </cell>
          <cell r="P201">
            <v>0</v>
          </cell>
          <cell r="Q201">
            <v>80176</v>
          </cell>
          <cell r="W201">
            <v>-18271</v>
          </cell>
        </row>
        <row r="202">
          <cell r="E202">
            <v>0</v>
          </cell>
          <cell r="G202">
            <v>0</v>
          </cell>
          <cell r="L202">
            <v>0</v>
          </cell>
          <cell r="M202">
            <v>3828</v>
          </cell>
          <cell r="N202">
            <v>8299</v>
          </cell>
          <cell r="O202">
            <v>0</v>
          </cell>
          <cell r="P202">
            <v>0</v>
          </cell>
          <cell r="Q202">
            <v>80176</v>
          </cell>
          <cell r="W202">
            <v>-13109</v>
          </cell>
        </row>
        <row r="203">
          <cell r="E203">
            <v>0</v>
          </cell>
          <cell r="G203">
            <v>0</v>
          </cell>
          <cell r="L203">
            <v>0</v>
          </cell>
          <cell r="M203">
            <v>3828</v>
          </cell>
          <cell r="N203">
            <v>8329</v>
          </cell>
          <cell r="O203">
            <v>0</v>
          </cell>
          <cell r="P203">
            <v>0</v>
          </cell>
          <cell r="Q203">
            <v>80176</v>
          </cell>
          <cell r="W203">
            <v>79224</v>
          </cell>
        </row>
        <row r="204">
          <cell r="E204">
            <v>0</v>
          </cell>
          <cell r="G204">
            <v>0</v>
          </cell>
          <cell r="L204">
            <v>0</v>
          </cell>
          <cell r="M204">
            <v>3828</v>
          </cell>
          <cell r="N204"/>
          <cell r="O204">
            <v>0</v>
          </cell>
          <cell r="P204">
            <v>0</v>
          </cell>
          <cell r="Q204">
            <v>80176</v>
          </cell>
          <cell r="W204">
            <v>163228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>
            <v>0</v>
          </cell>
          <cell r="Q205">
            <v>80176</v>
          </cell>
          <cell r="W205">
            <v>247232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>
            <v>0</v>
          </cell>
          <cell r="Q206">
            <v>80176</v>
          </cell>
          <cell r="W206">
            <v>331236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>
            <v>0</v>
          </cell>
          <cell r="Q207">
            <v>80176</v>
          </cell>
          <cell r="W207">
            <v>415240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>
            <v>0</v>
          </cell>
          <cell r="Q208">
            <v>80176</v>
          </cell>
          <cell r="W208">
            <v>499244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>
            <v>0</v>
          </cell>
          <cell r="Q209">
            <v>80176</v>
          </cell>
          <cell r="W209">
            <v>583248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>
            <v>0</v>
          </cell>
          <cell r="Q210">
            <v>80176</v>
          </cell>
          <cell r="W210">
            <v>667252</v>
          </cell>
        </row>
      </sheetData>
      <sheetData sheetId="40">
        <row r="176">
          <cell r="E176">
            <v>302</v>
          </cell>
          <cell r="G176">
            <v>44092</v>
          </cell>
          <cell r="L176">
            <v>49192</v>
          </cell>
          <cell r="M176">
            <v>3731</v>
          </cell>
          <cell r="N176">
            <v>7000</v>
          </cell>
          <cell r="O176">
            <v>0</v>
          </cell>
          <cell r="P176">
            <v>20000</v>
          </cell>
          <cell r="Q176">
            <v>76410</v>
          </cell>
          <cell r="W176">
            <v>204156</v>
          </cell>
        </row>
        <row r="177">
          <cell r="E177">
            <v>304</v>
          </cell>
          <cell r="G177">
            <v>44384</v>
          </cell>
          <cell r="L177">
            <v>56459</v>
          </cell>
          <cell r="M177">
            <v>3731</v>
          </cell>
          <cell r="N177">
            <v>7000</v>
          </cell>
          <cell r="O177">
            <v>0</v>
          </cell>
          <cell r="P177">
            <v>20000</v>
          </cell>
          <cell r="Q177">
            <v>76410</v>
          </cell>
          <cell r="W177">
            <v>0</v>
          </cell>
        </row>
        <row r="178">
          <cell r="E178">
            <v>237</v>
          </cell>
          <cell r="G178">
            <v>34602</v>
          </cell>
          <cell r="L178">
            <v>40807</v>
          </cell>
          <cell r="M178">
            <v>3731</v>
          </cell>
          <cell r="N178">
            <v>7000</v>
          </cell>
          <cell r="O178">
            <v>0</v>
          </cell>
          <cell r="P178">
            <v>20000</v>
          </cell>
          <cell r="Q178">
            <v>76410</v>
          </cell>
          <cell r="W178">
            <v>182550</v>
          </cell>
        </row>
        <row r="179">
          <cell r="E179">
            <v>288</v>
          </cell>
          <cell r="G179">
            <v>42048</v>
          </cell>
          <cell r="L179">
            <v>28509</v>
          </cell>
          <cell r="M179">
            <v>3731</v>
          </cell>
          <cell r="N179">
            <v>7000</v>
          </cell>
          <cell r="O179">
            <v>0</v>
          </cell>
          <cell r="P179">
            <v>20000</v>
          </cell>
          <cell r="Q179">
            <v>76410</v>
          </cell>
          <cell r="W179">
            <v>0</v>
          </cell>
        </row>
        <row r="180">
          <cell r="E180">
            <v>234</v>
          </cell>
          <cell r="G180">
            <v>34164</v>
          </cell>
          <cell r="L180">
            <v>16770</v>
          </cell>
          <cell r="M180">
            <v>3731</v>
          </cell>
          <cell r="N180">
            <v>7000</v>
          </cell>
          <cell r="O180">
            <v>0</v>
          </cell>
          <cell r="P180">
            <v>20000</v>
          </cell>
          <cell r="Q180">
            <v>76410</v>
          </cell>
          <cell r="W180">
            <v>158075</v>
          </cell>
        </row>
        <row r="181">
          <cell r="E181">
            <v>220</v>
          </cell>
          <cell r="G181">
            <v>32120</v>
          </cell>
          <cell r="L181">
            <v>13416</v>
          </cell>
          <cell r="M181">
            <v>3731</v>
          </cell>
          <cell r="N181">
            <v>7000</v>
          </cell>
          <cell r="O181">
            <v>0</v>
          </cell>
          <cell r="P181">
            <v>20000</v>
          </cell>
          <cell r="Q181">
            <v>76410</v>
          </cell>
          <cell r="W181">
            <v>0</v>
          </cell>
        </row>
        <row r="182">
          <cell r="E182">
            <v>272</v>
          </cell>
          <cell r="G182">
            <v>39712</v>
          </cell>
          <cell r="L182">
            <v>14534</v>
          </cell>
          <cell r="M182">
            <v>3731</v>
          </cell>
          <cell r="N182">
            <v>7981</v>
          </cell>
          <cell r="O182">
            <v>0</v>
          </cell>
          <cell r="P182">
            <v>20000</v>
          </cell>
          <cell r="Q182">
            <v>76410</v>
          </cell>
          <cell r="W182">
            <v>162368</v>
          </cell>
        </row>
        <row r="183">
          <cell r="E183">
            <v>232</v>
          </cell>
          <cell r="G183">
            <v>33872</v>
          </cell>
          <cell r="L183">
            <v>20124</v>
          </cell>
          <cell r="M183">
            <v>3731</v>
          </cell>
          <cell r="N183">
            <v>7997</v>
          </cell>
          <cell r="O183">
            <v>0</v>
          </cell>
          <cell r="P183">
            <v>20000</v>
          </cell>
          <cell r="Q183">
            <v>76410</v>
          </cell>
          <cell r="W183">
            <v>0</v>
          </cell>
        </row>
        <row r="184">
          <cell r="E184">
            <v>267</v>
          </cell>
          <cell r="G184">
            <v>38982</v>
          </cell>
          <cell r="L184">
            <v>33540</v>
          </cell>
          <cell r="M184">
            <v>3731</v>
          </cell>
          <cell r="N184">
            <v>7990</v>
          </cell>
          <cell r="O184">
            <v>0</v>
          </cell>
          <cell r="P184">
            <v>20000</v>
          </cell>
          <cell r="Q184">
            <v>76410</v>
          </cell>
          <cell r="W184">
            <v>180653</v>
          </cell>
        </row>
        <row r="185">
          <cell r="E185">
            <v>250</v>
          </cell>
          <cell r="G185">
            <v>36500</v>
          </cell>
          <cell r="L185">
            <v>40807</v>
          </cell>
          <cell r="M185">
            <v>3731</v>
          </cell>
          <cell r="N185">
            <v>8019</v>
          </cell>
          <cell r="O185">
            <v>0</v>
          </cell>
          <cell r="P185">
            <v>20000</v>
          </cell>
          <cell r="Q185">
            <v>76410</v>
          </cell>
          <cell r="W185">
            <v>0</v>
          </cell>
        </row>
        <row r="186">
          <cell r="E186">
            <v>208</v>
          </cell>
          <cell r="G186">
            <v>30368</v>
          </cell>
          <cell r="L186">
            <v>55341</v>
          </cell>
          <cell r="M186">
            <v>3731</v>
          </cell>
          <cell r="N186">
            <v>8039</v>
          </cell>
          <cell r="O186">
            <v>0</v>
          </cell>
          <cell r="P186">
            <v>20000</v>
          </cell>
          <cell r="Q186">
            <v>76410</v>
          </cell>
          <cell r="W186">
            <v>193889</v>
          </cell>
        </row>
        <row r="187">
          <cell r="E187">
            <v>260</v>
          </cell>
          <cell r="G187">
            <v>37960</v>
          </cell>
          <cell r="L187">
            <v>55341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W187">
            <v>0</v>
          </cell>
        </row>
        <row r="188">
          <cell r="E188">
            <v>285</v>
          </cell>
          <cell r="G188">
            <v>41610</v>
          </cell>
          <cell r="L188">
            <v>27391</v>
          </cell>
          <cell r="M188">
            <v>3731</v>
          </cell>
          <cell r="N188">
            <v>8077</v>
          </cell>
          <cell r="O188">
            <v>0</v>
          </cell>
          <cell r="P188">
            <v>10000</v>
          </cell>
          <cell r="Q188">
            <v>78144</v>
          </cell>
          <cell r="W188">
            <v>168953</v>
          </cell>
        </row>
        <row r="189">
          <cell r="E189">
            <v>291</v>
          </cell>
          <cell r="G189">
            <v>42486</v>
          </cell>
          <cell r="L189">
            <v>30186</v>
          </cell>
          <cell r="M189">
            <v>3731</v>
          </cell>
          <cell r="N189">
            <v>8090</v>
          </cell>
          <cell r="O189">
            <v>0</v>
          </cell>
          <cell r="P189">
            <v>16774</v>
          </cell>
          <cell r="Q189">
            <v>78144</v>
          </cell>
          <cell r="W189">
            <v>0</v>
          </cell>
        </row>
        <row r="190">
          <cell r="E190">
            <v>263</v>
          </cell>
          <cell r="G190">
            <v>38398</v>
          </cell>
          <cell r="L190">
            <v>29627</v>
          </cell>
          <cell r="M190">
            <v>3731</v>
          </cell>
          <cell r="N190">
            <v>8101</v>
          </cell>
          <cell r="O190">
            <v>0</v>
          </cell>
          <cell r="P190">
            <v>20000</v>
          </cell>
          <cell r="Q190">
            <v>78144</v>
          </cell>
          <cell r="W190">
            <v>178001</v>
          </cell>
        </row>
        <row r="191">
          <cell r="E191">
            <v>254</v>
          </cell>
          <cell r="G191">
            <v>37084</v>
          </cell>
          <cell r="L191">
            <v>29068</v>
          </cell>
          <cell r="M191">
            <v>3731</v>
          </cell>
          <cell r="N191">
            <v>8123</v>
          </cell>
          <cell r="O191">
            <v>0</v>
          </cell>
          <cell r="P191">
            <v>20000</v>
          </cell>
          <cell r="Q191">
            <v>78144</v>
          </cell>
          <cell r="W191">
            <v>0</v>
          </cell>
        </row>
        <row r="192">
          <cell r="E192">
            <v>205</v>
          </cell>
          <cell r="G192">
            <v>29930</v>
          </cell>
          <cell r="L192">
            <v>9503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129456</v>
          </cell>
        </row>
        <row r="193">
          <cell r="E193">
            <v>198</v>
          </cell>
          <cell r="G193">
            <v>28908</v>
          </cell>
          <cell r="L193">
            <v>559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241</v>
          </cell>
          <cell r="G194">
            <v>35186</v>
          </cell>
          <cell r="L194">
            <v>2236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127483</v>
          </cell>
        </row>
        <row r="195">
          <cell r="E195">
            <v>181</v>
          </cell>
          <cell r="G195">
            <v>26426</v>
          </cell>
          <cell r="L195">
            <v>6149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126</v>
          </cell>
          <cell r="G196">
            <v>18396</v>
          </cell>
          <cell r="L196">
            <v>1118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109619</v>
          </cell>
        </row>
        <row r="197">
          <cell r="E197">
            <v>166</v>
          </cell>
          <cell r="G197">
            <v>24236</v>
          </cell>
          <cell r="L197">
            <v>44161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225</v>
          </cell>
          <cell r="G198">
            <v>32850</v>
          </cell>
          <cell r="L198">
            <v>35217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158212</v>
          </cell>
        </row>
        <row r="199">
          <cell r="E199">
            <v>313</v>
          </cell>
          <cell r="G199">
            <v>45698</v>
          </cell>
          <cell r="L199">
            <v>36335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332513</v>
          </cell>
        </row>
        <row r="200">
          <cell r="E200">
            <v>331</v>
          </cell>
          <cell r="G200">
            <v>48326</v>
          </cell>
          <cell r="L200">
            <v>35217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175814</v>
          </cell>
        </row>
        <row r="201">
          <cell r="E201">
            <v>300</v>
          </cell>
          <cell r="G201">
            <v>43800</v>
          </cell>
          <cell r="L201">
            <v>38012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309</v>
          </cell>
          <cell r="G202">
            <v>45114</v>
          </cell>
          <cell r="L202">
            <v>35776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173193</v>
          </cell>
        </row>
        <row r="203">
          <cell r="E203">
            <v>336</v>
          </cell>
          <cell r="G203">
            <v>49056</v>
          </cell>
          <cell r="L203">
            <v>23478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338060</v>
          </cell>
        </row>
        <row r="204">
          <cell r="E204">
            <v>-27889</v>
          </cell>
          <cell r="G204">
            <v>-4071794</v>
          </cell>
          <cell r="L204">
            <v>-5003050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-8652780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-8568776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-8484772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-8400768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-8316764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-8232760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-8148756</v>
          </cell>
        </row>
      </sheetData>
      <sheetData sheetId="41">
        <row r="176">
          <cell r="E176">
            <v>113</v>
          </cell>
          <cell r="G176">
            <v>16498</v>
          </cell>
          <cell r="L176">
            <v>40248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93</v>
          </cell>
          <cell r="G177">
            <v>13578</v>
          </cell>
          <cell r="L177">
            <v>44161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0</v>
          </cell>
        </row>
        <row r="178">
          <cell r="E178">
            <v>84</v>
          </cell>
          <cell r="G178">
            <v>12264</v>
          </cell>
          <cell r="L178">
            <v>39689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85</v>
          </cell>
          <cell r="G179">
            <v>12410</v>
          </cell>
          <cell r="L179">
            <v>15093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0</v>
          </cell>
        </row>
        <row r="180">
          <cell r="E180">
            <v>68</v>
          </cell>
          <cell r="G180">
            <v>9928</v>
          </cell>
          <cell r="L180">
            <v>559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0</v>
          </cell>
        </row>
        <row r="181">
          <cell r="E181">
            <v>53</v>
          </cell>
          <cell r="G181">
            <v>7738</v>
          </cell>
          <cell r="L181">
            <v>0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0</v>
          </cell>
        </row>
        <row r="182">
          <cell r="E182">
            <v>88</v>
          </cell>
          <cell r="G182">
            <v>12848</v>
          </cell>
          <cell r="L182">
            <v>0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115</v>
          </cell>
          <cell r="G183">
            <v>16790</v>
          </cell>
          <cell r="L183">
            <v>2236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0</v>
          </cell>
        </row>
        <row r="184">
          <cell r="E184">
            <v>75</v>
          </cell>
          <cell r="G184">
            <v>10950</v>
          </cell>
          <cell r="L184">
            <v>12298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102</v>
          </cell>
          <cell r="G185">
            <v>14892</v>
          </cell>
          <cell r="L185">
            <v>66521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0</v>
          </cell>
        </row>
        <row r="186">
          <cell r="E186">
            <v>79</v>
          </cell>
          <cell r="G186">
            <v>11534</v>
          </cell>
          <cell r="L186">
            <v>39130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140</v>
          </cell>
          <cell r="G187">
            <v>20440</v>
          </cell>
          <cell r="L187">
            <v>40807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0</v>
          </cell>
        </row>
        <row r="188">
          <cell r="E188">
            <v>158</v>
          </cell>
          <cell r="G188">
            <v>23068</v>
          </cell>
          <cell r="L188">
            <v>30186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65</v>
          </cell>
          <cell r="G189">
            <v>9490</v>
          </cell>
          <cell r="L189">
            <v>38012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0</v>
          </cell>
        </row>
        <row r="190">
          <cell r="E190">
            <v>3</v>
          </cell>
          <cell r="G190">
            <v>438</v>
          </cell>
          <cell r="L190">
            <v>35217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470</v>
          </cell>
        </row>
        <row r="191">
          <cell r="E191">
            <v>1</v>
          </cell>
          <cell r="G191">
            <v>146</v>
          </cell>
          <cell r="L191">
            <v>36335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126949</v>
          </cell>
        </row>
        <row r="192">
          <cell r="E192">
            <v>17</v>
          </cell>
          <cell r="G192">
            <v>2482</v>
          </cell>
          <cell r="L192">
            <v>3354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88</v>
          </cell>
          <cell r="G193">
            <v>12848</v>
          </cell>
          <cell r="L193">
            <v>1118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101</v>
          </cell>
          <cell r="G194">
            <v>14746</v>
          </cell>
          <cell r="L194">
            <v>559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0</v>
          </cell>
        </row>
        <row r="195">
          <cell r="E195">
            <v>88</v>
          </cell>
          <cell r="G195">
            <v>12848</v>
          </cell>
          <cell r="L195">
            <v>559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93</v>
          </cell>
          <cell r="G196">
            <v>13578</v>
          </cell>
          <cell r="L196">
            <v>18447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0</v>
          </cell>
        </row>
        <row r="197">
          <cell r="E197">
            <v>160</v>
          </cell>
          <cell r="G197">
            <v>23360</v>
          </cell>
          <cell r="L197">
            <v>39130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119</v>
          </cell>
          <cell r="G198">
            <v>17374</v>
          </cell>
          <cell r="L198">
            <v>35776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-5955</v>
          </cell>
        </row>
        <row r="199">
          <cell r="E199">
            <v>234</v>
          </cell>
          <cell r="G199">
            <v>34164</v>
          </cell>
          <cell r="L199">
            <v>34099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154576</v>
          </cell>
        </row>
        <row r="200">
          <cell r="E200">
            <v>294</v>
          </cell>
          <cell r="G200">
            <v>42924</v>
          </cell>
          <cell r="L200">
            <v>34099</v>
          </cell>
          <cell r="M200">
            <v>3828</v>
          </cell>
          <cell r="N200">
            <v>8267</v>
          </cell>
          <cell r="O200">
            <v>115000</v>
          </cell>
          <cell r="P200"/>
          <cell r="Q200">
            <v>80176</v>
          </cell>
          <cell r="W200">
            <v>0</v>
          </cell>
        </row>
        <row r="201">
          <cell r="E201">
            <v>61</v>
          </cell>
          <cell r="G201">
            <v>8906</v>
          </cell>
          <cell r="L201">
            <v>27391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0</v>
          </cell>
        </row>
        <row r="202">
          <cell r="E202">
            <v>70</v>
          </cell>
          <cell r="G202">
            <v>10220</v>
          </cell>
          <cell r="L202">
            <v>32981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85</v>
          </cell>
          <cell r="G203">
            <v>12410</v>
          </cell>
          <cell r="L203">
            <v>27391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132134</v>
          </cell>
        </row>
        <row r="204">
          <cell r="E204">
            <v>-17786</v>
          </cell>
          <cell r="G204">
            <v>-2596756</v>
          </cell>
          <cell r="L204">
            <v>-87763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-2468381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-2384377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-2300373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-2216369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-2132365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-2048361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/>
          <cell r="P210"/>
          <cell r="Q210">
            <v>80176</v>
          </cell>
          <cell r="W210">
            <v>-1964357</v>
          </cell>
        </row>
      </sheetData>
      <sheetData sheetId="42">
        <row r="176">
          <cell r="E176">
            <v>193</v>
          </cell>
          <cell r="G176">
            <v>28178</v>
          </cell>
          <cell r="L176">
            <v>34658</v>
          </cell>
          <cell r="M176">
            <v>3731</v>
          </cell>
          <cell r="N176">
            <v>7000</v>
          </cell>
          <cell r="O176">
            <v>0</v>
          </cell>
          <cell r="P176">
            <v>0</v>
          </cell>
          <cell r="Q176">
            <v>76410</v>
          </cell>
          <cell r="W176">
            <v>0</v>
          </cell>
        </row>
        <row r="177">
          <cell r="E177">
            <v>86</v>
          </cell>
          <cell r="G177">
            <v>12556</v>
          </cell>
          <cell r="L177">
            <v>0</v>
          </cell>
          <cell r="M177">
            <v>3731</v>
          </cell>
          <cell r="N177">
            <v>7000</v>
          </cell>
          <cell r="O177">
            <v>0</v>
          </cell>
          <cell r="P177">
            <v>0</v>
          </cell>
          <cell r="Q177">
            <v>76410</v>
          </cell>
          <cell r="W177">
            <v>99697</v>
          </cell>
        </row>
        <row r="178">
          <cell r="E178">
            <v>97</v>
          </cell>
          <cell r="G178">
            <v>14162</v>
          </cell>
          <cell r="L178">
            <v>36335</v>
          </cell>
          <cell r="M178">
            <v>3731</v>
          </cell>
          <cell r="N178">
            <v>7000</v>
          </cell>
          <cell r="O178">
            <v>0</v>
          </cell>
          <cell r="P178">
            <v>0</v>
          </cell>
          <cell r="Q178">
            <v>76410</v>
          </cell>
          <cell r="W178">
            <v>0</v>
          </cell>
        </row>
        <row r="179">
          <cell r="E179">
            <v>249</v>
          </cell>
          <cell r="G179">
            <v>36354</v>
          </cell>
          <cell r="L179">
            <v>15652</v>
          </cell>
          <cell r="M179">
            <v>3731</v>
          </cell>
          <cell r="N179">
            <v>7000</v>
          </cell>
          <cell r="O179">
            <v>0</v>
          </cell>
          <cell r="P179">
            <v>0</v>
          </cell>
          <cell r="Q179">
            <v>76410</v>
          </cell>
          <cell r="W179">
            <v>139147</v>
          </cell>
        </row>
        <row r="180">
          <cell r="E180">
            <v>192</v>
          </cell>
          <cell r="G180">
            <v>28032</v>
          </cell>
          <cell r="L180">
            <v>24596</v>
          </cell>
          <cell r="M180">
            <v>3731</v>
          </cell>
          <cell r="N180">
            <v>7000</v>
          </cell>
          <cell r="O180">
            <v>0</v>
          </cell>
          <cell r="P180">
            <v>0</v>
          </cell>
          <cell r="Q180">
            <v>76410</v>
          </cell>
          <cell r="W180">
            <v>-100000</v>
          </cell>
        </row>
        <row r="181">
          <cell r="E181">
            <v>88</v>
          </cell>
          <cell r="G181">
            <v>12848</v>
          </cell>
          <cell r="L181">
            <v>26832</v>
          </cell>
          <cell r="M181">
            <v>3731</v>
          </cell>
          <cell r="N181">
            <v>7000</v>
          </cell>
          <cell r="O181">
            <v>0</v>
          </cell>
          <cell r="P181">
            <v>0</v>
          </cell>
          <cell r="Q181">
            <v>76410</v>
          </cell>
          <cell r="W181">
            <v>26821</v>
          </cell>
        </row>
        <row r="182">
          <cell r="E182">
            <v>59</v>
          </cell>
          <cell r="G182">
            <v>8614</v>
          </cell>
          <cell r="L182">
            <v>64285</v>
          </cell>
          <cell r="M182">
            <v>3731</v>
          </cell>
          <cell r="N182">
            <v>7981</v>
          </cell>
          <cell r="O182">
            <v>0</v>
          </cell>
          <cell r="P182">
            <v>0</v>
          </cell>
          <cell r="Q182">
            <v>76410</v>
          </cell>
          <cell r="W182">
            <v>0</v>
          </cell>
        </row>
        <row r="183">
          <cell r="E183">
            <v>117</v>
          </cell>
          <cell r="G183">
            <v>17082</v>
          </cell>
          <cell r="L183">
            <v>40807</v>
          </cell>
          <cell r="M183">
            <v>3731</v>
          </cell>
          <cell r="N183">
            <v>7997</v>
          </cell>
          <cell r="O183">
            <v>0</v>
          </cell>
          <cell r="P183">
            <v>0</v>
          </cell>
          <cell r="Q183">
            <v>76410</v>
          </cell>
          <cell r="W183">
            <v>146027</v>
          </cell>
        </row>
        <row r="184">
          <cell r="E184">
            <v>59</v>
          </cell>
          <cell r="G184">
            <v>8614</v>
          </cell>
          <cell r="L184">
            <v>0</v>
          </cell>
          <cell r="M184">
            <v>3731</v>
          </cell>
          <cell r="N184">
            <v>7990</v>
          </cell>
          <cell r="O184">
            <v>0</v>
          </cell>
          <cell r="P184">
            <v>0</v>
          </cell>
          <cell r="Q184">
            <v>76410</v>
          </cell>
          <cell r="W184">
            <v>0</v>
          </cell>
        </row>
        <row r="185">
          <cell r="E185">
            <v>70</v>
          </cell>
          <cell r="G185">
            <v>10220</v>
          </cell>
          <cell r="L185">
            <v>0</v>
          </cell>
          <cell r="M185">
            <v>3731</v>
          </cell>
          <cell r="N185">
            <v>8019</v>
          </cell>
          <cell r="O185">
            <v>0</v>
          </cell>
          <cell r="P185">
            <v>0</v>
          </cell>
          <cell r="Q185">
            <v>76410</v>
          </cell>
          <cell r="W185">
            <v>98380</v>
          </cell>
        </row>
        <row r="186">
          <cell r="E186">
            <v>59</v>
          </cell>
          <cell r="G186">
            <v>8614</v>
          </cell>
          <cell r="L186">
            <v>0</v>
          </cell>
          <cell r="M186">
            <v>3731</v>
          </cell>
          <cell r="N186">
            <v>8039</v>
          </cell>
          <cell r="O186">
            <v>0</v>
          </cell>
          <cell r="P186">
            <v>0</v>
          </cell>
          <cell r="Q186">
            <v>76410</v>
          </cell>
          <cell r="W186">
            <v>0</v>
          </cell>
        </row>
        <row r="187">
          <cell r="E187">
            <v>74</v>
          </cell>
          <cell r="G187">
            <v>10804</v>
          </cell>
          <cell r="L187">
            <v>0</v>
          </cell>
          <cell r="M187">
            <v>3731</v>
          </cell>
          <cell r="N187">
            <v>8047</v>
          </cell>
          <cell r="O187">
            <v>0</v>
          </cell>
          <cell r="P187">
            <v>0</v>
          </cell>
          <cell r="Q187">
            <v>78144</v>
          </cell>
          <cell r="W187">
            <v>100726</v>
          </cell>
        </row>
        <row r="188">
          <cell r="E188">
            <v>53</v>
          </cell>
          <cell r="G188">
            <v>7738</v>
          </cell>
          <cell r="L188">
            <v>0</v>
          </cell>
          <cell r="M188">
            <v>3731</v>
          </cell>
          <cell r="N188">
            <v>8077</v>
          </cell>
          <cell r="O188">
            <v>0</v>
          </cell>
          <cell r="P188">
            <v>0</v>
          </cell>
          <cell r="Q188">
            <v>78144</v>
          </cell>
          <cell r="W188">
            <v>0</v>
          </cell>
        </row>
        <row r="189">
          <cell r="E189">
            <v>64</v>
          </cell>
          <cell r="G189">
            <v>9344</v>
          </cell>
          <cell r="L189">
            <v>0</v>
          </cell>
          <cell r="M189">
            <v>3731</v>
          </cell>
          <cell r="N189">
            <v>8090</v>
          </cell>
          <cell r="O189">
            <v>0</v>
          </cell>
          <cell r="P189">
            <v>0</v>
          </cell>
          <cell r="Q189">
            <v>78144</v>
          </cell>
          <cell r="W189">
            <v>153318</v>
          </cell>
        </row>
        <row r="190">
          <cell r="E190">
            <v>77</v>
          </cell>
          <cell r="G190">
            <v>11242</v>
          </cell>
          <cell r="L190">
            <v>1118</v>
          </cell>
          <cell r="M190">
            <v>3731</v>
          </cell>
          <cell r="N190">
            <v>8101</v>
          </cell>
          <cell r="O190">
            <v>0</v>
          </cell>
          <cell r="P190">
            <v>0</v>
          </cell>
          <cell r="Q190">
            <v>78144</v>
          </cell>
          <cell r="W190">
            <v>309811</v>
          </cell>
        </row>
        <row r="191">
          <cell r="E191">
            <v>43</v>
          </cell>
          <cell r="G191">
            <v>6278</v>
          </cell>
          <cell r="L191">
            <v>0</v>
          </cell>
          <cell r="M191">
            <v>3731</v>
          </cell>
          <cell r="N191">
            <v>8123</v>
          </cell>
          <cell r="O191">
            <v>0</v>
          </cell>
          <cell r="P191">
            <v>0</v>
          </cell>
          <cell r="Q191">
            <v>78144</v>
          </cell>
          <cell r="W191">
            <v>0</v>
          </cell>
        </row>
        <row r="192">
          <cell r="E192">
            <v>32</v>
          </cell>
          <cell r="G192">
            <v>4672</v>
          </cell>
          <cell r="L192">
            <v>0</v>
          </cell>
          <cell r="M192">
            <v>3731</v>
          </cell>
          <cell r="N192">
            <v>8148</v>
          </cell>
          <cell r="O192">
            <v>0</v>
          </cell>
          <cell r="P192">
            <v>0</v>
          </cell>
          <cell r="Q192">
            <v>78144</v>
          </cell>
          <cell r="W192">
            <v>0</v>
          </cell>
        </row>
        <row r="193">
          <cell r="E193">
            <v>35</v>
          </cell>
          <cell r="G193">
            <v>5110</v>
          </cell>
          <cell r="L193">
            <v>0</v>
          </cell>
          <cell r="M193">
            <v>3731</v>
          </cell>
          <cell r="N193">
            <v>8161</v>
          </cell>
          <cell r="O193">
            <v>0</v>
          </cell>
          <cell r="P193">
            <v>0</v>
          </cell>
          <cell r="Q193">
            <v>78144</v>
          </cell>
          <cell r="W193">
            <v>0</v>
          </cell>
        </row>
        <row r="194">
          <cell r="E194">
            <v>53</v>
          </cell>
          <cell r="G194">
            <v>7738</v>
          </cell>
          <cell r="L194">
            <v>3913</v>
          </cell>
          <cell r="M194">
            <v>3731</v>
          </cell>
          <cell r="N194">
            <v>8186</v>
          </cell>
          <cell r="O194">
            <v>0</v>
          </cell>
          <cell r="P194">
            <v>0</v>
          </cell>
          <cell r="Q194">
            <v>78144</v>
          </cell>
          <cell r="W194">
            <v>101712</v>
          </cell>
        </row>
        <row r="195">
          <cell r="E195">
            <v>106</v>
          </cell>
          <cell r="G195">
            <v>15476</v>
          </cell>
          <cell r="L195">
            <v>27950</v>
          </cell>
          <cell r="M195">
            <v>3731</v>
          </cell>
          <cell r="N195">
            <v>8207</v>
          </cell>
          <cell r="O195">
            <v>0</v>
          </cell>
          <cell r="P195">
            <v>0</v>
          </cell>
          <cell r="Q195">
            <v>78144</v>
          </cell>
          <cell r="W195">
            <v>0</v>
          </cell>
        </row>
        <row r="196">
          <cell r="E196">
            <v>46</v>
          </cell>
          <cell r="G196">
            <v>6716</v>
          </cell>
          <cell r="L196">
            <v>0</v>
          </cell>
          <cell r="M196">
            <v>3731</v>
          </cell>
          <cell r="N196">
            <v>8230</v>
          </cell>
          <cell r="O196">
            <v>0</v>
          </cell>
          <cell r="P196">
            <v>0</v>
          </cell>
          <cell r="Q196">
            <v>78144</v>
          </cell>
          <cell r="W196">
            <v>96821</v>
          </cell>
        </row>
        <row r="197">
          <cell r="E197">
            <v>55</v>
          </cell>
          <cell r="G197">
            <v>8030</v>
          </cell>
          <cell r="L197">
            <v>7826</v>
          </cell>
          <cell r="M197">
            <v>3731</v>
          </cell>
          <cell r="N197">
            <v>8260</v>
          </cell>
          <cell r="O197">
            <v>0</v>
          </cell>
          <cell r="P197">
            <v>0</v>
          </cell>
          <cell r="Q197">
            <v>78144</v>
          </cell>
          <cell r="W197">
            <v>0</v>
          </cell>
        </row>
        <row r="198">
          <cell r="E198">
            <v>218</v>
          </cell>
          <cell r="G198">
            <v>31828</v>
          </cell>
          <cell r="L198">
            <v>39130</v>
          </cell>
          <cell r="M198">
            <v>3731</v>
          </cell>
          <cell r="N198">
            <v>8270</v>
          </cell>
          <cell r="O198">
            <v>0</v>
          </cell>
          <cell r="P198">
            <v>0</v>
          </cell>
          <cell r="Q198">
            <v>78144</v>
          </cell>
          <cell r="W198">
            <v>161103</v>
          </cell>
        </row>
        <row r="199">
          <cell r="E199">
            <v>216</v>
          </cell>
          <cell r="G199">
            <v>31536</v>
          </cell>
          <cell r="L199">
            <v>15652</v>
          </cell>
          <cell r="M199">
            <v>3828</v>
          </cell>
          <cell r="N199">
            <v>8264</v>
          </cell>
          <cell r="O199"/>
          <cell r="P199"/>
          <cell r="Q199">
            <v>80176</v>
          </cell>
          <cell r="W199">
            <v>300559</v>
          </cell>
        </row>
        <row r="200">
          <cell r="E200">
            <v>196</v>
          </cell>
          <cell r="G200">
            <v>28616</v>
          </cell>
          <cell r="L200">
            <v>16770</v>
          </cell>
          <cell r="M200">
            <v>3828</v>
          </cell>
          <cell r="N200">
            <v>8267</v>
          </cell>
          <cell r="O200"/>
          <cell r="P200"/>
          <cell r="Q200">
            <v>80176</v>
          </cell>
          <cell r="W200">
            <v>0</v>
          </cell>
        </row>
        <row r="201">
          <cell r="E201">
            <v>23</v>
          </cell>
          <cell r="G201">
            <v>3358</v>
          </cell>
          <cell r="L201">
            <v>0</v>
          </cell>
          <cell r="M201">
            <v>3828</v>
          </cell>
          <cell r="N201">
            <v>8270</v>
          </cell>
          <cell r="O201"/>
          <cell r="P201"/>
          <cell r="Q201">
            <v>80176</v>
          </cell>
          <cell r="W201">
            <v>95632</v>
          </cell>
        </row>
        <row r="202">
          <cell r="E202">
            <v>54</v>
          </cell>
          <cell r="G202">
            <v>7884</v>
          </cell>
          <cell r="L202">
            <v>1677</v>
          </cell>
          <cell r="M202">
            <v>3828</v>
          </cell>
          <cell r="N202">
            <v>8299</v>
          </cell>
          <cell r="O202"/>
          <cell r="P202"/>
          <cell r="Q202">
            <v>80176</v>
          </cell>
          <cell r="W202">
            <v>0</v>
          </cell>
        </row>
        <row r="203">
          <cell r="E203">
            <v>37</v>
          </cell>
          <cell r="G203">
            <v>5402</v>
          </cell>
          <cell r="L203">
            <v>0</v>
          </cell>
          <cell r="M203">
            <v>3828</v>
          </cell>
          <cell r="N203">
            <v>8329</v>
          </cell>
          <cell r="O203"/>
          <cell r="P203"/>
          <cell r="Q203">
            <v>80176</v>
          </cell>
          <cell r="W203">
            <v>97735</v>
          </cell>
        </row>
        <row r="204">
          <cell r="E204">
            <v>-19531</v>
          </cell>
          <cell r="G204">
            <v>-2851526</v>
          </cell>
          <cell r="L204">
            <v>-322543</v>
          </cell>
          <cell r="M204">
            <v>3828</v>
          </cell>
          <cell r="N204"/>
          <cell r="O204"/>
          <cell r="P204"/>
          <cell r="Q204">
            <v>80176</v>
          </cell>
          <cell r="W204">
            <v>-2992330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/>
          <cell r="P205"/>
          <cell r="Q205">
            <v>80176</v>
          </cell>
          <cell r="W205">
            <v>-2908326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/>
          <cell r="P206"/>
          <cell r="Q206">
            <v>80176</v>
          </cell>
          <cell r="W206">
            <v>-2824322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/>
          <cell r="P207"/>
          <cell r="Q207">
            <v>80176</v>
          </cell>
          <cell r="W207">
            <v>-2740318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/>
          <cell r="P208"/>
          <cell r="Q208">
            <v>80176</v>
          </cell>
          <cell r="W208">
            <v>-2656314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/>
          <cell r="P209"/>
          <cell r="Q209">
            <v>80176</v>
          </cell>
          <cell r="W209">
            <v>-2572310</v>
          </cell>
        </row>
      </sheetData>
      <sheetData sheetId="43">
        <row r="176">
          <cell r="E176">
            <v>331</v>
          </cell>
          <cell r="G176">
            <v>48326</v>
          </cell>
          <cell r="L176">
            <v>36894</v>
          </cell>
          <cell r="M176">
            <v>3731</v>
          </cell>
          <cell r="N176">
            <v>7000</v>
          </cell>
          <cell r="O176">
            <v>0</v>
          </cell>
          <cell r="P176">
            <v>10000</v>
          </cell>
          <cell r="Q176">
            <v>76410</v>
          </cell>
          <cell r="W176">
            <v>182361</v>
          </cell>
        </row>
        <row r="177">
          <cell r="E177">
            <v>364</v>
          </cell>
          <cell r="G177">
            <v>53144</v>
          </cell>
          <cell r="L177">
            <v>65962</v>
          </cell>
          <cell r="M177">
            <v>3731</v>
          </cell>
          <cell r="N177">
            <v>7000</v>
          </cell>
          <cell r="O177">
            <v>0</v>
          </cell>
          <cell r="P177">
            <v>10000</v>
          </cell>
          <cell r="Q177">
            <v>76410</v>
          </cell>
          <cell r="W177">
            <v>0</v>
          </cell>
        </row>
        <row r="178">
          <cell r="E178">
            <v>272</v>
          </cell>
          <cell r="G178">
            <v>39712</v>
          </cell>
          <cell r="L178">
            <v>45279</v>
          </cell>
          <cell r="M178">
            <v>3731</v>
          </cell>
          <cell r="N178">
            <v>7000</v>
          </cell>
          <cell r="O178">
            <v>0</v>
          </cell>
          <cell r="P178">
            <v>10000</v>
          </cell>
          <cell r="Q178">
            <v>76410</v>
          </cell>
          <cell r="W178">
            <v>45279</v>
          </cell>
        </row>
        <row r="179">
          <cell r="E179">
            <v>235</v>
          </cell>
          <cell r="G179">
            <v>34310</v>
          </cell>
          <cell r="L179">
            <v>17329</v>
          </cell>
          <cell r="M179">
            <v>3731</v>
          </cell>
          <cell r="N179">
            <v>7000</v>
          </cell>
          <cell r="O179">
            <v>0</v>
          </cell>
          <cell r="P179">
            <v>10000</v>
          </cell>
          <cell r="Q179">
            <v>76410</v>
          </cell>
          <cell r="W179">
            <v>0</v>
          </cell>
        </row>
        <row r="180">
          <cell r="E180">
            <v>214</v>
          </cell>
          <cell r="G180">
            <v>31244</v>
          </cell>
          <cell r="L180">
            <v>2236</v>
          </cell>
          <cell r="M180">
            <v>3731</v>
          </cell>
          <cell r="N180">
            <v>7000</v>
          </cell>
          <cell r="O180">
            <v>0</v>
          </cell>
          <cell r="P180">
            <v>10000</v>
          </cell>
          <cell r="Q180">
            <v>76410</v>
          </cell>
          <cell r="W180">
            <v>0</v>
          </cell>
        </row>
        <row r="181">
          <cell r="E181">
            <v>168</v>
          </cell>
          <cell r="G181">
            <v>24528</v>
          </cell>
          <cell r="L181">
            <v>1677</v>
          </cell>
          <cell r="M181">
            <v>3731</v>
          </cell>
          <cell r="N181">
            <v>7000</v>
          </cell>
          <cell r="O181">
            <v>0</v>
          </cell>
          <cell r="P181">
            <v>10000</v>
          </cell>
          <cell r="Q181">
            <v>76410</v>
          </cell>
          <cell r="W181">
            <v>0</v>
          </cell>
        </row>
        <row r="182">
          <cell r="E182">
            <v>218</v>
          </cell>
          <cell r="G182">
            <v>31828</v>
          </cell>
          <cell r="L182">
            <v>1677</v>
          </cell>
          <cell r="M182">
            <v>3731</v>
          </cell>
          <cell r="N182">
            <v>7981</v>
          </cell>
          <cell r="O182">
            <v>0</v>
          </cell>
          <cell r="P182">
            <v>10000</v>
          </cell>
          <cell r="Q182">
            <v>76410</v>
          </cell>
          <cell r="W182">
            <v>1677</v>
          </cell>
        </row>
        <row r="183">
          <cell r="E183">
            <v>264</v>
          </cell>
          <cell r="G183">
            <v>38544</v>
          </cell>
          <cell r="L183">
            <v>8944</v>
          </cell>
          <cell r="M183">
            <v>3731</v>
          </cell>
          <cell r="N183">
            <v>7997</v>
          </cell>
          <cell r="O183">
            <v>0</v>
          </cell>
          <cell r="P183">
            <v>10000</v>
          </cell>
          <cell r="Q183">
            <v>76410</v>
          </cell>
          <cell r="W183">
            <v>-100</v>
          </cell>
        </row>
        <row r="184">
          <cell r="E184">
            <v>236</v>
          </cell>
          <cell r="G184">
            <v>34456</v>
          </cell>
          <cell r="L184">
            <v>29627</v>
          </cell>
          <cell r="M184">
            <v>3731</v>
          </cell>
          <cell r="N184">
            <v>7990</v>
          </cell>
          <cell r="O184">
            <v>0</v>
          </cell>
          <cell r="P184">
            <v>10000</v>
          </cell>
          <cell r="Q184">
            <v>76410</v>
          </cell>
          <cell r="W184">
            <v>0</v>
          </cell>
        </row>
        <row r="185">
          <cell r="E185">
            <v>211</v>
          </cell>
          <cell r="G185">
            <v>30806</v>
          </cell>
          <cell r="L185">
            <v>39130</v>
          </cell>
          <cell r="M185">
            <v>3731</v>
          </cell>
          <cell r="N185">
            <v>8019</v>
          </cell>
          <cell r="O185">
            <v>0</v>
          </cell>
          <cell r="P185">
            <v>10000</v>
          </cell>
          <cell r="Q185">
            <v>76410</v>
          </cell>
          <cell r="W185">
            <v>0</v>
          </cell>
        </row>
        <row r="186">
          <cell r="E186">
            <v>372</v>
          </cell>
          <cell r="G186">
            <v>54312</v>
          </cell>
          <cell r="L186">
            <v>62608</v>
          </cell>
          <cell r="M186">
            <v>3731</v>
          </cell>
          <cell r="N186">
            <v>8039</v>
          </cell>
          <cell r="O186">
            <v>0</v>
          </cell>
          <cell r="P186">
            <v>10000</v>
          </cell>
          <cell r="Q186">
            <v>76410</v>
          </cell>
          <cell r="W186">
            <v>0</v>
          </cell>
        </row>
        <row r="187">
          <cell r="E187">
            <v>440</v>
          </cell>
          <cell r="G187">
            <v>64240</v>
          </cell>
          <cell r="L187">
            <v>73731</v>
          </cell>
          <cell r="M187">
            <v>3731</v>
          </cell>
          <cell r="N187">
            <v>8047</v>
          </cell>
          <cell r="O187">
            <v>0</v>
          </cell>
          <cell r="P187">
            <v>10000</v>
          </cell>
          <cell r="Q187">
            <v>78144</v>
          </cell>
          <cell r="W187">
            <v>0</v>
          </cell>
        </row>
        <row r="188">
          <cell r="E188">
            <v>299</v>
          </cell>
          <cell r="G188">
            <v>43654</v>
          </cell>
          <cell r="L188">
            <v>20683</v>
          </cell>
          <cell r="M188">
            <v>3731</v>
          </cell>
          <cell r="N188">
            <v>8077</v>
          </cell>
          <cell r="O188">
            <v>0</v>
          </cell>
          <cell r="P188"/>
          <cell r="Q188">
            <v>78144</v>
          </cell>
          <cell r="W188">
            <v>0</v>
          </cell>
        </row>
        <row r="189">
          <cell r="E189">
            <v>308</v>
          </cell>
          <cell r="G189">
            <v>44968</v>
          </cell>
          <cell r="L189">
            <v>62049</v>
          </cell>
          <cell r="M189">
            <v>3731</v>
          </cell>
          <cell r="N189">
            <v>8090</v>
          </cell>
          <cell r="O189">
            <v>0</v>
          </cell>
          <cell r="P189"/>
          <cell r="Q189">
            <v>78144</v>
          </cell>
          <cell r="W189">
            <v>0</v>
          </cell>
        </row>
        <row r="190">
          <cell r="E190">
            <v>212</v>
          </cell>
          <cell r="G190">
            <v>30952</v>
          </cell>
          <cell r="L190">
            <v>51987</v>
          </cell>
          <cell r="M190">
            <v>3731</v>
          </cell>
          <cell r="N190">
            <v>8101</v>
          </cell>
          <cell r="O190">
            <v>0</v>
          </cell>
          <cell r="P190"/>
          <cell r="Q190">
            <v>78144</v>
          </cell>
          <cell r="W190">
            <v>0</v>
          </cell>
        </row>
        <row r="191">
          <cell r="E191">
            <v>238</v>
          </cell>
          <cell r="G191">
            <v>34748</v>
          </cell>
          <cell r="L191">
            <v>40248</v>
          </cell>
          <cell r="M191">
            <v>3731</v>
          </cell>
          <cell r="N191">
            <v>8123</v>
          </cell>
          <cell r="O191">
            <v>0</v>
          </cell>
          <cell r="P191"/>
          <cell r="Q191">
            <v>78144</v>
          </cell>
          <cell r="W191">
            <v>0</v>
          </cell>
        </row>
        <row r="192">
          <cell r="E192">
            <v>147</v>
          </cell>
          <cell r="G192">
            <v>21462</v>
          </cell>
          <cell r="L192">
            <v>10621</v>
          </cell>
          <cell r="M192">
            <v>3731</v>
          </cell>
          <cell r="N192">
            <v>8148</v>
          </cell>
          <cell r="O192">
            <v>0</v>
          </cell>
          <cell r="P192"/>
          <cell r="Q192">
            <v>78144</v>
          </cell>
          <cell r="W192">
            <v>0</v>
          </cell>
        </row>
        <row r="193">
          <cell r="E193">
            <v>185</v>
          </cell>
          <cell r="G193">
            <v>27010</v>
          </cell>
          <cell r="L193">
            <v>11180</v>
          </cell>
          <cell r="M193">
            <v>3731</v>
          </cell>
          <cell r="N193">
            <v>8161</v>
          </cell>
          <cell r="O193">
            <v>0</v>
          </cell>
          <cell r="P193"/>
          <cell r="Q193">
            <v>78144</v>
          </cell>
          <cell r="W193">
            <v>0</v>
          </cell>
        </row>
        <row r="194">
          <cell r="E194">
            <v>158</v>
          </cell>
          <cell r="G194">
            <v>23068</v>
          </cell>
          <cell r="L194">
            <v>13416</v>
          </cell>
          <cell r="M194">
            <v>3731</v>
          </cell>
          <cell r="N194">
            <v>8186</v>
          </cell>
          <cell r="O194">
            <v>0</v>
          </cell>
          <cell r="P194"/>
          <cell r="Q194">
            <v>78144</v>
          </cell>
          <cell r="W194">
            <v>0</v>
          </cell>
        </row>
        <row r="195">
          <cell r="E195">
            <v>134</v>
          </cell>
          <cell r="G195">
            <v>19564</v>
          </cell>
          <cell r="L195">
            <v>14534</v>
          </cell>
          <cell r="M195">
            <v>3731</v>
          </cell>
          <cell r="N195">
            <v>8207</v>
          </cell>
          <cell r="O195">
            <v>0</v>
          </cell>
          <cell r="P195"/>
          <cell r="Q195">
            <v>78144</v>
          </cell>
          <cell r="W195">
            <v>0</v>
          </cell>
        </row>
        <row r="196">
          <cell r="E196">
            <v>202</v>
          </cell>
          <cell r="G196">
            <v>29492</v>
          </cell>
          <cell r="L196">
            <v>24037</v>
          </cell>
          <cell r="M196">
            <v>3731</v>
          </cell>
          <cell r="N196">
            <v>8230</v>
          </cell>
          <cell r="O196">
            <v>0</v>
          </cell>
          <cell r="P196"/>
          <cell r="Q196">
            <v>78144</v>
          </cell>
          <cell r="W196">
            <v>0</v>
          </cell>
        </row>
        <row r="197">
          <cell r="E197">
            <v>249</v>
          </cell>
          <cell r="G197">
            <v>36354</v>
          </cell>
          <cell r="L197">
            <v>39130</v>
          </cell>
          <cell r="M197">
            <v>3731</v>
          </cell>
          <cell r="N197">
            <v>8260</v>
          </cell>
          <cell r="O197">
            <v>0</v>
          </cell>
          <cell r="P197"/>
          <cell r="Q197">
            <v>78144</v>
          </cell>
          <cell r="W197">
            <v>0</v>
          </cell>
        </row>
        <row r="198">
          <cell r="E198">
            <v>252</v>
          </cell>
          <cell r="G198">
            <v>36792</v>
          </cell>
          <cell r="L198">
            <v>58136</v>
          </cell>
          <cell r="M198">
            <v>3731</v>
          </cell>
          <cell r="N198">
            <v>8270</v>
          </cell>
          <cell r="O198">
            <v>0</v>
          </cell>
          <cell r="P198"/>
          <cell r="Q198">
            <v>78144</v>
          </cell>
          <cell r="W198">
            <v>0</v>
          </cell>
        </row>
        <row r="199">
          <cell r="E199">
            <v>407</v>
          </cell>
          <cell r="G199">
            <v>59422</v>
          </cell>
          <cell r="L199">
            <v>59813</v>
          </cell>
          <cell r="M199">
            <v>3828</v>
          </cell>
          <cell r="N199">
            <v>8264</v>
          </cell>
          <cell r="O199">
            <v>0</v>
          </cell>
          <cell r="P199"/>
          <cell r="Q199">
            <v>80176</v>
          </cell>
          <cell r="W199">
            <v>211503</v>
          </cell>
        </row>
        <row r="200">
          <cell r="E200">
            <v>341</v>
          </cell>
          <cell r="G200">
            <v>49786</v>
          </cell>
          <cell r="L200">
            <v>53105</v>
          </cell>
          <cell r="M200">
            <v>3828</v>
          </cell>
          <cell r="N200">
            <v>8267</v>
          </cell>
          <cell r="O200">
            <v>0</v>
          </cell>
          <cell r="P200"/>
          <cell r="Q200">
            <v>80176</v>
          </cell>
          <cell r="W200">
            <v>0</v>
          </cell>
        </row>
        <row r="201">
          <cell r="E201">
            <v>246</v>
          </cell>
          <cell r="G201">
            <v>35916</v>
          </cell>
          <cell r="L201">
            <v>63167</v>
          </cell>
          <cell r="M201">
            <v>3828</v>
          </cell>
          <cell r="N201">
            <v>8270</v>
          </cell>
          <cell r="O201">
            <v>0</v>
          </cell>
          <cell r="P201"/>
          <cell r="Q201">
            <v>80176</v>
          </cell>
          <cell r="W201">
            <v>0</v>
          </cell>
        </row>
        <row r="202">
          <cell r="E202">
            <v>259</v>
          </cell>
          <cell r="G202">
            <v>37814</v>
          </cell>
          <cell r="L202">
            <v>46956</v>
          </cell>
          <cell r="M202">
            <v>3828</v>
          </cell>
          <cell r="N202">
            <v>8299</v>
          </cell>
          <cell r="O202">
            <v>0</v>
          </cell>
          <cell r="P202"/>
          <cell r="Q202">
            <v>80176</v>
          </cell>
          <cell r="W202">
            <v>0</v>
          </cell>
        </row>
        <row r="203">
          <cell r="E203">
            <v>242</v>
          </cell>
          <cell r="G203">
            <v>35332</v>
          </cell>
          <cell r="L203">
            <v>32422</v>
          </cell>
          <cell r="M203">
            <v>3828</v>
          </cell>
          <cell r="N203">
            <v>8329</v>
          </cell>
          <cell r="O203">
            <v>0</v>
          </cell>
          <cell r="P203"/>
          <cell r="Q203">
            <v>80176</v>
          </cell>
          <cell r="W203">
            <v>160087</v>
          </cell>
        </row>
        <row r="204">
          <cell r="E204">
            <v>-17413</v>
          </cell>
          <cell r="G204">
            <v>-2542298</v>
          </cell>
          <cell r="L204">
            <v>-601484</v>
          </cell>
          <cell r="M204">
            <v>3828</v>
          </cell>
          <cell r="N204"/>
          <cell r="O204">
            <v>0</v>
          </cell>
          <cell r="P204"/>
          <cell r="Q204">
            <v>80176</v>
          </cell>
          <cell r="W204">
            <v>-2899691</v>
          </cell>
        </row>
        <row r="205">
          <cell r="E205">
            <v>0</v>
          </cell>
          <cell r="G205">
            <v>0</v>
          </cell>
          <cell r="L205">
            <v>0</v>
          </cell>
          <cell r="M205">
            <v>3828</v>
          </cell>
          <cell r="N205"/>
          <cell r="O205">
            <v>0</v>
          </cell>
          <cell r="P205"/>
          <cell r="Q205">
            <v>80176</v>
          </cell>
          <cell r="W205">
            <v>-2815687</v>
          </cell>
        </row>
        <row r="206">
          <cell r="E206">
            <v>0</v>
          </cell>
          <cell r="G206">
            <v>0</v>
          </cell>
          <cell r="L206">
            <v>0</v>
          </cell>
          <cell r="M206">
            <v>3828</v>
          </cell>
          <cell r="N206"/>
          <cell r="O206">
            <v>0</v>
          </cell>
          <cell r="P206"/>
          <cell r="Q206">
            <v>80176</v>
          </cell>
          <cell r="W206">
            <v>-2731683</v>
          </cell>
        </row>
        <row r="207">
          <cell r="E207">
            <v>0</v>
          </cell>
          <cell r="G207">
            <v>0</v>
          </cell>
          <cell r="L207">
            <v>0</v>
          </cell>
          <cell r="M207">
            <v>3828</v>
          </cell>
          <cell r="N207"/>
          <cell r="O207">
            <v>0</v>
          </cell>
          <cell r="P207"/>
          <cell r="Q207">
            <v>80176</v>
          </cell>
          <cell r="W207">
            <v>-2647679</v>
          </cell>
        </row>
        <row r="208">
          <cell r="E208">
            <v>0</v>
          </cell>
          <cell r="G208">
            <v>0</v>
          </cell>
          <cell r="L208">
            <v>0</v>
          </cell>
          <cell r="M208">
            <v>3828</v>
          </cell>
          <cell r="N208"/>
          <cell r="O208">
            <v>0</v>
          </cell>
          <cell r="P208"/>
          <cell r="Q208">
            <v>80176</v>
          </cell>
          <cell r="W208">
            <v>-2563675</v>
          </cell>
        </row>
        <row r="209">
          <cell r="E209">
            <v>0</v>
          </cell>
          <cell r="G209">
            <v>0</v>
          </cell>
          <cell r="L209">
            <v>0</v>
          </cell>
          <cell r="M209">
            <v>3828</v>
          </cell>
          <cell r="N209"/>
          <cell r="O209">
            <v>0</v>
          </cell>
          <cell r="P209"/>
          <cell r="Q209">
            <v>80176</v>
          </cell>
          <cell r="W209">
            <v>-2479671</v>
          </cell>
        </row>
        <row r="210">
          <cell r="E210">
            <v>0</v>
          </cell>
          <cell r="G210">
            <v>0</v>
          </cell>
          <cell r="L210">
            <v>0</v>
          </cell>
          <cell r="M210">
            <v>3828</v>
          </cell>
          <cell r="N210"/>
          <cell r="O210">
            <v>0</v>
          </cell>
          <cell r="P210"/>
          <cell r="Q210">
            <v>80176</v>
          </cell>
          <cell r="W210">
            <v>-2395667</v>
          </cell>
        </row>
      </sheetData>
      <sheetData sheetId="44">
        <row r="200">
          <cell r="E200">
            <v>1292</v>
          </cell>
          <cell r="G200">
            <v>129200</v>
          </cell>
          <cell r="L200"/>
          <cell r="M200"/>
          <cell r="N200"/>
          <cell r="O200"/>
          <cell r="P200"/>
          <cell r="Q200"/>
          <cell r="W200">
            <v>129200</v>
          </cell>
        </row>
        <row r="201">
          <cell r="E201">
            <v>1287</v>
          </cell>
          <cell r="G201">
            <v>128700</v>
          </cell>
          <cell r="L201"/>
          <cell r="M201"/>
          <cell r="N201"/>
          <cell r="O201"/>
          <cell r="P201"/>
          <cell r="Q201"/>
          <cell r="W201">
            <v>257900</v>
          </cell>
        </row>
        <row r="202">
          <cell r="E202">
            <v>1372</v>
          </cell>
          <cell r="G202">
            <v>137200</v>
          </cell>
          <cell r="L202"/>
          <cell r="M202"/>
          <cell r="N202"/>
          <cell r="O202"/>
          <cell r="P202"/>
          <cell r="Q202"/>
          <cell r="W202">
            <v>395100</v>
          </cell>
        </row>
        <row r="203">
          <cell r="E203">
            <v>716</v>
          </cell>
          <cell r="G203">
            <v>71600</v>
          </cell>
          <cell r="L203"/>
          <cell r="M203"/>
          <cell r="N203"/>
          <cell r="O203"/>
          <cell r="P203"/>
          <cell r="Q203"/>
          <cell r="W203">
            <v>466700</v>
          </cell>
        </row>
        <row r="204">
          <cell r="E204">
            <v>-125175</v>
          </cell>
          <cell r="G204">
            <v>-12517500</v>
          </cell>
          <cell r="L204"/>
          <cell r="M204"/>
          <cell r="N204"/>
          <cell r="O204"/>
          <cell r="P204"/>
          <cell r="Q204"/>
          <cell r="W204">
            <v>-12050800</v>
          </cell>
        </row>
        <row r="205">
          <cell r="E205">
            <v>0</v>
          </cell>
          <cell r="G205">
            <v>0</v>
          </cell>
          <cell r="L205"/>
          <cell r="M205"/>
          <cell r="N205"/>
          <cell r="O205"/>
          <cell r="P205"/>
          <cell r="Q205"/>
          <cell r="W205">
            <v>-12050800</v>
          </cell>
        </row>
        <row r="206">
          <cell r="E206">
            <v>0</v>
          </cell>
          <cell r="G206">
            <v>0</v>
          </cell>
          <cell r="L206"/>
          <cell r="M206"/>
          <cell r="N206"/>
          <cell r="O206"/>
          <cell r="P206"/>
          <cell r="Q206"/>
          <cell r="W206">
            <v>-12050800</v>
          </cell>
        </row>
        <row r="207">
          <cell r="E207">
            <v>0</v>
          </cell>
          <cell r="G207">
            <v>0</v>
          </cell>
          <cell r="L207"/>
          <cell r="M207"/>
          <cell r="N207"/>
          <cell r="O207"/>
          <cell r="P207"/>
          <cell r="Q207"/>
          <cell r="W207">
            <v>-12050800</v>
          </cell>
        </row>
        <row r="208">
          <cell r="E208">
            <v>0</v>
          </cell>
          <cell r="G208">
            <v>0</v>
          </cell>
          <cell r="L208"/>
          <cell r="M208"/>
          <cell r="N208"/>
          <cell r="O208"/>
          <cell r="P208"/>
          <cell r="Q208"/>
          <cell r="W208">
            <v>-12050800</v>
          </cell>
        </row>
        <row r="209">
          <cell r="E209">
            <v>0</v>
          </cell>
          <cell r="G209">
            <v>0</v>
          </cell>
          <cell r="L209"/>
          <cell r="M209"/>
          <cell r="N209"/>
          <cell r="O209"/>
          <cell r="P209"/>
          <cell r="Q209"/>
          <cell r="W209">
            <v>-12050800</v>
          </cell>
        </row>
        <row r="210">
          <cell r="E210">
            <v>0</v>
          </cell>
          <cell r="G210">
            <v>0</v>
          </cell>
          <cell r="L210"/>
          <cell r="M210"/>
          <cell r="N210"/>
          <cell r="O210"/>
          <cell r="P210"/>
          <cell r="Q210"/>
          <cell r="W210">
            <v>-12050800</v>
          </cell>
        </row>
      </sheetData>
      <sheetData sheetId="45">
        <row r="176">
          <cell r="E176"/>
          <cell r="G176"/>
        </row>
        <row r="177">
          <cell r="E177"/>
          <cell r="G177"/>
        </row>
        <row r="178">
          <cell r="E178"/>
          <cell r="G178"/>
        </row>
        <row r="179">
          <cell r="E179"/>
          <cell r="G179"/>
        </row>
        <row r="180">
          <cell r="E180"/>
          <cell r="G180"/>
        </row>
        <row r="181">
          <cell r="E181"/>
          <cell r="G181"/>
        </row>
        <row r="182">
          <cell r="E182"/>
          <cell r="G182"/>
        </row>
        <row r="183">
          <cell r="E183"/>
          <cell r="G183"/>
        </row>
        <row r="184">
          <cell r="E184"/>
          <cell r="G184"/>
        </row>
      </sheetData>
      <sheetData sheetId="46"/>
      <sheetData sheetId="47">
        <row r="176">
          <cell r="E176">
            <v>0</v>
          </cell>
        </row>
      </sheetData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Morosos"/>
      <sheetName val="inicio"/>
      <sheetName val="LP (1-A)P2"/>
      <sheetName val="LP (2-A)P2"/>
      <sheetName val="LP (3-A)P2  "/>
      <sheetName val="LP (4-A)P2 "/>
      <sheetName val="LP (5-A)P2 "/>
      <sheetName val="LP (6-A)P2"/>
      <sheetName val="LP (7-A)P2 "/>
      <sheetName val="LP (1)P2"/>
      <sheetName val="LP (2)P2"/>
      <sheetName val="LP (3)P2"/>
      <sheetName val="LP (4)P2"/>
      <sheetName val="LP (5)P2"/>
      <sheetName val="LP (6)P2"/>
      <sheetName val="LP (7)P2 "/>
      <sheetName val="LP (8)P2 "/>
      <sheetName val="LP (9)P2"/>
      <sheetName val="LP (10)P2"/>
      <sheetName val="LP (11)P2"/>
      <sheetName val="LP (12)P2"/>
      <sheetName val="LP (13)P2"/>
      <sheetName val="LP (14)P2"/>
      <sheetName val="LP (15)P2"/>
      <sheetName val="LP (16)P2 "/>
      <sheetName val="LP (17)P2 "/>
      <sheetName val="LP (18)P2 "/>
      <sheetName val="LP (19)P2"/>
      <sheetName val="LP (20)P2"/>
      <sheetName val="LP (21)P2"/>
      <sheetName val="LP (22)P2 "/>
      <sheetName val="LP (23)P2"/>
      <sheetName val="LP (26)P2"/>
      <sheetName val="LP (27)P2 "/>
      <sheetName val="LP (28)P2"/>
      <sheetName val="LP (29)P2"/>
      <sheetName val="LP (30)P2"/>
      <sheetName val="LP (31)P2"/>
      <sheetName val="LP (32)P2 "/>
      <sheetName val="LP (33)P2"/>
      <sheetName val="LP (34)P2"/>
      <sheetName val="LP (35)P2"/>
      <sheetName val="LP (5L-2)P2"/>
      <sheetName val="Bomba Trifasica (2019)"/>
      <sheetName val="final"/>
      <sheetName val="Bomba Trifasica (historial)"/>
      <sheetName val="LP (25)P2 "/>
    </sheetNames>
    <sheetDataSet>
      <sheetData sheetId="0">
        <row r="245">
          <cell r="D245">
            <v>4310183</v>
          </cell>
        </row>
        <row r="246">
          <cell r="C246">
            <v>4462684</v>
          </cell>
          <cell r="D246">
            <v>4417365</v>
          </cell>
        </row>
        <row r="247">
          <cell r="C247">
            <v>4633208</v>
          </cell>
          <cell r="D247">
            <v>4104700</v>
          </cell>
        </row>
        <row r="248">
          <cell r="C248">
            <v>5081580</v>
          </cell>
          <cell r="D248">
            <v>5416676</v>
          </cell>
        </row>
        <row r="249">
          <cell r="C249">
            <v>5068605</v>
          </cell>
          <cell r="D249">
            <v>4646170</v>
          </cell>
        </row>
        <row r="257">
          <cell r="C257">
            <v>245</v>
          </cell>
        </row>
      </sheetData>
      <sheetData sheetId="1"/>
      <sheetData sheetId="2"/>
      <sheetData sheetId="3">
        <row r="175">
          <cell r="J175">
            <v>0</v>
          </cell>
          <cell r="R175"/>
          <cell r="S175">
            <v>105099</v>
          </cell>
          <cell r="V175">
            <v>105099</v>
          </cell>
        </row>
        <row r="176">
          <cell r="J176">
            <v>3</v>
          </cell>
          <cell r="R176"/>
          <cell r="S176">
            <v>102980</v>
          </cell>
          <cell r="V176"/>
        </row>
        <row r="177">
          <cell r="J177">
            <v>0</v>
          </cell>
          <cell r="R177"/>
          <cell r="S177">
            <v>99843</v>
          </cell>
          <cell r="V177">
            <v>202823</v>
          </cell>
        </row>
        <row r="178">
          <cell r="J178">
            <v>0</v>
          </cell>
          <cell r="R178"/>
          <cell r="S178">
            <v>96485</v>
          </cell>
          <cell r="V178"/>
        </row>
        <row r="179">
          <cell r="J179">
            <v>0</v>
          </cell>
          <cell r="R179"/>
          <cell r="S179">
            <v>96047</v>
          </cell>
          <cell r="V179">
            <v>192532</v>
          </cell>
        </row>
        <row r="180">
          <cell r="J180">
            <v>0</v>
          </cell>
          <cell r="R180"/>
          <cell r="S180">
            <v>96339</v>
          </cell>
          <cell r="V180"/>
        </row>
        <row r="181">
          <cell r="J181">
            <v>0</v>
          </cell>
          <cell r="R181"/>
          <cell r="S181">
            <v>95171</v>
          </cell>
          <cell r="V181">
            <v>191510</v>
          </cell>
        </row>
        <row r="182">
          <cell r="J182">
            <v>1</v>
          </cell>
          <cell r="R182"/>
          <cell r="S182">
            <v>100945</v>
          </cell>
          <cell r="V182"/>
        </row>
        <row r="183">
          <cell r="J183">
            <v>0</v>
          </cell>
          <cell r="R183"/>
          <cell r="S183">
            <v>98942</v>
          </cell>
          <cell r="V183"/>
        </row>
        <row r="184">
          <cell r="J184">
            <v>0</v>
          </cell>
          <cell r="R184"/>
          <cell r="S184">
            <v>98351</v>
          </cell>
          <cell r="V184">
            <v>298238</v>
          </cell>
        </row>
        <row r="185">
          <cell r="J185">
            <v>0</v>
          </cell>
          <cell r="R185"/>
          <cell r="S185">
            <v>99694</v>
          </cell>
          <cell r="V185">
            <v>99694</v>
          </cell>
        </row>
        <row r="186">
          <cell r="J186">
            <v>1</v>
          </cell>
          <cell r="R186"/>
          <cell r="S186">
            <v>100127</v>
          </cell>
          <cell r="V186">
            <v>100127</v>
          </cell>
        </row>
        <row r="187">
          <cell r="J187">
            <v>0</v>
          </cell>
          <cell r="R187"/>
          <cell r="S187">
            <v>103938</v>
          </cell>
          <cell r="V187">
            <v>103938</v>
          </cell>
        </row>
        <row r="188">
          <cell r="J188">
            <v>2</v>
          </cell>
          <cell r="R188"/>
          <cell r="S188">
            <v>103480</v>
          </cell>
          <cell r="V188">
            <v>207418</v>
          </cell>
        </row>
        <row r="189">
          <cell r="J189">
            <v>2</v>
          </cell>
          <cell r="R189"/>
          <cell r="S189">
            <v>106413</v>
          </cell>
          <cell r="V189">
            <v>2475</v>
          </cell>
        </row>
        <row r="190">
          <cell r="J190">
            <v>0</v>
          </cell>
          <cell r="R190"/>
          <cell r="S190">
            <v>103262</v>
          </cell>
          <cell r="V190">
            <v>103262</v>
          </cell>
        </row>
        <row r="191">
          <cell r="J191">
            <v>0</v>
          </cell>
          <cell r="R191"/>
          <cell r="S191">
            <v>103138</v>
          </cell>
          <cell r="V191"/>
        </row>
        <row r="192">
          <cell r="J192">
            <v>0</v>
          </cell>
          <cell r="R192"/>
          <cell r="S192">
            <v>98053</v>
          </cell>
          <cell r="V192">
            <v>201191</v>
          </cell>
        </row>
        <row r="193">
          <cell r="J193">
            <v>0</v>
          </cell>
          <cell r="R193"/>
          <cell r="S193">
            <v>98942</v>
          </cell>
          <cell r="V193">
            <v>98942</v>
          </cell>
        </row>
        <row r="194">
          <cell r="J194">
            <v>1</v>
          </cell>
          <cell r="R194"/>
          <cell r="S194">
            <v>98358</v>
          </cell>
          <cell r="V194"/>
        </row>
        <row r="195">
          <cell r="J195">
            <v>0</v>
          </cell>
          <cell r="R195"/>
          <cell r="S195">
            <v>93148</v>
          </cell>
          <cell r="V195">
            <v>191506</v>
          </cell>
        </row>
        <row r="196">
          <cell r="J196">
            <v>0</v>
          </cell>
          <cell r="R196"/>
          <cell r="S196">
            <v>93901</v>
          </cell>
          <cell r="V196"/>
        </row>
        <row r="197">
          <cell r="J197">
            <v>0</v>
          </cell>
          <cell r="R197"/>
          <cell r="S197">
            <v>94661</v>
          </cell>
          <cell r="V197">
            <v>188562</v>
          </cell>
        </row>
        <row r="198">
          <cell r="J198">
            <v>1</v>
          </cell>
          <cell r="R198"/>
          <cell r="S198">
            <v>94646</v>
          </cell>
          <cell r="V198"/>
        </row>
        <row r="199">
          <cell r="J199">
            <v>3</v>
          </cell>
          <cell r="R199"/>
          <cell r="S199">
            <v>98179</v>
          </cell>
          <cell r="V199">
            <v>192825</v>
          </cell>
        </row>
        <row r="200">
          <cell r="J200">
            <v>0</v>
          </cell>
          <cell r="R200">
            <v>55114</v>
          </cell>
          <cell r="S200">
            <v>150451</v>
          </cell>
          <cell r="V200"/>
        </row>
        <row r="201">
          <cell r="J201">
            <v>1</v>
          </cell>
          <cell r="R201">
            <v>55132</v>
          </cell>
          <cell r="S201">
            <v>151761</v>
          </cell>
          <cell r="V201"/>
        </row>
        <row r="202">
          <cell r="J202">
            <v>0</v>
          </cell>
          <cell r="R202"/>
          <cell r="S202">
            <v>95223</v>
          </cell>
          <cell r="V202">
            <v>397435</v>
          </cell>
        </row>
        <row r="203">
          <cell r="J203">
            <v>0</v>
          </cell>
          <cell r="R203"/>
          <cell r="S203">
            <v>94961</v>
          </cell>
          <cell r="V203"/>
        </row>
        <row r="204">
          <cell r="J204">
            <v>-330</v>
          </cell>
          <cell r="R204"/>
          <cell r="S204">
            <v>-780242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4">
        <row r="175">
          <cell r="J175">
            <v>74</v>
          </cell>
          <cell r="R175"/>
          <cell r="S175">
            <v>264871</v>
          </cell>
          <cell r="V175">
            <v>264871</v>
          </cell>
        </row>
        <row r="176">
          <cell r="J176">
            <v>129</v>
          </cell>
          <cell r="R176"/>
          <cell r="S176">
            <v>315486</v>
          </cell>
          <cell r="V176">
            <v>311486</v>
          </cell>
        </row>
        <row r="177">
          <cell r="J177">
            <v>54</v>
          </cell>
          <cell r="R177"/>
          <cell r="S177">
            <v>203613</v>
          </cell>
          <cell r="V177">
            <v>211613</v>
          </cell>
        </row>
        <row r="178">
          <cell r="J178">
            <v>3</v>
          </cell>
          <cell r="R178"/>
          <cell r="S178">
            <v>88818</v>
          </cell>
          <cell r="V178"/>
        </row>
        <row r="179">
          <cell r="J179">
            <v>0</v>
          </cell>
          <cell r="R179"/>
          <cell r="S179">
            <v>87141</v>
          </cell>
          <cell r="V179">
            <v>183152</v>
          </cell>
        </row>
        <row r="180">
          <cell r="J180">
            <v>0</v>
          </cell>
          <cell r="R180"/>
          <cell r="S180">
            <v>87141</v>
          </cell>
          <cell r="V180">
            <v>90872</v>
          </cell>
        </row>
        <row r="181">
          <cell r="J181">
            <v>0</v>
          </cell>
          <cell r="R181"/>
          <cell r="S181">
            <v>87141</v>
          </cell>
          <cell r="V181">
            <v>83410</v>
          </cell>
        </row>
        <row r="182">
          <cell r="J182">
            <v>0</v>
          </cell>
          <cell r="R182"/>
          <cell r="S182">
            <v>88122</v>
          </cell>
          <cell r="V182"/>
        </row>
        <row r="183">
          <cell r="J183">
            <v>0</v>
          </cell>
          <cell r="R183"/>
          <cell r="S183">
            <v>88138</v>
          </cell>
          <cell r="V183">
            <v>165067</v>
          </cell>
        </row>
        <row r="184">
          <cell r="J184">
            <v>0</v>
          </cell>
          <cell r="R184"/>
          <cell r="S184">
            <v>88131</v>
          </cell>
          <cell r="V184">
            <v>88131</v>
          </cell>
        </row>
        <row r="185">
          <cell r="J185">
            <v>0</v>
          </cell>
          <cell r="R185">
            <v>53462</v>
          </cell>
          <cell r="S185">
            <v>141622</v>
          </cell>
          <cell r="V185"/>
        </row>
        <row r="186">
          <cell r="J186">
            <v>0</v>
          </cell>
          <cell r="R186">
            <v>53650</v>
          </cell>
          <cell r="S186">
            <v>141830</v>
          </cell>
          <cell r="V186"/>
        </row>
        <row r="187">
          <cell r="J187">
            <v>0</v>
          </cell>
          <cell r="R187"/>
          <cell r="S187">
            <v>89922</v>
          </cell>
          <cell r="V187">
            <v>373374</v>
          </cell>
        </row>
        <row r="188">
          <cell r="J188">
            <v>0</v>
          </cell>
          <cell r="R188"/>
          <cell r="S188">
            <v>89952</v>
          </cell>
          <cell r="V188"/>
        </row>
        <row r="189">
          <cell r="J189">
            <v>0</v>
          </cell>
          <cell r="R189"/>
          <cell r="S189">
            <v>89965</v>
          </cell>
          <cell r="V189">
            <v>179917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>
            <v>55092</v>
          </cell>
          <cell r="S199">
            <v>147360</v>
          </cell>
          <cell r="V199"/>
        </row>
        <row r="200">
          <cell r="J200">
            <v>0</v>
          </cell>
          <cell r="R200">
            <v>55114</v>
          </cell>
          <cell r="S200">
            <v>147385</v>
          </cell>
          <cell r="V200">
            <v>294745</v>
          </cell>
        </row>
        <row r="201">
          <cell r="J201">
            <v>0</v>
          </cell>
          <cell r="R201"/>
          <cell r="S201">
            <v>92274</v>
          </cell>
          <cell r="V201"/>
        </row>
        <row r="202">
          <cell r="J202">
            <v>0</v>
          </cell>
          <cell r="R202"/>
          <cell r="S202">
            <v>92303</v>
          </cell>
          <cell r="V202">
            <v>184577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-366</v>
          </cell>
          <cell r="R204"/>
          <cell r="S204">
            <v>-925196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5">
        <row r="175">
          <cell r="J175">
            <v>0</v>
          </cell>
          <cell r="R175"/>
          <cell r="S175">
            <v>87141</v>
          </cell>
          <cell r="V175">
            <v>85000</v>
          </cell>
        </row>
        <row r="176">
          <cell r="J176">
            <v>0</v>
          </cell>
          <cell r="R176"/>
          <cell r="S176">
            <v>87141</v>
          </cell>
          <cell r="V176">
            <v>85000</v>
          </cell>
        </row>
        <row r="177">
          <cell r="J177">
            <v>0</v>
          </cell>
          <cell r="R177"/>
          <cell r="S177">
            <v>87141</v>
          </cell>
          <cell r="V177">
            <v>85000</v>
          </cell>
        </row>
        <row r="178">
          <cell r="J178">
            <v>0</v>
          </cell>
          <cell r="R178"/>
          <cell r="S178">
            <v>87141</v>
          </cell>
          <cell r="V178">
            <v>85000</v>
          </cell>
        </row>
        <row r="179">
          <cell r="J179">
            <v>0</v>
          </cell>
          <cell r="R179"/>
          <cell r="S179">
            <v>87141</v>
          </cell>
          <cell r="V179">
            <v>85000</v>
          </cell>
        </row>
        <row r="180">
          <cell r="J180">
            <v>0</v>
          </cell>
          <cell r="R180"/>
          <cell r="S180">
            <v>87141</v>
          </cell>
          <cell r="V180">
            <v>85000</v>
          </cell>
        </row>
        <row r="181">
          <cell r="J181">
            <v>0</v>
          </cell>
          <cell r="R181"/>
          <cell r="S181">
            <v>87141</v>
          </cell>
          <cell r="V181">
            <v>85000</v>
          </cell>
        </row>
        <row r="182">
          <cell r="J182">
            <v>0</v>
          </cell>
          <cell r="R182"/>
          <cell r="S182">
            <v>88122</v>
          </cell>
          <cell r="V182">
            <v>85000</v>
          </cell>
        </row>
        <row r="183">
          <cell r="J183">
            <v>0</v>
          </cell>
          <cell r="R183"/>
          <cell r="S183">
            <v>88138</v>
          </cell>
          <cell r="V183">
            <v>85000</v>
          </cell>
        </row>
        <row r="184">
          <cell r="J184">
            <v>0</v>
          </cell>
          <cell r="R184"/>
          <cell r="S184">
            <v>88131</v>
          </cell>
          <cell r="V184">
            <v>85000</v>
          </cell>
        </row>
        <row r="185">
          <cell r="J185">
            <v>0</v>
          </cell>
          <cell r="R185"/>
          <cell r="S185">
            <v>88160</v>
          </cell>
          <cell r="V185">
            <v>85000</v>
          </cell>
        </row>
        <row r="186">
          <cell r="J186">
            <v>0</v>
          </cell>
          <cell r="R186"/>
          <cell r="S186">
            <v>88180</v>
          </cell>
          <cell r="V186">
            <v>85000</v>
          </cell>
        </row>
        <row r="187">
          <cell r="J187">
            <v>0</v>
          </cell>
          <cell r="R187"/>
          <cell r="S187">
            <v>89922</v>
          </cell>
          <cell r="V187">
            <v>100000</v>
          </cell>
        </row>
        <row r="188">
          <cell r="J188">
            <v>0</v>
          </cell>
          <cell r="R188"/>
          <cell r="S188">
            <v>89952</v>
          </cell>
          <cell r="V188">
            <v>100000</v>
          </cell>
        </row>
        <row r="189">
          <cell r="J189">
            <v>0</v>
          </cell>
          <cell r="R189"/>
          <cell r="S189">
            <v>89965</v>
          </cell>
          <cell r="V189">
            <v>100000</v>
          </cell>
        </row>
        <row r="190">
          <cell r="J190">
            <v>0</v>
          </cell>
          <cell r="R190"/>
          <cell r="S190">
            <v>89976</v>
          </cell>
          <cell r="V190">
            <v>100000</v>
          </cell>
        </row>
        <row r="191">
          <cell r="J191">
            <v>0</v>
          </cell>
          <cell r="R191"/>
          <cell r="S191">
            <v>89998</v>
          </cell>
          <cell r="V191">
            <v>100000</v>
          </cell>
        </row>
        <row r="192">
          <cell r="J192">
            <v>0</v>
          </cell>
          <cell r="R192"/>
          <cell r="S192">
            <v>90023</v>
          </cell>
          <cell r="V192">
            <v>100000</v>
          </cell>
        </row>
        <row r="193">
          <cell r="J193">
            <v>0</v>
          </cell>
          <cell r="R193"/>
          <cell r="S193">
            <v>90036</v>
          </cell>
          <cell r="V193">
            <v>100000</v>
          </cell>
        </row>
        <row r="194">
          <cell r="J194">
            <v>0</v>
          </cell>
          <cell r="R194"/>
          <cell r="S194">
            <v>90061</v>
          </cell>
          <cell r="V194">
            <v>100000</v>
          </cell>
        </row>
        <row r="195">
          <cell r="J195">
            <v>0</v>
          </cell>
          <cell r="R195"/>
          <cell r="S195">
            <v>90082</v>
          </cell>
          <cell r="V195">
            <v>100000</v>
          </cell>
        </row>
        <row r="196">
          <cell r="J196">
            <v>0</v>
          </cell>
          <cell r="R196"/>
          <cell r="S196">
            <v>90105</v>
          </cell>
          <cell r="V196">
            <v>100000</v>
          </cell>
        </row>
        <row r="197">
          <cell r="J197">
            <v>0</v>
          </cell>
          <cell r="R197"/>
          <cell r="S197">
            <v>90135</v>
          </cell>
          <cell r="V197">
            <v>100000</v>
          </cell>
        </row>
        <row r="198">
          <cell r="J198">
            <v>0</v>
          </cell>
          <cell r="R198"/>
          <cell r="S198">
            <v>90145</v>
          </cell>
          <cell r="V198">
            <v>100000</v>
          </cell>
        </row>
        <row r="199">
          <cell r="J199">
            <v>0</v>
          </cell>
          <cell r="R199"/>
          <cell r="S199">
            <v>92268</v>
          </cell>
          <cell r="V199">
            <v>100000</v>
          </cell>
        </row>
        <row r="200">
          <cell r="J200">
            <v>0</v>
          </cell>
          <cell r="R200"/>
          <cell r="S200">
            <v>92271</v>
          </cell>
          <cell r="V200">
            <v>100000</v>
          </cell>
        </row>
        <row r="201">
          <cell r="J201">
            <v>0</v>
          </cell>
          <cell r="R201"/>
          <cell r="S201">
            <v>92274</v>
          </cell>
          <cell r="V201">
            <v>100000</v>
          </cell>
        </row>
        <row r="202">
          <cell r="J202">
            <v>0</v>
          </cell>
          <cell r="R202"/>
          <cell r="S202">
            <v>92303</v>
          </cell>
          <cell r="V202">
            <v>100000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6">
        <row r="175">
          <cell r="J175">
            <v>0</v>
          </cell>
          <cell r="R175">
            <v>52636</v>
          </cell>
          <cell r="S175">
            <v>132777</v>
          </cell>
          <cell r="V175"/>
        </row>
        <row r="176">
          <cell r="J176">
            <v>0</v>
          </cell>
          <cell r="R176">
            <v>52784</v>
          </cell>
          <cell r="S176">
            <v>132925</v>
          </cell>
          <cell r="V176"/>
        </row>
        <row r="177">
          <cell r="J177">
            <v>0</v>
          </cell>
          <cell r="R177">
            <v>52944</v>
          </cell>
          <cell r="S177">
            <v>133085</v>
          </cell>
          <cell r="V177"/>
        </row>
        <row r="178">
          <cell r="J178">
            <v>0</v>
          </cell>
          <cell r="R178">
            <v>53123</v>
          </cell>
          <cell r="S178">
            <v>133264</v>
          </cell>
          <cell r="V178"/>
        </row>
        <row r="179">
          <cell r="J179">
            <v>0</v>
          </cell>
          <cell r="R179">
            <v>53262</v>
          </cell>
          <cell r="S179">
            <v>133403</v>
          </cell>
          <cell r="V179"/>
        </row>
        <row r="180">
          <cell r="J180">
            <v>0</v>
          </cell>
          <cell r="R180">
            <v>53330</v>
          </cell>
          <cell r="S180">
            <v>133471</v>
          </cell>
          <cell r="V180"/>
        </row>
        <row r="181">
          <cell r="J181">
            <v>0</v>
          </cell>
          <cell r="R181">
            <v>53195</v>
          </cell>
          <cell r="S181">
            <v>133336</v>
          </cell>
          <cell r="V181"/>
        </row>
        <row r="182">
          <cell r="J182">
            <v>0</v>
          </cell>
          <cell r="R182">
            <v>53208</v>
          </cell>
          <cell r="S182">
            <v>133349</v>
          </cell>
          <cell r="V182"/>
        </row>
        <row r="183">
          <cell r="J183">
            <v>0</v>
          </cell>
          <cell r="R183">
            <v>53314</v>
          </cell>
          <cell r="S183">
            <v>133455</v>
          </cell>
          <cell r="V183"/>
        </row>
        <row r="184">
          <cell r="J184">
            <v>0</v>
          </cell>
          <cell r="R184">
            <v>53270</v>
          </cell>
          <cell r="S184">
            <v>133411</v>
          </cell>
        </row>
        <row r="185">
          <cell r="J185">
            <v>0</v>
          </cell>
          <cell r="R185">
            <v>53462</v>
          </cell>
          <cell r="S185">
            <v>133603</v>
          </cell>
          <cell r="V185"/>
        </row>
        <row r="186">
          <cell r="J186">
            <v>0</v>
          </cell>
          <cell r="R186">
            <v>63650</v>
          </cell>
          <cell r="S186">
            <v>143791</v>
          </cell>
          <cell r="V186"/>
        </row>
        <row r="187">
          <cell r="J187">
            <v>0</v>
          </cell>
          <cell r="R187">
            <v>53847</v>
          </cell>
          <cell r="S187">
            <v>135722</v>
          </cell>
          <cell r="V187"/>
        </row>
        <row r="188">
          <cell r="J188">
            <v>0</v>
          </cell>
          <cell r="R188">
            <v>53934</v>
          </cell>
          <cell r="S188">
            <v>135809</v>
          </cell>
          <cell r="V188"/>
        </row>
        <row r="189">
          <cell r="J189">
            <v>0</v>
          </cell>
          <cell r="R189">
            <v>54009</v>
          </cell>
          <cell r="S189">
            <v>135884</v>
          </cell>
          <cell r="V189"/>
        </row>
        <row r="190">
          <cell r="J190">
            <v>0</v>
          </cell>
          <cell r="R190">
            <v>54157</v>
          </cell>
          <cell r="S190">
            <v>136032</v>
          </cell>
          <cell r="V190"/>
        </row>
        <row r="191">
          <cell r="J191">
            <v>0</v>
          </cell>
          <cell r="R191">
            <v>54318</v>
          </cell>
          <cell r="S191">
            <v>136193</v>
          </cell>
          <cell r="V191"/>
        </row>
        <row r="192">
          <cell r="J192">
            <v>0</v>
          </cell>
          <cell r="R192">
            <v>54405</v>
          </cell>
          <cell r="S192">
            <v>136280</v>
          </cell>
          <cell r="V192">
            <v>8877996</v>
          </cell>
        </row>
        <row r="193">
          <cell r="J193">
            <v>0</v>
          </cell>
          <cell r="R193"/>
          <cell r="S193">
            <v>81875</v>
          </cell>
          <cell r="V193"/>
        </row>
        <row r="194">
          <cell r="J194">
            <v>0</v>
          </cell>
          <cell r="R194"/>
          <cell r="S194">
            <v>81875</v>
          </cell>
          <cell r="V194">
            <v>163750</v>
          </cell>
        </row>
        <row r="195">
          <cell r="J195">
            <v>0</v>
          </cell>
          <cell r="R195"/>
          <cell r="S195">
            <v>81875</v>
          </cell>
          <cell r="V195">
            <v>81875</v>
          </cell>
        </row>
        <row r="196">
          <cell r="J196">
            <v>0</v>
          </cell>
          <cell r="R196"/>
          <cell r="S196">
            <v>81875</v>
          </cell>
          <cell r="V196">
            <v>81875</v>
          </cell>
        </row>
        <row r="197">
          <cell r="J197">
            <v>0</v>
          </cell>
          <cell r="R197"/>
          <cell r="S197">
            <v>81875</v>
          </cell>
          <cell r="V197">
            <v>81875</v>
          </cell>
        </row>
        <row r="198">
          <cell r="J198">
            <v>0</v>
          </cell>
          <cell r="R198"/>
          <cell r="S198">
            <v>81875</v>
          </cell>
          <cell r="V198">
            <v>81875</v>
          </cell>
        </row>
        <row r="199">
          <cell r="J199">
            <v>0</v>
          </cell>
          <cell r="R199"/>
          <cell r="S199">
            <v>84004</v>
          </cell>
          <cell r="V199">
            <v>84004</v>
          </cell>
        </row>
        <row r="200">
          <cell r="J200">
            <v>0</v>
          </cell>
          <cell r="R200"/>
          <cell r="S200">
            <v>84004</v>
          </cell>
          <cell r="V200">
            <v>84004</v>
          </cell>
        </row>
        <row r="201">
          <cell r="J201">
            <v>0</v>
          </cell>
          <cell r="R201"/>
          <cell r="S201">
            <v>84004</v>
          </cell>
          <cell r="V201">
            <v>84004</v>
          </cell>
        </row>
        <row r="202">
          <cell r="J202">
            <v>0</v>
          </cell>
          <cell r="R202"/>
          <cell r="S202">
            <v>84004</v>
          </cell>
          <cell r="V202">
            <v>84004</v>
          </cell>
        </row>
        <row r="203">
          <cell r="J203">
            <v>0</v>
          </cell>
          <cell r="R203"/>
          <cell r="S203">
            <v>84004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7">
        <row r="175">
          <cell r="J175">
            <v>0</v>
          </cell>
          <cell r="R175"/>
          <cell r="S175">
            <v>87141</v>
          </cell>
          <cell r="V175"/>
        </row>
        <row r="176">
          <cell r="J176">
            <v>0</v>
          </cell>
          <cell r="R176"/>
          <cell r="S176">
            <v>87141</v>
          </cell>
          <cell r="V176">
            <v>174282</v>
          </cell>
        </row>
        <row r="177">
          <cell r="J177">
            <v>0</v>
          </cell>
          <cell r="R177"/>
          <cell r="S177">
            <v>87141</v>
          </cell>
          <cell r="V177">
            <v>87141</v>
          </cell>
        </row>
        <row r="178">
          <cell r="J178">
            <v>0</v>
          </cell>
          <cell r="R178"/>
          <cell r="S178">
            <v>87141</v>
          </cell>
          <cell r="V178">
            <v>87141</v>
          </cell>
        </row>
        <row r="179">
          <cell r="J179">
            <v>0</v>
          </cell>
          <cell r="R179"/>
          <cell r="S179">
            <v>87141</v>
          </cell>
          <cell r="V179"/>
        </row>
        <row r="180">
          <cell r="J180">
            <v>0</v>
          </cell>
          <cell r="R180"/>
          <cell r="S180">
            <v>87141</v>
          </cell>
          <cell r="V180">
            <v>174282</v>
          </cell>
        </row>
        <row r="181">
          <cell r="J181">
            <v>0</v>
          </cell>
          <cell r="R181"/>
          <cell r="S181">
            <v>87141</v>
          </cell>
          <cell r="V181">
            <v>87141</v>
          </cell>
        </row>
        <row r="182">
          <cell r="J182">
            <v>0</v>
          </cell>
          <cell r="R182"/>
          <cell r="S182">
            <v>88122</v>
          </cell>
          <cell r="V182">
            <v>87141</v>
          </cell>
        </row>
        <row r="183">
          <cell r="J183">
            <v>0</v>
          </cell>
          <cell r="R183"/>
          <cell r="S183">
            <v>88138</v>
          </cell>
          <cell r="V183">
            <v>89119</v>
          </cell>
        </row>
        <row r="184">
          <cell r="J184">
            <v>0</v>
          </cell>
          <cell r="R184"/>
          <cell r="S184">
            <v>88131</v>
          </cell>
          <cell r="V184">
            <v>88131</v>
          </cell>
        </row>
        <row r="185">
          <cell r="J185">
            <v>0</v>
          </cell>
          <cell r="R185"/>
          <cell r="S185">
            <v>88160</v>
          </cell>
          <cell r="V185">
            <v>88160</v>
          </cell>
        </row>
        <row r="186">
          <cell r="J186">
            <v>0</v>
          </cell>
          <cell r="R186"/>
          <cell r="S186">
            <v>88180</v>
          </cell>
          <cell r="V186">
            <v>88180</v>
          </cell>
        </row>
        <row r="187">
          <cell r="J187">
            <v>0</v>
          </cell>
          <cell r="R187"/>
          <cell r="S187">
            <v>89922</v>
          </cell>
          <cell r="V187">
            <v>89922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>
            <v>89965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90030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90088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/>
        </row>
        <row r="198">
          <cell r="J198">
            <v>0</v>
          </cell>
          <cell r="R198"/>
          <cell r="S198">
            <v>90145</v>
          </cell>
          <cell r="V198">
            <v>180280</v>
          </cell>
        </row>
        <row r="199">
          <cell r="J199">
            <v>0</v>
          </cell>
          <cell r="R199"/>
          <cell r="S199">
            <v>92268</v>
          </cell>
          <cell r="V199">
            <v>92268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/>
          <cell r="S201">
            <v>92274</v>
          </cell>
          <cell r="V201"/>
        </row>
        <row r="202">
          <cell r="J202">
            <v>0</v>
          </cell>
          <cell r="R202"/>
          <cell r="S202">
            <v>92303</v>
          </cell>
          <cell r="V202">
            <v>184577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8">
        <row r="175">
          <cell r="J175">
            <v>0</v>
          </cell>
          <cell r="R175">
            <v>52636</v>
          </cell>
          <cell r="S175">
            <v>139777</v>
          </cell>
          <cell r="V175"/>
        </row>
        <row r="176">
          <cell r="J176">
            <v>0</v>
          </cell>
          <cell r="R176">
            <v>52784</v>
          </cell>
          <cell r="S176">
            <v>139925</v>
          </cell>
          <cell r="V176"/>
        </row>
        <row r="177">
          <cell r="J177">
            <v>0</v>
          </cell>
          <cell r="R177">
            <v>52944</v>
          </cell>
          <cell r="S177">
            <v>140085</v>
          </cell>
          <cell r="V177"/>
        </row>
        <row r="178">
          <cell r="J178">
            <v>0</v>
          </cell>
          <cell r="R178">
            <v>53123</v>
          </cell>
          <cell r="S178">
            <v>140264</v>
          </cell>
          <cell r="V178"/>
        </row>
        <row r="179">
          <cell r="J179">
            <v>0</v>
          </cell>
          <cell r="R179">
            <v>53262</v>
          </cell>
          <cell r="S179">
            <v>140403</v>
          </cell>
          <cell r="V179"/>
        </row>
        <row r="180">
          <cell r="J180">
            <v>0</v>
          </cell>
          <cell r="R180">
            <v>53330</v>
          </cell>
          <cell r="S180">
            <v>140471</v>
          </cell>
          <cell r="V180"/>
        </row>
        <row r="181">
          <cell r="J181">
            <v>0</v>
          </cell>
          <cell r="R181">
            <v>53195</v>
          </cell>
          <cell r="S181">
            <v>140336</v>
          </cell>
          <cell r="V181"/>
        </row>
        <row r="182">
          <cell r="J182">
            <v>0</v>
          </cell>
          <cell r="R182">
            <v>53208</v>
          </cell>
          <cell r="S182">
            <v>141330</v>
          </cell>
          <cell r="V182"/>
        </row>
        <row r="183">
          <cell r="J183">
            <v>0</v>
          </cell>
          <cell r="R183">
            <v>53314</v>
          </cell>
          <cell r="S183">
            <v>141452</v>
          </cell>
          <cell r="V183"/>
        </row>
        <row r="184">
          <cell r="J184">
            <v>0</v>
          </cell>
          <cell r="R184">
            <v>53270</v>
          </cell>
          <cell r="S184">
            <v>141401</v>
          </cell>
          <cell r="V184"/>
        </row>
        <row r="185">
          <cell r="J185">
            <v>0</v>
          </cell>
          <cell r="R185">
            <v>53462</v>
          </cell>
          <cell r="S185">
            <v>141622</v>
          </cell>
          <cell r="V185"/>
        </row>
        <row r="186">
          <cell r="J186">
            <v>0</v>
          </cell>
          <cell r="R186">
            <v>53650</v>
          </cell>
          <cell r="S186">
            <v>141830</v>
          </cell>
          <cell r="V186"/>
        </row>
        <row r="187">
          <cell r="J187">
            <v>0</v>
          </cell>
          <cell r="R187">
            <v>53847</v>
          </cell>
          <cell r="S187">
            <v>143769</v>
          </cell>
          <cell r="V187"/>
        </row>
        <row r="188">
          <cell r="J188">
            <v>0</v>
          </cell>
          <cell r="R188">
            <v>53934</v>
          </cell>
          <cell r="S188">
            <v>143886</v>
          </cell>
          <cell r="V188"/>
        </row>
        <row r="189">
          <cell r="J189">
            <v>0</v>
          </cell>
          <cell r="R189">
            <v>54009</v>
          </cell>
          <cell r="S189">
            <v>143974</v>
          </cell>
          <cell r="V189"/>
        </row>
        <row r="190">
          <cell r="J190">
            <v>0</v>
          </cell>
          <cell r="R190">
            <v>54157</v>
          </cell>
          <cell r="S190">
            <v>144133</v>
          </cell>
          <cell r="V190">
            <v>4946295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/>
          <cell r="S199">
            <v>92268</v>
          </cell>
          <cell r="V199">
            <v>92268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>
            <v>55132</v>
          </cell>
          <cell r="S201">
            <v>147406</v>
          </cell>
          <cell r="V201"/>
        </row>
        <row r="202">
          <cell r="J202">
            <v>0</v>
          </cell>
          <cell r="R202">
            <v>55324</v>
          </cell>
          <cell r="S202">
            <v>147627</v>
          </cell>
          <cell r="V202"/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9">
        <row r="175">
          <cell r="J175">
            <v>0</v>
          </cell>
          <cell r="R175"/>
          <cell r="S175">
            <v>87141</v>
          </cell>
          <cell r="V175">
            <v>87141</v>
          </cell>
        </row>
        <row r="176">
          <cell r="J176">
            <v>0</v>
          </cell>
          <cell r="R176"/>
          <cell r="S176">
            <v>87141</v>
          </cell>
          <cell r="V176">
            <v>87141</v>
          </cell>
        </row>
        <row r="177">
          <cell r="J177">
            <v>0</v>
          </cell>
          <cell r="R177"/>
          <cell r="S177">
            <v>87141</v>
          </cell>
          <cell r="V177">
            <v>87141</v>
          </cell>
        </row>
        <row r="178">
          <cell r="J178">
            <v>0</v>
          </cell>
          <cell r="R178"/>
          <cell r="S178">
            <v>87141</v>
          </cell>
          <cell r="V178">
            <v>87141</v>
          </cell>
        </row>
        <row r="179">
          <cell r="J179">
            <v>0</v>
          </cell>
          <cell r="R179"/>
          <cell r="S179">
            <v>87141</v>
          </cell>
          <cell r="V179">
            <v>87141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>
            <v>87141</v>
          </cell>
        </row>
        <row r="182">
          <cell r="J182">
            <v>0</v>
          </cell>
          <cell r="R182"/>
          <cell r="S182">
            <v>88122</v>
          </cell>
          <cell r="V182">
            <v>88122</v>
          </cell>
        </row>
        <row r="183">
          <cell r="J183">
            <v>0</v>
          </cell>
          <cell r="R183"/>
          <cell r="S183">
            <v>88138</v>
          </cell>
          <cell r="V183">
            <v>88138</v>
          </cell>
        </row>
        <row r="184">
          <cell r="J184">
            <v>0</v>
          </cell>
          <cell r="R184"/>
          <cell r="S184">
            <v>88131</v>
          </cell>
          <cell r="V184">
            <v>88131</v>
          </cell>
        </row>
        <row r="185">
          <cell r="J185">
            <v>0</v>
          </cell>
          <cell r="R185"/>
          <cell r="S185">
            <v>88160</v>
          </cell>
          <cell r="V185">
            <v>88160</v>
          </cell>
        </row>
        <row r="186">
          <cell r="J186">
            <v>0</v>
          </cell>
          <cell r="R186"/>
          <cell r="S186">
            <v>88180</v>
          </cell>
          <cell r="V186">
            <v>88180</v>
          </cell>
        </row>
        <row r="187">
          <cell r="J187">
            <v>0</v>
          </cell>
          <cell r="R187"/>
          <cell r="S187">
            <v>89922</v>
          </cell>
          <cell r="V187">
            <v>89922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>
            <v>89965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90023</v>
          </cell>
        </row>
        <row r="194">
          <cell r="J194">
            <v>0</v>
          </cell>
          <cell r="R194"/>
          <cell r="S194">
            <v>90061</v>
          </cell>
          <cell r="V194">
            <v>90074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/>
          <cell r="S199">
            <v>92268</v>
          </cell>
          <cell r="V199">
            <v>92268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/>
          <cell r="S201">
            <v>92274</v>
          </cell>
          <cell r="V201">
            <v>92274</v>
          </cell>
        </row>
        <row r="202">
          <cell r="J202">
            <v>0</v>
          </cell>
          <cell r="R202"/>
          <cell r="S202">
            <v>92303</v>
          </cell>
          <cell r="V202">
            <v>92303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0">
        <row r="175">
          <cell r="J175">
            <v>27</v>
          </cell>
          <cell r="R175"/>
          <cell r="S175">
            <v>95818</v>
          </cell>
          <cell r="V175">
            <v>95818</v>
          </cell>
        </row>
        <row r="176">
          <cell r="J176">
            <v>22</v>
          </cell>
          <cell r="R176"/>
          <cell r="S176">
            <v>93023</v>
          </cell>
          <cell r="V176">
            <v>93023</v>
          </cell>
        </row>
        <row r="177">
          <cell r="J177">
            <v>27</v>
          </cell>
          <cell r="R177"/>
          <cell r="S177">
            <v>95964</v>
          </cell>
          <cell r="V177">
            <v>95964</v>
          </cell>
        </row>
        <row r="178">
          <cell r="J178">
            <v>16</v>
          </cell>
          <cell r="R178"/>
          <cell r="S178">
            <v>92297</v>
          </cell>
          <cell r="V178">
            <v>92297</v>
          </cell>
        </row>
        <row r="179">
          <cell r="J179">
            <v>1</v>
          </cell>
          <cell r="R179"/>
          <cell r="S179">
            <v>81868</v>
          </cell>
          <cell r="V179">
            <v>81868</v>
          </cell>
        </row>
        <row r="180">
          <cell r="J180">
            <v>0</v>
          </cell>
          <cell r="R180"/>
          <cell r="S180">
            <v>84521</v>
          </cell>
          <cell r="V180">
            <v>84521</v>
          </cell>
        </row>
        <row r="181">
          <cell r="J181">
            <v>1</v>
          </cell>
          <cell r="R181"/>
          <cell r="S181">
            <v>84058</v>
          </cell>
          <cell r="V181"/>
        </row>
        <row r="182">
          <cell r="J182">
            <v>0</v>
          </cell>
          <cell r="R182"/>
          <cell r="S182">
            <v>83937</v>
          </cell>
          <cell r="V182">
            <v>167995</v>
          </cell>
        </row>
        <row r="183">
          <cell r="J183">
            <v>0</v>
          </cell>
          <cell r="R183"/>
          <cell r="S183">
            <v>84521</v>
          </cell>
          <cell r="V183">
            <v>84521</v>
          </cell>
        </row>
        <row r="184">
          <cell r="J184">
            <v>2</v>
          </cell>
          <cell r="R184"/>
          <cell r="S184">
            <v>85835</v>
          </cell>
          <cell r="V184">
            <v>85835</v>
          </cell>
        </row>
        <row r="185">
          <cell r="J185">
            <v>0</v>
          </cell>
          <cell r="R185"/>
          <cell r="S185">
            <v>84083</v>
          </cell>
          <cell r="V185">
            <v>84083</v>
          </cell>
        </row>
        <row r="186">
          <cell r="J186">
            <v>4</v>
          </cell>
          <cell r="R186"/>
          <cell r="S186">
            <v>92013</v>
          </cell>
          <cell r="V186">
            <v>92013</v>
          </cell>
        </row>
        <row r="187">
          <cell r="J187">
            <v>0</v>
          </cell>
          <cell r="R187"/>
          <cell r="S187">
            <v>90927</v>
          </cell>
          <cell r="V187"/>
        </row>
        <row r="188">
          <cell r="J188">
            <v>0</v>
          </cell>
          <cell r="R188"/>
          <cell r="S188">
            <v>87423</v>
          </cell>
          <cell r="V188">
            <v>178350</v>
          </cell>
        </row>
        <row r="189">
          <cell r="J189">
            <v>0</v>
          </cell>
          <cell r="R189"/>
          <cell r="S189">
            <v>88445</v>
          </cell>
          <cell r="V189">
            <v>88445</v>
          </cell>
        </row>
        <row r="190">
          <cell r="J190">
            <v>1</v>
          </cell>
          <cell r="R190"/>
          <cell r="S190">
            <v>89150</v>
          </cell>
          <cell r="V190"/>
        </row>
        <row r="191">
          <cell r="J191">
            <v>0</v>
          </cell>
          <cell r="R191"/>
          <cell r="S191">
            <v>86839</v>
          </cell>
          <cell r="V191">
            <v>175989</v>
          </cell>
        </row>
        <row r="192">
          <cell r="J192">
            <v>0</v>
          </cell>
          <cell r="R192"/>
          <cell r="S192">
            <v>85379</v>
          </cell>
          <cell r="V192">
            <v>85379</v>
          </cell>
        </row>
        <row r="193">
          <cell r="J193">
            <v>0</v>
          </cell>
          <cell r="R193"/>
          <cell r="S193">
            <v>85671</v>
          </cell>
          <cell r="V193"/>
        </row>
        <row r="194">
          <cell r="J194">
            <v>0</v>
          </cell>
          <cell r="R194"/>
          <cell r="S194">
            <v>86401</v>
          </cell>
          <cell r="V194">
            <v>172072</v>
          </cell>
        </row>
        <row r="195">
          <cell r="J195">
            <v>2</v>
          </cell>
          <cell r="R195"/>
          <cell r="S195">
            <v>91899</v>
          </cell>
          <cell r="V195">
            <v>91899</v>
          </cell>
        </row>
        <row r="196">
          <cell r="J196">
            <v>0</v>
          </cell>
          <cell r="R196">
            <v>55066</v>
          </cell>
          <cell r="S196">
            <v>141905</v>
          </cell>
          <cell r="V196"/>
        </row>
        <row r="197">
          <cell r="J197">
            <v>1</v>
          </cell>
          <cell r="R197">
            <v>55132</v>
          </cell>
          <cell r="S197">
            <v>143990</v>
          </cell>
          <cell r="V197">
            <v>175697</v>
          </cell>
        </row>
        <row r="198">
          <cell r="J198">
            <v>5</v>
          </cell>
          <cell r="R198"/>
          <cell r="S198">
            <v>93430</v>
          </cell>
          <cell r="V198">
            <v>93430</v>
          </cell>
        </row>
        <row r="199">
          <cell r="J199">
            <v>0</v>
          </cell>
          <cell r="R199"/>
          <cell r="S199">
            <v>85464</v>
          </cell>
          <cell r="V199"/>
        </row>
        <row r="200">
          <cell r="J200">
            <v>0</v>
          </cell>
          <cell r="R200"/>
          <cell r="S200">
            <v>84004</v>
          </cell>
          <cell r="V200">
            <v>169468</v>
          </cell>
        </row>
        <row r="201">
          <cell r="J201">
            <v>0</v>
          </cell>
          <cell r="R201"/>
          <cell r="S201">
            <v>84004</v>
          </cell>
          <cell r="V201"/>
        </row>
        <row r="202">
          <cell r="J202">
            <v>0</v>
          </cell>
          <cell r="R202"/>
          <cell r="S202">
            <v>84004</v>
          </cell>
          <cell r="V202">
            <v>168008</v>
          </cell>
        </row>
        <row r="203">
          <cell r="J203">
            <v>0</v>
          </cell>
          <cell r="R203"/>
          <cell r="S203">
            <v>84004</v>
          </cell>
          <cell r="V203"/>
        </row>
        <row r="204">
          <cell r="J204">
            <v>-5220</v>
          </cell>
          <cell r="R204"/>
          <cell r="S204">
            <v>-3888972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1">
        <row r="175">
          <cell r="J175">
            <v>54</v>
          </cell>
          <cell r="R175"/>
          <cell r="S175">
            <v>147841</v>
          </cell>
          <cell r="V175">
            <v>147841</v>
          </cell>
        </row>
        <row r="176">
          <cell r="J176">
            <v>68</v>
          </cell>
          <cell r="R176"/>
          <cell r="S176">
            <v>149973</v>
          </cell>
          <cell r="V176">
            <v>147841</v>
          </cell>
        </row>
        <row r="177">
          <cell r="J177">
            <v>65</v>
          </cell>
          <cell r="R177"/>
          <cell r="S177">
            <v>153698</v>
          </cell>
          <cell r="V177">
            <v>155830</v>
          </cell>
        </row>
        <row r="178">
          <cell r="J178">
            <v>40</v>
          </cell>
          <cell r="R178"/>
          <cell r="S178">
            <v>131693</v>
          </cell>
          <cell r="V178">
            <v>131693</v>
          </cell>
        </row>
        <row r="179">
          <cell r="J179">
            <v>25</v>
          </cell>
          <cell r="R179"/>
          <cell r="S179">
            <v>123600</v>
          </cell>
          <cell r="V179">
            <v>123600</v>
          </cell>
        </row>
        <row r="180">
          <cell r="J180">
            <v>7</v>
          </cell>
          <cell r="R180"/>
          <cell r="S180">
            <v>105946</v>
          </cell>
          <cell r="V180">
            <v>105944</v>
          </cell>
        </row>
        <row r="181">
          <cell r="J181">
            <v>0</v>
          </cell>
          <cell r="R181"/>
          <cell r="S181">
            <v>99843</v>
          </cell>
          <cell r="V181">
            <v>99845</v>
          </cell>
        </row>
        <row r="182">
          <cell r="J182">
            <v>7</v>
          </cell>
          <cell r="R182"/>
          <cell r="S182">
            <v>109701</v>
          </cell>
          <cell r="V182">
            <v>109701</v>
          </cell>
        </row>
        <row r="183">
          <cell r="J183">
            <v>29</v>
          </cell>
          <cell r="R183"/>
          <cell r="S183">
            <v>124059</v>
          </cell>
          <cell r="V183">
            <v>124059</v>
          </cell>
        </row>
        <row r="184">
          <cell r="J184">
            <v>18</v>
          </cell>
          <cell r="R184"/>
          <cell r="S184">
            <v>113523</v>
          </cell>
          <cell r="V184">
            <v>113523</v>
          </cell>
        </row>
        <row r="185">
          <cell r="J185">
            <v>39</v>
          </cell>
          <cell r="R185"/>
          <cell r="S185">
            <v>135365</v>
          </cell>
          <cell r="V185">
            <v>135365</v>
          </cell>
        </row>
        <row r="186">
          <cell r="J186">
            <v>32</v>
          </cell>
          <cell r="R186"/>
          <cell r="S186">
            <v>136290</v>
          </cell>
          <cell r="V186">
            <v>136290</v>
          </cell>
        </row>
        <row r="187">
          <cell r="J187">
            <v>39</v>
          </cell>
          <cell r="R187"/>
          <cell r="S187">
            <v>144719</v>
          </cell>
          <cell r="V187">
            <v>144719</v>
          </cell>
        </row>
        <row r="188">
          <cell r="J188">
            <v>32</v>
          </cell>
          <cell r="R188"/>
          <cell r="S188">
            <v>136164</v>
          </cell>
          <cell r="V188">
            <v>136164</v>
          </cell>
        </row>
        <row r="189">
          <cell r="J189">
            <v>35</v>
          </cell>
          <cell r="R189"/>
          <cell r="S189">
            <v>140920</v>
          </cell>
          <cell r="V189">
            <v>140920</v>
          </cell>
        </row>
        <row r="190">
          <cell r="J190">
            <v>33</v>
          </cell>
          <cell r="R190"/>
          <cell r="S190">
            <v>136309</v>
          </cell>
          <cell r="V190">
            <v>136309</v>
          </cell>
        </row>
        <row r="191">
          <cell r="J191">
            <v>31</v>
          </cell>
          <cell r="R191"/>
          <cell r="S191">
            <v>129957</v>
          </cell>
          <cell r="V191">
            <v>129957</v>
          </cell>
        </row>
        <row r="192">
          <cell r="J192">
            <v>13</v>
          </cell>
          <cell r="R192"/>
          <cell r="S192">
            <v>113934</v>
          </cell>
          <cell r="V192">
            <v>113934</v>
          </cell>
        </row>
        <row r="193">
          <cell r="J193">
            <v>16</v>
          </cell>
          <cell r="R193"/>
          <cell r="S193">
            <v>121902</v>
          </cell>
          <cell r="V193">
            <v>121902</v>
          </cell>
        </row>
        <row r="194">
          <cell r="J194">
            <v>17</v>
          </cell>
          <cell r="R194"/>
          <cell r="S194">
            <v>120004</v>
          </cell>
          <cell r="V194">
            <v>120004</v>
          </cell>
        </row>
        <row r="195">
          <cell r="J195">
            <v>19</v>
          </cell>
          <cell r="R195"/>
          <cell r="S195">
            <v>121143</v>
          </cell>
          <cell r="V195">
            <v>121143</v>
          </cell>
        </row>
        <row r="196">
          <cell r="J196">
            <v>17</v>
          </cell>
          <cell r="R196"/>
          <cell r="S196">
            <v>113186</v>
          </cell>
          <cell r="V196">
            <v>113186</v>
          </cell>
        </row>
        <row r="197">
          <cell r="J197">
            <v>54</v>
          </cell>
          <cell r="R197"/>
          <cell r="S197">
            <v>138425</v>
          </cell>
          <cell r="V197">
            <v>138425</v>
          </cell>
        </row>
        <row r="198">
          <cell r="J198">
            <v>52</v>
          </cell>
          <cell r="R198"/>
          <cell r="S198">
            <v>147099</v>
          </cell>
          <cell r="V198">
            <v>147099</v>
          </cell>
        </row>
        <row r="199">
          <cell r="J199">
            <v>56</v>
          </cell>
          <cell r="R199"/>
          <cell r="S199">
            <v>160364</v>
          </cell>
          <cell r="V199">
            <v>160364</v>
          </cell>
        </row>
        <row r="200">
          <cell r="J200">
            <v>66</v>
          </cell>
          <cell r="R200"/>
          <cell r="S200">
            <v>165957</v>
          </cell>
          <cell r="V200">
            <v>165957</v>
          </cell>
        </row>
        <row r="201">
          <cell r="J201">
            <v>56</v>
          </cell>
          <cell r="R201"/>
          <cell r="S201">
            <v>154092</v>
          </cell>
          <cell r="V201">
            <v>154092</v>
          </cell>
        </row>
        <row r="202">
          <cell r="J202">
            <v>50</v>
          </cell>
          <cell r="R202"/>
          <cell r="S202">
            <v>148431</v>
          </cell>
          <cell r="V202"/>
        </row>
        <row r="203">
          <cell r="J203">
            <v>29</v>
          </cell>
          <cell r="R203"/>
          <cell r="S203">
            <v>136138</v>
          </cell>
          <cell r="V203"/>
        </row>
        <row r="204">
          <cell r="J204">
            <v>-1778</v>
          </cell>
          <cell r="R204"/>
          <cell r="S204">
            <v>-1951024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2">
        <row r="175">
          <cell r="J175">
            <v>5</v>
          </cell>
          <cell r="R175"/>
          <cell r="S175">
            <v>100886</v>
          </cell>
          <cell r="V175">
            <v>97155</v>
          </cell>
        </row>
        <row r="176">
          <cell r="J176">
            <v>3</v>
          </cell>
          <cell r="R176"/>
          <cell r="S176">
            <v>96410</v>
          </cell>
          <cell r="V176">
            <v>100141</v>
          </cell>
        </row>
        <row r="177">
          <cell r="J177">
            <v>2</v>
          </cell>
          <cell r="R177"/>
          <cell r="S177">
            <v>99209</v>
          </cell>
          <cell r="V177">
            <v>99209</v>
          </cell>
        </row>
        <row r="178">
          <cell r="J178">
            <v>5</v>
          </cell>
          <cell r="R178"/>
          <cell r="S178">
            <v>100156</v>
          </cell>
          <cell r="V178">
            <v>100156</v>
          </cell>
        </row>
        <row r="179">
          <cell r="J179">
            <v>5</v>
          </cell>
          <cell r="R179"/>
          <cell r="S179">
            <v>100594</v>
          </cell>
          <cell r="V179">
            <v>100594</v>
          </cell>
        </row>
        <row r="180">
          <cell r="J180">
            <v>3</v>
          </cell>
          <cell r="R180"/>
          <cell r="S180">
            <v>98016</v>
          </cell>
          <cell r="V180">
            <v>98016</v>
          </cell>
        </row>
        <row r="181">
          <cell r="J181">
            <v>3</v>
          </cell>
          <cell r="R181"/>
          <cell r="S181">
            <v>99330</v>
          </cell>
          <cell r="V181">
            <v>99330</v>
          </cell>
        </row>
        <row r="182">
          <cell r="J182">
            <v>4</v>
          </cell>
          <cell r="R182"/>
          <cell r="S182">
            <v>101016</v>
          </cell>
          <cell r="V182">
            <v>101016</v>
          </cell>
        </row>
        <row r="183">
          <cell r="J183">
            <v>6</v>
          </cell>
          <cell r="R183"/>
          <cell r="S183">
            <v>101566</v>
          </cell>
          <cell r="V183">
            <v>101566</v>
          </cell>
        </row>
        <row r="184">
          <cell r="J184">
            <v>9</v>
          </cell>
          <cell r="R184"/>
          <cell r="S184">
            <v>103820</v>
          </cell>
          <cell r="V184">
            <v>103820</v>
          </cell>
        </row>
        <row r="185">
          <cell r="J185">
            <v>5</v>
          </cell>
          <cell r="R185"/>
          <cell r="S185">
            <v>102927</v>
          </cell>
          <cell r="V185">
            <v>102927</v>
          </cell>
        </row>
        <row r="186">
          <cell r="J186">
            <v>6</v>
          </cell>
          <cell r="R186"/>
          <cell r="S186">
            <v>103214</v>
          </cell>
          <cell r="V186">
            <v>103214</v>
          </cell>
        </row>
        <row r="187">
          <cell r="J187">
            <v>8</v>
          </cell>
          <cell r="R187"/>
          <cell r="S187">
            <v>110892</v>
          </cell>
          <cell r="V187">
            <v>110892</v>
          </cell>
        </row>
        <row r="188">
          <cell r="J188">
            <v>5</v>
          </cell>
          <cell r="R188"/>
          <cell r="S188">
            <v>104281</v>
          </cell>
          <cell r="V188">
            <v>104281</v>
          </cell>
        </row>
        <row r="189">
          <cell r="J189">
            <v>8</v>
          </cell>
          <cell r="R189"/>
          <cell r="S189">
            <v>108307</v>
          </cell>
          <cell r="V189">
            <v>108307</v>
          </cell>
        </row>
        <row r="190">
          <cell r="J190">
            <v>9</v>
          </cell>
          <cell r="R190"/>
          <cell r="S190">
            <v>110483</v>
          </cell>
          <cell r="V190">
            <v>110483</v>
          </cell>
        </row>
        <row r="191">
          <cell r="J191">
            <v>13</v>
          </cell>
          <cell r="R191"/>
          <cell r="S191">
            <v>111135</v>
          </cell>
          <cell r="V191">
            <v>111135</v>
          </cell>
        </row>
        <row r="192">
          <cell r="J192">
            <v>7</v>
          </cell>
          <cell r="R192"/>
          <cell r="S192">
            <v>106054</v>
          </cell>
          <cell r="V192">
            <v>106054</v>
          </cell>
        </row>
        <row r="193">
          <cell r="J193">
            <v>7</v>
          </cell>
          <cell r="R193"/>
          <cell r="S193">
            <v>107965</v>
          </cell>
          <cell r="V193">
            <v>107965</v>
          </cell>
        </row>
        <row r="194">
          <cell r="J194">
            <v>8</v>
          </cell>
          <cell r="R194"/>
          <cell r="S194">
            <v>107673</v>
          </cell>
          <cell r="V194">
            <v>107673</v>
          </cell>
        </row>
        <row r="195">
          <cell r="J195">
            <v>7</v>
          </cell>
          <cell r="R195"/>
          <cell r="S195">
            <v>102901</v>
          </cell>
          <cell r="V195">
            <v>102901</v>
          </cell>
        </row>
        <row r="196">
          <cell r="J196">
            <v>11</v>
          </cell>
          <cell r="R196"/>
          <cell r="S196">
            <v>109686</v>
          </cell>
          <cell r="V196">
            <v>109686</v>
          </cell>
        </row>
        <row r="197">
          <cell r="J197">
            <v>16</v>
          </cell>
          <cell r="R197"/>
          <cell r="S197">
            <v>111489</v>
          </cell>
          <cell r="V197">
            <v>111498</v>
          </cell>
        </row>
        <row r="198">
          <cell r="J198">
            <v>21</v>
          </cell>
          <cell r="R198"/>
          <cell r="S198">
            <v>113710</v>
          </cell>
          <cell r="V198">
            <v>113701</v>
          </cell>
        </row>
        <row r="199">
          <cell r="J199">
            <v>20</v>
          </cell>
          <cell r="R199"/>
          <cell r="S199">
            <v>116588</v>
          </cell>
          <cell r="V199">
            <v>116588</v>
          </cell>
        </row>
        <row r="200">
          <cell r="J200">
            <v>23</v>
          </cell>
          <cell r="R200"/>
          <cell r="S200">
            <v>119436</v>
          </cell>
          <cell r="V200">
            <v>119436</v>
          </cell>
        </row>
        <row r="201">
          <cell r="J201">
            <v>19</v>
          </cell>
          <cell r="R201"/>
          <cell r="S201">
            <v>112385</v>
          </cell>
          <cell r="V201">
            <v>112385</v>
          </cell>
        </row>
        <row r="202">
          <cell r="J202">
            <v>15</v>
          </cell>
          <cell r="R202"/>
          <cell r="S202">
            <v>108280</v>
          </cell>
          <cell r="V202">
            <v>108280</v>
          </cell>
        </row>
        <row r="203">
          <cell r="J203">
            <v>18</v>
          </cell>
          <cell r="R203"/>
          <cell r="S203">
            <v>112031</v>
          </cell>
          <cell r="V203"/>
        </row>
        <row r="204">
          <cell r="J204">
            <v>-319</v>
          </cell>
          <cell r="R204"/>
          <cell r="S204">
            <v>-494503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3">
        <row r="175">
          <cell r="J175">
            <v>70</v>
          </cell>
          <cell r="R175"/>
          <cell r="S175">
            <v>182481</v>
          </cell>
          <cell r="V175">
            <v>182481</v>
          </cell>
        </row>
        <row r="176">
          <cell r="J176">
            <v>35</v>
          </cell>
          <cell r="R176"/>
          <cell r="S176">
            <v>162332</v>
          </cell>
          <cell r="V176">
            <v>158601</v>
          </cell>
        </row>
        <row r="177">
          <cell r="J177">
            <v>61</v>
          </cell>
          <cell r="R177"/>
          <cell r="S177">
            <v>173070</v>
          </cell>
          <cell r="V177">
            <v>176801</v>
          </cell>
        </row>
        <row r="178">
          <cell r="J178">
            <v>50</v>
          </cell>
          <cell r="R178"/>
          <cell r="S178">
            <v>152613</v>
          </cell>
          <cell r="V178">
            <v>152613</v>
          </cell>
        </row>
        <row r="179">
          <cell r="J179">
            <v>136</v>
          </cell>
          <cell r="R179"/>
          <cell r="S179">
            <v>182105</v>
          </cell>
          <cell r="V179">
            <v>182105</v>
          </cell>
        </row>
        <row r="180">
          <cell r="J180">
            <v>6</v>
          </cell>
          <cell r="R180"/>
          <cell r="S180">
            <v>126411</v>
          </cell>
          <cell r="V180">
            <v>126411</v>
          </cell>
        </row>
        <row r="181">
          <cell r="J181">
            <v>10</v>
          </cell>
          <cell r="R181"/>
          <cell r="S181">
            <v>133173</v>
          </cell>
          <cell r="V181">
            <v>133173</v>
          </cell>
        </row>
        <row r="182">
          <cell r="J182">
            <v>9</v>
          </cell>
          <cell r="R182"/>
          <cell r="S182">
            <v>124689</v>
          </cell>
          <cell r="V182">
            <v>124689</v>
          </cell>
        </row>
        <row r="183">
          <cell r="J183">
            <v>12</v>
          </cell>
          <cell r="R183"/>
          <cell r="S183">
            <v>119228</v>
          </cell>
          <cell r="V183">
            <v>119228</v>
          </cell>
        </row>
        <row r="184">
          <cell r="J184">
            <v>18</v>
          </cell>
          <cell r="R184"/>
          <cell r="S184">
            <v>115421</v>
          </cell>
          <cell r="V184"/>
        </row>
        <row r="185">
          <cell r="J185">
            <v>24</v>
          </cell>
          <cell r="R185"/>
          <cell r="S185">
            <v>120118</v>
          </cell>
          <cell r="V185">
            <v>235539</v>
          </cell>
        </row>
        <row r="186">
          <cell r="J186">
            <v>30</v>
          </cell>
          <cell r="R186"/>
          <cell r="S186">
            <v>130792</v>
          </cell>
          <cell r="V186"/>
        </row>
        <row r="187">
          <cell r="J187">
            <v>37</v>
          </cell>
          <cell r="R187"/>
          <cell r="S187">
            <v>139221</v>
          </cell>
          <cell r="V187">
            <v>200000</v>
          </cell>
        </row>
        <row r="188">
          <cell r="J188">
            <v>24</v>
          </cell>
          <cell r="R188"/>
          <cell r="S188">
            <v>124392</v>
          </cell>
          <cell r="V188">
            <v>250000</v>
          </cell>
        </row>
        <row r="189">
          <cell r="J189">
            <v>30</v>
          </cell>
          <cell r="R189"/>
          <cell r="S189">
            <v>146301</v>
          </cell>
          <cell r="V189"/>
        </row>
        <row r="190">
          <cell r="J190">
            <v>14</v>
          </cell>
          <cell r="R190"/>
          <cell r="S190">
            <v>139704</v>
          </cell>
          <cell r="V190">
            <v>200000</v>
          </cell>
        </row>
        <row r="191">
          <cell r="J191">
            <v>15</v>
          </cell>
          <cell r="R191"/>
          <cell r="S191">
            <v>170361</v>
          </cell>
          <cell r="V191"/>
        </row>
        <row r="192">
          <cell r="J192">
            <v>3</v>
          </cell>
          <cell r="R192"/>
          <cell r="S192">
            <v>100314</v>
          </cell>
          <cell r="V192">
            <v>201085</v>
          </cell>
        </row>
        <row r="193">
          <cell r="J193">
            <v>1</v>
          </cell>
          <cell r="R193"/>
          <cell r="S193">
            <v>94829</v>
          </cell>
          <cell r="V193">
            <v>200000</v>
          </cell>
        </row>
        <row r="194">
          <cell r="J194">
            <v>3</v>
          </cell>
          <cell r="R194"/>
          <cell r="S194">
            <v>97432</v>
          </cell>
          <cell r="V194">
            <v>92261</v>
          </cell>
        </row>
        <row r="195">
          <cell r="J195">
            <v>3</v>
          </cell>
          <cell r="R195">
            <v>54864</v>
          </cell>
          <cell r="S195">
            <v>147061</v>
          </cell>
          <cell r="V195"/>
        </row>
        <row r="196">
          <cell r="J196">
            <v>6</v>
          </cell>
          <cell r="R196">
            <v>55066</v>
          </cell>
          <cell r="S196">
            <v>151007</v>
          </cell>
          <cell r="V196">
            <v>298068</v>
          </cell>
        </row>
        <row r="197">
          <cell r="J197">
            <v>17</v>
          </cell>
          <cell r="R197"/>
          <cell r="S197">
            <v>103580</v>
          </cell>
          <cell r="V197"/>
        </row>
        <row r="198">
          <cell r="J198">
            <v>51</v>
          </cell>
          <cell r="R198"/>
          <cell r="S198">
            <v>120114</v>
          </cell>
          <cell r="V198">
            <v>223694</v>
          </cell>
        </row>
        <row r="199">
          <cell r="J199">
            <v>49</v>
          </cell>
          <cell r="R199"/>
          <cell r="S199">
            <v>160247</v>
          </cell>
          <cell r="V199">
            <v>160247</v>
          </cell>
        </row>
        <row r="200">
          <cell r="J200">
            <v>84</v>
          </cell>
          <cell r="R200"/>
          <cell r="S200">
            <v>203905</v>
          </cell>
          <cell r="V200">
            <v>203905</v>
          </cell>
        </row>
        <row r="201">
          <cell r="J201">
            <v>65</v>
          </cell>
          <cell r="R201"/>
          <cell r="S201">
            <v>167737</v>
          </cell>
          <cell r="V201">
            <v>167737</v>
          </cell>
        </row>
        <row r="202">
          <cell r="J202">
            <v>29</v>
          </cell>
          <cell r="R202"/>
          <cell r="S202">
            <v>143846</v>
          </cell>
          <cell r="V202">
            <v>145000</v>
          </cell>
        </row>
        <row r="203">
          <cell r="J203">
            <v>20</v>
          </cell>
          <cell r="R203"/>
          <cell r="S203">
            <v>136071</v>
          </cell>
          <cell r="V203"/>
        </row>
        <row r="204">
          <cell r="J204">
            <v>-1665</v>
          </cell>
          <cell r="R204"/>
          <cell r="S204">
            <v>-3570653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4">
        <row r="175">
          <cell r="J175">
            <v>48</v>
          </cell>
          <cell r="R175"/>
          <cell r="S175">
            <v>122733</v>
          </cell>
          <cell r="V175"/>
        </row>
        <row r="176">
          <cell r="J176">
            <v>48</v>
          </cell>
          <cell r="R176"/>
          <cell r="S176">
            <v>120397</v>
          </cell>
          <cell r="V176">
            <v>136378</v>
          </cell>
        </row>
        <row r="177">
          <cell r="J177">
            <v>69</v>
          </cell>
          <cell r="R177"/>
          <cell r="S177">
            <v>133450</v>
          </cell>
          <cell r="V177">
            <v>133450</v>
          </cell>
        </row>
        <row r="178">
          <cell r="J178">
            <v>49</v>
          </cell>
          <cell r="R178"/>
          <cell r="S178">
            <v>121394</v>
          </cell>
          <cell r="V178">
            <v>121394</v>
          </cell>
        </row>
        <row r="179">
          <cell r="J179">
            <v>23</v>
          </cell>
          <cell r="R179"/>
          <cell r="S179">
            <v>104816</v>
          </cell>
          <cell r="V179"/>
        </row>
        <row r="180">
          <cell r="J180">
            <v>20</v>
          </cell>
          <cell r="R180"/>
          <cell r="S180">
            <v>103577</v>
          </cell>
          <cell r="V180">
            <v>208393</v>
          </cell>
        </row>
        <row r="181">
          <cell r="J181">
            <v>21</v>
          </cell>
          <cell r="R181"/>
          <cell r="S181">
            <v>103552</v>
          </cell>
          <cell r="V181">
            <v>103552</v>
          </cell>
        </row>
        <row r="182">
          <cell r="J182">
            <v>17</v>
          </cell>
          <cell r="R182"/>
          <cell r="S182">
            <v>102881</v>
          </cell>
          <cell r="V182">
            <v>102881</v>
          </cell>
        </row>
        <row r="183">
          <cell r="J183">
            <v>2</v>
          </cell>
          <cell r="R183"/>
          <cell r="S183">
            <v>93636</v>
          </cell>
          <cell r="V183">
            <v>93636</v>
          </cell>
        </row>
        <row r="184">
          <cell r="J184">
            <v>12</v>
          </cell>
          <cell r="R184"/>
          <cell r="S184">
            <v>100387</v>
          </cell>
          <cell r="V184"/>
        </row>
        <row r="185">
          <cell r="J185">
            <v>25</v>
          </cell>
          <cell r="R185"/>
          <cell r="S185">
            <v>106953</v>
          </cell>
          <cell r="V185">
            <v>207340</v>
          </cell>
        </row>
        <row r="186">
          <cell r="J186">
            <v>34</v>
          </cell>
          <cell r="R186"/>
          <cell r="S186">
            <v>112150</v>
          </cell>
          <cell r="V186">
            <v>112150</v>
          </cell>
        </row>
        <row r="187">
          <cell r="J187">
            <v>46</v>
          </cell>
          <cell r="R187"/>
          <cell r="S187">
            <v>123958</v>
          </cell>
          <cell r="V187">
            <v>125000</v>
          </cell>
        </row>
        <row r="188">
          <cell r="J188">
            <v>25</v>
          </cell>
          <cell r="R188"/>
          <cell r="S188">
            <v>108307</v>
          </cell>
          <cell r="V188">
            <v>108307</v>
          </cell>
        </row>
        <row r="189">
          <cell r="J189">
            <v>34</v>
          </cell>
          <cell r="R189"/>
          <cell r="S189">
            <v>115541</v>
          </cell>
          <cell r="V189">
            <v>100000</v>
          </cell>
        </row>
        <row r="190">
          <cell r="J190">
            <v>28</v>
          </cell>
          <cell r="R190"/>
          <cell r="S190">
            <v>111906</v>
          </cell>
          <cell r="V190">
            <v>126405</v>
          </cell>
        </row>
        <row r="191">
          <cell r="J191">
            <v>28</v>
          </cell>
          <cell r="R191"/>
          <cell r="S191">
            <v>110614</v>
          </cell>
          <cell r="V191">
            <v>110614</v>
          </cell>
        </row>
        <row r="192">
          <cell r="J192">
            <v>1</v>
          </cell>
          <cell r="R192"/>
          <cell r="S192">
            <v>93502</v>
          </cell>
          <cell r="V192">
            <v>93502</v>
          </cell>
        </row>
        <row r="193">
          <cell r="J193">
            <v>1</v>
          </cell>
          <cell r="R193"/>
          <cell r="S193">
            <v>97603</v>
          </cell>
          <cell r="V193">
            <v>97603</v>
          </cell>
        </row>
        <row r="194">
          <cell r="J194">
            <v>4</v>
          </cell>
          <cell r="R194"/>
          <cell r="S194">
            <v>96677</v>
          </cell>
          <cell r="V194">
            <v>100000</v>
          </cell>
        </row>
        <row r="195">
          <cell r="J195">
            <v>16</v>
          </cell>
          <cell r="R195"/>
          <cell r="S195">
            <v>101654</v>
          </cell>
          <cell r="V195">
            <v>100000</v>
          </cell>
        </row>
        <row r="196">
          <cell r="J196">
            <v>24</v>
          </cell>
          <cell r="R196"/>
          <cell r="S196">
            <v>108777</v>
          </cell>
          <cell r="V196">
            <v>107108</v>
          </cell>
        </row>
        <row r="197">
          <cell r="J197">
            <v>34</v>
          </cell>
          <cell r="R197"/>
          <cell r="S197">
            <v>116733</v>
          </cell>
          <cell r="V197">
            <v>116733</v>
          </cell>
        </row>
        <row r="198">
          <cell r="J198">
            <v>36</v>
          </cell>
          <cell r="R198"/>
          <cell r="S198">
            <v>117131</v>
          </cell>
          <cell r="V198">
            <v>117131</v>
          </cell>
        </row>
        <row r="199">
          <cell r="J199">
            <v>31</v>
          </cell>
          <cell r="R199"/>
          <cell r="S199">
            <v>117919</v>
          </cell>
          <cell r="V199">
            <v>118000</v>
          </cell>
        </row>
        <row r="200">
          <cell r="J200">
            <v>30</v>
          </cell>
          <cell r="R200"/>
          <cell r="S200">
            <v>112691</v>
          </cell>
          <cell r="V200">
            <v>112691</v>
          </cell>
        </row>
        <row r="201">
          <cell r="J201">
            <v>29</v>
          </cell>
          <cell r="R201"/>
          <cell r="S201">
            <v>111551</v>
          </cell>
          <cell r="V201"/>
        </row>
        <row r="202">
          <cell r="J202">
            <v>32</v>
          </cell>
          <cell r="R202"/>
          <cell r="S202">
            <v>115885</v>
          </cell>
          <cell r="V202">
            <v>227355</v>
          </cell>
        </row>
        <row r="203">
          <cell r="J203">
            <v>114</v>
          </cell>
          <cell r="R203"/>
          <cell r="S203">
            <v>164819</v>
          </cell>
          <cell r="V203"/>
        </row>
        <row r="204">
          <cell r="J204">
            <v>-2819</v>
          </cell>
          <cell r="R204"/>
          <cell r="S204">
            <v>-1946023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5">
        <row r="175">
          <cell r="J175">
            <v>22</v>
          </cell>
          <cell r="R175"/>
          <cell r="S175">
            <v>110973</v>
          </cell>
          <cell r="V175">
            <v>110973</v>
          </cell>
        </row>
        <row r="176">
          <cell r="J176">
            <v>11</v>
          </cell>
          <cell r="R176"/>
          <cell r="S176">
            <v>101758</v>
          </cell>
          <cell r="V176">
            <v>101758</v>
          </cell>
        </row>
        <row r="177">
          <cell r="J177">
            <v>18</v>
          </cell>
          <cell r="R177"/>
          <cell r="S177">
            <v>108737</v>
          </cell>
          <cell r="V177">
            <v>108737</v>
          </cell>
        </row>
        <row r="178">
          <cell r="J178">
            <v>2</v>
          </cell>
          <cell r="R178"/>
          <cell r="S178">
            <v>96727</v>
          </cell>
          <cell r="V178">
            <v>96727</v>
          </cell>
        </row>
        <row r="179">
          <cell r="J179">
            <v>4</v>
          </cell>
          <cell r="R179"/>
          <cell r="S179">
            <v>96531</v>
          </cell>
          <cell r="V179">
            <v>96531</v>
          </cell>
        </row>
        <row r="180">
          <cell r="J180">
            <v>0</v>
          </cell>
          <cell r="R180"/>
          <cell r="S180">
            <v>93419</v>
          </cell>
          <cell r="V180">
            <v>93419</v>
          </cell>
        </row>
        <row r="181">
          <cell r="J181">
            <v>0</v>
          </cell>
          <cell r="R181"/>
          <cell r="S181">
            <v>92105</v>
          </cell>
          <cell r="V181">
            <v>92105</v>
          </cell>
        </row>
        <row r="182">
          <cell r="J182">
            <v>2</v>
          </cell>
          <cell r="R182"/>
          <cell r="S182">
            <v>96102</v>
          </cell>
          <cell r="V182">
            <v>96102</v>
          </cell>
        </row>
        <row r="183">
          <cell r="J183">
            <v>10</v>
          </cell>
          <cell r="R183"/>
          <cell r="S183">
            <v>107890</v>
          </cell>
          <cell r="V183">
            <v>107890</v>
          </cell>
        </row>
        <row r="184">
          <cell r="J184">
            <v>1</v>
          </cell>
          <cell r="R184"/>
          <cell r="S184">
            <v>95114</v>
          </cell>
          <cell r="V184">
            <v>95114</v>
          </cell>
        </row>
        <row r="185">
          <cell r="J185">
            <v>0</v>
          </cell>
          <cell r="R185"/>
          <cell r="S185">
            <v>93562</v>
          </cell>
          <cell r="V185">
            <v>93562</v>
          </cell>
        </row>
        <row r="186">
          <cell r="J186">
            <v>62</v>
          </cell>
          <cell r="R186"/>
          <cell r="S186">
            <v>154228</v>
          </cell>
          <cell r="V186">
            <v>154228</v>
          </cell>
        </row>
        <row r="187">
          <cell r="J187">
            <v>76</v>
          </cell>
          <cell r="R187"/>
          <cell r="S187">
            <v>164380</v>
          </cell>
          <cell r="V187">
            <v>164380</v>
          </cell>
        </row>
        <row r="188">
          <cell r="J188">
            <v>9</v>
          </cell>
          <cell r="R188"/>
          <cell r="S188">
            <v>108123</v>
          </cell>
          <cell r="V188">
            <v>108123</v>
          </cell>
        </row>
        <row r="189">
          <cell r="J189">
            <v>12</v>
          </cell>
          <cell r="R189"/>
          <cell r="S189">
            <v>123975</v>
          </cell>
          <cell r="V189">
            <v>123975</v>
          </cell>
        </row>
        <row r="190">
          <cell r="J190">
            <v>2</v>
          </cell>
          <cell r="R190"/>
          <cell r="S190">
            <v>96350</v>
          </cell>
          <cell r="V190">
            <v>96350</v>
          </cell>
        </row>
        <row r="191">
          <cell r="J191">
            <v>13</v>
          </cell>
          <cell r="R191"/>
          <cell r="S191">
            <v>106171</v>
          </cell>
          <cell r="V191">
            <v>106171</v>
          </cell>
        </row>
        <row r="192">
          <cell r="J192">
            <v>2</v>
          </cell>
          <cell r="R192"/>
          <cell r="S192">
            <v>92017</v>
          </cell>
          <cell r="V192">
            <v>92017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65</v>
          </cell>
          <cell r="R195"/>
          <cell r="S195">
            <v>129483</v>
          </cell>
          <cell r="V195">
            <v>129483</v>
          </cell>
        </row>
        <row r="196">
          <cell r="J196">
            <v>0</v>
          </cell>
          <cell r="R196"/>
          <cell r="S196">
            <v>90981</v>
          </cell>
          <cell r="V196">
            <v>90981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38</v>
          </cell>
          <cell r="R198"/>
          <cell r="S198">
            <v>118833</v>
          </cell>
          <cell r="V198">
            <v>118833</v>
          </cell>
        </row>
        <row r="199">
          <cell r="J199">
            <v>50</v>
          </cell>
          <cell r="R199"/>
          <cell r="S199">
            <v>137008</v>
          </cell>
          <cell r="V199">
            <v>137008</v>
          </cell>
        </row>
        <row r="200">
          <cell r="J200">
            <v>0</v>
          </cell>
          <cell r="R200"/>
          <cell r="S200">
            <v>105119</v>
          </cell>
          <cell r="V200">
            <v>105119</v>
          </cell>
        </row>
        <row r="201">
          <cell r="J201">
            <v>9</v>
          </cell>
          <cell r="R201"/>
          <cell r="S201">
            <v>113803</v>
          </cell>
          <cell r="V201">
            <v>113803</v>
          </cell>
        </row>
        <row r="202">
          <cell r="J202">
            <v>6</v>
          </cell>
          <cell r="R202"/>
          <cell r="S202">
            <v>110987</v>
          </cell>
          <cell r="V202">
            <v>110987</v>
          </cell>
        </row>
        <row r="203">
          <cell r="J203">
            <v>0</v>
          </cell>
          <cell r="R203"/>
          <cell r="S203">
            <v>107517</v>
          </cell>
          <cell r="V203"/>
        </row>
        <row r="204">
          <cell r="J204">
            <v>-1074</v>
          </cell>
          <cell r="R204"/>
          <cell r="S204">
            <v>-2133020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6">
        <row r="175">
          <cell r="J175">
            <v>0</v>
          </cell>
          <cell r="R175"/>
          <cell r="S175">
            <v>87141</v>
          </cell>
          <cell r="V175"/>
        </row>
        <row r="176">
          <cell r="J176">
            <v>0</v>
          </cell>
          <cell r="R176"/>
          <cell r="S176">
            <v>87141</v>
          </cell>
          <cell r="V176">
            <v>174282</v>
          </cell>
        </row>
        <row r="177">
          <cell r="J177">
            <v>0</v>
          </cell>
          <cell r="R177"/>
          <cell r="S177">
            <v>87141</v>
          </cell>
          <cell r="V177">
            <v>87141</v>
          </cell>
        </row>
        <row r="178">
          <cell r="J178">
            <v>0</v>
          </cell>
          <cell r="R178"/>
          <cell r="S178">
            <v>87141</v>
          </cell>
          <cell r="V178">
            <v>87141</v>
          </cell>
        </row>
        <row r="179">
          <cell r="J179">
            <v>0</v>
          </cell>
          <cell r="R179"/>
          <cell r="S179">
            <v>87141</v>
          </cell>
          <cell r="V179">
            <v>87141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>
            <v>87141</v>
          </cell>
        </row>
        <row r="182">
          <cell r="J182">
            <v>0</v>
          </cell>
          <cell r="R182"/>
          <cell r="S182">
            <v>88122</v>
          </cell>
          <cell r="V182">
            <v>88122</v>
          </cell>
        </row>
        <row r="183">
          <cell r="J183">
            <v>0</v>
          </cell>
          <cell r="R183"/>
          <cell r="S183">
            <v>88138</v>
          </cell>
          <cell r="V183">
            <v>88138</v>
          </cell>
        </row>
        <row r="184">
          <cell r="J184">
            <v>0</v>
          </cell>
          <cell r="R184"/>
          <cell r="S184">
            <v>88131</v>
          </cell>
          <cell r="V184">
            <v>88160</v>
          </cell>
        </row>
        <row r="185">
          <cell r="J185">
            <v>0</v>
          </cell>
          <cell r="R185"/>
          <cell r="S185">
            <v>88160</v>
          </cell>
          <cell r="V185">
            <v>88131</v>
          </cell>
        </row>
        <row r="186">
          <cell r="J186">
            <v>0</v>
          </cell>
          <cell r="R186"/>
          <cell r="S186">
            <v>88180</v>
          </cell>
          <cell r="V186"/>
        </row>
        <row r="187">
          <cell r="J187">
            <v>0</v>
          </cell>
          <cell r="R187"/>
          <cell r="S187">
            <v>89922</v>
          </cell>
          <cell r="V187"/>
        </row>
        <row r="188">
          <cell r="J188">
            <v>0</v>
          </cell>
          <cell r="R188"/>
          <cell r="S188">
            <v>89952</v>
          </cell>
          <cell r="V188">
            <v>268054</v>
          </cell>
        </row>
        <row r="189">
          <cell r="J189">
            <v>0</v>
          </cell>
          <cell r="R189"/>
          <cell r="S189">
            <v>89965</v>
          </cell>
          <cell r="V189">
            <v>89965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/>
        </row>
        <row r="192">
          <cell r="J192">
            <v>0</v>
          </cell>
          <cell r="R192"/>
          <cell r="S192">
            <v>90023</v>
          </cell>
          <cell r="V192">
            <v>180021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0</v>
          </cell>
          <cell r="R198"/>
          <cell r="S198">
            <v>90145</v>
          </cell>
          <cell r="V198">
            <v>90105</v>
          </cell>
        </row>
        <row r="199">
          <cell r="J199">
            <v>0</v>
          </cell>
          <cell r="R199"/>
          <cell r="S199">
            <v>92268</v>
          </cell>
          <cell r="V199">
            <v>92308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/>
          <cell r="S201">
            <v>92274</v>
          </cell>
          <cell r="V201"/>
        </row>
        <row r="202">
          <cell r="J202">
            <v>0</v>
          </cell>
          <cell r="R202"/>
          <cell r="S202">
            <v>92303</v>
          </cell>
          <cell r="V202">
            <v>184577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7">
        <row r="175">
          <cell r="J175">
            <v>0</v>
          </cell>
          <cell r="R175"/>
          <cell r="S175">
            <v>87141</v>
          </cell>
          <cell r="V175">
            <v>87141</v>
          </cell>
        </row>
        <row r="176">
          <cell r="J176">
            <v>0</v>
          </cell>
          <cell r="R176"/>
          <cell r="S176">
            <v>87141</v>
          </cell>
          <cell r="V176">
            <v>87141</v>
          </cell>
        </row>
        <row r="177">
          <cell r="J177">
            <v>0</v>
          </cell>
          <cell r="R177"/>
          <cell r="S177">
            <v>87141</v>
          </cell>
          <cell r="V177">
            <v>87141</v>
          </cell>
        </row>
        <row r="178">
          <cell r="J178">
            <v>0</v>
          </cell>
          <cell r="R178"/>
          <cell r="S178">
            <v>87141</v>
          </cell>
          <cell r="V178">
            <v>87141</v>
          </cell>
        </row>
        <row r="179">
          <cell r="J179">
            <v>0</v>
          </cell>
          <cell r="R179"/>
          <cell r="S179">
            <v>87141</v>
          </cell>
          <cell r="V179">
            <v>87141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/>
        </row>
        <row r="182">
          <cell r="J182">
            <v>0</v>
          </cell>
          <cell r="R182"/>
          <cell r="S182">
            <v>88122</v>
          </cell>
          <cell r="V182">
            <v>174282</v>
          </cell>
        </row>
        <row r="183">
          <cell r="J183">
            <v>0</v>
          </cell>
          <cell r="R183"/>
          <cell r="S183">
            <v>88138</v>
          </cell>
          <cell r="V183">
            <v>88138</v>
          </cell>
        </row>
        <row r="184">
          <cell r="J184">
            <v>0</v>
          </cell>
          <cell r="R184"/>
          <cell r="S184">
            <v>88131</v>
          </cell>
          <cell r="V184"/>
        </row>
        <row r="185">
          <cell r="J185">
            <v>0</v>
          </cell>
          <cell r="R185"/>
          <cell r="S185">
            <v>88160</v>
          </cell>
          <cell r="V185">
            <v>176291</v>
          </cell>
        </row>
        <row r="186">
          <cell r="J186">
            <v>0</v>
          </cell>
          <cell r="R186"/>
          <cell r="S186">
            <v>88180</v>
          </cell>
          <cell r="V186"/>
        </row>
        <row r="187">
          <cell r="J187">
            <v>0</v>
          </cell>
          <cell r="R187"/>
          <cell r="S187">
            <v>89922</v>
          </cell>
          <cell r="V187">
            <v>178102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/>
        </row>
        <row r="190">
          <cell r="J190">
            <v>0</v>
          </cell>
          <cell r="R190"/>
          <cell r="S190">
            <v>89976</v>
          </cell>
          <cell r="V190">
            <v>179941</v>
          </cell>
        </row>
        <row r="191">
          <cell r="J191">
            <v>0</v>
          </cell>
          <cell r="R191">
            <v>54318</v>
          </cell>
          <cell r="S191">
            <v>144316</v>
          </cell>
          <cell r="V191"/>
        </row>
        <row r="192">
          <cell r="J192">
            <v>0</v>
          </cell>
          <cell r="R192">
            <v>54405</v>
          </cell>
          <cell r="S192">
            <v>144428</v>
          </cell>
          <cell r="V192"/>
        </row>
        <row r="193">
          <cell r="J193">
            <v>0</v>
          </cell>
          <cell r="R193"/>
          <cell r="S193">
            <v>90036</v>
          </cell>
          <cell r="V193">
            <v>270057</v>
          </cell>
        </row>
        <row r="194">
          <cell r="J194">
            <v>0</v>
          </cell>
          <cell r="R194"/>
          <cell r="S194">
            <v>90061</v>
          </cell>
          <cell r="V194">
            <v>303565</v>
          </cell>
        </row>
        <row r="195">
          <cell r="J195">
            <v>0</v>
          </cell>
          <cell r="R195"/>
          <cell r="S195">
            <v>90082</v>
          </cell>
          <cell r="V195"/>
        </row>
        <row r="196">
          <cell r="J196">
            <v>0</v>
          </cell>
          <cell r="R196"/>
          <cell r="S196">
            <v>90105</v>
          </cell>
          <cell r="V196">
            <v>180187</v>
          </cell>
        </row>
        <row r="197">
          <cell r="J197">
            <v>0</v>
          </cell>
          <cell r="R197">
            <v>55132</v>
          </cell>
          <cell r="S197">
            <v>145267</v>
          </cell>
          <cell r="V197"/>
        </row>
        <row r="198">
          <cell r="J198">
            <v>0</v>
          </cell>
          <cell r="R198">
            <v>55092</v>
          </cell>
          <cell r="S198">
            <v>145237</v>
          </cell>
          <cell r="V198"/>
        </row>
        <row r="199">
          <cell r="J199">
            <v>0</v>
          </cell>
          <cell r="R199"/>
          <cell r="S199">
            <v>92268</v>
          </cell>
          <cell r="V199">
            <v>382772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/>
          <cell r="S201">
            <v>92274</v>
          </cell>
          <cell r="V201">
            <v>92274</v>
          </cell>
        </row>
        <row r="202">
          <cell r="J202">
            <v>0</v>
          </cell>
          <cell r="R202"/>
          <cell r="S202">
            <v>92303</v>
          </cell>
          <cell r="V202">
            <v>92303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8">
        <row r="175">
          <cell r="J175">
            <v>36</v>
          </cell>
          <cell r="R175"/>
          <cell r="S175">
            <v>113981</v>
          </cell>
          <cell r="V175">
            <v>110250</v>
          </cell>
        </row>
        <row r="176">
          <cell r="J176">
            <v>42</v>
          </cell>
          <cell r="R176"/>
          <cell r="S176">
            <v>117919</v>
          </cell>
          <cell r="V176">
            <v>103619</v>
          </cell>
        </row>
        <row r="177">
          <cell r="J177">
            <v>35</v>
          </cell>
          <cell r="R177"/>
          <cell r="S177">
            <v>110502</v>
          </cell>
          <cell r="V177">
            <v>110502</v>
          </cell>
        </row>
        <row r="178">
          <cell r="J178">
            <v>24</v>
          </cell>
          <cell r="R178"/>
          <cell r="S178">
            <v>102455</v>
          </cell>
          <cell r="V178">
            <v>102455</v>
          </cell>
        </row>
        <row r="179">
          <cell r="J179">
            <v>8</v>
          </cell>
          <cell r="R179"/>
          <cell r="S179">
            <v>92051</v>
          </cell>
          <cell r="V179">
            <v>91051</v>
          </cell>
        </row>
        <row r="180">
          <cell r="J180">
            <v>0</v>
          </cell>
          <cell r="R180"/>
          <cell r="S180">
            <v>87287</v>
          </cell>
          <cell r="V180">
            <v>202475</v>
          </cell>
        </row>
        <row r="181">
          <cell r="J181">
            <v>25</v>
          </cell>
          <cell r="R181"/>
          <cell r="S181">
            <v>116154</v>
          </cell>
          <cell r="V181">
            <v>116154</v>
          </cell>
        </row>
        <row r="182">
          <cell r="J182">
            <v>109</v>
          </cell>
          <cell r="R182"/>
          <cell r="S182">
            <v>203219</v>
          </cell>
          <cell r="V182">
            <v>203219</v>
          </cell>
        </row>
        <row r="183">
          <cell r="J183">
            <v>131</v>
          </cell>
          <cell r="R183"/>
          <cell r="S183">
            <v>211381</v>
          </cell>
          <cell r="V183"/>
        </row>
        <row r="184">
          <cell r="J184">
            <v>71</v>
          </cell>
          <cell r="R184"/>
          <cell r="S184">
            <v>176730</v>
          </cell>
          <cell r="V184">
            <v>388111</v>
          </cell>
        </row>
        <row r="185">
          <cell r="J185">
            <v>144</v>
          </cell>
          <cell r="R185"/>
          <cell r="S185">
            <v>235172</v>
          </cell>
          <cell r="V185">
            <v>235172</v>
          </cell>
        </row>
        <row r="186">
          <cell r="J186">
            <v>106</v>
          </cell>
          <cell r="R186"/>
          <cell r="S186">
            <v>205396</v>
          </cell>
          <cell r="V186">
            <v>205396</v>
          </cell>
        </row>
        <row r="187">
          <cell r="J187">
            <v>97</v>
          </cell>
          <cell r="R187"/>
          <cell r="S187">
            <v>198895</v>
          </cell>
          <cell r="V187">
            <v>198895</v>
          </cell>
        </row>
        <row r="188">
          <cell r="J188">
            <v>91</v>
          </cell>
          <cell r="R188"/>
          <cell r="S188">
            <v>216741</v>
          </cell>
          <cell r="V188">
            <v>216741</v>
          </cell>
        </row>
        <row r="189">
          <cell r="J189">
            <v>83</v>
          </cell>
          <cell r="R189"/>
          <cell r="S189">
            <v>198704</v>
          </cell>
          <cell r="V189">
            <v>198704</v>
          </cell>
        </row>
        <row r="190">
          <cell r="J190">
            <v>77</v>
          </cell>
          <cell r="R190"/>
          <cell r="S190">
            <v>198573</v>
          </cell>
          <cell r="V190">
            <v>198573</v>
          </cell>
        </row>
        <row r="191">
          <cell r="J191">
            <v>42</v>
          </cell>
          <cell r="R191"/>
          <cell r="S191">
            <v>178884</v>
          </cell>
          <cell r="V191">
            <v>178884</v>
          </cell>
        </row>
        <row r="192">
          <cell r="J192">
            <v>11</v>
          </cell>
          <cell r="R192"/>
          <cell r="S192">
            <v>156178</v>
          </cell>
          <cell r="V192">
            <v>156178</v>
          </cell>
        </row>
        <row r="193">
          <cell r="J193">
            <v>7</v>
          </cell>
          <cell r="R193"/>
          <cell r="S193">
            <v>140523</v>
          </cell>
          <cell r="V193">
            <v>140523</v>
          </cell>
        </row>
        <row r="194">
          <cell r="J194">
            <v>32</v>
          </cell>
          <cell r="R194"/>
          <cell r="S194">
            <v>177153</v>
          </cell>
          <cell r="V194">
            <v>177153</v>
          </cell>
        </row>
        <row r="195">
          <cell r="J195">
            <v>25</v>
          </cell>
          <cell r="R195"/>
          <cell r="S195">
            <v>151507</v>
          </cell>
          <cell r="V195">
            <v>151507</v>
          </cell>
        </row>
        <row r="196">
          <cell r="J196">
            <v>62</v>
          </cell>
          <cell r="R196"/>
          <cell r="S196">
            <v>183017</v>
          </cell>
          <cell r="V196">
            <v>183017</v>
          </cell>
        </row>
        <row r="197">
          <cell r="J197">
            <v>62</v>
          </cell>
          <cell r="R197"/>
          <cell r="S197">
            <v>192537</v>
          </cell>
          <cell r="V197">
            <v>192537</v>
          </cell>
        </row>
        <row r="198">
          <cell r="J198">
            <v>100</v>
          </cell>
          <cell r="R198"/>
          <cell r="S198">
            <v>224155</v>
          </cell>
          <cell r="V198">
            <v>224155</v>
          </cell>
        </row>
        <row r="199">
          <cell r="J199">
            <v>82</v>
          </cell>
          <cell r="R199"/>
          <cell r="S199">
            <v>205120</v>
          </cell>
          <cell r="V199">
            <v>205120</v>
          </cell>
        </row>
        <row r="200">
          <cell r="J200">
            <v>85</v>
          </cell>
          <cell r="R200"/>
          <cell r="S200">
            <v>224904</v>
          </cell>
          <cell r="V200">
            <v>224904</v>
          </cell>
        </row>
        <row r="201">
          <cell r="J201">
            <v>96</v>
          </cell>
          <cell r="R201"/>
          <cell r="S201">
            <v>212660</v>
          </cell>
          <cell r="V201">
            <v>212660</v>
          </cell>
        </row>
        <row r="202">
          <cell r="J202">
            <v>51</v>
          </cell>
          <cell r="R202"/>
          <cell r="S202">
            <v>203156</v>
          </cell>
          <cell r="V202">
            <v>203156</v>
          </cell>
        </row>
        <row r="203">
          <cell r="J203">
            <v>43</v>
          </cell>
          <cell r="R203"/>
          <cell r="S203">
            <v>201634</v>
          </cell>
          <cell r="V203"/>
        </row>
        <row r="204">
          <cell r="J204">
            <v>-2470</v>
          </cell>
          <cell r="R204"/>
          <cell r="S204">
            <v>-3116470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19">
        <row r="175">
          <cell r="J175">
            <v>0</v>
          </cell>
          <cell r="R175"/>
          <cell r="S175">
            <v>102325</v>
          </cell>
          <cell r="V175"/>
        </row>
        <row r="176">
          <cell r="J176">
            <v>0</v>
          </cell>
          <cell r="R176"/>
          <cell r="S176">
            <v>101595</v>
          </cell>
          <cell r="V176">
            <v>194304</v>
          </cell>
        </row>
        <row r="177">
          <cell r="J177">
            <v>0</v>
          </cell>
          <cell r="R177"/>
          <cell r="S177">
            <v>106705</v>
          </cell>
          <cell r="V177">
            <v>106705</v>
          </cell>
        </row>
        <row r="178">
          <cell r="J178">
            <v>0</v>
          </cell>
          <cell r="R178"/>
          <cell r="S178">
            <v>103055</v>
          </cell>
          <cell r="V178">
            <v>103055</v>
          </cell>
        </row>
        <row r="179">
          <cell r="J179">
            <v>1</v>
          </cell>
          <cell r="R179"/>
          <cell r="S179">
            <v>105220</v>
          </cell>
          <cell r="V179">
            <v>105220</v>
          </cell>
        </row>
        <row r="180">
          <cell r="J180">
            <v>1</v>
          </cell>
          <cell r="R180"/>
          <cell r="S180">
            <v>113688</v>
          </cell>
          <cell r="V180">
            <v>113688</v>
          </cell>
        </row>
        <row r="181">
          <cell r="J181">
            <v>0</v>
          </cell>
          <cell r="R181"/>
          <cell r="S181">
            <v>113859</v>
          </cell>
          <cell r="V181"/>
        </row>
        <row r="182">
          <cell r="J182">
            <v>2</v>
          </cell>
          <cell r="R182"/>
          <cell r="S182">
            <v>127054</v>
          </cell>
          <cell r="V182">
            <v>240913</v>
          </cell>
        </row>
        <row r="183">
          <cell r="J183">
            <v>0</v>
          </cell>
          <cell r="R183"/>
          <cell r="S183">
            <v>105658</v>
          </cell>
          <cell r="V183"/>
        </row>
        <row r="184">
          <cell r="J184">
            <v>0</v>
          </cell>
          <cell r="R184"/>
          <cell r="S184">
            <v>108863</v>
          </cell>
          <cell r="V184">
            <v>214521</v>
          </cell>
        </row>
        <row r="185">
          <cell r="J185">
            <v>1</v>
          </cell>
          <cell r="R185"/>
          <cell r="S185">
            <v>105947</v>
          </cell>
          <cell r="V185">
            <v>105947</v>
          </cell>
        </row>
        <row r="186">
          <cell r="J186">
            <v>0</v>
          </cell>
          <cell r="R186"/>
          <cell r="S186">
            <v>97086</v>
          </cell>
          <cell r="V186">
            <v>97086</v>
          </cell>
        </row>
        <row r="187">
          <cell r="J187">
            <v>0</v>
          </cell>
          <cell r="R187"/>
          <cell r="S187">
            <v>89922</v>
          </cell>
          <cell r="V187">
            <v>89922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/>
        </row>
        <row r="190">
          <cell r="J190">
            <v>0</v>
          </cell>
          <cell r="R190"/>
          <cell r="S190">
            <v>89976</v>
          </cell>
          <cell r="V190">
            <v>179941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/>
        </row>
        <row r="195">
          <cell r="J195">
            <v>0</v>
          </cell>
          <cell r="R195"/>
          <cell r="S195">
            <v>90082</v>
          </cell>
          <cell r="V195">
            <v>180143</v>
          </cell>
        </row>
        <row r="196">
          <cell r="J196">
            <v>0</v>
          </cell>
          <cell r="R196"/>
          <cell r="S196">
            <v>90105</v>
          </cell>
          <cell r="V196"/>
        </row>
        <row r="197">
          <cell r="J197">
            <v>29</v>
          </cell>
          <cell r="R197"/>
          <cell r="S197">
            <v>109996</v>
          </cell>
          <cell r="V197">
            <v>200101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/>
          <cell r="S199">
            <v>92268</v>
          </cell>
          <cell r="V199">
            <v>92268</v>
          </cell>
        </row>
        <row r="200">
          <cell r="J200">
            <v>0</v>
          </cell>
          <cell r="R200">
            <v>55114</v>
          </cell>
          <cell r="S200">
            <v>147385</v>
          </cell>
          <cell r="V200"/>
        </row>
        <row r="201">
          <cell r="J201">
            <v>0</v>
          </cell>
          <cell r="R201">
            <v>55132</v>
          </cell>
          <cell r="S201">
            <v>147406</v>
          </cell>
          <cell r="V201"/>
        </row>
        <row r="202">
          <cell r="J202">
            <v>0</v>
          </cell>
          <cell r="R202"/>
          <cell r="S202">
            <v>92303</v>
          </cell>
          <cell r="V202">
            <v>387094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-273</v>
          </cell>
          <cell r="R204"/>
          <cell r="S204">
            <v>-978183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0">
        <row r="175">
          <cell r="J175">
            <v>17</v>
          </cell>
          <cell r="R175"/>
          <cell r="S175">
            <v>101316</v>
          </cell>
          <cell r="V175">
            <v>90000</v>
          </cell>
        </row>
        <row r="176">
          <cell r="J176">
            <v>9</v>
          </cell>
          <cell r="R176"/>
          <cell r="S176">
            <v>96114</v>
          </cell>
          <cell r="V176">
            <v>100000</v>
          </cell>
        </row>
        <row r="177">
          <cell r="J177">
            <v>10</v>
          </cell>
          <cell r="R177"/>
          <cell r="S177">
            <v>98133</v>
          </cell>
          <cell r="V177">
            <v>100000</v>
          </cell>
        </row>
        <row r="178">
          <cell r="J178">
            <v>5</v>
          </cell>
          <cell r="R178"/>
          <cell r="S178">
            <v>94316</v>
          </cell>
          <cell r="V178">
            <v>100000</v>
          </cell>
        </row>
        <row r="179">
          <cell r="J179">
            <v>2</v>
          </cell>
          <cell r="R179"/>
          <cell r="S179">
            <v>96289</v>
          </cell>
          <cell r="V179">
            <v>100000</v>
          </cell>
        </row>
        <row r="180">
          <cell r="J180">
            <v>2</v>
          </cell>
          <cell r="R180"/>
          <cell r="S180">
            <v>97895</v>
          </cell>
          <cell r="V180">
            <v>100000</v>
          </cell>
        </row>
        <row r="181">
          <cell r="J181">
            <v>3</v>
          </cell>
          <cell r="R181"/>
          <cell r="S181">
            <v>97578</v>
          </cell>
          <cell r="V181"/>
        </row>
        <row r="182">
          <cell r="J182">
            <v>3</v>
          </cell>
          <cell r="R182"/>
          <cell r="S182">
            <v>98121</v>
          </cell>
          <cell r="V182">
            <v>254744</v>
          </cell>
        </row>
        <row r="183">
          <cell r="J183">
            <v>3</v>
          </cell>
          <cell r="R183"/>
          <cell r="S183">
            <v>95509</v>
          </cell>
          <cell r="V183">
            <v>95509</v>
          </cell>
        </row>
        <row r="184">
          <cell r="J184">
            <v>9</v>
          </cell>
          <cell r="R184"/>
          <cell r="S184">
            <v>104696</v>
          </cell>
          <cell r="V184">
            <v>104696</v>
          </cell>
        </row>
        <row r="185">
          <cell r="J185">
            <v>15</v>
          </cell>
          <cell r="R185"/>
          <cell r="S185">
            <v>112751</v>
          </cell>
          <cell r="V185">
            <v>112751</v>
          </cell>
        </row>
        <row r="186">
          <cell r="J186">
            <v>14</v>
          </cell>
          <cell r="R186"/>
          <cell r="S186">
            <v>112504</v>
          </cell>
          <cell r="V186">
            <v>112504</v>
          </cell>
        </row>
        <row r="187">
          <cell r="J187">
            <v>12</v>
          </cell>
          <cell r="R187"/>
          <cell r="S187">
            <v>134444</v>
          </cell>
          <cell r="V187">
            <v>134444</v>
          </cell>
        </row>
        <row r="188">
          <cell r="J188">
            <v>11</v>
          </cell>
          <cell r="R188"/>
          <cell r="S188">
            <v>121505</v>
          </cell>
          <cell r="V188">
            <v>121505</v>
          </cell>
        </row>
        <row r="189">
          <cell r="J189">
            <v>10</v>
          </cell>
          <cell r="R189"/>
          <cell r="S189">
            <v>110739</v>
          </cell>
          <cell r="V189">
            <v>110739</v>
          </cell>
        </row>
        <row r="190">
          <cell r="J190">
            <v>17</v>
          </cell>
          <cell r="R190"/>
          <cell r="S190">
            <v>118605</v>
          </cell>
          <cell r="V190">
            <v>118605</v>
          </cell>
        </row>
        <row r="191">
          <cell r="J191">
            <v>11</v>
          </cell>
          <cell r="R191"/>
          <cell r="S191">
            <v>119945</v>
          </cell>
          <cell r="V191">
            <v>119945</v>
          </cell>
        </row>
        <row r="192">
          <cell r="J192">
            <v>13</v>
          </cell>
          <cell r="R192"/>
          <cell r="S192">
            <v>136418</v>
          </cell>
          <cell r="V192">
            <v>136418</v>
          </cell>
        </row>
        <row r="193">
          <cell r="J193">
            <v>8</v>
          </cell>
          <cell r="R193"/>
          <cell r="S193">
            <v>128672</v>
          </cell>
          <cell r="V193">
            <v>128672</v>
          </cell>
        </row>
        <row r="194">
          <cell r="J194">
            <v>19</v>
          </cell>
          <cell r="R194"/>
          <cell r="S194">
            <v>145942</v>
          </cell>
          <cell r="V194">
            <v>145942</v>
          </cell>
        </row>
        <row r="195">
          <cell r="J195">
            <v>10</v>
          </cell>
          <cell r="R195"/>
          <cell r="S195">
            <v>124872</v>
          </cell>
          <cell r="V195">
            <v>124872</v>
          </cell>
        </row>
        <row r="196">
          <cell r="J196">
            <v>18</v>
          </cell>
          <cell r="R196"/>
          <cell r="S196">
            <v>142945</v>
          </cell>
          <cell r="V196">
            <v>142945</v>
          </cell>
        </row>
        <row r="197">
          <cell r="J197">
            <v>23</v>
          </cell>
          <cell r="R197"/>
          <cell r="S197">
            <v>190334</v>
          </cell>
          <cell r="V197">
            <v>190334</v>
          </cell>
        </row>
        <row r="198">
          <cell r="J198">
            <v>15</v>
          </cell>
          <cell r="R198"/>
          <cell r="S198">
            <v>125832</v>
          </cell>
          <cell r="V198">
            <v>125832</v>
          </cell>
        </row>
        <row r="199">
          <cell r="J199">
            <v>24</v>
          </cell>
          <cell r="R199"/>
          <cell r="S199">
            <v>143498</v>
          </cell>
          <cell r="V199">
            <v>143498</v>
          </cell>
        </row>
        <row r="200">
          <cell r="J200">
            <v>22</v>
          </cell>
          <cell r="R200"/>
          <cell r="S200">
            <v>143405</v>
          </cell>
          <cell r="V200">
            <v>143405</v>
          </cell>
        </row>
        <row r="201">
          <cell r="J201">
            <v>19</v>
          </cell>
          <cell r="R201"/>
          <cell r="S201">
            <v>135745</v>
          </cell>
          <cell r="V201">
            <v>135745</v>
          </cell>
        </row>
        <row r="202">
          <cell r="J202">
            <v>18</v>
          </cell>
          <cell r="R202"/>
          <cell r="S202">
            <v>133609</v>
          </cell>
          <cell r="V202">
            <v>133609</v>
          </cell>
        </row>
        <row r="203">
          <cell r="J203">
            <v>16</v>
          </cell>
          <cell r="R203"/>
          <cell r="S203">
            <v>148581</v>
          </cell>
          <cell r="V203"/>
        </row>
        <row r="204">
          <cell r="J204">
            <v>-1460</v>
          </cell>
          <cell r="R204"/>
          <cell r="S204">
            <v>-2108186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1">
        <row r="175">
          <cell r="J175">
            <v>22</v>
          </cell>
          <cell r="R175"/>
          <cell r="S175">
            <v>115791</v>
          </cell>
          <cell r="V175"/>
        </row>
        <row r="176">
          <cell r="J176">
            <v>17</v>
          </cell>
          <cell r="R176"/>
          <cell r="S176">
            <v>111974</v>
          </cell>
          <cell r="V176">
            <v>227765</v>
          </cell>
        </row>
        <row r="177">
          <cell r="J177">
            <v>25</v>
          </cell>
          <cell r="R177"/>
          <cell r="S177">
            <v>120242</v>
          </cell>
          <cell r="V177"/>
        </row>
        <row r="178">
          <cell r="J178">
            <v>20</v>
          </cell>
          <cell r="R178"/>
          <cell r="S178">
            <v>113359</v>
          </cell>
          <cell r="V178">
            <v>233601</v>
          </cell>
        </row>
        <row r="179">
          <cell r="J179">
            <v>1</v>
          </cell>
          <cell r="R179"/>
          <cell r="S179">
            <v>107848</v>
          </cell>
          <cell r="V179"/>
        </row>
        <row r="180">
          <cell r="J180">
            <v>11</v>
          </cell>
          <cell r="R180"/>
          <cell r="S180">
            <v>127892</v>
          </cell>
          <cell r="V180">
            <v>235740</v>
          </cell>
        </row>
        <row r="181">
          <cell r="J181">
            <v>10</v>
          </cell>
          <cell r="R181"/>
          <cell r="S181">
            <v>126749</v>
          </cell>
          <cell r="V181"/>
        </row>
        <row r="182">
          <cell r="J182">
            <v>8</v>
          </cell>
          <cell r="R182"/>
          <cell r="S182">
            <v>128218</v>
          </cell>
          <cell r="V182">
            <v>254967</v>
          </cell>
        </row>
        <row r="183">
          <cell r="J183">
            <v>13</v>
          </cell>
          <cell r="R183"/>
          <cell r="S183">
            <v>126503</v>
          </cell>
          <cell r="V183"/>
        </row>
        <row r="184">
          <cell r="J184">
            <v>16</v>
          </cell>
          <cell r="R184"/>
          <cell r="S184">
            <v>121311</v>
          </cell>
          <cell r="V184">
            <v>247814</v>
          </cell>
        </row>
        <row r="185">
          <cell r="J185">
            <v>19</v>
          </cell>
          <cell r="R185"/>
          <cell r="S185">
            <v>116155</v>
          </cell>
          <cell r="V185"/>
        </row>
        <row r="186">
          <cell r="J186">
            <v>16</v>
          </cell>
          <cell r="R186"/>
          <cell r="S186">
            <v>109680</v>
          </cell>
          <cell r="V186">
            <v>225835</v>
          </cell>
        </row>
        <row r="187">
          <cell r="J187">
            <v>27</v>
          </cell>
          <cell r="R187"/>
          <cell r="S187">
            <v>123557</v>
          </cell>
          <cell r="V187"/>
        </row>
        <row r="188">
          <cell r="J188">
            <v>18</v>
          </cell>
          <cell r="R188"/>
          <cell r="S188">
            <v>113884</v>
          </cell>
          <cell r="V188">
            <v>237441</v>
          </cell>
        </row>
        <row r="189">
          <cell r="J189">
            <v>21</v>
          </cell>
          <cell r="R189"/>
          <cell r="S189">
            <v>118056</v>
          </cell>
          <cell r="V189"/>
        </row>
        <row r="190">
          <cell r="J190">
            <v>19</v>
          </cell>
          <cell r="R190"/>
          <cell r="S190">
            <v>118263</v>
          </cell>
          <cell r="V190">
            <v>236319</v>
          </cell>
        </row>
        <row r="191">
          <cell r="J191">
            <v>18</v>
          </cell>
          <cell r="R191"/>
          <cell r="S191">
            <v>125756</v>
          </cell>
          <cell r="V191">
            <v>125756</v>
          </cell>
        </row>
        <row r="192">
          <cell r="J192">
            <v>11</v>
          </cell>
          <cell r="R192"/>
          <cell r="S192">
            <v>136906</v>
          </cell>
          <cell r="V192"/>
        </row>
        <row r="193">
          <cell r="J193">
            <v>13</v>
          </cell>
          <cell r="R193"/>
          <cell r="S193">
            <v>137745</v>
          </cell>
          <cell r="V193">
            <v>274651</v>
          </cell>
        </row>
        <row r="194">
          <cell r="J194">
            <v>13</v>
          </cell>
          <cell r="R194"/>
          <cell r="S194">
            <v>171058</v>
          </cell>
          <cell r="V194"/>
        </row>
        <row r="195">
          <cell r="J195">
            <v>16</v>
          </cell>
          <cell r="R195"/>
          <cell r="S195">
            <v>128226</v>
          </cell>
          <cell r="V195">
            <v>299284</v>
          </cell>
        </row>
        <row r="196">
          <cell r="J196">
            <v>17</v>
          </cell>
          <cell r="R196"/>
          <cell r="S196">
            <v>120048</v>
          </cell>
          <cell r="V196"/>
        </row>
        <row r="197">
          <cell r="J197">
            <v>21</v>
          </cell>
          <cell r="R197"/>
          <cell r="S197">
            <v>117934</v>
          </cell>
          <cell r="V197">
            <v>237982</v>
          </cell>
        </row>
        <row r="198">
          <cell r="J198">
            <v>23</v>
          </cell>
          <cell r="R198"/>
          <cell r="S198">
            <v>117018</v>
          </cell>
          <cell r="V198"/>
        </row>
        <row r="199">
          <cell r="J199">
            <v>27</v>
          </cell>
          <cell r="R199"/>
          <cell r="S199">
            <v>123129</v>
          </cell>
          <cell r="V199">
            <v>240147</v>
          </cell>
        </row>
        <row r="200">
          <cell r="J200">
            <v>32</v>
          </cell>
          <cell r="R200"/>
          <cell r="S200">
            <v>124321</v>
          </cell>
          <cell r="V200"/>
        </row>
        <row r="201">
          <cell r="J201">
            <v>24</v>
          </cell>
          <cell r="R201"/>
          <cell r="S201">
            <v>117662</v>
          </cell>
          <cell r="V201">
            <v>241983</v>
          </cell>
        </row>
        <row r="202">
          <cell r="J202">
            <v>13</v>
          </cell>
          <cell r="R202"/>
          <cell r="S202">
            <v>111980</v>
          </cell>
          <cell r="V202"/>
        </row>
        <row r="203">
          <cell r="J203">
            <v>19</v>
          </cell>
          <cell r="R203"/>
          <cell r="S203">
            <v>126460</v>
          </cell>
          <cell r="V203"/>
        </row>
        <row r="204">
          <cell r="J204">
            <v>-1454</v>
          </cell>
          <cell r="R204"/>
          <cell r="S204">
            <v>-2401650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2">
        <row r="175">
          <cell r="J175">
            <v>4</v>
          </cell>
          <cell r="R175"/>
          <cell r="S175">
            <v>104999</v>
          </cell>
          <cell r="V175">
            <v>348178</v>
          </cell>
        </row>
        <row r="176">
          <cell r="J176">
            <v>0</v>
          </cell>
          <cell r="R176"/>
          <cell r="S176">
            <v>98383</v>
          </cell>
          <cell r="V176"/>
        </row>
        <row r="177">
          <cell r="J177">
            <v>2</v>
          </cell>
          <cell r="R177"/>
          <cell r="S177">
            <v>97603</v>
          </cell>
          <cell r="V177">
            <v>195986</v>
          </cell>
        </row>
        <row r="178">
          <cell r="J178">
            <v>5</v>
          </cell>
          <cell r="R178"/>
          <cell r="S178">
            <v>103222</v>
          </cell>
          <cell r="V178"/>
        </row>
        <row r="179">
          <cell r="J179">
            <v>2</v>
          </cell>
          <cell r="R179"/>
          <cell r="S179">
            <v>97603</v>
          </cell>
          <cell r="V179">
            <v>200825</v>
          </cell>
        </row>
        <row r="180">
          <cell r="J180">
            <v>3</v>
          </cell>
          <cell r="R180">
            <v>53330</v>
          </cell>
          <cell r="S180">
            <v>149594</v>
          </cell>
          <cell r="V180"/>
        </row>
        <row r="181">
          <cell r="J181">
            <v>3</v>
          </cell>
          <cell r="R181"/>
          <cell r="S181">
            <v>103856</v>
          </cell>
          <cell r="V181"/>
        </row>
        <row r="182">
          <cell r="J182">
            <v>2</v>
          </cell>
          <cell r="R182"/>
          <cell r="S182">
            <v>96102</v>
          </cell>
          <cell r="V182">
            <v>349552</v>
          </cell>
        </row>
        <row r="183">
          <cell r="J183">
            <v>6</v>
          </cell>
          <cell r="R183"/>
          <cell r="S183">
            <v>117174</v>
          </cell>
          <cell r="V183">
            <v>101274</v>
          </cell>
        </row>
        <row r="184">
          <cell r="J184">
            <v>0</v>
          </cell>
          <cell r="R184"/>
          <cell r="S184">
            <v>91197</v>
          </cell>
          <cell r="V184"/>
        </row>
        <row r="185">
          <cell r="J185">
            <v>0</v>
          </cell>
          <cell r="R185"/>
          <cell r="S185">
            <v>93562</v>
          </cell>
          <cell r="V185">
            <v>200659</v>
          </cell>
        </row>
        <row r="186">
          <cell r="J186">
            <v>2</v>
          </cell>
          <cell r="R186"/>
          <cell r="S186">
            <v>96306</v>
          </cell>
          <cell r="V186"/>
        </row>
        <row r="187">
          <cell r="J187">
            <v>3</v>
          </cell>
          <cell r="R187"/>
          <cell r="S187">
            <v>98315</v>
          </cell>
          <cell r="V187">
            <v>196621</v>
          </cell>
        </row>
        <row r="188">
          <cell r="J188">
            <v>2</v>
          </cell>
          <cell r="R188"/>
          <cell r="S188">
            <v>97640</v>
          </cell>
          <cell r="V188"/>
        </row>
        <row r="189">
          <cell r="J189">
            <v>0</v>
          </cell>
          <cell r="R189"/>
          <cell r="S189">
            <v>91571</v>
          </cell>
          <cell r="V189">
            <v>187211</v>
          </cell>
        </row>
        <row r="190">
          <cell r="J190">
            <v>0</v>
          </cell>
          <cell r="R190"/>
          <cell r="S190">
            <v>89976</v>
          </cell>
          <cell r="V190"/>
        </row>
        <row r="191">
          <cell r="J191">
            <v>0</v>
          </cell>
          <cell r="R191"/>
          <cell r="S191">
            <v>89998</v>
          </cell>
          <cell r="V191">
            <v>179974</v>
          </cell>
        </row>
        <row r="192">
          <cell r="J192">
            <v>0</v>
          </cell>
          <cell r="R192"/>
          <cell r="S192">
            <v>90023</v>
          </cell>
          <cell r="V192"/>
        </row>
        <row r="193">
          <cell r="J193">
            <v>0</v>
          </cell>
          <cell r="R193"/>
          <cell r="S193">
            <v>90036</v>
          </cell>
          <cell r="V193">
            <v>180059</v>
          </cell>
        </row>
        <row r="194">
          <cell r="J194">
            <v>0</v>
          </cell>
          <cell r="R194"/>
          <cell r="S194">
            <v>90061</v>
          </cell>
          <cell r="V194"/>
        </row>
        <row r="195">
          <cell r="J195">
            <v>0</v>
          </cell>
          <cell r="R195"/>
          <cell r="S195">
            <v>90082</v>
          </cell>
          <cell r="V195">
            <v>180143</v>
          </cell>
        </row>
        <row r="196">
          <cell r="J196">
            <v>0</v>
          </cell>
          <cell r="R196">
            <v>55066</v>
          </cell>
          <cell r="S196">
            <v>145171</v>
          </cell>
          <cell r="V196"/>
        </row>
        <row r="197">
          <cell r="J197">
            <v>1</v>
          </cell>
          <cell r="R197">
            <v>55132</v>
          </cell>
          <cell r="S197">
            <v>150060</v>
          </cell>
          <cell r="V197">
            <v>295231</v>
          </cell>
        </row>
        <row r="198">
          <cell r="J198">
            <v>1</v>
          </cell>
          <cell r="R198"/>
          <cell r="S198">
            <v>95376</v>
          </cell>
          <cell r="V198"/>
        </row>
        <row r="199">
          <cell r="J199">
            <v>8</v>
          </cell>
          <cell r="R199"/>
          <cell r="S199">
            <v>104040</v>
          </cell>
          <cell r="V199">
            <v>199416</v>
          </cell>
        </row>
        <row r="200">
          <cell r="J200">
            <v>7</v>
          </cell>
          <cell r="R200"/>
          <cell r="S200">
            <v>105528</v>
          </cell>
          <cell r="V200">
            <v>105528</v>
          </cell>
        </row>
        <row r="201">
          <cell r="J201">
            <v>5</v>
          </cell>
          <cell r="R201"/>
          <cell r="S201">
            <v>101639</v>
          </cell>
          <cell r="V201"/>
        </row>
        <row r="202">
          <cell r="J202">
            <v>18</v>
          </cell>
          <cell r="R202"/>
          <cell r="S202">
            <v>118571</v>
          </cell>
          <cell r="V202">
            <v>220210</v>
          </cell>
        </row>
        <row r="203">
          <cell r="J203">
            <v>30</v>
          </cell>
          <cell r="R203"/>
          <cell r="S203">
            <v>139179</v>
          </cell>
          <cell r="V203"/>
        </row>
        <row r="204">
          <cell r="J204">
            <v>-239</v>
          </cell>
          <cell r="R204"/>
          <cell r="S204">
            <v>-158367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3">
        <row r="175">
          <cell r="J175">
            <v>45</v>
          </cell>
          <cell r="R175"/>
          <cell r="S175">
            <v>132006</v>
          </cell>
          <cell r="V175">
            <v>132006</v>
          </cell>
        </row>
        <row r="176">
          <cell r="J176">
            <v>28</v>
          </cell>
          <cell r="R176"/>
          <cell r="S176">
            <v>131117</v>
          </cell>
          <cell r="V176">
            <v>131117</v>
          </cell>
        </row>
        <row r="177">
          <cell r="J177">
            <v>44</v>
          </cell>
          <cell r="R177"/>
          <cell r="S177">
            <v>143127</v>
          </cell>
          <cell r="V177">
            <v>143127</v>
          </cell>
        </row>
        <row r="178">
          <cell r="J178">
            <v>12</v>
          </cell>
          <cell r="R178"/>
          <cell r="S178">
            <v>125677</v>
          </cell>
          <cell r="V178">
            <v>125677</v>
          </cell>
        </row>
        <row r="179">
          <cell r="J179">
            <v>14</v>
          </cell>
          <cell r="R179"/>
          <cell r="S179">
            <v>123145</v>
          </cell>
          <cell r="V179">
            <v>119414</v>
          </cell>
        </row>
        <row r="180">
          <cell r="J180">
            <v>20</v>
          </cell>
          <cell r="R180"/>
          <cell r="S180">
            <v>131901</v>
          </cell>
          <cell r="V180">
            <v>135632</v>
          </cell>
        </row>
        <row r="181">
          <cell r="J181">
            <v>4</v>
          </cell>
          <cell r="R181"/>
          <cell r="S181">
            <v>120913</v>
          </cell>
          <cell r="V181">
            <v>120913</v>
          </cell>
        </row>
        <row r="182">
          <cell r="J182">
            <v>3</v>
          </cell>
          <cell r="R182"/>
          <cell r="S182">
            <v>124839</v>
          </cell>
          <cell r="V182">
            <v>124839</v>
          </cell>
        </row>
        <row r="183">
          <cell r="J183">
            <v>16</v>
          </cell>
          <cell r="R183"/>
          <cell r="S183">
            <v>127304</v>
          </cell>
          <cell r="V183">
            <v>127304</v>
          </cell>
        </row>
        <row r="184">
          <cell r="J184">
            <v>25</v>
          </cell>
          <cell r="R184"/>
          <cell r="S184">
            <v>127656</v>
          </cell>
          <cell r="V184">
            <v>127656</v>
          </cell>
        </row>
        <row r="185">
          <cell r="J185">
            <v>25</v>
          </cell>
          <cell r="R185"/>
          <cell r="S185">
            <v>129729</v>
          </cell>
          <cell r="V185">
            <v>129729</v>
          </cell>
        </row>
        <row r="186">
          <cell r="J186">
            <v>28</v>
          </cell>
          <cell r="R186"/>
          <cell r="S186">
            <v>128798</v>
          </cell>
          <cell r="V186">
            <v>128798</v>
          </cell>
        </row>
        <row r="187">
          <cell r="J187">
            <v>30</v>
          </cell>
          <cell r="R187"/>
          <cell r="S187">
            <v>153266</v>
          </cell>
          <cell r="V187">
            <v>153266</v>
          </cell>
        </row>
        <row r="188">
          <cell r="J188">
            <v>19</v>
          </cell>
          <cell r="R188"/>
          <cell r="S188">
            <v>132255</v>
          </cell>
          <cell r="V188">
            <v>132255</v>
          </cell>
        </row>
        <row r="189">
          <cell r="J189">
            <v>25</v>
          </cell>
          <cell r="R189"/>
          <cell r="S189">
            <v>161464</v>
          </cell>
          <cell r="V189">
            <v>161464</v>
          </cell>
        </row>
        <row r="190">
          <cell r="J190">
            <v>24</v>
          </cell>
          <cell r="R190"/>
          <cell r="S190">
            <v>129526</v>
          </cell>
          <cell r="V190">
            <v>129526</v>
          </cell>
        </row>
        <row r="191">
          <cell r="J191">
            <v>22</v>
          </cell>
          <cell r="R191"/>
          <cell r="S191">
            <v>126386</v>
          </cell>
          <cell r="V191">
            <v>126386</v>
          </cell>
        </row>
        <row r="192">
          <cell r="J192">
            <v>16</v>
          </cell>
          <cell r="R192"/>
          <cell r="S192">
            <v>121305</v>
          </cell>
          <cell r="V192">
            <v>121305</v>
          </cell>
        </row>
        <row r="193">
          <cell r="J193">
            <v>22</v>
          </cell>
          <cell r="R193"/>
          <cell r="S193">
            <v>126862</v>
          </cell>
          <cell r="V193">
            <v>126862</v>
          </cell>
        </row>
        <row r="194">
          <cell r="J194">
            <v>23</v>
          </cell>
          <cell r="R194"/>
          <cell r="S194">
            <v>133432</v>
          </cell>
          <cell r="V194">
            <v>133432</v>
          </cell>
        </row>
        <row r="195">
          <cell r="J195">
            <v>21</v>
          </cell>
          <cell r="R195"/>
          <cell r="S195">
            <v>121385</v>
          </cell>
          <cell r="V195">
            <v>121385</v>
          </cell>
        </row>
        <row r="196">
          <cell r="J196">
            <v>18</v>
          </cell>
          <cell r="R196"/>
          <cell r="S196">
            <v>122359</v>
          </cell>
          <cell r="V196">
            <v>122359</v>
          </cell>
        </row>
        <row r="197">
          <cell r="J197">
            <v>56</v>
          </cell>
          <cell r="R197"/>
          <cell r="S197">
            <v>169533</v>
          </cell>
          <cell r="V197">
            <v>169533</v>
          </cell>
        </row>
        <row r="198">
          <cell r="J198">
            <v>23</v>
          </cell>
          <cell r="R198"/>
          <cell r="S198">
            <v>125778</v>
          </cell>
          <cell r="V198">
            <v>125788</v>
          </cell>
        </row>
        <row r="199">
          <cell r="J199">
            <v>24</v>
          </cell>
          <cell r="R199"/>
          <cell r="S199">
            <v>139410</v>
          </cell>
          <cell r="V199">
            <v>139400</v>
          </cell>
        </row>
        <row r="200">
          <cell r="J200">
            <v>26</v>
          </cell>
          <cell r="R200"/>
          <cell r="S200">
            <v>137611</v>
          </cell>
          <cell r="V200">
            <v>137611</v>
          </cell>
        </row>
        <row r="201">
          <cell r="J201">
            <v>22</v>
          </cell>
          <cell r="R201"/>
          <cell r="S201">
            <v>127494</v>
          </cell>
          <cell r="V201">
            <v>127494</v>
          </cell>
        </row>
        <row r="202">
          <cell r="J202">
            <v>28</v>
          </cell>
          <cell r="R202"/>
          <cell r="S202">
            <v>134673</v>
          </cell>
          <cell r="V202">
            <v>134673</v>
          </cell>
        </row>
        <row r="203">
          <cell r="J203">
            <v>30</v>
          </cell>
          <cell r="R203"/>
          <cell r="S203">
            <v>150713</v>
          </cell>
          <cell r="V203"/>
        </row>
        <row r="204">
          <cell r="J204">
            <v>-1205</v>
          </cell>
          <cell r="R204"/>
          <cell r="S204">
            <v>-2301587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4">
        <row r="175">
          <cell r="J175">
            <v>124</v>
          </cell>
          <cell r="R175"/>
          <cell r="S175">
            <v>209007</v>
          </cell>
          <cell r="V175"/>
        </row>
        <row r="176">
          <cell r="J176">
            <v>112</v>
          </cell>
          <cell r="R176"/>
          <cell r="S176">
            <v>191797</v>
          </cell>
          <cell r="V176">
            <v>405521</v>
          </cell>
        </row>
        <row r="177">
          <cell r="J177">
            <v>93</v>
          </cell>
          <cell r="R177"/>
          <cell r="S177">
            <v>187454</v>
          </cell>
          <cell r="V177">
            <v>191367</v>
          </cell>
        </row>
        <row r="178">
          <cell r="J178">
            <v>70</v>
          </cell>
          <cell r="R178"/>
          <cell r="S178">
            <v>167735</v>
          </cell>
          <cell r="V178">
            <v>167735</v>
          </cell>
        </row>
        <row r="179">
          <cell r="J179">
            <v>13</v>
          </cell>
          <cell r="R179"/>
          <cell r="S179">
            <v>134996</v>
          </cell>
          <cell r="V179"/>
        </row>
        <row r="180">
          <cell r="J180">
            <v>7</v>
          </cell>
          <cell r="R180"/>
          <cell r="S180">
            <v>129306</v>
          </cell>
          <cell r="V180">
            <v>264302</v>
          </cell>
        </row>
        <row r="181">
          <cell r="J181">
            <v>7</v>
          </cell>
          <cell r="R181"/>
          <cell r="S181">
            <v>124926</v>
          </cell>
          <cell r="V181"/>
        </row>
        <row r="182">
          <cell r="J182">
            <v>11</v>
          </cell>
          <cell r="R182"/>
          <cell r="S182">
            <v>133545</v>
          </cell>
          <cell r="V182">
            <v>258471</v>
          </cell>
        </row>
        <row r="183">
          <cell r="J183">
            <v>36</v>
          </cell>
          <cell r="R183"/>
          <cell r="S183">
            <v>146076</v>
          </cell>
          <cell r="V183">
            <v>146076</v>
          </cell>
        </row>
        <row r="184">
          <cell r="J184">
            <v>54</v>
          </cell>
          <cell r="R184"/>
          <cell r="S184">
            <v>158905</v>
          </cell>
          <cell r="V184"/>
        </row>
        <row r="185">
          <cell r="J185">
            <v>115</v>
          </cell>
          <cell r="R185"/>
          <cell r="S185">
            <v>193763</v>
          </cell>
          <cell r="V185">
            <v>352668</v>
          </cell>
        </row>
        <row r="186">
          <cell r="J186">
            <v>115</v>
          </cell>
          <cell r="R186"/>
          <cell r="S186">
            <v>192031</v>
          </cell>
          <cell r="V186">
            <v>192031</v>
          </cell>
        </row>
        <row r="187">
          <cell r="J187">
            <v>119</v>
          </cell>
          <cell r="R187"/>
          <cell r="S187">
            <v>206813</v>
          </cell>
          <cell r="V187">
            <v>206813</v>
          </cell>
        </row>
        <row r="188">
          <cell r="J188">
            <v>74</v>
          </cell>
          <cell r="R188"/>
          <cell r="S188">
            <v>168110</v>
          </cell>
          <cell r="V188">
            <v>168110</v>
          </cell>
        </row>
        <row r="189">
          <cell r="J189">
            <v>87</v>
          </cell>
          <cell r="R189"/>
          <cell r="S189">
            <v>183712</v>
          </cell>
          <cell r="V189"/>
        </row>
        <row r="190">
          <cell r="J190">
            <v>84</v>
          </cell>
          <cell r="R190"/>
          <cell r="S190">
            <v>176936</v>
          </cell>
          <cell r="V190">
            <v>360648</v>
          </cell>
        </row>
        <row r="191">
          <cell r="J191">
            <v>50</v>
          </cell>
          <cell r="R191"/>
          <cell r="S191">
            <v>158974</v>
          </cell>
          <cell r="V191"/>
        </row>
        <row r="192">
          <cell r="J192">
            <v>9</v>
          </cell>
          <cell r="R192"/>
          <cell r="S192">
            <v>132722</v>
          </cell>
          <cell r="V192">
            <v>291696</v>
          </cell>
        </row>
        <row r="193">
          <cell r="J193">
            <v>8</v>
          </cell>
          <cell r="R193"/>
          <cell r="S193">
            <v>128526</v>
          </cell>
          <cell r="V193"/>
        </row>
        <row r="194">
          <cell r="J194">
            <v>15</v>
          </cell>
          <cell r="R194"/>
          <cell r="S194">
            <v>139326</v>
          </cell>
          <cell r="V194">
            <v>267852</v>
          </cell>
        </row>
        <row r="195">
          <cell r="J195">
            <v>22</v>
          </cell>
          <cell r="R195"/>
          <cell r="S195">
            <v>132748</v>
          </cell>
          <cell r="V195"/>
        </row>
        <row r="196">
          <cell r="J196">
            <v>38</v>
          </cell>
          <cell r="R196"/>
          <cell r="S196">
            <v>147409</v>
          </cell>
          <cell r="V196">
            <v>280157</v>
          </cell>
        </row>
        <row r="197">
          <cell r="J197">
            <v>71</v>
          </cell>
          <cell r="R197"/>
          <cell r="S197">
            <v>175522</v>
          </cell>
          <cell r="V197">
            <v>175522</v>
          </cell>
        </row>
        <row r="198">
          <cell r="J198">
            <v>84</v>
          </cell>
          <cell r="R198"/>
          <cell r="S198">
            <v>184989</v>
          </cell>
          <cell r="V198">
            <v>184989</v>
          </cell>
        </row>
        <row r="199">
          <cell r="J199">
            <v>86</v>
          </cell>
          <cell r="R199"/>
          <cell r="S199">
            <v>198450</v>
          </cell>
          <cell r="V199">
            <v>198450</v>
          </cell>
        </row>
        <row r="200">
          <cell r="J200">
            <v>78</v>
          </cell>
          <cell r="R200"/>
          <cell r="S200">
            <v>192083</v>
          </cell>
          <cell r="V200">
            <v>192083</v>
          </cell>
        </row>
        <row r="201">
          <cell r="J201">
            <v>66</v>
          </cell>
          <cell r="R201"/>
          <cell r="S201">
            <v>173114</v>
          </cell>
          <cell r="V201">
            <v>173114</v>
          </cell>
        </row>
        <row r="202">
          <cell r="J202">
            <v>53</v>
          </cell>
          <cell r="R202"/>
          <cell r="S202">
            <v>163248</v>
          </cell>
          <cell r="V202"/>
        </row>
        <row r="203">
          <cell r="J203">
            <v>38</v>
          </cell>
          <cell r="R203"/>
          <cell r="S203">
            <v>160295</v>
          </cell>
          <cell r="V203"/>
        </row>
        <row r="204">
          <cell r="J204">
            <v>-3375</v>
          </cell>
          <cell r="R204"/>
          <cell r="S204">
            <v>-4141541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5">
        <row r="175">
          <cell r="J175">
            <v>0</v>
          </cell>
          <cell r="R175"/>
          <cell r="S175">
            <v>87141</v>
          </cell>
          <cell r="V175"/>
        </row>
        <row r="176">
          <cell r="J176">
            <v>0</v>
          </cell>
          <cell r="R176"/>
          <cell r="S176">
            <v>87141</v>
          </cell>
          <cell r="V176">
            <v>174282</v>
          </cell>
        </row>
        <row r="177">
          <cell r="J177">
            <v>0</v>
          </cell>
          <cell r="R177"/>
          <cell r="S177">
            <v>87141</v>
          </cell>
          <cell r="V177">
            <v>87141</v>
          </cell>
        </row>
        <row r="178">
          <cell r="J178">
            <v>0</v>
          </cell>
          <cell r="R178"/>
          <cell r="S178">
            <v>87141</v>
          </cell>
          <cell r="V178">
            <v>87141</v>
          </cell>
        </row>
        <row r="179">
          <cell r="J179">
            <v>0</v>
          </cell>
          <cell r="R179"/>
          <cell r="S179">
            <v>87141</v>
          </cell>
          <cell r="V179">
            <v>87141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/>
        </row>
        <row r="182">
          <cell r="J182">
            <v>0</v>
          </cell>
          <cell r="R182"/>
          <cell r="S182">
            <v>88122</v>
          </cell>
          <cell r="V182">
            <v>174282</v>
          </cell>
        </row>
        <row r="183">
          <cell r="J183">
            <v>0</v>
          </cell>
          <cell r="R183"/>
          <cell r="S183">
            <v>88138</v>
          </cell>
          <cell r="V183"/>
        </row>
        <row r="184">
          <cell r="J184">
            <v>0</v>
          </cell>
          <cell r="R184"/>
          <cell r="S184">
            <v>88131</v>
          </cell>
          <cell r="V184">
            <v>177250</v>
          </cell>
        </row>
        <row r="185">
          <cell r="J185">
            <v>0</v>
          </cell>
          <cell r="R185"/>
          <cell r="S185">
            <v>88160</v>
          </cell>
          <cell r="V185"/>
        </row>
        <row r="186">
          <cell r="J186">
            <v>0</v>
          </cell>
          <cell r="R186"/>
          <cell r="S186">
            <v>88180</v>
          </cell>
          <cell r="V186">
            <v>176340</v>
          </cell>
        </row>
        <row r="187">
          <cell r="J187">
            <v>0</v>
          </cell>
          <cell r="R187"/>
          <cell r="S187">
            <v>89922</v>
          </cell>
          <cell r="V187">
            <v>89922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/>
        </row>
        <row r="190">
          <cell r="J190">
            <v>0</v>
          </cell>
          <cell r="R190"/>
          <cell r="S190">
            <v>89976</v>
          </cell>
          <cell r="V190">
            <v>179941</v>
          </cell>
        </row>
        <row r="191">
          <cell r="J191">
            <v>0</v>
          </cell>
          <cell r="R191"/>
          <cell r="S191">
            <v>89998</v>
          </cell>
          <cell r="V191"/>
        </row>
        <row r="192">
          <cell r="J192">
            <v>0</v>
          </cell>
          <cell r="R192"/>
          <cell r="S192">
            <v>90023</v>
          </cell>
          <cell r="V192">
            <v>180021</v>
          </cell>
        </row>
        <row r="193">
          <cell r="J193">
            <v>0</v>
          </cell>
          <cell r="R193"/>
          <cell r="S193">
            <v>90036</v>
          </cell>
          <cell r="V193"/>
        </row>
        <row r="194">
          <cell r="J194">
            <v>0</v>
          </cell>
          <cell r="R194"/>
          <cell r="S194">
            <v>90061</v>
          </cell>
          <cell r="V194">
            <v>180097</v>
          </cell>
        </row>
        <row r="195">
          <cell r="J195">
            <v>0</v>
          </cell>
          <cell r="R195">
            <v>54864</v>
          </cell>
          <cell r="S195">
            <v>144946</v>
          </cell>
          <cell r="V195"/>
        </row>
        <row r="196">
          <cell r="J196">
            <v>0</v>
          </cell>
          <cell r="R196">
            <v>55066</v>
          </cell>
          <cell r="S196">
            <v>145171</v>
          </cell>
          <cell r="V196"/>
        </row>
        <row r="197">
          <cell r="J197">
            <v>0</v>
          </cell>
          <cell r="R197"/>
          <cell r="S197">
            <v>90135</v>
          </cell>
          <cell r="V197">
            <v>380251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/>
          <cell r="S199">
            <v>92268</v>
          </cell>
          <cell r="V199">
            <v>92269</v>
          </cell>
        </row>
        <row r="200">
          <cell r="J200">
            <v>0</v>
          </cell>
          <cell r="R200"/>
          <cell r="S200">
            <v>92271</v>
          </cell>
          <cell r="V200">
            <v>92271</v>
          </cell>
        </row>
        <row r="201">
          <cell r="J201">
            <v>0</v>
          </cell>
          <cell r="R201"/>
          <cell r="S201">
            <v>92274</v>
          </cell>
          <cell r="V201"/>
        </row>
        <row r="202">
          <cell r="J202">
            <v>0</v>
          </cell>
          <cell r="R202"/>
          <cell r="S202">
            <v>92303</v>
          </cell>
          <cell r="V202">
            <v>184577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6">
        <row r="175">
          <cell r="J175">
            <v>0</v>
          </cell>
          <cell r="R175"/>
          <cell r="S175">
            <v>87141</v>
          </cell>
          <cell r="V175">
            <v>168536</v>
          </cell>
        </row>
        <row r="176">
          <cell r="J176">
            <v>0</v>
          </cell>
          <cell r="R176"/>
          <cell r="S176">
            <v>87141</v>
          </cell>
          <cell r="V176">
            <v>87141</v>
          </cell>
        </row>
        <row r="177">
          <cell r="J177">
            <v>0</v>
          </cell>
          <cell r="R177"/>
          <cell r="S177">
            <v>87141</v>
          </cell>
          <cell r="V177"/>
        </row>
        <row r="178">
          <cell r="J178">
            <v>0</v>
          </cell>
          <cell r="R178"/>
          <cell r="S178">
            <v>87141</v>
          </cell>
          <cell r="V178">
            <v>174282</v>
          </cell>
        </row>
        <row r="179">
          <cell r="J179">
            <v>0</v>
          </cell>
          <cell r="R179"/>
          <cell r="S179">
            <v>87141</v>
          </cell>
          <cell r="V179">
            <v>87141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/>
        </row>
        <row r="182">
          <cell r="J182">
            <v>0</v>
          </cell>
          <cell r="R182"/>
          <cell r="S182">
            <v>88122</v>
          </cell>
          <cell r="V182">
            <v>175263</v>
          </cell>
        </row>
        <row r="183">
          <cell r="J183">
            <v>0</v>
          </cell>
          <cell r="R183"/>
          <cell r="S183">
            <v>88138</v>
          </cell>
          <cell r="V183"/>
        </row>
        <row r="184">
          <cell r="J184">
            <v>0</v>
          </cell>
          <cell r="R184"/>
          <cell r="S184">
            <v>88131</v>
          </cell>
          <cell r="V184">
            <v>176276</v>
          </cell>
        </row>
        <row r="185">
          <cell r="J185">
            <v>0</v>
          </cell>
          <cell r="R185"/>
          <cell r="S185">
            <v>88160</v>
          </cell>
          <cell r="V185">
            <v>88153</v>
          </cell>
        </row>
        <row r="186">
          <cell r="J186">
            <v>0</v>
          </cell>
          <cell r="R186"/>
          <cell r="S186">
            <v>88180</v>
          </cell>
          <cell r="V186"/>
        </row>
        <row r="187">
          <cell r="J187">
            <v>0</v>
          </cell>
          <cell r="R187"/>
          <cell r="S187">
            <v>89922</v>
          </cell>
          <cell r="V187">
            <v>178102</v>
          </cell>
        </row>
        <row r="188">
          <cell r="J188">
            <v>0</v>
          </cell>
          <cell r="R188"/>
          <cell r="S188">
            <v>89952</v>
          </cell>
          <cell r="V188"/>
        </row>
        <row r="189">
          <cell r="J189">
            <v>0</v>
          </cell>
          <cell r="R189"/>
          <cell r="S189">
            <v>89965</v>
          </cell>
          <cell r="V189">
            <v>179917</v>
          </cell>
        </row>
        <row r="190">
          <cell r="J190">
            <v>0</v>
          </cell>
          <cell r="R190"/>
          <cell r="S190">
            <v>89976</v>
          </cell>
          <cell r="V190"/>
        </row>
        <row r="191">
          <cell r="J191">
            <v>0</v>
          </cell>
          <cell r="R191"/>
          <cell r="S191">
            <v>89998</v>
          </cell>
          <cell r="V191">
            <v>179974</v>
          </cell>
        </row>
        <row r="192">
          <cell r="J192">
            <v>0</v>
          </cell>
          <cell r="R192"/>
          <cell r="S192">
            <v>90023</v>
          </cell>
          <cell r="V192"/>
        </row>
        <row r="193">
          <cell r="J193">
            <v>0</v>
          </cell>
          <cell r="R193"/>
          <cell r="S193">
            <v>90036</v>
          </cell>
          <cell r="V193">
            <v>180059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/>
        </row>
        <row r="196">
          <cell r="J196">
            <v>0</v>
          </cell>
          <cell r="R196"/>
          <cell r="S196">
            <v>90105</v>
          </cell>
          <cell r="V196">
            <v>180187</v>
          </cell>
        </row>
        <row r="197">
          <cell r="J197">
            <v>0</v>
          </cell>
          <cell r="R197"/>
          <cell r="S197">
            <v>90135</v>
          </cell>
          <cell r="V197"/>
        </row>
        <row r="198">
          <cell r="J198">
            <v>0</v>
          </cell>
          <cell r="R198"/>
          <cell r="S198">
            <v>90145</v>
          </cell>
          <cell r="V198">
            <v>180280</v>
          </cell>
        </row>
        <row r="199">
          <cell r="J199">
            <v>0</v>
          </cell>
          <cell r="R199">
            <v>55092</v>
          </cell>
          <cell r="S199">
            <v>147360</v>
          </cell>
          <cell r="V199"/>
        </row>
        <row r="200">
          <cell r="J200">
            <v>0</v>
          </cell>
          <cell r="R200">
            <v>55114</v>
          </cell>
          <cell r="S200">
            <v>147385</v>
          </cell>
          <cell r="V200"/>
        </row>
        <row r="201">
          <cell r="J201">
            <v>0</v>
          </cell>
          <cell r="R201"/>
          <cell r="S201">
            <v>92274</v>
          </cell>
          <cell r="V201">
            <v>387019</v>
          </cell>
        </row>
        <row r="202">
          <cell r="J202">
            <v>0</v>
          </cell>
          <cell r="R202"/>
          <cell r="S202">
            <v>92303</v>
          </cell>
          <cell r="V202"/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7">
        <row r="175">
          <cell r="J175">
            <v>0</v>
          </cell>
          <cell r="R175"/>
          <cell r="S175">
            <v>87141</v>
          </cell>
          <cell r="V175">
            <v>200000</v>
          </cell>
        </row>
        <row r="176">
          <cell r="J176">
            <v>0</v>
          </cell>
          <cell r="R176"/>
          <cell r="S176">
            <v>87141</v>
          </cell>
          <cell r="V176">
            <v>200000</v>
          </cell>
        </row>
        <row r="177">
          <cell r="J177">
            <v>0</v>
          </cell>
          <cell r="R177"/>
          <cell r="S177">
            <v>87141</v>
          </cell>
          <cell r="V177">
            <v>200000</v>
          </cell>
        </row>
        <row r="178">
          <cell r="J178">
            <v>0</v>
          </cell>
          <cell r="R178"/>
          <cell r="S178">
            <v>87141</v>
          </cell>
          <cell r="V178">
            <v>200000</v>
          </cell>
        </row>
        <row r="179">
          <cell r="J179">
            <v>0</v>
          </cell>
          <cell r="R179"/>
          <cell r="S179">
            <v>87141</v>
          </cell>
          <cell r="V179">
            <v>200627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/>
        </row>
        <row r="182">
          <cell r="J182">
            <v>0</v>
          </cell>
          <cell r="R182"/>
          <cell r="S182">
            <v>88122</v>
          </cell>
          <cell r="V182">
            <v>175263</v>
          </cell>
        </row>
        <row r="183">
          <cell r="J183">
            <v>0</v>
          </cell>
          <cell r="R183"/>
          <cell r="S183">
            <v>88138</v>
          </cell>
          <cell r="V183"/>
        </row>
        <row r="184">
          <cell r="J184">
            <v>0</v>
          </cell>
          <cell r="R184"/>
          <cell r="S184">
            <v>88131</v>
          </cell>
          <cell r="V184">
            <v>176269</v>
          </cell>
        </row>
        <row r="185">
          <cell r="J185">
            <v>16</v>
          </cell>
          <cell r="R185"/>
          <cell r="S185">
            <v>97104</v>
          </cell>
          <cell r="V185"/>
        </row>
        <row r="186">
          <cell r="J186">
            <v>0</v>
          </cell>
          <cell r="R186"/>
          <cell r="S186">
            <v>88180</v>
          </cell>
          <cell r="V186">
            <v>185284</v>
          </cell>
        </row>
        <row r="187">
          <cell r="J187">
            <v>0</v>
          </cell>
          <cell r="R187"/>
          <cell r="S187">
            <v>89922</v>
          </cell>
          <cell r="V187"/>
        </row>
        <row r="188">
          <cell r="J188">
            <v>0</v>
          </cell>
          <cell r="R188"/>
          <cell r="S188">
            <v>89952</v>
          </cell>
          <cell r="V188">
            <v>179874</v>
          </cell>
        </row>
        <row r="189">
          <cell r="J189">
            <v>0</v>
          </cell>
          <cell r="R189"/>
          <cell r="S189">
            <v>89965</v>
          </cell>
          <cell r="V189">
            <v>89965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>
            <v>55132</v>
          </cell>
          <cell r="S197">
            <v>145267</v>
          </cell>
          <cell r="V197"/>
        </row>
        <row r="198">
          <cell r="J198">
            <v>0</v>
          </cell>
          <cell r="R198">
            <v>55092</v>
          </cell>
          <cell r="S198">
            <v>145237</v>
          </cell>
          <cell r="V198">
            <v>290504</v>
          </cell>
        </row>
        <row r="199">
          <cell r="J199">
            <v>0</v>
          </cell>
          <cell r="R199">
            <v>55092</v>
          </cell>
          <cell r="S199">
            <v>147360</v>
          </cell>
          <cell r="V199"/>
        </row>
        <row r="200">
          <cell r="J200">
            <v>0</v>
          </cell>
          <cell r="R200">
            <v>55114</v>
          </cell>
          <cell r="S200">
            <v>147385</v>
          </cell>
          <cell r="V200"/>
        </row>
        <row r="201">
          <cell r="J201">
            <v>0</v>
          </cell>
          <cell r="R201">
            <v>55132</v>
          </cell>
          <cell r="S201">
            <v>147406</v>
          </cell>
          <cell r="V201"/>
        </row>
        <row r="202">
          <cell r="J202">
            <v>0</v>
          </cell>
          <cell r="R202"/>
          <cell r="S202">
            <v>92303</v>
          </cell>
          <cell r="V202"/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-16</v>
          </cell>
          <cell r="R204"/>
          <cell r="S204">
            <v>75060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8">
        <row r="175">
          <cell r="J175">
            <v>16</v>
          </cell>
          <cell r="R175"/>
          <cell r="S175">
            <v>158719</v>
          </cell>
          <cell r="V175">
            <v>158719</v>
          </cell>
        </row>
        <row r="176">
          <cell r="J176">
            <v>35</v>
          </cell>
          <cell r="R176"/>
          <cell r="S176">
            <v>141746</v>
          </cell>
          <cell r="V176">
            <v>141746</v>
          </cell>
        </row>
        <row r="177">
          <cell r="J177">
            <v>8</v>
          </cell>
          <cell r="R177"/>
          <cell r="S177">
            <v>121251</v>
          </cell>
          <cell r="V177">
            <v>117520</v>
          </cell>
        </row>
        <row r="178">
          <cell r="J178">
            <v>7</v>
          </cell>
          <cell r="R178"/>
          <cell r="S178">
            <v>113976</v>
          </cell>
          <cell r="V178">
            <v>117707</v>
          </cell>
        </row>
        <row r="179">
          <cell r="J179">
            <v>3</v>
          </cell>
          <cell r="R179"/>
          <cell r="S179">
            <v>111594</v>
          </cell>
          <cell r="V179">
            <v>111594</v>
          </cell>
        </row>
        <row r="180">
          <cell r="J180">
            <v>3</v>
          </cell>
          <cell r="R180"/>
          <cell r="S180">
            <v>112324</v>
          </cell>
          <cell r="V180">
            <v>112323</v>
          </cell>
        </row>
        <row r="181">
          <cell r="J181">
            <v>8</v>
          </cell>
          <cell r="R181"/>
          <cell r="S181">
            <v>120813</v>
          </cell>
          <cell r="V181">
            <v>120814</v>
          </cell>
        </row>
        <row r="182">
          <cell r="J182">
            <v>9</v>
          </cell>
          <cell r="R182"/>
          <cell r="S182">
            <v>133741</v>
          </cell>
          <cell r="V182">
            <v>133741</v>
          </cell>
        </row>
        <row r="183">
          <cell r="J183">
            <v>13</v>
          </cell>
          <cell r="R183"/>
          <cell r="S183">
            <v>124897</v>
          </cell>
          <cell r="V183">
            <v>124897</v>
          </cell>
        </row>
        <row r="184">
          <cell r="J184">
            <v>11</v>
          </cell>
          <cell r="R184"/>
          <cell r="S184">
            <v>123772</v>
          </cell>
          <cell r="V184">
            <v>123772</v>
          </cell>
        </row>
        <row r="185">
          <cell r="J185">
            <v>24</v>
          </cell>
          <cell r="R185"/>
          <cell r="S185">
            <v>133842</v>
          </cell>
          <cell r="V185">
            <v>133842</v>
          </cell>
        </row>
        <row r="186">
          <cell r="J186">
            <v>39</v>
          </cell>
          <cell r="R186"/>
          <cell r="S186">
            <v>139327</v>
          </cell>
          <cell r="V186">
            <v>139327</v>
          </cell>
        </row>
        <row r="187">
          <cell r="J187">
            <v>58</v>
          </cell>
          <cell r="R187"/>
          <cell r="S187">
            <v>167312</v>
          </cell>
          <cell r="V187">
            <v>167312</v>
          </cell>
        </row>
        <row r="188">
          <cell r="J188">
            <v>33</v>
          </cell>
          <cell r="R188"/>
          <cell r="S188">
            <v>141395</v>
          </cell>
          <cell r="V188">
            <v>141395</v>
          </cell>
        </row>
        <row r="189">
          <cell r="J189">
            <v>38</v>
          </cell>
          <cell r="R189"/>
          <cell r="S189">
            <v>143473</v>
          </cell>
          <cell r="V189">
            <v>121251</v>
          </cell>
        </row>
        <row r="190">
          <cell r="J190">
            <v>31</v>
          </cell>
          <cell r="R190"/>
          <cell r="S190">
            <v>165851</v>
          </cell>
          <cell r="V190">
            <v>188073</v>
          </cell>
        </row>
        <row r="191">
          <cell r="J191">
            <v>30</v>
          </cell>
          <cell r="R191"/>
          <cell r="S191">
            <v>188236</v>
          </cell>
          <cell r="V191">
            <v>188236</v>
          </cell>
        </row>
        <row r="192">
          <cell r="J192">
            <v>11</v>
          </cell>
          <cell r="R192"/>
          <cell r="S192">
            <v>184210</v>
          </cell>
          <cell r="V192">
            <v>184210</v>
          </cell>
        </row>
        <row r="193">
          <cell r="J193">
            <v>13</v>
          </cell>
          <cell r="R193"/>
          <cell r="S193">
            <v>192641</v>
          </cell>
          <cell r="V193">
            <v>192641</v>
          </cell>
        </row>
        <row r="194">
          <cell r="J194">
            <v>11</v>
          </cell>
          <cell r="R194"/>
          <cell r="S194">
            <v>173444</v>
          </cell>
          <cell r="V194">
            <v>173444</v>
          </cell>
        </row>
        <row r="195">
          <cell r="J195">
            <v>17</v>
          </cell>
          <cell r="R195"/>
          <cell r="S195">
            <v>161197</v>
          </cell>
          <cell r="V195">
            <v>161197</v>
          </cell>
        </row>
        <row r="196">
          <cell r="J196">
            <v>83</v>
          </cell>
          <cell r="R196"/>
          <cell r="S196">
            <v>200450</v>
          </cell>
          <cell r="V196">
            <v>200450</v>
          </cell>
        </row>
        <row r="197">
          <cell r="J197">
            <v>38</v>
          </cell>
          <cell r="R197"/>
          <cell r="S197">
            <v>191239</v>
          </cell>
          <cell r="V197">
            <v>191239</v>
          </cell>
        </row>
        <row r="198">
          <cell r="J198">
            <v>51</v>
          </cell>
          <cell r="R198"/>
          <cell r="S198">
            <v>195596</v>
          </cell>
          <cell r="V198">
            <v>195596</v>
          </cell>
        </row>
        <row r="199">
          <cell r="J199">
            <v>53</v>
          </cell>
          <cell r="R199"/>
          <cell r="S199">
            <v>238257</v>
          </cell>
          <cell r="V199">
            <v>238257</v>
          </cell>
        </row>
        <row r="200">
          <cell r="J200">
            <v>40</v>
          </cell>
          <cell r="R200"/>
          <cell r="S200">
            <v>213911</v>
          </cell>
          <cell r="V200">
            <v>213911</v>
          </cell>
        </row>
        <row r="201">
          <cell r="J201">
            <v>23</v>
          </cell>
          <cell r="R201"/>
          <cell r="S201">
            <v>184701</v>
          </cell>
          <cell r="V201">
            <v>184701</v>
          </cell>
        </row>
        <row r="202">
          <cell r="J202">
            <v>6</v>
          </cell>
          <cell r="R202"/>
          <cell r="S202">
            <v>149531</v>
          </cell>
          <cell r="V202">
            <v>149531</v>
          </cell>
        </row>
        <row r="203">
          <cell r="J203">
            <v>18</v>
          </cell>
          <cell r="R203"/>
          <cell r="S203">
            <v>164007</v>
          </cell>
          <cell r="V203"/>
        </row>
        <row r="204">
          <cell r="J204">
            <v>-1056</v>
          </cell>
          <cell r="R204"/>
          <cell r="S204">
            <v>-2307064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29">
        <row r="175">
          <cell r="J175">
            <v>29</v>
          </cell>
          <cell r="R175"/>
          <cell r="S175">
            <v>127442</v>
          </cell>
          <cell r="V175">
            <v>127442</v>
          </cell>
        </row>
        <row r="176">
          <cell r="J176">
            <v>20</v>
          </cell>
          <cell r="R176"/>
          <cell r="S176">
            <v>131755</v>
          </cell>
          <cell r="V176">
            <v>127422</v>
          </cell>
        </row>
        <row r="177">
          <cell r="J177">
            <v>39</v>
          </cell>
          <cell r="R177"/>
          <cell r="S177">
            <v>134492</v>
          </cell>
          <cell r="V177">
            <v>138825</v>
          </cell>
        </row>
        <row r="178">
          <cell r="J178">
            <v>61</v>
          </cell>
          <cell r="R178"/>
          <cell r="S178">
            <v>133942</v>
          </cell>
          <cell r="V178">
            <v>133942</v>
          </cell>
        </row>
        <row r="179">
          <cell r="J179">
            <v>10</v>
          </cell>
          <cell r="R179"/>
          <cell r="S179">
            <v>105579</v>
          </cell>
          <cell r="V179">
            <v>105579</v>
          </cell>
        </row>
        <row r="180">
          <cell r="J180">
            <v>14</v>
          </cell>
          <cell r="R180"/>
          <cell r="S180">
            <v>108545</v>
          </cell>
          <cell r="V180">
            <v>108545</v>
          </cell>
        </row>
        <row r="181">
          <cell r="J181">
            <v>5</v>
          </cell>
          <cell r="R181"/>
          <cell r="S181">
            <v>100448</v>
          </cell>
          <cell r="V181">
            <v>100448</v>
          </cell>
        </row>
        <row r="182">
          <cell r="J182">
            <v>6</v>
          </cell>
          <cell r="R182"/>
          <cell r="S182">
            <v>101696</v>
          </cell>
          <cell r="V182"/>
        </row>
        <row r="183">
          <cell r="J183">
            <v>14</v>
          </cell>
          <cell r="R183"/>
          <cell r="S183">
            <v>111148</v>
          </cell>
          <cell r="V183">
            <v>212844</v>
          </cell>
        </row>
        <row r="184">
          <cell r="J184">
            <v>12</v>
          </cell>
          <cell r="R184"/>
          <cell r="S184">
            <v>108125</v>
          </cell>
          <cell r="V184">
            <v>108125</v>
          </cell>
        </row>
        <row r="185">
          <cell r="J185">
            <v>56</v>
          </cell>
          <cell r="R185"/>
          <cell r="S185">
            <v>139612</v>
          </cell>
          <cell r="V185">
            <v>139612</v>
          </cell>
        </row>
        <row r="186">
          <cell r="J186">
            <v>37</v>
          </cell>
          <cell r="R186"/>
          <cell r="S186">
            <v>132661</v>
          </cell>
          <cell r="V186">
            <v>132661</v>
          </cell>
        </row>
        <row r="187">
          <cell r="J187">
            <v>34</v>
          </cell>
          <cell r="R187"/>
          <cell r="S187">
            <v>141048</v>
          </cell>
          <cell r="V187"/>
        </row>
        <row r="188">
          <cell r="J188">
            <v>43</v>
          </cell>
          <cell r="R188"/>
          <cell r="S188">
            <v>134283</v>
          </cell>
          <cell r="V188">
            <v>275331</v>
          </cell>
        </row>
        <row r="189">
          <cell r="J189">
            <v>32</v>
          </cell>
          <cell r="R189"/>
          <cell r="S189">
            <v>133695</v>
          </cell>
          <cell r="V189">
            <v>133695</v>
          </cell>
        </row>
        <row r="190">
          <cell r="J190">
            <v>22</v>
          </cell>
          <cell r="R190"/>
          <cell r="S190">
            <v>124758</v>
          </cell>
          <cell r="V190">
            <v>124758</v>
          </cell>
        </row>
        <row r="191">
          <cell r="J191">
            <v>13</v>
          </cell>
          <cell r="R191"/>
          <cell r="S191">
            <v>120479</v>
          </cell>
          <cell r="V191">
            <v>120479</v>
          </cell>
        </row>
        <row r="192">
          <cell r="J192">
            <v>4</v>
          </cell>
          <cell r="R192"/>
          <cell r="S192">
            <v>113721</v>
          </cell>
          <cell r="V192">
            <v>113721</v>
          </cell>
        </row>
        <row r="193">
          <cell r="J193">
            <v>3</v>
          </cell>
          <cell r="R193"/>
          <cell r="S193">
            <v>114635</v>
          </cell>
          <cell r="V193">
            <v>114635</v>
          </cell>
        </row>
        <row r="194">
          <cell r="J194">
            <v>1</v>
          </cell>
          <cell r="R194"/>
          <cell r="S194">
            <v>115148</v>
          </cell>
          <cell r="V194">
            <v>115148</v>
          </cell>
        </row>
        <row r="195">
          <cell r="J195">
            <v>5</v>
          </cell>
          <cell r="R195"/>
          <cell r="S195">
            <v>116237</v>
          </cell>
          <cell r="V195"/>
        </row>
        <row r="196">
          <cell r="J196">
            <v>19</v>
          </cell>
          <cell r="R196"/>
          <cell r="S196">
            <v>125108</v>
          </cell>
          <cell r="V196">
            <v>241345</v>
          </cell>
        </row>
        <row r="197">
          <cell r="J197">
            <v>29</v>
          </cell>
          <cell r="R197"/>
          <cell r="S197">
            <v>137590</v>
          </cell>
          <cell r="V197">
            <v>137590</v>
          </cell>
        </row>
        <row r="198">
          <cell r="J198">
            <v>22</v>
          </cell>
          <cell r="R198"/>
          <cell r="S198">
            <v>142155</v>
          </cell>
          <cell r="V198">
            <v>142155</v>
          </cell>
        </row>
        <row r="199">
          <cell r="J199">
            <v>38</v>
          </cell>
          <cell r="R199"/>
          <cell r="S199">
            <v>185926</v>
          </cell>
          <cell r="V199">
            <v>185926</v>
          </cell>
        </row>
        <row r="200">
          <cell r="J200">
            <v>37</v>
          </cell>
          <cell r="R200"/>
          <cell r="S200">
            <v>184640</v>
          </cell>
          <cell r="V200">
            <v>184640</v>
          </cell>
        </row>
        <row r="201">
          <cell r="J201">
            <v>24</v>
          </cell>
          <cell r="R201"/>
          <cell r="S201">
            <v>145694</v>
          </cell>
          <cell r="V201">
            <v>145694</v>
          </cell>
        </row>
        <row r="202">
          <cell r="J202">
            <v>81</v>
          </cell>
          <cell r="R202"/>
          <cell r="S202">
            <v>162840</v>
          </cell>
          <cell r="V202">
            <v>162840</v>
          </cell>
        </row>
        <row r="203">
          <cell r="J203">
            <v>14</v>
          </cell>
          <cell r="R203"/>
          <cell r="S203">
            <v>127023</v>
          </cell>
          <cell r="V203"/>
        </row>
        <row r="204">
          <cell r="J204">
            <v>-2934</v>
          </cell>
          <cell r="R204"/>
          <cell r="S204">
            <v>-3651932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0">
        <row r="175">
          <cell r="J175">
            <v>0</v>
          </cell>
          <cell r="R175"/>
          <cell r="S175">
            <v>87141</v>
          </cell>
          <cell r="V175">
            <v>87141</v>
          </cell>
        </row>
        <row r="176">
          <cell r="J176">
            <v>0</v>
          </cell>
          <cell r="R176"/>
          <cell r="S176">
            <v>87141</v>
          </cell>
          <cell r="V176"/>
        </row>
        <row r="177">
          <cell r="J177">
            <v>0</v>
          </cell>
          <cell r="R177"/>
          <cell r="S177">
            <v>87141</v>
          </cell>
          <cell r="V177">
            <v>174282</v>
          </cell>
        </row>
        <row r="178">
          <cell r="J178">
            <v>0</v>
          </cell>
          <cell r="R178"/>
          <cell r="S178">
            <v>87141</v>
          </cell>
          <cell r="V178">
            <v>83410</v>
          </cell>
        </row>
        <row r="179">
          <cell r="J179">
            <v>0</v>
          </cell>
          <cell r="R179"/>
          <cell r="S179">
            <v>87141</v>
          </cell>
          <cell r="V179">
            <v>90872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80</v>
          </cell>
          <cell r="R181"/>
          <cell r="S181">
            <v>132007</v>
          </cell>
          <cell r="V181">
            <v>131861</v>
          </cell>
        </row>
        <row r="182">
          <cell r="J182">
            <v>19</v>
          </cell>
          <cell r="R182"/>
          <cell r="S182">
            <v>119183</v>
          </cell>
          <cell r="V182">
            <v>108562</v>
          </cell>
        </row>
        <row r="183">
          <cell r="J183">
            <v>39</v>
          </cell>
          <cell r="R183"/>
          <cell r="S183">
            <v>129357</v>
          </cell>
          <cell r="V183">
            <v>119428</v>
          </cell>
        </row>
        <row r="184">
          <cell r="J184">
            <v>94</v>
          </cell>
          <cell r="R184"/>
          <cell r="S184">
            <v>157321</v>
          </cell>
          <cell r="V184">
            <v>178017</v>
          </cell>
        </row>
        <row r="185">
          <cell r="J185">
            <v>37</v>
          </cell>
          <cell r="R185"/>
          <cell r="S185">
            <v>122129</v>
          </cell>
          <cell r="V185">
            <v>122129</v>
          </cell>
        </row>
        <row r="186">
          <cell r="J186">
            <v>147</v>
          </cell>
          <cell r="R186"/>
          <cell r="S186">
            <v>187915</v>
          </cell>
          <cell r="V186">
            <v>187915</v>
          </cell>
        </row>
        <row r="187">
          <cell r="J187">
            <v>33</v>
          </cell>
          <cell r="R187"/>
          <cell r="S187">
            <v>125305</v>
          </cell>
          <cell r="V187">
            <v>125305</v>
          </cell>
        </row>
        <row r="188">
          <cell r="J188">
            <v>29</v>
          </cell>
          <cell r="R188"/>
          <cell r="S188">
            <v>117989</v>
          </cell>
          <cell r="V188">
            <v>117989</v>
          </cell>
        </row>
        <row r="189">
          <cell r="J189">
            <v>28</v>
          </cell>
          <cell r="R189"/>
          <cell r="S189">
            <v>119779</v>
          </cell>
          <cell r="V189">
            <v>119779</v>
          </cell>
        </row>
        <row r="190">
          <cell r="J190">
            <v>274</v>
          </cell>
          <cell r="R190"/>
          <cell r="S190">
            <v>256282</v>
          </cell>
          <cell r="V190">
            <v>130000</v>
          </cell>
        </row>
        <row r="191">
          <cell r="J191">
            <v>17</v>
          </cell>
          <cell r="R191"/>
          <cell r="S191">
            <v>112933</v>
          </cell>
          <cell r="V191">
            <v>112933</v>
          </cell>
        </row>
        <row r="192">
          <cell r="J192">
            <v>12</v>
          </cell>
          <cell r="R192"/>
          <cell r="S192">
            <v>116003</v>
          </cell>
          <cell r="V192">
            <v>142285</v>
          </cell>
        </row>
        <row r="193">
          <cell r="J193">
            <v>7</v>
          </cell>
          <cell r="R193"/>
          <cell r="S193">
            <v>111031</v>
          </cell>
          <cell r="V193">
            <v>141031</v>
          </cell>
        </row>
        <row r="194">
          <cell r="J194">
            <v>33</v>
          </cell>
          <cell r="R194"/>
          <cell r="S194">
            <v>129386</v>
          </cell>
          <cell r="V194">
            <v>129386</v>
          </cell>
        </row>
        <row r="195">
          <cell r="J195">
            <v>19</v>
          </cell>
          <cell r="R195"/>
          <cell r="S195">
            <v>115595</v>
          </cell>
          <cell r="V195">
            <v>145595</v>
          </cell>
        </row>
        <row r="196">
          <cell r="J196">
            <v>16</v>
          </cell>
          <cell r="R196"/>
          <cell r="S196">
            <v>115985</v>
          </cell>
          <cell r="V196">
            <v>155985</v>
          </cell>
        </row>
        <row r="197">
          <cell r="J197">
            <v>27</v>
          </cell>
          <cell r="R197"/>
          <cell r="S197">
            <v>121726</v>
          </cell>
          <cell r="V197">
            <v>121726</v>
          </cell>
        </row>
        <row r="198">
          <cell r="J198">
            <v>47</v>
          </cell>
          <cell r="R198"/>
          <cell r="S198">
            <v>167638</v>
          </cell>
          <cell r="V198">
            <v>167638</v>
          </cell>
        </row>
        <row r="199">
          <cell r="J199">
            <v>26</v>
          </cell>
          <cell r="R199"/>
          <cell r="S199">
            <v>123154</v>
          </cell>
          <cell r="V199">
            <v>123154</v>
          </cell>
        </row>
        <row r="200">
          <cell r="J200">
            <v>92</v>
          </cell>
          <cell r="R200"/>
          <cell r="S200">
            <v>176841</v>
          </cell>
          <cell r="V200">
            <v>176841</v>
          </cell>
        </row>
        <row r="201">
          <cell r="J201">
            <v>81</v>
          </cell>
          <cell r="R201"/>
          <cell r="S201">
            <v>155511</v>
          </cell>
          <cell r="V201">
            <v>155511</v>
          </cell>
        </row>
        <row r="202">
          <cell r="J202">
            <v>19</v>
          </cell>
          <cell r="R202"/>
          <cell r="S202">
            <v>121174</v>
          </cell>
          <cell r="V202"/>
        </row>
        <row r="203">
          <cell r="J203">
            <v>23</v>
          </cell>
          <cell r="R203"/>
          <cell r="S203">
            <v>127674</v>
          </cell>
          <cell r="V203"/>
        </row>
        <row r="204">
          <cell r="J204">
            <v>-1119</v>
          </cell>
          <cell r="R204"/>
          <cell r="S204">
            <v>-995285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1">
        <row r="175">
          <cell r="J175">
            <v>0</v>
          </cell>
          <cell r="R175">
            <v>52636</v>
          </cell>
          <cell r="S175">
            <v>139777</v>
          </cell>
          <cell r="V175"/>
        </row>
        <row r="176">
          <cell r="J176">
            <v>0</v>
          </cell>
          <cell r="R176">
            <v>52784</v>
          </cell>
          <cell r="S176">
            <v>139925</v>
          </cell>
          <cell r="V176"/>
        </row>
        <row r="177">
          <cell r="J177">
            <v>0</v>
          </cell>
          <cell r="R177">
            <v>52944</v>
          </cell>
          <cell r="S177">
            <v>140085</v>
          </cell>
          <cell r="V177"/>
        </row>
        <row r="178">
          <cell r="J178">
            <v>0</v>
          </cell>
          <cell r="R178">
            <v>53123</v>
          </cell>
          <cell r="S178">
            <v>140264</v>
          </cell>
          <cell r="V178"/>
        </row>
        <row r="179">
          <cell r="J179">
            <v>0</v>
          </cell>
          <cell r="R179">
            <v>53262</v>
          </cell>
          <cell r="S179">
            <v>140403</v>
          </cell>
          <cell r="V179"/>
        </row>
        <row r="180">
          <cell r="J180">
            <v>0</v>
          </cell>
          <cell r="R180">
            <v>53330</v>
          </cell>
          <cell r="S180">
            <v>140471</v>
          </cell>
          <cell r="V180"/>
        </row>
        <row r="181">
          <cell r="J181">
            <v>0</v>
          </cell>
          <cell r="R181">
            <v>53195</v>
          </cell>
          <cell r="S181">
            <v>140336</v>
          </cell>
          <cell r="V181"/>
        </row>
        <row r="182">
          <cell r="J182">
            <v>0</v>
          </cell>
          <cell r="R182">
            <v>53208</v>
          </cell>
          <cell r="S182">
            <v>141330</v>
          </cell>
          <cell r="V182"/>
        </row>
        <row r="183">
          <cell r="J183">
            <v>0</v>
          </cell>
          <cell r="R183">
            <v>53314</v>
          </cell>
          <cell r="S183">
            <v>141452</v>
          </cell>
          <cell r="V183">
            <v>1296729</v>
          </cell>
        </row>
        <row r="184">
          <cell r="J184">
            <v>0</v>
          </cell>
          <cell r="R184">
            <v>53270</v>
          </cell>
          <cell r="S184">
            <v>141401</v>
          </cell>
          <cell r="V184"/>
        </row>
        <row r="185">
          <cell r="J185">
            <v>0</v>
          </cell>
          <cell r="R185">
            <v>53462</v>
          </cell>
          <cell r="S185">
            <v>141622</v>
          </cell>
          <cell r="V185"/>
        </row>
        <row r="186">
          <cell r="J186">
            <v>0</v>
          </cell>
          <cell r="R186">
            <v>53650</v>
          </cell>
          <cell r="S186">
            <v>141830</v>
          </cell>
          <cell r="V186"/>
        </row>
        <row r="187">
          <cell r="J187">
            <v>0</v>
          </cell>
          <cell r="R187">
            <v>53847</v>
          </cell>
          <cell r="S187">
            <v>143769</v>
          </cell>
          <cell r="V187"/>
        </row>
        <row r="188">
          <cell r="J188">
            <v>0</v>
          </cell>
          <cell r="R188"/>
          <cell r="S188">
            <v>89952</v>
          </cell>
          <cell r="V188">
            <v>711888</v>
          </cell>
        </row>
        <row r="189">
          <cell r="J189">
            <v>0</v>
          </cell>
          <cell r="R189">
            <v>54009</v>
          </cell>
          <cell r="S189">
            <v>143974</v>
          </cell>
          <cell r="V189"/>
        </row>
        <row r="190">
          <cell r="J190">
            <v>0</v>
          </cell>
          <cell r="R190">
            <v>54157</v>
          </cell>
          <cell r="S190">
            <v>144133</v>
          </cell>
          <cell r="V190"/>
        </row>
        <row r="191">
          <cell r="J191">
            <v>0</v>
          </cell>
          <cell r="R191"/>
          <cell r="S191">
            <v>89998</v>
          </cell>
          <cell r="V191">
            <v>378105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>
            <v>54715</v>
          </cell>
          <cell r="S194">
            <v>144776</v>
          </cell>
          <cell r="V194">
            <v>180000</v>
          </cell>
        </row>
        <row r="195">
          <cell r="J195">
            <v>0</v>
          </cell>
          <cell r="R195">
            <v>54864</v>
          </cell>
          <cell r="S195">
            <v>144946</v>
          </cell>
          <cell r="V195">
            <v>180000</v>
          </cell>
        </row>
        <row r="196">
          <cell r="J196">
            <v>0</v>
          </cell>
          <cell r="R196">
            <v>55066</v>
          </cell>
          <cell r="S196">
            <v>145171</v>
          </cell>
          <cell r="V196"/>
        </row>
        <row r="197">
          <cell r="J197">
            <v>0</v>
          </cell>
          <cell r="R197">
            <v>55132</v>
          </cell>
          <cell r="S197">
            <v>145267</v>
          </cell>
          <cell r="V197">
            <v>180000</v>
          </cell>
        </row>
        <row r="198">
          <cell r="J198">
            <v>0</v>
          </cell>
          <cell r="R198">
            <v>55092</v>
          </cell>
          <cell r="S198">
            <v>145237</v>
          </cell>
          <cell r="V198">
            <v>180000</v>
          </cell>
        </row>
        <row r="199">
          <cell r="J199">
            <v>0</v>
          </cell>
          <cell r="R199"/>
          <cell r="S199">
            <v>92268</v>
          </cell>
          <cell r="V199"/>
        </row>
        <row r="200">
          <cell r="J200">
            <v>0</v>
          </cell>
          <cell r="R200"/>
          <cell r="S200">
            <v>92271</v>
          </cell>
          <cell r="V200">
            <v>180000</v>
          </cell>
        </row>
        <row r="201">
          <cell r="J201">
            <v>0</v>
          </cell>
          <cell r="R201"/>
          <cell r="S201">
            <v>92274</v>
          </cell>
          <cell r="V201">
            <v>183000</v>
          </cell>
        </row>
        <row r="202">
          <cell r="J202">
            <v>0</v>
          </cell>
          <cell r="R202"/>
          <cell r="S202">
            <v>92303</v>
          </cell>
          <cell r="V202"/>
        </row>
        <row r="203">
          <cell r="J203">
            <v>0</v>
          </cell>
          <cell r="R203"/>
          <cell r="S203">
            <v>92333</v>
          </cell>
          <cell r="V203">
            <v>104000</v>
          </cell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2">
        <row r="175">
          <cell r="J175">
            <v>5</v>
          </cell>
          <cell r="R175">
            <v>0</v>
          </cell>
          <cell r="S175">
            <v>90082</v>
          </cell>
          <cell r="V175"/>
        </row>
        <row r="176">
          <cell r="J176">
            <v>2</v>
          </cell>
          <cell r="R176">
            <v>0</v>
          </cell>
          <cell r="S176">
            <v>88405</v>
          </cell>
          <cell r="V176">
            <v>178487</v>
          </cell>
        </row>
        <row r="177">
          <cell r="J177">
            <v>18</v>
          </cell>
          <cell r="R177">
            <v>0</v>
          </cell>
          <cell r="S177">
            <v>97495</v>
          </cell>
          <cell r="V177"/>
        </row>
        <row r="178">
          <cell r="J178">
            <v>18</v>
          </cell>
          <cell r="R178">
            <v>0</v>
          </cell>
          <cell r="S178">
            <v>97495</v>
          </cell>
          <cell r="V178">
            <v>194990</v>
          </cell>
        </row>
        <row r="179">
          <cell r="J179">
            <v>5</v>
          </cell>
          <cell r="R179">
            <v>0</v>
          </cell>
          <cell r="S179">
            <v>90082</v>
          </cell>
          <cell r="V179"/>
        </row>
        <row r="180">
          <cell r="J180">
            <v>0</v>
          </cell>
          <cell r="R180">
            <v>0</v>
          </cell>
          <cell r="S180">
            <v>87433</v>
          </cell>
          <cell r="V180">
            <v>177515</v>
          </cell>
        </row>
        <row r="181">
          <cell r="J181">
            <v>0</v>
          </cell>
          <cell r="R181">
            <v>0</v>
          </cell>
          <cell r="S181">
            <v>87287</v>
          </cell>
          <cell r="V181"/>
        </row>
        <row r="182">
          <cell r="J182">
            <v>0</v>
          </cell>
          <cell r="R182">
            <v>0</v>
          </cell>
          <cell r="S182">
            <v>88414</v>
          </cell>
          <cell r="V182">
            <v>175701</v>
          </cell>
        </row>
        <row r="183">
          <cell r="J183">
            <v>0</v>
          </cell>
          <cell r="R183">
            <v>0</v>
          </cell>
          <cell r="S183">
            <v>88430</v>
          </cell>
          <cell r="V183">
            <v>88430</v>
          </cell>
        </row>
        <row r="184">
          <cell r="J184">
            <v>-98</v>
          </cell>
          <cell r="R184">
            <v>0</v>
          </cell>
          <cell r="S184">
            <v>22293</v>
          </cell>
          <cell r="V184"/>
        </row>
        <row r="185">
          <cell r="J185">
            <v>0</v>
          </cell>
          <cell r="R185">
            <v>0</v>
          </cell>
          <cell r="S185">
            <v>80141</v>
          </cell>
          <cell r="V185"/>
        </row>
        <row r="186">
          <cell r="J186">
            <v>0</v>
          </cell>
          <cell r="R186">
            <v>0</v>
          </cell>
          <cell r="S186">
            <v>80141</v>
          </cell>
          <cell r="V186"/>
        </row>
        <row r="187">
          <cell r="J187">
            <v>0</v>
          </cell>
          <cell r="R187">
            <v>0</v>
          </cell>
          <cell r="S187">
            <v>80141</v>
          </cell>
          <cell r="V187"/>
        </row>
        <row r="188">
          <cell r="J188">
            <v>0</v>
          </cell>
          <cell r="R188">
            <v>0</v>
          </cell>
          <cell r="S188">
            <v>80141</v>
          </cell>
          <cell r="V188"/>
        </row>
        <row r="189">
          <cell r="J189">
            <v>0</v>
          </cell>
          <cell r="R189">
            <v>0</v>
          </cell>
          <cell r="S189">
            <v>80141</v>
          </cell>
          <cell r="V189"/>
        </row>
        <row r="190">
          <cell r="J190">
            <v>0</v>
          </cell>
          <cell r="R190">
            <v>0</v>
          </cell>
          <cell r="S190">
            <v>80141</v>
          </cell>
          <cell r="V190"/>
        </row>
        <row r="191">
          <cell r="J191">
            <v>0</v>
          </cell>
          <cell r="R191">
            <v>0</v>
          </cell>
          <cell r="S191">
            <v>80141</v>
          </cell>
          <cell r="V191"/>
        </row>
        <row r="192">
          <cell r="J192">
            <v>0</v>
          </cell>
          <cell r="R192">
            <v>0</v>
          </cell>
          <cell r="S192">
            <v>80141</v>
          </cell>
          <cell r="V192"/>
        </row>
        <row r="193">
          <cell r="J193">
            <v>0</v>
          </cell>
          <cell r="R193">
            <v>0</v>
          </cell>
          <cell r="S193">
            <v>80141</v>
          </cell>
          <cell r="V193"/>
        </row>
        <row r="194">
          <cell r="J194">
            <v>0</v>
          </cell>
          <cell r="R194">
            <v>0</v>
          </cell>
          <cell r="S194">
            <v>80141</v>
          </cell>
          <cell r="V194"/>
        </row>
        <row r="195">
          <cell r="J195">
            <v>0</v>
          </cell>
          <cell r="R195">
            <v>0</v>
          </cell>
          <cell r="S195">
            <v>80141</v>
          </cell>
          <cell r="V195"/>
        </row>
        <row r="196">
          <cell r="J196">
            <v>0</v>
          </cell>
          <cell r="R196">
            <v>0</v>
          </cell>
          <cell r="S196">
            <v>80141</v>
          </cell>
          <cell r="V196"/>
        </row>
        <row r="197">
          <cell r="J197">
            <v>0</v>
          </cell>
          <cell r="R197">
            <v>0</v>
          </cell>
          <cell r="S197">
            <v>80141</v>
          </cell>
          <cell r="V197"/>
        </row>
        <row r="198">
          <cell r="J198">
            <v>0</v>
          </cell>
          <cell r="R198">
            <v>0</v>
          </cell>
          <cell r="S198">
            <v>80141</v>
          </cell>
          <cell r="V198">
            <v>0</v>
          </cell>
        </row>
        <row r="199">
          <cell r="J199"/>
          <cell r="R199"/>
          <cell r="S199"/>
          <cell r="V199"/>
        </row>
        <row r="200">
          <cell r="J200"/>
          <cell r="R200"/>
          <cell r="S200"/>
          <cell r="V200"/>
        </row>
        <row r="201">
          <cell r="J201"/>
          <cell r="R201"/>
          <cell r="S201"/>
          <cell r="V201"/>
        </row>
        <row r="202">
          <cell r="J202"/>
          <cell r="R202"/>
          <cell r="S202"/>
          <cell r="V202"/>
        </row>
        <row r="203">
          <cell r="J203">
            <v>1</v>
          </cell>
          <cell r="R203">
            <v>0</v>
          </cell>
          <cell r="S203">
            <v>97126</v>
          </cell>
          <cell r="V203"/>
        </row>
        <row r="204">
          <cell r="J204">
            <v>-99</v>
          </cell>
          <cell r="R204">
            <v>0</v>
          </cell>
          <cell r="S204">
            <v>21363</v>
          </cell>
          <cell r="V204"/>
        </row>
        <row r="205">
          <cell r="J205">
            <v>0</v>
          </cell>
          <cell r="R205">
            <v>0</v>
          </cell>
          <cell r="S205">
            <v>84004</v>
          </cell>
          <cell r="V205"/>
        </row>
        <row r="206">
          <cell r="J206">
            <v>0</v>
          </cell>
          <cell r="R206">
            <v>0</v>
          </cell>
          <cell r="S206">
            <v>84004</v>
          </cell>
          <cell r="V206"/>
        </row>
        <row r="207">
          <cell r="J207">
            <v>0</v>
          </cell>
          <cell r="R207">
            <v>0</v>
          </cell>
          <cell r="S207">
            <v>84004</v>
          </cell>
          <cell r="V207"/>
        </row>
        <row r="208">
          <cell r="J208">
            <v>0</v>
          </cell>
          <cell r="R208">
            <v>0</v>
          </cell>
          <cell r="S208">
            <v>84004</v>
          </cell>
          <cell r="V208"/>
        </row>
        <row r="209">
          <cell r="J209">
            <v>0</v>
          </cell>
          <cell r="R209">
            <v>0</v>
          </cell>
          <cell r="S209">
            <v>84004</v>
          </cell>
          <cell r="V209"/>
        </row>
        <row r="210">
          <cell r="J210">
            <v>0</v>
          </cell>
          <cell r="R210">
            <v>0</v>
          </cell>
          <cell r="S210">
            <v>84004</v>
          </cell>
          <cell r="V210"/>
        </row>
      </sheetData>
      <sheetData sheetId="33">
        <row r="175">
          <cell r="J175">
            <v>6</v>
          </cell>
          <cell r="R175"/>
          <cell r="S175">
            <v>48833</v>
          </cell>
          <cell r="V175"/>
        </row>
        <row r="176">
          <cell r="J176">
            <v>13</v>
          </cell>
          <cell r="R176"/>
          <cell r="S176">
            <v>76252</v>
          </cell>
          <cell r="V176">
            <v>125085</v>
          </cell>
        </row>
        <row r="177">
          <cell r="J177">
            <v>11</v>
          </cell>
          <cell r="R177"/>
          <cell r="S177">
            <v>81266</v>
          </cell>
          <cell r="V177">
            <v>81266</v>
          </cell>
        </row>
        <row r="178">
          <cell r="J178">
            <v>6</v>
          </cell>
          <cell r="R178"/>
          <cell r="S178">
            <v>54965</v>
          </cell>
          <cell r="V178">
            <v>54965</v>
          </cell>
        </row>
        <row r="179">
          <cell r="J179">
            <v>6</v>
          </cell>
          <cell r="R179"/>
          <cell r="S179">
            <v>69857</v>
          </cell>
          <cell r="V179">
            <v>69857</v>
          </cell>
        </row>
        <row r="180">
          <cell r="J180">
            <v>6</v>
          </cell>
          <cell r="R180"/>
          <cell r="S180">
            <v>130009</v>
          </cell>
          <cell r="V180"/>
        </row>
        <row r="181">
          <cell r="J181">
            <v>9</v>
          </cell>
          <cell r="R181"/>
          <cell r="S181">
            <v>136358</v>
          </cell>
          <cell r="V181">
            <v>266367</v>
          </cell>
        </row>
        <row r="182">
          <cell r="J182">
            <v>6</v>
          </cell>
          <cell r="R182"/>
          <cell r="S182">
            <v>128654</v>
          </cell>
          <cell r="V182"/>
        </row>
        <row r="183">
          <cell r="J183">
            <v>7</v>
          </cell>
          <cell r="R183"/>
          <cell r="S183">
            <v>74333</v>
          </cell>
          <cell r="V183">
            <v>202987</v>
          </cell>
        </row>
        <row r="184">
          <cell r="J184">
            <v>7</v>
          </cell>
          <cell r="R184"/>
          <cell r="S184">
            <v>33738</v>
          </cell>
          <cell r="V184">
            <v>33738</v>
          </cell>
        </row>
        <row r="185">
          <cell r="J185">
            <v>8</v>
          </cell>
          <cell r="R185"/>
          <cell r="S185">
            <v>38268</v>
          </cell>
          <cell r="V185">
            <v>38268</v>
          </cell>
        </row>
        <row r="186">
          <cell r="J186">
            <v>13</v>
          </cell>
          <cell r="R186"/>
          <cell r="S186">
            <v>46339</v>
          </cell>
          <cell r="V186">
            <v>46339</v>
          </cell>
        </row>
        <row r="187">
          <cell r="J187">
            <v>43</v>
          </cell>
          <cell r="R187"/>
          <cell r="S187">
            <v>92317</v>
          </cell>
          <cell r="V187">
            <v>92317</v>
          </cell>
        </row>
        <row r="188">
          <cell r="J188">
            <v>14</v>
          </cell>
          <cell r="R188"/>
          <cell r="S188">
            <v>52338</v>
          </cell>
          <cell r="V188">
            <v>52338</v>
          </cell>
        </row>
        <row r="189">
          <cell r="J189">
            <v>14</v>
          </cell>
          <cell r="R189"/>
          <cell r="S189">
            <v>57899</v>
          </cell>
          <cell r="V189">
            <v>57899</v>
          </cell>
        </row>
        <row r="190">
          <cell r="J190">
            <v>17</v>
          </cell>
          <cell r="R190"/>
          <cell r="S190">
            <v>49221</v>
          </cell>
          <cell r="V190">
            <v>49221</v>
          </cell>
        </row>
        <row r="191">
          <cell r="J191">
            <v>0</v>
          </cell>
          <cell r="R191"/>
          <cell r="S191">
            <v>41492</v>
          </cell>
          <cell r="V191">
            <v>41492</v>
          </cell>
        </row>
        <row r="192">
          <cell r="J192">
            <v>17</v>
          </cell>
          <cell r="R192"/>
          <cell r="S192">
            <v>49560</v>
          </cell>
          <cell r="V192">
            <v>49560</v>
          </cell>
        </row>
        <row r="193">
          <cell r="J193">
            <v>0</v>
          </cell>
          <cell r="R193"/>
          <cell r="S193">
            <v>42406</v>
          </cell>
          <cell r="V193">
            <v>42406</v>
          </cell>
        </row>
        <row r="194">
          <cell r="J194">
            <v>0</v>
          </cell>
          <cell r="R194"/>
          <cell r="S194">
            <v>43891</v>
          </cell>
          <cell r="V194">
            <v>43891</v>
          </cell>
        </row>
        <row r="195">
          <cell r="J195">
            <v>0</v>
          </cell>
          <cell r="R195"/>
          <cell r="S195">
            <v>65374</v>
          </cell>
          <cell r="V195">
            <v>53436</v>
          </cell>
        </row>
        <row r="196">
          <cell r="J196">
            <v>0</v>
          </cell>
          <cell r="R196"/>
          <cell r="S196">
            <v>39117</v>
          </cell>
          <cell r="V196">
            <v>51055</v>
          </cell>
        </row>
        <row r="197">
          <cell r="J197">
            <v>1</v>
          </cell>
          <cell r="R197"/>
          <cell r="S197">
            <v>43210</v>
          </cell>
          <cell r="V197">
            <v>43210</v>
          </cell>
        </row>
        <row r="198">
          <cell r="J198">
            <v>1</v>
          </cell>
          <cell r="R198"/>
          <cell r="S198">
            <v>54900</v>
          </cell>
          <cell r="V198">
            <v>54900</v>
          </cell>
        </row>
        <row r="199">
          <cell r="J199">
            <v>0</v>
          </cell>
          <cell r="R199"/>
          <cell r="S199">
            <v>62170</v>
          </cell>
          <cell r="V199">
            <v>62170</v>
          </cell>
        </row>
        <row r="200">
          <cell r="J200">
            <v>5</v>
          </cell>
          <cell r="R200"/>
          <cell r="S200">
            <v>66866</v>
          </cell>
          <cell r="V200">
            <v>66866</v>
          </cell>
        </row>
        <row r="201">
          <cell r="J201">
            <v>0</v>
          </cell>
          <cell r="R201"/>
          <cell r="S201">
            <v>59256</v>
          </cell>
          <cell r="V201"/>
        </row>
        <row r="202">
          <cell r="J202">
            <v>0</v>
          </cell>
          <cell r="R202"/>
          <cell r="S202">
            <v>49503</v>
          </cell>
          <cell r="V202">
            <v>108759</v>
          </cell>
        </row>
        <row r="203">
          <cell r="J203">
            <v>1</v>
          </cell>
          <cell r="R203"/>
          <cell r="S203">
            <v>56516</v>
          </cell>
          <cell r="V203"/>
        </row>
        <row r="204">
          <cell r="J204">
            <v>-1237</v>
          </cell>
          <cell r="R204"/>
          <cell r="S204">
            <v>-5790063</v>
          </cell>
          <cell r="V204"/>
        </row>
        <row r="205">
          <cell r="J205">
            <v>0</v>
          </cell>
          <cell r="R205"/>
          <cell r="S205">
            <v>3828</v>
          </cell>
          <cell r="V205"/>
        </row>
        <row r="206">
          <cell r="J206">
            <v>0</v>
          </cell>
          <cell r="R206"/>
          <cell r="S206">
            <v>3828</v>
          </cell>
          <cell r="V206"/>
        </row>
        <row r="207">
          <cell r="J207">
            <v>0</v>
          </cell>
          <cell r="R207"/>
          <cell r="S207">
            <v>3828</v>
          </cell>
          <cell r="V207"/>
        </row>
        <row r="208">
          <cell r="J208">
            <v>0</v>
          </cell>
          <cell r="R208"/>
          <cell r="S208">
            <v>3828</v>
          </cell>
          <cell r="V208"/>
        </row>
        <row r="209">
          <cell r="J209">
            <v>0</v>
          </cell>
          <cell r="R209"/>
          <cell r="S209">
            <v>3828</v>
          </cell>
          <cell r="V209"/>
        </row>
        <row r="210">
          <cell r="J210">
            <v>0</v>
          </cell>
          <cell r="R210"/>
          <cell r="S210">
            <v>3828</v>
          </cell>
          <cell r="V210"/>
        </row>
      </sheetData>
      <sheetData sheetId="34">
        <row r="175">
          <cell r="J175">
            <v>0</v>
          </cell>
          <cell r="R175"/>
          <cell r="S175">
            <v>87141</v>
          </cell>
          <cell r="V175">
            <v>83410</v>
          </cell>
        </row>
        <row r="176">
          <cell r="J176">
            <v>0</v>
          </cell>
          <cell r="R176"/>
          <cell r="S176">
            <v>87141</v>
          </cell>
          <cell r="V176">
            <v>83410</v>
          </cell>
        </row>
        <row r="177">
          <cell r="J177">
            <v>0</v>
          </cell>
          <cell r="R177"/>
          <cell r="S177">
            <v>87141</v>
          </cell>
          <cell r="V177">
            <v>83410</v>
          </cell>
        </row>
        <row r="178">
          <cell r="J178">
            <v>0</v>
          </cell>
          <cell r="R178"/>
          <cell r="S178">
            <v>87141</v>
          </cell>
          <cell r="V178">
            <v>83410</v>
          </cell>
        </row>
        <row r="179">
          <cell r="J179">
            <v>0</v>
          </cell>
          <cell r="R179"/>
          <cell r="S179">
            <v>87141</v>
          </cell>
          <cell r="V179">
            <v>83410</v>
          </cell>
        </row>
        <row r="180">
          <cell r="J180">
            <v>0</v>
          </cell>
          <cell r="R180"/>
          <cell r="S180">
            <v>87141</v>
          </cell>
          <cell r="V180">
            <v>83410</v>
          </cell>
        </row>
        <row r="181">
          <cell r="J181">
            <v>0</v>
          </cell>
          <cell r="R181"/>
          <cell r="S181">
            <v>87141</v>
          </cell>
          <cell r="V181">
            <v>83410</v>
          </cell>
        </row>
        <row r="182">
          <cell r="J182">
            <v>0</v>
          </cell>
          <cell r="R182"/>
          <cell r="S182">
            <v>88122</v>
          </cell>
          <cell r="V182">
            <v>84391</v>
          </cell>
        </row>
        <row r="183">
          <cell r="J183">
            <v>0</v>
          </cell>
          <cell r="R183"/>
          <cell r="S183">
            <v>88138</v>
          </cell>
          <cell r="V183">
            <v>88138</v>
          </cell>
        </row>
        <row r="184">
          <cell r="J184">
            <v>0</v>
          </cell>
          <cell r="R184"/>
          <cell r="S184">
            <v>88131</v>
          </cell>
          <cell r="V184">
            <v>88131</v>
          </cell>
        </row>
        <row r="185">
          <cell r="J185">
            <v>0</v>
          </cell>
          <cell r="R185"/>
          <cell r="S185">
            <v>88160</v>
          </cell>
          <cell r="V185">
            <v>88160</v>
          </cell>
        </row>
        <row r="186">
          <cell r="J186">
            <v>0</v>
          </cell>
          <cell r="R186"/>
          <cell r="S186">
            <v>88180</v>
          </cell>
          <cell r="V186">
            <v>88180</v>
          </cell>
        </row>
        <row r="187">
          <cell r="J187">
            <v>0</v>
          </cell>
          <cell r="R187"/>
          <cell r="S187">
            <v>89922</v>
          </cell>
          <cell r="V187">
            <v>89922</v>
          </cell>
        </row>
        <row r="188">
          <cell r="J188">
            <v>0</v>
          </cell>
          <cell r="R188"/>
          <cell r="S188">
            <v>89952</v>
          </cell>
          <cell r="V188">
            <v>89952</v>
          </cell>
        </row>
        <row r="189">
          <cell r="J189">
            <v>0</v>
          </cell>
          <cell r="R189"/>
          <cell r="S189">
            <v>89965</v>
          </cell>
          <cell r="V189">
            <v>89965</v>
          </cell>
        </row>
        <row r="190">
          <cell r="J190">
            <v>0</v>
          </cell>
          <cell r="R190"/>
          <cell r="S190">
            <v>89976</v>
          </cell>
          <cell r="V190">
            <v>89976</v>
          </cell>
        </row>
        <row r="191">
          <cell r="J191">
            <v>0</v>
          </cell>
          <cell r="R191"/>
          <cell r="S191">
            <v>89998</v>
          </cell>
          <cell r="V191">
            <v>89998</v>
          </cell>
        </row>
        <row r="192">
          <cell r="J192">
            <v>0</v>
          </cell>
          <cell r="R192"/>
          <cell r="S192">
            <v>90023</v>
          </cell>
          <cell r="V192">
            <v>90023</v>
          </cell>
        </row>
        <row r="193">
          <cell r="J193">
            <v>0</v>
          </cell>
          <cell r="R193"/>
          <cell r="S193">
            <v>90036</v>
          </cell>
          <cell r="V193">
            <v>90036</v>
          </cell>
        </row>
        <row r="194">
          <cell r="J194">
            <v>0</v>
          </cell>
          <cell r="R194"/>
          <cell r="S194">
            <v>90061</v>
          </cell>
          <cell r="V194">
            <v>90061</v>
          </cell>
        </row>
        <row r="195">
          <cell r="J195">
            <v>0</v>
          </cell>
          <cell r="R195"/>
          <cell r="S195">
            <v>90082</v>
          </cell>
          <cell r="V195">
            <v>90082</v>
          </cell>
        </row>
        <row r="196">
          <cell r="J196">
            <v>0</v>
          </cell>
          <cell r="R196"/>
          <cell r="S196">
            <v>90105</v>
          </cell>
          <cell r="V196">
            <v>90105</v>
          </cell>
        </row>
        <row r="197">
          <cell r="J197">
            <v>0</v>
          </cell>
          <cell r="R197"/>
          <cell r="S197">
            <v>90135</v>
          </cell>
          <cell r="V197">
            <v>90135</v>
          </cell>
        </row>
        <row r="198">
          <cell r="J198">
            <v>0</v>
          </cell>
          <cell r="R198"/>
          <cell r="S198">
            <v>90145</v>
          </cell>
          <cell r="V198">
            <v>90145</v>
          </cell>
        </row>
        <row r="199">
          <cell r="J199">
            <v>0</v>
          </cell>
          <cell r="R199"/>
          <cell r="S199">
            <v>92268</v>
          </cell>
          <cell r="V199">
            <v>92268</v>
          </cell>
        </row>
        <row r="200">
          <cell r="J200">
            <v>0</v>
          </cell>
          <cell r="R200"/>
          <cell r="S200">
            <v>92271</v>
          </cell>
          <cell r="V200"/>
        </row>
        <row r="201">
          <cell r="J201">
            <v>0</v>
          </cell>
          <cell r="R201"/>
          <cell r="S201">
            <v>92274</v>
          </cell>
          <cell r="V201"/>
        </row>
        <row r="202">
          <cell r="J202">
            <v>0</v>
          </cell>
          <cell r="R202"/>
          <cell r="S202">
            <v>92303</v>
          </cell>
          <cell r="V202"/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5">
        <row r="175">
          <cell r="J175">
            <v>70</v>
          </cell>
          <cell r="R175"/>
          <cell r="S175">
            <v>151675</v>
          </cell>
          <cell r="V175">
            <v>151354</v>
          </cell>
        </row>
        <row r="176">
          <cell r="J176">
            <v>49</v>
          </cell>
          <cell r="R176"/>
          <cell r="S176">
            <v>125903</v>
          </cell>
          <cell r="V176">
            <v>125903</v>
          </cell>
        </row>
        <row r="177">
          <cell r="J177">
            <v>41</v>
          </cell>
          <cell r="R177"/>
          <cell r="S177">
            <v>132982</v>
          </cell>
          <cell r="V177">
            <v>132982</v>
          </cell>
        </row>
        <row r="178">
          <cell r="J178">
            <v>35</v>
          </cell>
          <cell r="R178"/>
          <cell r="S178">
            <v>125248</v>
          </cell>
          <cell r="V178">
            <v>125248</v>
          </cell>
        </row>
        <row r="179">
          <cell r="J179">
            <v>15</v>
          </cell>
          <cell r="R179"/>
          <cell r="S179">
            <v>109980</v>
          </cell>
          <cell r="V179">
            <v>109980</v>
          </cell>
        </row>
        <row r="180">
          <cell r="J180">
            <v>2</v>
          </cell>
          <cell r="R180"/>
          <cell r="S180">
            <v>105779</v>
          </cell>
          <cell r="V180">
            <v>102048</v>
          </cell>
        </row>
        <row r="181">
          <cell r="J181">
            <v>2</v>
          </cell>
          <cell r="R181"/>
          <cell r="S181">
            <v>104027</v>
          </cell>
          <cell r="V181">
            <v>107758</v>
          </cell>
        </row>
        <row r="182">
          <cell r="J182">
            <v>1</v>
          </cell>
          <cell r="R182"/>
          <cell r="S182">
            <v>100507</v>
          </cell>
          <cell r="V182">
            <v>100507</v>
          </cell>
        </row>
        <row r="183">
          <cell r="J183">
            <v>6</v>
          </cell>
          <cell r="R183"/>
          <cell r="S183">
            <v>105362</v>
          </cell>
          <cell r="V183"/>
        </row>
        <row r="184">
          <cell r="J184">
            <v>10</v>
          </cell>
          <cell r="R184"/>
          <cell r="S184">
            <v>107591</v>
          </cell>
          <cell r="V184">
            <v>212953</v>
          </cell>
        </row>
        <row r="185">
          <cell r="J185">
            <v>23</v>
          </cell>
          <cell r="R185"/>
          <cell r="S185">
            <v>116493</v>
          </cell>
          <cell r="V185">
            <v>130000</v>
          </cell>
        </row>
        <row r="186">
          <cell r="J186">
            <v>22</v>
          </cell>
          <cell r="R186"/>
          <cell r="S186">
            <v>120480</v>
          </cell>
          <cell r="V186">
            <v>130000</v>
          </cell>
        </row>
        <row r="187">
          <cell r="J187">
            <v>28</v>
          </cell>
          <cell r="R187"/>
          <cell r="S187">
            <v>129226</v>
          </cell>
          <cell r="V187">
            <v>130000</v>
          </cell>
        </row>
        <row r="188">
          <cell r="J188">
            <v>17</v>
          </cell>
          <cell r="R188"/>
          <cell r="S188">
            <v>114201</v>
          </cell>
          <cell r="V188">
            <v>130000</v>
          </cell>
        </row>
        <row r="189">
          <cell r="J189">
            <v>23</v>
          </cell>
          <cell r="R189"/>
          <cell r="S189">
            <v>119758</v>
          </cell>
          <cell r="V189">
            <v>130000</v>
          </cell>
        </row>
        <row r="190">
          <cell r="J190">
            <v>26</v>
          </cell>
          <cell r="R190"/>
          <cell r="S190">
            <v>120862</v>
          </cell>
          <cell r="V190">
            <v>120000</v>
          </cell>
        </row>
        <row r="191">
          <cell r="J191">
            <v>28</v>
          </cell>
          <cell r="R191"/>
          <cell r="S191">
            <v>123024</v>
          </cell>
          <cell r="V191">
            <v>120000</v>
          </cell>
        </row>
        <row r="192">
          <cell r="J192">
            <v>8</v>
          </cell>
          <cell r="R192"/>
          <cell r="S192">
            <v>101795</v>
          </cell>
          <cell r="V192">
            <v>120000</v>
          </cell>
        </row>
        <row r="193">
          <cell r="J193">
            <v>3</v>
          </cell>
          <cell r="R193"/>
          <cell r="S193">
            <v>106021</v>
          </cell>
          <cell r="V193">
            <v>120000</v>
          </cell>
        </row>
        <row r="194">
          <cell r="J194">
            <v>2</v>
          </cell>
          <cell r="R194"/>
          <cell r="S194">
            <v>103297</v>
          </cell>
          <cell r="V194">
            <v>120000</v>
          </cell>
        </row>
        <row r="195">
          <cell r="J195">
            <v>2</v>
          </cell>
          <cell r="R195"/>
          <cell r="S195">
            <v>101128</v>
          </cell>
          <cell r="V195">
            <v>120000</v>
          </cell>
        </row>
        <row r="196">
          <cell r="J196">
            <v>9</v>
          </cell>
          <cell r="R196"/>
          <cell r="S196">
            <v>114262</v>
          </cell>
          <cell r="V196">
            <v>120000</v>
          </cell>
        </row>
        <row r="197">
          <cell r="J197">
            <v>12</v>
          </cell>
          <cell r="R197"/>
          <cell r="S197">
            <v>141141</v>
          </cell>
          <cell r="V197">
            <v>120000</v>
          </cell>
        </row>
        <row r="198">
          <cell r="J198">
            <v>15</v>
          </cell>
          <cell r="R198"/>
          <cell r="S198">
            <v>120138</v>
          </cell>
          <cell r="V198">
            <v>120000</v>
          </cell>
        </row>
        <row r="199">
          <cell r="J199">
            <v>33</v>
          </cell>
          <cell r="R199"/>
          <cell r="S199">
            <v>134951</v>
          </cell>
          <cell r="V199">
            <v>120000</v>
          </cell>
        </row>
        <row r="200">
          <cell r="J200">
            <v>83</v>
          </cell>
          <cell r="R200"/>
          <cell r="S200">
            <v>163342</v>
          </cell>
          <cell r="V200">
            <v>120000</v>
          </cell>
        </row>
        <row r="201">
          <cell r="J201">
            <v>17</v>
          </cell>
          <cell r="R201"/>
          <cell r="S201">
            <v>126597</v>
          </cell>
          <cell r="V201"/>
        </row>
        <row r="202">
          <cell r="J202">
            <v>17</v>
          </cell>
          <cell r="R202"/>
          <cell r="S202">
            <v>119034</v>
          </cell>
          <cell r="V202">
            <v>210000</v>
          </cell>
        </row>
        <row r="203">
          <cell r="J203">
            <v>12</v>
          </cell>
          <cell r="R203"/>
          <cell r="S203">
            <v>111889</v>
          </cell>
          <cell r="V203">
            <v>120000</v>
          </cell>
        </row>
        <row r="204">
          <cell r="J204">
            <v>-2373</v>
          </cell>
          <cell r="R204"/>
          <cell r="S204">
            <v>-3125611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6">
        <row r="175">
          <cell r="J175">
            <v>69</v>
          </cell>
          <cell r="R175"/>
          <cell r="S175">
            <v>139728</v>
          </cell>
          <cell r="V175">
            <v>135997</v>
          </cell>
        </row>
        <row r="176">
          <cell r="J176">
            <v>63</v>
          </cell>
          <cell r="R176"/>
          <cell r="S176">
            <v>135644</v>
          </cell>
          <cell r="V176">
            <v>139375</v>
          </cell>
        </row>
        <row r="177">
          <cell r="J177">
            <v>105</v>
          </cell>
          <cell r="R177"/>
          <cell r="S177">
            <v>164086</v>
          </cell>
          <cell r="V177">
            <v>164086</v>
          </cell>
        </row>
        <row r="178">
          <cell r="J178">
            <v>80</v>
          </cell>
          <cell r="R178"/>
          <cell r="S178">
            <v>146023</v>
          </cell>
          <cell r="V178">
            <v>146023</v>
          </cell>
        </row>
        <row r="179">
          <cell r="J179">
            <v>131</v>
          </cell>
          <cell r="R179"/>
          <cell r="S179">
            <v>177096</v>
          </cell>
          <cell r="V179">
            <v>177096</v>
          </cell>
        </row>
        <row r="180">
          <cell r="J180">
            <v>1</v>
          </cell>
          <cell r="R180"/>
          <cell r="S180">
            <v>100548</v>
          </cell>
          <cell r="V180">
            <v>100548</v>
          </cell>
        </row>
        <row r="181">
          <cell r="J181">
            <v>0</v>
          </cell>
          <cell r="R181"/>
          <cell r="S181">
            <v>94441</v>
          </cell>
          <cell r="V181">
            <v>94441</v>
          </cell>
        </row>
        <row r="182">
          <cell r="J182">
            <v>16</v>
          </cell>
          <cell r="R182"/>
          <cell r="S182">
            <v>108746</v>
          </cell>
          <cell r="V182">
            <v>108746</v>
          </cell>
        </row>
        <row r="183">
          <cell r="J183">
            <v>3</v>
          </cell>
          <cell r="R183"/>
          <cell r="S183">
            <v>101349</v>
          </cell>
          <cell r="V183">
            <v>101349</v>
          </cell>
        </row>
        <row r="184">
          <cell r="J184">
            <v>17</v>
          </cell>
          <cell r="R184"/>
          <cell r="S184">
            <v>110044</v>
          </cell>
          <cell r="V184">
            <v>110044</v>
          </cell>
        </row>
        <row r="185">
          <cell r="J185">
            <v>66</v>
          </cell>
          <cell r="R185"/>
          <cell r="S185">
            <v>137464</v>
          </cell>
          <cell r="V185">
            <v>137464</v>
          </cell>
        </row>
        <row r="186">
          <cell r="J186">
            <v>81</v>
          </cell>
          <cell r="R186"/>
          <cell r="S186">
            <v>146745</v>
          </cell>
          <cell r="V186">
            <v>146745</v>
          </cell>
        </row>
        <row r="187">
          <cell r="J187">
            <v>82</v>
          </cell>
          <cell r="R187"/>
          <cell r="S187">
            <v>154740</v>
          </cell>
          <cell r="V187">
            <v>154740</v>
          </cell>
        </row>
        <row r="188">
          <cell r="J188">
            <v>90</v>
          </cell>
          <cell r="R188"/>
          <cell r="S188">
            <v>154424</v>
          </cell>
          <cell r="V188">
            <v>154424</v>
          </cell>
        </row>
        <row r="189">
          <cell r="J189">
            <v>39</v>
          </cell>
          <cell r="R189"/>
          <cell r="S189">
            <v>128410</v>
          </cell>
          <cell r="V189">
            <v>128410</v>
          </cell>
        </row>
        <row r="190">
          <cell r="J190">
            <v>51</v>
          </cell>
          <cell r="R190"/>
          <cell r="S190">
            <v>132063</v>
          </cell>
          <cell r="V190">
            <v>132063</v>
          </cell>
        </row>
        <row r="191">
          <cell r="J191">
            <v>46</v>
          </cell>
          <cell r="R191"/>
          <cell r="S191">
            <v>116880</v>
          </cell>
          <cell r="V191">
            <v>116880</v>
          </cell>
        </row>
        <row r="192">
          <cell r="J192">
            <v>6</v>
          </cell>
          <cell r="R192"/>
          <cell r="S192">
            <v>100239</v>
          </cell>
          <cell r="V192">
            <v>100239</v>
          </cell>
        </row>
        <row r="193">
          <cell r="J193">
            <v>1</v>
          </cell>
          <cell r="R193"/>
          <cell r="S193">
            <v>96873</v>
          </cell>
          <cell r="V193">
            <v>96873</v>
          </cell>
        </row>
        <row r="194">
          <cell r="J194">
            <v>4</v>
          </cell>
          <cell r="R194"/>
          <cell r="S194">
            <v>102517</v>
          </cell>
          <cell r="V194">
            <v>102517</v>
          </cell>
        </row>
        <row r="195">
          <cell r="J195">
            <v>4</v>
          </cell>
          <cell r="R195"/>
          <cell r="S195">
            <v>100056</v>
          </cell>
          <cell r="V195">
            <v>100056</v>
          </cell>
        </row>
        <row r="196">
          <cell r="J196">
            <v>23</v>
          </cell>
          <cell r="R196"/>
          <cell r="S196">
            <v>113182</v>
          </cell>
          <cell r="V196">
            <v>113182</v>
          </cell>
        </row>
        <row r="197">
          <cell r="J197">
            <v>115</v>
          </cell>
          <cell r="R197"/>
          <cell r="S197">
            <v>170334</v>
          </cell>
          <cell r="V197">
            <v>170334</v>
          </cell>
        </row>
        <row r="198">
          <cell r="J198">
            <v>62</v>
          </cell>
          <cell r="R198"/>
          <cell r="S198">
            <v>145535</v>
          </cell>
          <cell r="V198">
            <v>145535</v>
          </cell>
        </row>
        <row r="199">
          <cell r="J199">
            <v>71</v>
          </cell>
          <cell r="R199"/>
          <cell r="S199">
            <v>155317</v>
          </cell>
          <cell r="V199">
            <v>155317</v>
          </cell>
        </row>
        <row r="200">
          <cell r="J200">
            <v>81</v>
          </cell>
          <cell r="R200"/>
          <cell r="S200">
            <v>159742</v>
          </cell>
          <cell r="V200">
            <v>159742</v>
          </cell>
        </row>
        <row r="201">
          <cell r="J201">
            <v>66</v>
          </cell>
          <cell r="R201"/>
          <cell r="S201">
            <v>150046</v>
          </cell>
          <cell r="V201">
            <v>150046</v>
          </cell>
        </row>
        <row r="202">
          <cell r="J202">
            <v>44</v>
          </cell>
          <cell r="R202"/>
          <cell r="S202">
            <v>128433</v>
          </cell>
          <cell r="V202">
            <v>128433</v>
          </cell>
        </row>
        <row r="203">
          <cell r="J203">
            <v>50</v>
          </cell>
          <cell r="R203"/>
          <cell r="S203">
            <v>129481</v>
          </cell>
          <cell r="V203">
            <v>129481</v>
          </cell>
        </row>
        <row r="204">
          <cell r="J204">
            <v>-1019</v>
          </cell>
          <cell r="R204"/>
          <cell r="S204">
            <v>-1907803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7">
        <row r="175">
          <cell r="J175">
            <v>105</v>
          </cell>
          <cell r="R175"/>
          <cell r="S175">
            <v>155800</v>
          </cell>
          <cell r="V175">
            <v>150000</v>
          </cell>
        </row>
        <row r="176">
          <cell r="J176">
            <v>91</v>
          </cell>
          <cell r="R176"/>
          <cell r="S176">
            <v>150018</v>
          </cell>
          <cell r="V176">
            <v>156000</v>
          </cell>
        </row>
        <row r="177">
          <cell r="J177">
            <v>70</v>
          </cell>
          <cell r="R177"/>
          <cell r="S177">
            <v>138279</v>
          </cell>
          <cell r="V177">
            <v>138400</v>
          </cell>
        </row>
        <row r="178">
          <cell r="J178">
            <v>48</v>
          </cell>
          <cell r="R178"/>
          <cell r="S178">
            <v>123353</v>
          </cell>
          <cell r="V178">
            <v>124000</v>
          </cell>
        </row>
        <row r="179">
          <cell r="J179">
            <v>56</v>
          </cell>
          <cell r="R179"/>
          <cell r="S179">
            <v>127387</v>
          </cell>
          <cell r="V179">
            <v>127000</v>
          </cell>
        </row>
        <row r="180">
          <cell r="J180">
            <v>11</v>
          </cell>
          <cell r="R180"/>
          <cell r="S180">
            <v>100188</v>
          </cell>
          <cell r="V180">
            <v>99000</v>
          </cell>
        </row>
        <row r="181">
          <cell r="J181">
            <v>4</v>
          </cell>
          <cell r="R181"/>
          <cell r="S181">
            <v>105473</v>
          </cell>
          <cell r="V181">
            <v>100000</v>
          </cell>
        </row>
        <row r="182">
          <cell r="J182">
            <v>0</v>
          </cell>
          <cell r="R182"/>
          <cell r="S182">
            <v>95020</v>
          </cell>
          <cell r="V182">
            <v>101000</v>
          </cell>
        </row>
        <row r="183">
          <cell r="J183">
            <v>2</v>
          </cell>
          <cell r="R183"/>
          <cell r="S183">
            <v>100972</v>
          </cell>
          <cell r="V183">
            <v>101000</v>
          </cell>
        </row>
        <row r="184">
          <cell r="J184">
            <v>31</v>
          </cell>
          <cell r="R184"/>
          <cell r="S184">
            <v>113672</v>
          </cell>
          <cell r="V184">
            <v>114000</v>
          </cell>
        </row>
        <row r="185">
          <cell r="J185">
            <v>80</v>
          </cell>
          <cell r="R185"/>
          <cell r="S185">
            <v>141676</v>
          </cell>
          <cell r="V185">
            <v>140000</v>
          </cell>
        </row>
        <row r="186">
          <cell r="J186">
            <v>62</v>
          </cell>
          <cell r="R186"/>
          <cell r="S186">
            <v>132656</v>
          </cell>
          <cell r="V186">
            <v>134000</v>
          </cell>
        </row>
        <row r="187">
          <cell r="J187">
            <v>62</v>
          </cell>
          <cell r="R187"/>
          <cell r="S187">
            <v>134398</v>
          </cell>
          <cell r="V187">
            <v>134000</v>
          </cell>
        </row>
        <row r="188">
          <cell r="J188">
            <v>44</v>
          </cell>
          <cell r="R188"/>
          <cell r="S188">
            <v>124383</v>
          </cell>
          <cell r="V188">
            <v>125000</v>
          </cell>
        </row>
        <row r="189">
          <cell r="J189">
            <v>80</v>
          </cell>
          <cell r="R189"/>
          <cell r="S189">
            <v>154029</v>
          </cell>
          <cell r="V189">
            <v>150000</v>
          </cell>
        </row>
        <row r="190">
          <cell r="J190">
            <v>37</v>
          </cell>
          <cell r="R190"/>
          <cell r="S190">
            <v>130879</v>
          </cell>
          <cell r="V190">
            <v>135000</v>
          </cell>
        </row>
        <row r="191">
          <cell r="J191">
            <v>56</v>
          </cell>
          <cell r="R191"/>
          <cell r="S191">
            <v>143420</v>
          </cell>
          <cell r="V191"/>
        </row>
        <row r="192">
          <cell r="J192">
            <v>68</v>
          </cell>
          <cell r="R192"/>
          <cell r="S192">
            <v>145503</v>
          </cell>
          <cell r="V192">
            <v>288000</v>
          </cell>
        </row>
        <row r="193">
          <cell r="J193">
            <v>6</v>
          </cell>
          <cell r="R193"/>
          <cell r="S193">
            <v>103026</v>
          </cell>
          <cell r="V193">
            <v>104000</v>
          </cell>
        </row>
        <row r="194">
          <cell r="J194">
            <v>20</v>
          </cell>
          <cell r="R194"/>
          <cell r="S194">
            <v>103869</v>
          </cell>
          <cell r="V194">
            <v>104000</v>
          </cell>
        </row>
        <row r="195">
          <cell r="J195">
            <v>24</v>
          </cell>
          <cell r="R195"/>
          <cell r="S195">
            <v>113572</v>
          </cell>
          <cell r="V195">
            <v>113500</v>
          </cell>
        </row>
        <row r="196">
          <cell r="J196">
            <v>50</v>
          </cell>
          <cell r="R196"/>
          <cell r="S196">
            <v>123603</v>
          </cell>
          <cell r="V196">
            <v>124000</v>
          </cell>
        </row>
        <row r="197">
          <cell r="J197">
            <v>58</v>
          </cell>
          <cell r="R197"/>
          <cell r="S197">
            <v>132339</v>
          </cell>
          <cell r="V197">
            <v>124000</v>
          </cell>
        </row>
        <row r="198">
          <cell r="J198">
            <v>64</v>
          </cell>
          <cell r="R198"/>
          <cell r="S198">
            <v>135119</v>
          </cell>
          <cell r="V198">
            <v>143000</v>
          </cell>
        </row>
        <row r="199">
          <cell r="J199">
            <v>73</v>
          </cell>
          <cell r="R199"/>
          <cell r="S199">
            <v>143879</v>
          </cell>
          <cell r="V199">
            <v>140000</v>
          </cell>
        </row>
        <row r="200">
          <cell r="J200">
            <v>57</v>
          </cell>
          <cell r="R200"/>
          <cell r="S200">
            <v>124280</v>
          </cell>
          <cell r="V200">
            <v>128000</v>
          </cell>
        </row>
        <row r="201">
          <cell r="J201">
            <v>76</v>
          </cell>
          <cell r="R201"/>
          <cell r="S201">
            <v>135634</v>
          </cell>
          <cell r="V201"/>
        </row>
        <row r="202">
          <cell r="J202">
            <v>24</v>
          </cell>
          <cell r="R202"/>
          <cell r="S202">
            <v>124553</v>
          </cell>
          <cell r="V202">
            <v>260000</v>
          </cell>
        </row>
        <row r="203">
          <cell r="J203">
            <v>71</v>
          </cell>
          <cell r="R203"/>
          <cell r="S203">
            <v>136694</v>
          </cell>
          <cell r="V203">
            <v>137000</v>
          </cell>
        </row>
        <row r="204">
          <cell r="J204">
            <v>-5351</v>
          </cell>
          <cell r="R204"/>
          <cell r="S204">
            <v>-2931733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8">
        <row r="175">
          <cell r="J175">
            <v>91</v>
          </cell>
          <cell r="R175"/>
          <cell r="S175">
            <v>184876</v>
          </cell>
          <cell r="V175">
            <v>150000</v>
          </cell>
        </row>
        <row r="176">
          <cell r="J176">
            <v>137</v>
          </cell>
          <cell r="R176"/>
          <cell r="S176">
            <v>211036</v>
          </cell>
          <cell r="V176">
            <v>245912</v>
          </cell>
        </row>
        <row r="177">
          <cell r="J177">
            <v>83</v>
          </cell>
          <cell r="R177"/>
          <cell r="S177">
            <v>180920</v>
          </cell>
          <cell r="V177">
            <v>180920</v>
          </cell>
        </row>
        <row r="178">
          <cell r="J178">
            <v>61</v>
          </cell>
          <cell r="R178"/>
          <cell r="S178">
            <v>152192</v>
          </cell>
          <cell r="V178">
            <v>152192</v>
          </cell>
        </row>
        <row r="179">
          <cell r="J179">
            <v>11</v>
          </cell>
          <cell r="R179"/>
          <cell r="S179">
            <v>135338</v>
          </cell>
          <cell r="V179">
            <v>138338</v>
          </cell>
        </row>
        <row r="180">
          <cell r="J180">
            <v>3</v>
          </cell>
          <cell r="R180"/>
          <cell r="S180">
            <v>134078</v>
          </cell>
          <cell r="V180">
            <v>131078</v>
          </cell>
        </row>
        <row r="181">
          <cell r="J181">
            <v>5</v>
          </cell>
          <cell r="R181"/>
          <cell r="S181">
            <v>135050</v>
          </cell>
          <cell r="V181">
            <v>135050</v>
          </cell>
        </row>
        <row r="182">
          <cell r="J182">
            <v>6</v>
          </cell>
          <cell r="R182"/>
          <cell r="S182">
            <v>135422</v>
          </cell>
          <cell r="V182">
            <v>135422</v>
          </cell>
        </row>
        <row r="183">
          <cell r="J183">
            <v>4</v>
          </cell>
          <cell r="R183"/>
          <cell r="S183">
            <v>119428</v>
          </cell>
          <cell r="V183">
            <v>119428</v>
          </cell>
        </row>
        <row r="184">
          <cell r="J184">
            <v>49</v>
          </cell>
          <cell r="R184"/>
          <cell r="S184">
            <v>146328</v>
          </cell>
          <cell r="V184">
            <v>146326</v>
          </cell>
        </row>
        <row r="185">
          <cell r="J185">
            <v>87</v>
          </cell>
          <cell r="R185"/>
          <cell r="S185">
            <v>178403</v>
          </cell>
          <cell r="V185">
            <v>178405</v>
          </cell>
        </row>
        <row r="186">
          <cell r="J186">
            <v>78</v>
          </cell>
          <cell r="R186"/>
          <cell r="S186">
            <v>173246</v>
          </cell>
          <cell r="V186">
            <v>173246</v>
          </cell>
        </row>
        <row r="187">
          <cell r="J187">
            <v>73</v>
          </cell>
          <cell r="R187"/>
          <cell r="S187">
            <v>179055</v>
          </cell>
          <cell r="V187">
            <v>179055</v>
          </cell>
        </row>
        <row r="188">
          <cell r="J188">
            <v>44</v>
          </cell>
          <cell r="R188"/>
          <cell r="S188">
            <v>146084</v>
          </cell>
          <cell r="V188">
            <v>146084</v>
          </cell>
        </row>
        <row r="189">
          <cell r="J189">
            <v>63</v>
          </cell>
          <cell r="R189"/>
          <cell r="S189">
            <v>176720</v>
          </cell>
          <cell r="V189">
            <v>176720</v>
          </cell>
        </row>
        <row r="190">
          <cell r="J190">
            <v>51</v>
          </cell>
          <cell r="R190"/>
          <cell r="S190">
            <v>167687</v>
          </cell>
          <cell r="V190">
            <v>167687</v>
          </cell>
        </row>
        <row r="191">
          <cell r="J191">
            <v>111</v>
          </cell>
          <cell r="R191"/>
          <cell r="S191">
            <v>217455</v>
          </cell>
          <cell r="V191">
            <v>217455</v>
          </cell>
        </row>
        <row r="192">
          <cell r="J192">
            <v>4</v>
          </cell>
          <cell r="R192"/>
          <cell r="S192">
            <v>128467</v>
          </cell>
          <cell r="V192">
            <v>128467</v>
          </cell>
        </row>
        <row r="193">
          <cell r="J193">
            <v>5</v>
          </cell>
          <cell r="R193"/>
          <cell r="S193">
            <v>129915</v>
          </cell>
          <cell r="V193">
            <v>129915</v>
          </cell>
        </row>
        <row r="194">
          <cell r="J194">
            <v>9</v>
          </cell>
          <cell r="R194"/>
          <cell r="S194">
            <v>148382</v>
          </cell>
          <cell r="V194">
            <v>148382</v>
          </cell>
        </row>
        <row r="195">
          <cell r="J195">
            <v>22</v>
          </cell>
          <cell r="R195"/>
          <cell r="S195">
            <v>136690</v>
          </cell>
          <cell r="V195">
            <v>136690</v>
          </cell>
        </row>
        <row r="196">
          <cell r="J196">
            <v>6</v>
          </cell>
          <cell r="R196"/>
          <cell r="S196">
            <v>125287</v>
          </cell>
          <cell r="V196">
            <v>125287</v>
          </cell>
        </row>
        <row r="197">
          <cell r="J197">
            <v>53</v>
          </cell>
          <cell r="R197"/>
          <cell r="S197">
            <v>157138</v>
          </cell>
          <cell r="V197">
            <v>157138</v>
          </cell>
        </row>
        <row r="198">
          <cell r="J198">
            <v>17</v>
          </cell>
          <cell r="R198"/>
          <cell r="S198">
            <v>137316</v>
          </cell>
          <cell r="V198">
            <v>137316</v>
          </cell>
        </row>
        <row r="199">
          <cell r="J199">
            <v>43</v>
          </cell>
          <cell r="R199"/>
          <cell r="S199">
            <v>167843</v>
          </cell>
          <cell r="V199">
            <v>167843</v>
          </cell>
        </row>
        <row r="200">
          <cell r="J200">
            <v>58</v>
          </cell>
          <cell r="R200"/>
          <cell r="S200">
            <v>172727</v>
          </cell>
          <cell r="V200">
            <v>172727</v>
          </cell>
        </row>
        <row r="201">
          <cell r="J201">
            <v>70</v>
          </cell>
          <cell r="R201"/>
          <cell r="S201">
            <v>178270</v>
          </cell>
          <cell r="V201">
            <v>178270</v>
          </cell>
        </row>
        <row r="202">
          <cell r="J202">
            <v>69</v>
          </cell>
          <cell r="R202"/>
          <cell r="S202">
            <v>166644</v>
          </cell>
          <cell r="V202"/>
        </row>
        <row r="203">
          <cell r="J203">
            <v>39</v>
          </cell>
          <cell r="R203"/>
          <cell r="S203">
            <v>154430</v>
          </cell>
          <cell r="V203"/>
        </row>
        <row r="204">
          <cell r="J204">
            <v>-4860</v>
          </cell>
          <cell r="R204"/>
          <cell r="S204">
            <v>-4649434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39">
        <row r="175">
          <cell r="J175">
            <v>0</v>
          </cell>
          <cell r="R175"/>
          <cell r="S175">
            <v>87141</v>
          </cell>
          <cell r="V175">
            <v>73395</v>
          </cell>
        </row>
        <row r="176">
          <cell r="J176">
            <v>0</v>
          </cell>
          <cell r="R176"/>
          <cell r="S176">
            <v>87141</v>
          </cell>
          <cell r="V176">
            <v>73395</v>
          </cell>
        </row>
        <row r="177">
          <cell r="J177">
            <v>0</v>
          </cell>
          <cell r="R177"/>
          <cell r="S177">
            <v>87141</v>
          </cell>
          <cell r="V177">
            <v>73395</v>
          </cell>
        </row>
        <row r="178">
          <cell r="J178">
            <v>0</v>
          </cell>
          <cell r="R178"/>
          <cell r="S178">
            <v>87141</v>
          </cell>
          <cell r="V178">
            <v>73395</v>
          </cell>
        </row>
        <row r="179">
          <cell r="J179">
            <v>0</v>
          </cell>
          <cell r="R179"/>
          <cell r="S179">
            <v>87141</v>
          </cell>
          <cell r="V179">
            <v>293520</v>
          </cell>
        </row>
        <row r="180">
          <cell r="J180">
            <v>0</v>
          </cell>
          <cell r="R180"/>
          <cell r="S180">
            <v>87141</v>
          </cell>
          <cell r="V180">
            <v>87141</v>
          </cell>
        </row>
        <row r="181">
          <cell r="J181">
            <v>0</v>
          </cell>
          <cell r="R181"/>
          <cell r="S181">
            <v>87141</v>
          </cell>
          <cell r="V181">
            <v>87141</v>
          </cell>
        </row>
        <row r="182">
          <cell r="J182">
            <v>0</v>
          </cell>
          <cell r="R182"/>
          <cell r="S182">
            <v>88122</v>
          </cell>
          <cell r="V182">
            <v>87141</v>
          </cell>
        </row>
        <row r="183">
          <cell r="J183">
            <v>0</v>
          </cell>
          <cell r="R183"/>
          <cell r="S183">
            <v>88138</v>
          </cell>
          <cell r="V183">
            <v>87141</v>
          </cell>
        </row>
        <row r="184">
          <cell r="J184">
            <v>0</v>
          </cell>
          <cell r="R184"/>
          <cell r="S184">
            <v>88131</v>
          </cell>
          <cell r="V184">
            <v>87141</v>
          </cell>
        </row>
        <row r="185">
          <cell r="J185">
            <v>0</v>
          </cell>
          <cell r="R185"/>
          <cell r="S185">
            <v>88160</v>
          </cell>
          <cell r="V185">
            <v>87141</v>
          </cell>
        </row>
        <row r="186">
          <cell r="J186">
            <v>0</v>
          </cell>
          <cell r="R186"/>
          <cell r="S186">
            <v>88180</v>
          </cell>
          <cell r="V186">
            <v>87141</v>
          </cell>
        </row>
        <row r="187">
          <cell r="J187">
            <v>0</v>
          </cell>
          <cell r="R187"/>
          <cell r="S187">
            <v>89922</v>
          </cell>
          <cell r="V187">
            <v>87141</v>
          </cell>
        </row>
        <row r="188">
          <cell r="J188">
            <v>0</v>
          </cell>
          <cell r="R188"/>
          <cell r="S188">
            <v>89952</v>
          </cell>
          <cell r="V188">
            <v>87141</v>
          </cell>
        </row>
        <row r="189">
          <cell r="J189">
            <v>0</v>
          </cell>
          <cell r="R189"/>
          <cell r="S189">
            <v>89965</v>
          </cell>
          <cell r="V189">
            <v>87141</v>
          </cell>
        </row>
        <row r="190">
          <cell r="J190">
            <v>0</v>
          </cell>
          <cell r="R190"/>
          <cell r="S190">
            <v>89976</v>
          </cell>
          <cell r="V190">
            <v>87141</v>
          </cell>
        </row>
        <row r="191">
          <cell r="J191">
            <v>0</v>
          </cell>
          <cell r="R191"/>
          <cell r="S191">
            <v>89998</v>
          </cell>
          <cell r="V191">
            <v>87141</v>
          </cell>
        </row>
        <row r="192">
          <cell r="J192">
            <v>0</v>
          </cell>
          <cell r="R192"/>
          <cell r="S192">
            <v>90023</v>
          </cell>
          <cell r="V192">
            <v>87141</v>
          </cell>
        </row>
        <row r="193">
          <cell r="J193">
            <v>0</v>
          </cell>
          <cell r="R193"/>
          <cell r="S193">
            <v>90036</v>
          </cell>
          <cell r="V193">
            <v>87141</v>
          </cell>
        </row>
        <row r="194">
          <cell r="J194">
            <v>0</v>
          </cell>
          <cell r="R194"/>
          <cell r="S194">
            <v>90061</v>
          </cell>
          <cell r="V194">
            <v>87141</v>
          </cell>
        </row>
        <row r="195">
          <cell r="J195">
            <v>0</v>
          </cell>
          <cell r="R195"/>
          <cell r="S195">
            <v>90082</v>
          </cell>
          <cell r="V195">
            <v>87141</v>
          </cell>
        </row>
        <row r="196">
          <cell r="J196">
            <v>0</v>
          </cell>
          <cell r="R196"/>
          <cell r="S196">
            <v>90105</v>
          </cell>
          <cell r="V196">
            <v>87141</v>
          </cell>
        </row>
        <row r="197">
          <cell r="J197">
            <v>0</v>
          </cell>
          <cell r="R197"/>
          <cell r="S197">
            <v>90135</v>
          </cell>
          <cell r="V197">
            <v>87141</v>
          </cell>
        </row>
        <row r="198">
          <cell r="J198">
            <v>0</v>
          </cell>
          <cell r="R198"/>
          <cell r="S198">
            <v>90145</v>
          </cell>
          <cell r="V198">
            <v>87141</v>
          </cell>
        </row>
        <row r="199">
          <cell r="J199">
            <v>0</v>
          </cell>
          <cell r="R199"/>
          <cell r="S199">
            <v>92268</v>
          </cell>
          <cell r="V199">
            <v>87141</v>
          </cell>
        </row>
        <row r="200">
          <cell r="J200">
            <v>0</v>
          </cell>
          <cell r="R200"/>
          <cell r="S200">
            <v>92271</v>
          </cell>
          <cell r="V200">
            <v>87141</v>
          </cell>
        </row>
        <row r="201">
          <cell r="J201">
            <v>0</v>
          </cell>
          <cell r="R201"/>
          <cell r="S201">
            <v>92274</v>
          </cell>
          <cell r="V201">
            <v>87141</v>
          </cell>
        </row>
        <row r="202">
          <cell r="J202">
            <v>0</v>
          </cell>
          <cell r="R202"/>
          <cell r="S202">
            <v>92303</v>
          </cell>
          <cell r="V202">
            <v>87141</v>
          </cell>
        </row>
        <row r="203">
          <cell r="J203">
            <v>0</v>
          </cell>
          <cell r="R203"/>
          <cell r="S203">
            <v>92333</v>
          </cell>
          <cell r="V203"/>
        </row>
        <row r="204">
          <cell r="J204">
            <v>0</v>
          </cell>
          <cell r="R204"/>
          <cell r="S204">
            <v>84004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40">
        <row r="175">
          <cell r="J175">
            <v>121</v>
          </cell>
          <cell r="R175"/>
          <cell r="S175">
            <v>210438</v>
          </cell>
          <cell r="V175">
            <v>206707</v>
          </cell>
        </row>
        <row r="176">
          <cell r="J176">
            <v>88</v>
          </cell>
          <cell r="R176"/>
          <cell r="S176">
            <v>200425</v>
          </cell>
          <cell r="V176"/>
        </row>
        <row r="177">
          <cell r="J177">
            <v>101</v>
          </cell>
          <cell r="R177"/>
          <cell r="S177">
            <v>207984</v>
          </cell>
          <cell r="V177">
            <v>412140</v>
          </cell>
        </row>
        <row r="178">
          <cell r="J178">
            <v>73</v>
          </cell>
          <cell r="R178"/>
          <cell r="S178">
            <v>182550</v>
          </cell>
          <cell r="V178"/>
        </row>
        <row r="179">
          <cell r="J179">
            <v>51</v>
          </cell>
          <cell r="R179"/>
          <cell r="S179">
            <v>177698</v>
          </cell>
          <cell r="V179">
            <v>360248</v>
          </cell>
        </row>
        <row r="180">
          <cell r="J180">
            <v>30</v>
          </cell>
          <cell r="R180"/>
          <cell r="S180">
            <v>158075</v>
          </cell>
          <cell r="V180"/>
        </row>
        <row r="181">
          <cell r="J181">
            <v>24</v>
          </cell>
          <cell r="R181"/>
          <cell r="S181">
            <v>152677</v>
          </cell>
          <cell r="V181">
            <v>310752</v>
          </cell>
        </row>
        <row r="182">
          <cell r="J182">
            <v>26</v>
          </cell>
          <cell r="R182"/>
          <cell r="S182">
            <v>162368</v>
          </cell>
          <cell r="V182"/>
        </row>
        <row r="183">
          <cell r="J183">
            <v>36</v>
          </cell>
          <cell r="R183"/>
          <cell r="S183">
            <v>162134</v>
          </cell>
          <cell r="V183">
            <v>324502</v>
          </cell>
        </row>
        <row r="184">
          <cell r="J184">
            <v>60</v>
          </cell>
          <cell r="R184"/>
          <cell r="S184">
            <v>180653</v>
          </cell>
          <cell r="V184"/>
        </row>
        <row r="185">
          <cell r="J185">
            <v>73</v>
          </cell>
          <cell r="R185"/>
          <cell r="S185">
            <v>185467</v>
          </cell>
          <cell r="V185">
            <v>366120</v>
          </cell>
        </row>
        <row r="186">
          <cell r="J186">
            <v>99</v>
          </cell>
          <cell r="R186"/>
          <cell r="S186">
            <v>193889</v>
          </cell>
          <cell r="V186"/>
        </row>
        <row r="187">
          <cell r="J187">
            <v>99</v>
          </cell>
          <cell r="R187"/>
          <cell r="S187">
            <v>193223</v>
          </cell>
          <cell r="V187">
            <v>387112</v>
          </cell>
        </row>
        <row r="188">
          <cell r="J188">
            <v>49</v>
          </cell>
          <cell r="R188"/>
          <cell r="S188">
            <v>168953</v>
          </cell>
          <cell r="V188"/>
        </row>
        <row r="189">
          <cell r="J189">
            <v>54</v>
          </cell>
          <cell r="R189"/>
          <cell r="S189">
            <v>179411</v>
          </cell>
          <cell r="V189">
            <v>348364</v>
          </cell>
        </row>
        <row r="190">
          <cell r="J190">
            <v>53</v>
          </cell>
          <cell r="R190"/>
          <cell r="S190">
            <v>178001</v>
          </cell>
          <cell r="V190"/>
        </row>
        <row r="191">
          <cell r="J191">
            <v>52</v>
          </cell>
          <cell r="R191"/>
          <cell r="S191">
            <v>176150</v>
          </cell>
          <cell r="V191">
            <v>354151</v>
          </cell>
        </row>
        <row r="192">
          <cell r="J192">
            <v>17</v>
          </cell>
          <cell r="R192"/>
          <cell r="S192">
            <v>129456</v>
          </cell>
          <cell r="V192"/>
        </row>
        <row r="193">
          <cell r="J193">
            <v>1</v>
          </cell>
          <cell r="R193"/>
          <cell r="S193">
            <v>119503</v>
          </cell>
          <cell r="V193">
            <v>248959</v>
          </cell>
        </row>
        <row r="194">
          <cell r="J194">
            <v>4</v>
          </cell>
          <cell r="R194"/>
          <cell r="S194">
            <v>127483</v>
          </cell>
          <cell r="V194"/>
        </row>
        <row r="195">
          <cell r="J195">
            <v>11</v>
          </cell>
          <cell r="R195"/>
          <cell r="S195">
            <v>122657</v>
          </cell>
          <cell r="V195">
            <v>250140</v>
          </cell>
        </row>
        <row r="196">
          <cell r="J196">
            <v>2</v>
          </cell>
          <cell r="R196"/>
          <cell r="S196">
            <v>109619</v>
          </cell>
          <cell r="V196"/>
        </row>
        <row r="197">
          <cell r="J197">
            <v>79</v>
          </cell>
          <cell r="R197"/>
          <cell r="S197">
            <v>158532</v>
          </cell>
          <cell r="V197">
            <v>268151</v>
          </cell>
        </row>
        <row r="198">
          <cell r="J198">
            <v>63</v>
          </cell>
          <cell r="R198"/>
          <cell r="S198">
            <v>158212</v>
          </cell>
          <cell r="V198"/>
        </row>
        <row r="199">
          <cell r="J199">
            <v>65</v>
          </cell>
          <cell r="R199"/>
          <cell r="S199">
            <v>174301</v>
          </cell>
          <cell r="V199">
            <v>332513</v>
          </cell>
        </row>
        <row r="200">
          <cell r="J200">
            <v>63</v>
          </cell>
          <cell r="R200"/>
          <cell r="S200">
            <v>175814</v>
          </cell>
          <cell r="V200"/>
        </row>
        <row r="201">
          <cell r="J201">
            <v>68</v>
          </cell>
          <cell r="R201"/>
          <cell r="S201">
            <v>174086</v>
          </cell>
          <cell r="V201">
            <v>349900</v>
          </cell>
        </row>
        <row r="202">
          <cell r="J202">
            <v>64</v>
          </cell>
          <cell r="R202"/>
          <cell r="S202">
            <v>173193</v>
          </cell>
          <cell r="V202"/>
        </row>
        <row r="203">
          <cell r="J203">
            <v>42</v>
          </cell>
          <cell r="R203"/>
          <cell r="S203">
            <v>164867</v>
          </cell>
          <cell r="V203"/>
        </row>
        <row r="204">
          <cell r="J204">
            <v>-8950</v>
          </cell>
          <cell r="R204"/>
          <cell r="S204">
            <v>-8990840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41">
        <row r="175">
          <cell r="J175">
            <v>76</v>
          </cell>
          <cell r="R175"/>
          <cell r="S175">
            <v>144809</v>
          </cell>
          <cell r="V175">
            <v>200000</v>
          </cell>
        </row>
        <row r="176">
          <cell r="J176">
            <v>72</v>
          </cell>
          <cell r="R176"/>
          <cell r="S176">
            <v>143887</v>
          </cell>
          <cell r="V176">
            <v>168203</v>
          </cell>
        </row>
        <row r="177">
          <cell r="J177">
            <v>79</v>
          </cell>
          <cell r="R177"/>
          <cell r="S177">
            <v>144880</v>
          </cell>
          <cell r="V177">
            <v>144880</v>
          </cell>
        </row>
        <row r="178">
          <cell r="J178">
            <v>71</v>
          </cell>
          <cell r="R178"/>
          <cell r="S178">
            <v>139094</v>
          </cell>
          <cell r="V178">
            <v>139094</v>
          </cell>
        </row>
        <row r="179">
          <cell r="J179">
            <v>27</v>
          </cell>
          <cell r="R179"/>
          <cell r="S179">
            <v>114644</v>
          </cell>
          <cell r="V179">
            <v>114644</v>
          </cell>
        </row>
        <row r="180">
          <cell r="J180">
            <v>1</v>
          </cell>
          <cell r="R180"/>
          <cell r="S180">
            <v>97628</v>
          </cell>
          <cell r="V180">
            <v>97628</v>
          </cell>
        </row>
        <row r="181">
          <cell r="J181">
            <v>0</v>
          </cell>
          <cell r="R181"/>
          <cell r="S181">
            <v>94879</v>
          </cell>
          <cell r="V181">
            <v>94879</v>
          </cell>
        </row>
        <row r="182">
          <cell r="J182">
            <v>0</v>
          </cell>
          <cell r="R182"/>
          <cell r="S182">
            <v>100970</v>
          </cell>
          <cell r="V182">
            <v>100970</v>
          </cell>
        </row>
        <row r="183">
          <cell r="J183">
            <v>4</v>
          </cell>
          <cell r="R183"/>
          <cell r="S183">
            <v>107164</v>
          </cell>
          <cell r="V183">
            <v>107164</v>
          </cell>
        </row>
        <row r="184">
          <cell r="J184">
            <v>22</v>
          </cell>
          <cell r="R184"/>
          <cell r="S184">
            <v>111379</v>
          </cell>
          <cell r="V184">
            <v>111379</v>
          </cell>
        </row>
        <row r="185">
          <cell r="J185">
            <v>119</v>
          </cell>
          <cell r="R185"/>
          <cell r="S185">
            <v>169573</v>
          </cell>
          <cell r="V185">
            <v>169573</v>
          </cell>
        </row>
        <row r="186">
          <cell r="J186">
            <v>70</v>
          </cell>
          <cell r="R186"/>
          <cell r="S186">
            <v>138844</v>
          </cell>
          <cell r="V186">
            <v>138844</v>
          </cell>
        </row>
        <row r="187">
          <cell r="J187">
            <v>73</v>
          </cell>
          <cell r="R187"/>
          <cell r="S187">
            <v>151169</v>
          </cell>
          <cell r="V187">
            <v>151169</v>
          </cell>
        </row>
        <row r="188">
          <cell r="J188">
            <v>54</v>
          </cell>
          <cell r="R188"/>
          <cell r="S188">
            <v>143206</v>
          </cell>
          <cell r="V188">
            <v>143206</v>
          </cell>
        </row>
        <row r="189">
          <cell r="J189">
            <v>68</v>
          </cell>
          <cell r="R189"/>
          <cell r="S189">
            <v>137467</v>
          </cell>
          <cell r="V189">
            <v>137467</v>
          </cell>
        </row>
        <row r="190">
          <cell r="J190">
            <v>63</v>
          </cell>
          <cell r="R190"/>
          <cell r="S190">
            <v>125631</v>
          </cell>
          <cell r="V190">
            <v>125161</v>
          </cell>
        </row>
        <row r="191">
          <cell r="J191">
            <v>65</v>
          </cell>
          <cell r="R191"/>
          <cell r="S191">
            <v>126479</v>
          </cell>
          <cell r="V191"/>
        </row>
        <row r="192">
          <cell r="J192">
            <v>6</v>
          </cell>
          <cell r="R192"/>
          <cell r="S192">
            <v>95859</v>
          </cell>
          <cell r="V192">
            <v>222808</v>
          </cell>
        </row>
        <row r="193">
          <cell r="J193">
            <v>2</v>
          </cell>
          <cell r="R193"/>
          <cell r="S193">
            <v>104002</v>
          </cell>
          <cell r="V193">
            <v>104002</v>
          </cell>
        </row>
        <row r="194">
          <cell r="J194">
            <v>1</v>
          </cell>
          <cell r="R194"/>
          <cell r="S194">
            <v>105366</v>
          </cell>
          <cell r="V194">
            <v>105366</v>
          </cell>
        </row>
        <row r="195">
          <cell r="J195">
            <v>1</v>
          </cell>
          <cell r="R195"/>
          <cell r="S195">
            <v>103489</v>
          </cell>
          <cell r="V195">
            <v>103489</v>
          </cell>
        </row>
        <row r="196">
          <cell r="J196">
            <v>33</v>
          </cell>
          <cell r="R196"/>
          <cell r="S196">
            <v>122130</v>
          </cell>
          <cell r="V196">
            <v>122130</v>
          </cell>
        </row>
        <row r="197">
          <cell r="J197">
            <v>70</v>
          </cell>
          <cell r="R197"/>
          <cell r="S197">
            <v>152625</v>
          </cell>
          <cell r="V197">
            <v>152625</v>
          </cell>
        </row>
        <row r="198">
          <cell r="J198">
            <v>64</v>
          </cell>
          <cell r="R198"/>
          <cell r="S198">
            <v>143295</v>
          </cell>
          <cell r="V198">
            <v>149250</v>
          </cell>
        </row>
        <row r="199">
          <cell r="J199">
            <v>61</v>
          </cell>
          <cell r="R199"/>
          <cell r="S199">
            <v>160531</v>
          </cell>
          <cell r="V199">
            <v>154576</v>
          </cell>
        </row>
        <row r="200">
          <cell r="J200">
            <v>61</v>
          </cell>
          <cell r="R200"/>
          <cell r="S200">
            <v>284294</v>
          </cell>
          <cell r="V200">
            <v>284294</v>
          </cell>
        </row>
        <row r="201">
          <cell r="J201">
            <v>49</v>
          </cell>
          <cell r="R201"/>
          <cell r="S201">
            <v>128571</v>
          </cell>
          <cell r="V201">
            <v>128571</v>
          </cell>
        </row>
        <row r="202">
          <cell r="J202">
            <v>59</v>
          </cell>
          <cell r="R202"/>
          <cell r="S202">
            <v>135504</v>
          </cell>
          <cell r="V202">
            <v>135504</v>
          </cell>
        </row>
        <row r="203">
          <cell r="J203">
            <v>49</v>
          </cell>
          <cell r="R203"/>
          <cell r="S203">
            <v>132134</v>
          </cell>
          <cell r="V203"/>
        </row>
        <row r="204">
          <cell r="J204">
            <v>-157</v>
          </cell>
          <cell r="R204"/>
          <cell r="S204">
            <v>-2600515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42">
        <row r="175">
          <cell r="J175">
            <v>118</v>
          </cell>
          <cell r="R175">
            <v>52636</v>
          </cell>
          <cell r="S175">
            <v>241655</v>
          </cell>
          <cell r="V175"/>
        </row>
        <row r="176">
          <cell r="J176">
            <v>62</v>
          </cell>
          <cell r="R176"/>
          <cell r="S176">
            <v>149977</v>
          </cell>
          <cell r="V176">
            <v>795212</v>
          </cell>
        </row>
        <row r="177">
          <cell r="J177">
            <v>0</v>
          </cell>
          <cell r="R177"/>
          <cell r="S177">
            <v>99697</v>
          </cell>
          <cell r="V177"/>
        </row>
        <row r="178">
          <cell r="J178">
            <v>65</v>
          </cell>
          <cell r="R178"/>
          <cell r="S178">
            <v>137638</v>
          </cell>
          <cell r="V178">
            <v>237335</v>
          </cell>
        </row>
        <row r="179">
          <cell r="J179">
            <v>28</v>
          </cell>
          <cell r="R179"/>
          <cell r="S179">
            <v>139147</v>
          </cell>
          <cell r="V179"/>
        </row>
        <row r="180">
          <cell r="J180">
            <v>44</v>
          </cell>
          <cell r="R180"/>
          <cell r="S180">
            <v>139769</v>
          </cell>
          <cell r="V180">
            <v>378916</v>
          </cell>
        </row>
        <row r="181">
          <cell r="J181">
            <v>48</v>
          </cell>
          <cell r="R181"/>
          <cell r="S181">
            <v>126821</v>
          </cell>
          <cell r="V181"/>
        </row>
        <row r="182">
          <cell r="J182">
            <v>115</v>
          </cell>
          <cell r="R182"/>
          <cell r="S182">
            <v>161021</v>
          </cell>
          <cell r="V182">
            <v>187842</v>
          </cell>
        </row>
        <row r="183">
          <cell r="J183">
            <v>73</v>
          </cell>
          <cell r="R183"/>
          <cell r="S183">
            <v>146027</v>
          </cell>
          <cell r="V183"/>
        </row>
        <row r="184">
          <cell r="J184">
            <v>0</v>
          </cell>
          <cell r="R184"/>
          <cell r="S184">
            <v>96745</v>
          </cell>
          <cell r="V184">
            <v>242772</v>
          </cell>
        </row>
        <row r="185">
          <cell r="J185">
            <v>0</v>
          </cell>
          <cell r="R185"/>
          <cell r="S185">
            <v>98380</v>
          </cell>
          <cell r="V185"/>
        </row>
        <row r="186">
          <cell r="J186">
            <v>0</v>
          </cell>
          <cell r="R186"/>
          <cell r="S186">
            <v>96794</v>
          </cell>
          <cell r="V186">
            <v>195174</v>
          </cell>
        </row>
        <row r="187">
          <cell r="J187">
            <v>0</v>
          </cell>
          <cell r="R187"/>
          <cell r="S187">
            <v>100726</v>
          </cell>
          <cell r="V187"/>
        </row>
        <row r="188">
          <cell r="J188">
            <v>0</v>
          </cell>
          <cell r="R188"/>
          <cell r="S188">
            <v>97690</v>
          </cell>
          <cell r="V188">
            <v>198416</v>
          </cell>
        </row>
        <row r="189">
          <cell r="J189">
            <v>0</v>
          </cell>
          <cell r="R189">
            <v>54009</v>
          </cell>
          <cell r="S189">
            <v>153318</v>
          </cell>
          <cell r="V189"/>
        </row>
        <row r="190">
          <cell r="J190">
            <v>2</v>
          </cell>
          <cell r="R190">
            <v>54157</v>
          </cell>
          <cell r="S190">
            <v>156493</v>
          </cell>
          <cell r="V190"/>
        </row>
        <row r="191">
          <cell r="J191">
            <v>0</v>
          </cell>
          <cell r="R191"/>
          <cell r="S191">
            <v>96276</v>
          </cell>
          <cell r="V191">
            <v>406087</v>
          </cell>
        </row>
        <row r="192">
          <cell r="J192">
            <v>0</v>
          </cell>
          <cell r="R192"/>
          <cell r="S192">
            <v>94695</v>
          </cell>
          <cell r="V192">
            <v>94695</v>
          </cell>
        </row>
        <row r="193">
          <cell r="J193">
            <v>0</v>
          </cell>
          <cell r="R193"/>
          <cell r="S193">
            <v>95146</v>
          </cell>
          <cell r="V193">
            <v>95146</v>
          </cell>
        </row>
        <row r="194">
          <cell r="J194">
            <v>7</v>
          </cell>
          <cell r="R194"/>
          <cell r="S194">
            <v>101712</v>
          </cell>
          <cell r="V194"/>
        </row>
        <row r="195">
          <cell r="J195">
            <v>50</v>
          </cell>
          <cell r="R195"/>
          <cell r="S195">
            <v>133508</v>
          </cell>
          <cell r="V195">
            <v>235220</v>
          </cell>
        </row>
        <row r="196">
          <cell r="J196">
            <v>0</v>
          </cell>
          <cell r="R196"/>
          <cell r="S196">
            <v>96821</v>
          </cell>
          <cell r="V196"/>
        </row>
        <row r="197">
          <cell r="J197">
            <v>14</v>
          </cell>
          <cell r="R197"/>
          <cell r="S197">
            <v>105991</v>
          </cell>
          <cell r="V197">
            <v>202812</v>
          </cell>
        </row>
        <row r="198">
          <cell r="J198">
            <v>70</v>
          </cell>
          <cell r="R198">
            <v>55092</v>
          </cell>
          <cell r="S198">
            <v>216195</v>
          </cell>
          <cell r="V198"/>
        </row>
        <row r="199">
          <cell r="J199">
            <v>28</v>
          </cell>
          <cell r="R199">
            <v>55092</v>
          </cell>
          <cell r="S199">
            <v>194548</v>
          </cell>
          <cell r="V199">
            <v>410743</v>
          </cell>
        </row>
        <row r="200">
          <cell r="J200">
            <v>30</v>
          </cell>
          <cell r="R200"/>
          <cell r="S200">
            <v>137657</v>
          </cell>
          <cell r="V200">
            <v>137657</v>
          </cell>
        </row>
        <row r="201">
          <cell r="J201">
            <v>0</v>
          </cell>
          <cell r="R201"/>
          <cell r="S201">
            <v>95632</v>
          </cell>
          <cell r="V201"/>
        </row>
        <row r="202">
          <cell r="J202">
            <v>3</v>
          </cell>
          <cell r="R202"/>
          <cell r="S202">
            <v>101864</v>
          </cell>
          <cell r="V202">
            <v>197496</v>
          </cell>
        </row>
        <row r="203">
          <cell r="J203">
            <v>0</v>
          </cell>
          <cell r="R203"/>
          <cell r="S203">
            <v>97735</v>
          </cell>
          <cell r="V203"/>
        </row>
        <row r="204">
          <cell r="J204">
            <v>-577</v>
          </cell>
          <cell r="R204"/>
          <cell r="S204">
            <v>-3090065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</sheetData>
      <sheetData sheetId="43">
        <row r="175">
          <cell r="J175">
            <v>100</v>
          </cell>
          <cell r="R175"/>
          <cell r="S175">
            <v>213923</v>
          </cell>
          <cell r="V175">
            <v>213923</v>
          </cell>
        </row>
        <row r="176">
          <cell r="J176">
            <v>66</v>
          </cell>
          <cell r="R176"/>
          <cell r="S176">
            <v>182361</v>
          </cell>
          <cell r="V176"/>
        </row>
        <row r="177">
          <cell r="J177">
            <v>118</v>
          </cell>
          <cell r="R177"/>
          <cell r="S177">
            <v>216247</v>
          </cell>
          <cell r="V177">
            <v>398608</v>
          </cell>
        </row>
        <row r="178">
          <cell r="J178">
            <v>81</v>
          </cell>
          <cell r="R178"/>
          <cell r="S178">
            <v>182132</v>
          </cell>
          <cell r="V178">
            <v>136853</v>
          </cell>
        </row>
        <row r="179">
          <cell r="J179">
            <v>31</v>
          </cell>
          <cell r="R179"/>
          <cell r="S179">
            <v>148780</v>
          </cell>
          <cell r="V179">
            <v>194059</v>
          </cell>
        </row>
        <row r="180">
          <cell r="J180">
            <v>4</v>
          </cell>
          <cell r="R180"/>
          <cell r="S180">
            <v>130621</v>
          </cell>
          <cell r="V180">
            <v>130621</v>
          </cell>
        </row>
        <row r="181">
          <cell r="J181">
            <v>3</v>
          </cell>
          <cell r="R181"/>
          <cell r="S181">
            <v>123346</v>
          </cell>
          <cell r="V181">
            <v>123346</v>
          </cell>
        </row>
        <row r="182">
          <cell r="J182">
            <v>3</v>
          </cell>
          <cell r="R182"/>
          <cell r="S182">
            <v>131627</v>
          </cell>
          <cell r="V182">
            <v>129950</v>
          </cell>
        </row>
        <row r="183">
          <cell r="J183">
            <v>16</v>
          </cell>
          <cell r="R183"/>
          <cell r="S183">
            <v>145626</v>
          </cell>
          <cell r="V183">
            <v>147403</v>
          </cell>
        </row>
        <row r="184">
          <cell r="J184">
            <v>53</v>
          </cell>
          <cell r="R184"/>
          <cell r="S184">
            <v>162214</v>
          </cell>
          <cell r="V184">
            <v>162114</v>
          </cell>
        </row>
        <row r="185">
          <cell r="J185">
            <v>70</v>
          </cell>
          <cell r="R185"/>
          <cell r="S185">
            <v>168096</v>
          </cell>
          <cell r="V185">
            <v>168096</v>
          </cell>
        </row>
        <row r="186">
          <cell r="J186">
            <v>112</v>
          </cell>
          <cell r="R186"/>
          <cell r="S186">
            <v>215100</v>
          </cell>
          <cell r="V186">
            <v>215100</v>
          </cell>
        </row>
        <row r="187">
          <cell r="J187">
            <v>129</v>
          </cell>
          <cell r="R187"/>
          <cell r="S187">
            <v>237893</v>
          </cell>
          <cell r="V187">
            <v>237893</v>
          </cell>
        </row>
        <row r="188">
          <cell r="J188">
            <v>37</v>
          </cell>
          <cell r="R188"/>
          <cell r="S188">
            <v>154289</v>
          </cell>
          <cell r="V188">
            <v>154289</v>
          </cell>
        </row>
        <row r="189">
          <cell r="J189">
            <v>111</v>
          </cell>
          <cell r="R189"/>
          <cell r="S189">
            <v>196982</v>
          </cell>
          <cell r="V189">
            <v>196982</v>
          </cell>
        </row>
        <row r="190">
          <cell r="J190">
            <v>93</v>
          </cell>
          <cell r="R190"/>
          <cell r="S190">
            <v>172915</v>
          </cell>
          <cell r="V190">
            <v>172915</v>
          </cell>
        </row>
        <row r="191">
          <cell r="J191">
            <v>72</v>
          </cell>
          <cell r="R191"/>
          <cell r="S191">
            <v>164994</v>
          </cell>
          <cell r="V191">
            <v>164994</v>
          </cell>
        </row>
        <row r="192">
          <cell r="J192">
            <v>19</v>
          </cell>
          <cell r="R192"/>
          <cell r="S192">
            <v>122106</v>
          </cell>
          <cell r="V192">
            <v>122106</v>
          </cell>
        </row>
        <row r="193">
          <cell r="J193">
            <v>20</v>
          </cell>
          <cell r="R193"/>
          <cell r="S193">
            <v>128226</v>
          </cell>
          <cell r="V193">
            <v>128226</v>
          </cell>
        </row>
        <row r="194">
          <cell r="J194">
            <v>24</v>
          </cell>
          <cell r="R194"/>
          <cell r="S194">
            <v>126545</v>
          </cell>
          <cell r="V194">
            <v>126545</v>
          </cell>
        </row>
        <row r="195">
          <cell r="J195">
            <v>26</v>
          </cell>
          <cell r="R195"/>
          <cell r="S195">
            <v>124180</v>
          </cell>
          <cell r="V195">
            <v>124180</v>
          </cell>
        </row>
        <row r="196">
          <cell r="J196">
            <v>43</v>
          </cell>
          <cell r="R196"/>
          <cell r="S196">
            <v>143634</v>
          </cell>
          <cell r="V196">
            <v>143634</v>
          </cell>
        </row>
        <row r="197">
          <cell r="J197">
            <v>70</v>
          </cell>
          <cell r="R197"/>
          <cell r="S197">
            <v>165619</v>
          </cell>
          <cell r="V197">
            <v>165619</v>
          </cell>
        </row>
        <row r="198">
          <cell r="J198">
            <v>104</v>
          </cell>
          <cell r="R198"/>
          <cell r="S198">
            <v>185073</v>
          </cell>
          <cell r="V198">
            <v>185073</v>
          </cell>
        </row>
        <row r="199">
          <cell r="J199">
            <v>107</v>
          </cell>
          <cell r="R199"/>
          <cell r="S199">
            <v>211503</v>
          </cell>
          <cell r="V199">
            <v>211503</v>
          </cell>
        </row>
        <row r="200">
          <cell r="J200">
            <v>95</v>
          </cell>
          <cell r="R200"/>
          <cell r="S200">
            <v>195162</v>
          </cell>
          <cell r="V200">
            <v>195162</v>
          </cell>
        </row>
        <row r="201">
          <cell r="J201">
            <v>113</v>
          </cell>
          <cell r="R201"/>
          <cell r="S201">
            <v>191357</v>
          </cell>
          <cell r="V201">
            <v>191357</v>
          </cell>
        </row>
        <row r="202">
          <cell r="J202">
            <v>84</v>
          </cell>
          <cell r="R202"/>
          <cell r="S202">
            <v>177073</v>
          </cell>
          <cell r="V202">
            <v>177073</v>
          </cell>
        </row>
        <row r="203">
          <cell r="J203">
            <v>58</v>
          </cell>
          <cell r="R203"/>
          <cell r="S203">
            <v>160087</v>
          </cell>
          <cell r="V203"/>
        </row>
        <row r="204">
          <cell r="J204">
            <v>-1076</v>
          </cell>
          <cell r="R204"/>
          <cell r="S204">
            <v>-3059778</v>
          </cell>
          <cell r="V204"/>
        </row>
        <row r="205">
          <cell r="J205">
            <v>0</v>
          </cell>
          <cell r="R205"/>
          <cell r="S205">
            <v>84004</v>
          </cell>
          <cell r="V205"/>
        </row>
        <row r="206">
          <cell r="J206">
            <v>0</v>
          </cell>
          <cell r="R206"/>
          <cell r="S206">
            <v>84004</v>
          </cell>
          <cell r="V206"/>
        </row>
        <row r="207">
          <cell r="J207">
            <v>0</v>
          </cell>
          <cell r="R207"/>
          <cell r="S207">
            <v>84004</v>
          </cell>
          <cell r="V207"/>
        </row>
        <row r="208">
          <cell r="J208">
            <v>0</v>
          </cell>
          <cell r="R208"/>
          <cell r="S208">
            <v>84004</v>
          </cell>
          <cell r="V208"/>
        </row>
        <row r="209">
          <cell r="J209">
            <v>0</v>
          </cell>
          <cell r="R209"/>
          <cell r="S209">
            <v>84004</v>
          </cell>
          <cell r="V209"/>
        </row>
        <row r="210">
          <cell r="J210">
            <v>0</v>
          </cell>
          <cell r="R210"/>
          <cell r="S210">
            <v>84004</v>
          </cell>
          <cell r="V210"/>
        </row>
      </sheetData>
      <sheetData sheetId="44">
        <row r="175">
          <cell r="J175"/>
          <cell r="R175"/>
        </row>
        <row r="176">
          <cell r="J176"/>
          <cell r="R176"/>
        </row>
        <row r="177">
          <cell r="J177"/>
          <cell r="R177"/>
        </row>
        <row r="178">
          <cell r="J178"/>
          <cell r="R178"/>
        </row>
        <row r="179">
          <cell r="J179"/>
          <cell r="R179"/>
        </row>
        <row r="180">
          <cell r="J180"/>
          <cell r="R180"/>
        </row>
        <row r="181">
          <cell r="J181"/>
          <cell r="R181"/>
        </row>
        <row r="182">
          <cell r="J182"/>
          <cell r="R182"/>
        </row>
        <row r="183">
          <cell r="J183"/>
          <cell r="R183"/>
        </row>
        <row r="184">
          <cell r="J184"/>
          <cell r="R184"/>
        </row>
        <row r="185">
          <cell r="J185"/>
          <cell r="R185"/>
        </row>
        <row r="186">
          <cell r="J186"/>
          <cell r="R186"/>
        </row>
        <row r="187">
          <cell r="J187"/>
          <cell r="R187"/>
        </row>
        <row r="188">
          <cell r="J188"/>
          <cell r="R188"/>
        </row>
        <row r="189">
          <cell r="J189"/>
          <cell r="R189"/>
        </row>
        <row r="190">
          <cell r="J190"/>
          <cell r="R190"/>
        </row>
        <row r="191">
          <cell r="J191"/>
          <cell r="R191"/>
        </row>
        <row r="192">
          <cell r="J192"/>
          <cell r="R192"/>
        </row>
        <row r="193">
          <cell r="J193"/>
          <cell r="R193"/>
        </row>
        <row r="194">
          <cell r="J194"/>
          <cell r="R194"/>
        </row>
        <row r="195">
          <cell r="J195"/>
          <cell r="R195"/>
        </row>
        <row r="196">
          <cell r="J196"/>
          <cell r="R196"/>
        </row>
        <row r="197">
          <cell r="J197"/>
          <cell r="R197"/>
        </row>
        <row r="198">
          <cell r="J198"/>
          <cell r="R198"/>
        </row>
        <row r="199">
          <cell r="J199"/>
          <cell r="R199"/>
          <cell r="S199">
            <v>11972</v>
          </cell>
          <cell r="V199">
            <v>11972</v>
          </cell>
        </row>
        <row r="200">
          <cell r="J200"/>
          <cell r="R200"/>
          <cell r="S200">
            <v>129200</v>
          </cell>
          <cell r="V200"/>
        </row>
        <row r="201">
          <cell r="J201"/>
          <cell r="R201"/>
          <cell r="S201">
            <v>128700</v>
          </cell>
          <cell r="V201"/>
        </row>
        <row r="202">
          <cell r="J202"/>
          <cell r="R202"/>
          <cell r="S202">
            <v>137200</v>
          </cell>
          <cell r="V202"/>
        </row>
        <row r="203">
          <cell r="J203"/>
          <cell r="R203"/>
          <cell r="S203">
            <v>71600</v>
          </cell>
          <cell r="V203"/>
        </row>
        <row r="204">
          <cell r="J204"/>
          <cell r="R204"/>
          <cell r="S204">
            <v>-12517500</v>
          </cell>
          <cell r="V204"/>
        </row>
        <row r="205">
          <cell r="J205"/>
          <cell r="R205"/>
          <cell r="S205">
            <v>0</v>
          </cell>
          <cell r="V205"/>
        </row>
        <row r="206">
          <cell r="J206"/>
          <cell r="R206"/>
          <cell r="S206">
            <v>0</v>
          </cell>
          <cell r="V206"/>
        </row>
        <row r="207">
          <cell r="J207"/>
          <cell r="R207"/>
          <cell r="S207">
            <v>0</v>
          </cell>
          <cell r="V207"/>
        </row>
        <row r="208">
          <cell r="J208"/>
          <cell r="R208"/>
          <cell r="S208">
            <v>0</v>
          </cell>
          <cell r="V208"/>
        </row>
        <row r="209">
          <cell r="J209"/>
          <cell r="R209"/>
          <cell r="S209">
            <v>0</v>
          </cell>
          <cell r="V209"/>
        </row>
        <row r="210">
          <cell r="J210"/>
          <cell r="R210"/>
          <cell r="S210">
            <v>0</v>
          </cell>
          <cell r="V210"/>
        </row>
      </sheetData>
      <sheetData sheetId="45"/>
      <sheetData sheetId="46"/>
      <sheetData sheetId="4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7:O112"/>
  <sheetViews>
    <sheetView tabSelected="1" topLeftCell="A12" zoomScaleNormal="100" workbookViewId="0">
      <selection activeCell="C41" sqref="C41"/>
    </sheetView>
  </sheetViews>
  <sheetFormatPr baseColWidth="10" defaultRowHeight="15" x14ac:dyDescent="0.25"/>
  <cols>
    <col min="1" max="1" width="5.28515625" customWidth="1"/>
    <col min="2" max="2" width="22.42578125" customWidth="1"/>
    <col min="3" max="3" width="15.28515625" customWidth="1"/>
    <col min="4" max="4" width="14.42578125" customWidth="1"/>
    <col min="5" max="5" width="10.140625" customWidth="1"/>
    <col min="6" max="6" width="15.7109375" customWidth="1"/>
    <col min="7" max="7" width="13.85546875" customWidth="1"/>
    <col min="8" max="8" width="13.5703125" customWidth="1"/>
    <col min="9" max="9" width="10.7109375" customWidth="1"/>
    <col min="10" max="10" width="13.42578125" customWidth="1"/>
    <col min="11" max="11" width="14.7109375" customWidth="1"/>
    <col min="12" max="12" width="12.85546875" bestFit="1" customWidth="1"/>
    <col min="13" max="13" width="14.140625" customWidth="1"/>
    <col min="14" max="14" width="15.85546875" customWidth="1"/>
    <col min="15" max="15" width="16.28515625" customWidth="1"/>
  </cols>
  <sheetData>
    <row r="7" spans="1:15" ht="18.75" x14ac:dyDescent="0.3">
      <c r="B7" s="4" t="s">
        <v>124</v>
      </c>
      <c r="C7" s="4"/>
      <c r="D7" s="1"/>
    </row>
    <row r="8" spans="1:15" ht="18.75" x14ac:dyDescent="0.3">
      <c r="B8" s="4" t="s">
        <v>123</v>
      </c>
      <c r="C8" s="4"/>
    </row>
    <row r="9" spans="1:15" ht="15.75" thickBot="1" x14ac:dyDescent="0.3"/>
    <row r="10" spans="1:15" ht="15.75" thickBot="1" x14ac:dyDescent="0.3">
      <c r="B10" s="6"/>
      <c r="C10" s="27" t="s">
        <v>3</v>
      </c>
      <c r="D10" s="28"/>
      <c r="E10" s="71" t="s">
        <v>4</v>
      </c>
      <c r="F10" s="72"/>
      <c r="G10" s="29" t="s">
        <v>5</v>
      </c>
      <c r="H10" s="30"/>
      <c r="I10" s="30"/>
      <c r="J10" s="30"/>
      <c r="K10" s="31"/>
      <c r="L10" s="68" t="s">
        <v>6</v>
      </c>
      <c r="M10" s="69"/>
      <c r="N10" s="69"/>
      <c r="O10" s="70"/>
    </row>
    <row r="11" spans="1:15" x14ac:dyDescent="0.25">
      <c r="B11" s="9" t="s">
        <v>7</v>
      </c>
      <c r="C11" s="9" t="s">
        <v>8</v>
      </c>
      <c r="D11" s="9" t="s">
        <v>9</v>
      </c>
      <c r="E11" s="9" t="s">
        <v>8</v>
      </c>
      <c r="F11" s="9" t="s">
        <v>9</v>
      </c>
      <c r="G11" s="10" t="s">
        <v>10</v>
      </c>
      <c r="H11" s="9" t="s">
        <v>11</v>
      </c>
      <c r="I11" s="11" t="s">
        <v>12</v>
      </c>
      <c r="J11" s="12" t="s">
        <v>13</v>
      </c>
      <c r="K11" s="10" t="s">
        <v>14</v>
      </c>
      <c r="L11" s="13" t="s">
        <v>15</v>
      </c>
      <c r="M11" s="10" t="s">
        <v>9</v>
      </c>
      <c r="N11" s="10"/>
      <c r="O11" s="14" t="s">
        <v>16</v>
      </c>
    </row>
    <row r="12" spans="1:15" ht="15.75" thickBot="1" x14ac:dyDescent="0.3">
      <c r="B12" s="15" t="s">
        <v>17</v>
      </c>
      <c r="C12" s="15" t="s">
        <v>18</v>
      </c>
      <c r="D12" s="15" t="s">
        <v>19</v>
      </c>
      <c r="E12" s="15" t="s">
        <v>20</v>
      </c>
      <c r="F12" s="15" t="s">
        <v>21</v>
      </c>
      <c r="G12" s="16" t="s">
        <v>22</v>
      </c>
      <c r="H12" s="15" t="s">
        <v>23</v>
      </c>
      <c r="I12" s="17"/>
      <c r="J12" s="17"/>
      <c r="K12" s="18" t="s">
        <v>24</v>
      </c>
      <c r="L12" s="19"/>
      <c r="M12" s="16" t="s">
        <v>25</v>
      </c>
      <c r="N12" s="18" t="s">
        <v>26</v>
      </c>
      <c r="O12" s="20" t="s">
        <v>25</v>
      </c>
    </row>
    <row r="13" spans="1:15" ht="15.75" hidden="1" thickBot="1" x14ac:dyDescent="0.3">
      <c r="A13" s="21">
        <v>2017</v>
      </c>
      <c r="B13" s="58" t="s">
        <v>38</v>
      </c>
      <c r="C13" s="56">
        <f>SUM(inicio:final!C176)</f>
        <v>22824</v>
      </c>
      <c r="D13" s="23">
        <f>SUM(inicio:final!D176)</f>
        <v>3301597</v>
      </c>
      <c r="E13" s="56">
        <f>SUM(inicio:final!E176)</f>
        <v>8852</v>
      </c>
      <c r="F13" s="23">
        <f>SUM(inicio:final!F176)</f>
        <v>4324111</v>
      </c>
      <c r="G13" s="23">
        <f>SUM(inicio:final!G176)</f>
        <v>660387</v>
      </c>
      <c r="H13" s="23">
        <f>SUM(inicio:final!H176)</f>
        <v>1358000</v>
      </c>
      <c r="I13" s="23">
        <f>SUM(inicio:final!I176)</f>
        <v>0</v>
      </c>
      <c r="J13" s="23">
        <f>SUM(inicio:final!J176)</f>
        <v>298667</v>
      </c>
      <c r="K13" s="23">
        <f>SUM(inicio:final!K176)</f>
        <v>13446145</v>
      </c>
      <c r="L13" s="23">
        <f>SUM(inicio:final!L176)</f>
        <v>1270107</v>
      </c>
      <c r="M13" s="23">
        <f>SUM(inicio:final!M176)</f>
        <v>35999321</v>
      </c>
      <c r="N13" s="23">
        <f>SUM(inicio:final!N176)</f>
        <v>31951782</v>
      </c>
      <c r="O13" s="23">
        <f>SUM(inicio:final!O176)</f>
        <v>23200174.489000004</v>
      </c>
    </row>
    <row r="14" spans="1:15" ht="15.75" hidden="1" thickBot="1" x14ac:dyDescent="0.3">
      <c r="A14" s="21"/>
      <c r="B14" s="58" t="s">
        <v>27</v>
      </c>
      <c r="C14" s="56">
        <f>SUM(inicio:final!C177)</f>
        <v>34552</v>
      </c>
      <c r="D14" s="23">
        <f>SUM(inicio:final!D177)</f>
        <v>5045190</v>
      </c>
      <c r="E14" s="56">
        <f>SUM(inicio:final!E177)</f>
        <v>8875</v>
      </c>
      <c r="F14" s="23">
        <f>SUM(inicio:final!F177)</f>
        <v>5027504</v>
      </c>
      <c r="G14" s="23">
        <f>SUM(inicio:final!G177)</f>
        <v>988715</v>
      </c>
      <c r="H14" s="23">
        <f>SUM(inicio:final!H177)</f>
        <v>1631000</v>
      </c>
      <c r="I14" s="23">
        <f>SUM(inicio:final!I177)</f>
        <v>0</v>
      </c>
      <c r="J14" s="23">
        <f>SUM(inicio:final!J177)</f>
        <v>410000</v>
      </c>
      <c r="K14" s="23">
        <f>SUM(inicio:final!K177)</f>
        <v>20095830</v>
      </c>
      <c r="L14" s="23">
        <f>SUM(inicio:final!L177)</f>
        <v>1006748</v>
      </c>
      <c r="M14" s="23">
        <f>SUM(inicio:final!M177)</f>
        <v>34293392</v>
      </c>
      <c r="N14" s="23">
        <f>SUM(inicio:final!N177)</f>
        <v>33504088</v>
      </c>
      <c r="O14" s="23">
        <f>SUM(inicio:final!O177)</f>
        <v>45383628.259000003</v>
      </c>
    </row>
    <row r="15" spans="1:15" ht="15.75" hidden="1" thickBot="1" x14ac:dyDescent="0.3">
      <c r="A15" s="21"/>
      <c r="B15" s="58" t="s">
        <v>28</v>
      </c>
      <c r="C15" s="56">
        <f>SUM(inicio:final!C178)</f>
        <v>36171</v>
      </c>
      <c r="D15" s="23">
        <f>SUM(inicio:final!D178)</f>
        <v>5281920</v>
      </c>
      <c r="E15" s="56">
        <f>SUM(inicio:final!E178)</f>
        <v>8368</v>
      </c>
      <c r="F15" s="23">
        <f>SUM(inicio:final!F178)</f>
        <v>4724810</v>
      </c>
      <c r="G15" s="23">
        <f>SUM(inicio:final!G178)</f>
        <v>988715</v>
      </c>
      <c r="H15" s="23">
        <f>SUM(inicio:final!H178)</f>
        <v>1631000</v>
      </c>
      <c r="I15" s="23">
        <f>SUM(inicio:final!I178)</f>
        <v>0</v>
      </c>
      <c r="J15" s="23">
        <f>SUM(inicio:final!J178)</f>
        <v>410000</v>
      </c>
      <c r="K15" s="23">
        <f>SUM(inicio:final!K178)</f>
        <v>20095830</v>
      </c>
      <c r="L15" s="23">
        <f>SUM(inicio:final!L178)</f>
        <v>1191214</v>
      </c>
      <c r="M15" s="23">
        <f>SUM(inicio:final!M178)</f>
        <v>34420984</v>
      </c>
      <c r="N15" s="23">
        <f>SUM(inicio:final!N178)</f>
        <v>35822662</v>
      </c>
      <c r="O15" s="23">
        <f>SUM(inicio:final!O178)</f>
        <v>43888186.259000003</v>
      </c>
    </row>
    <row r="16" spans="1:15" ht="15.75" hidden="1" thickBot="1" x14ac:dyDescent="0.3">
      <c r="A16" s="21"/>
      <c r="B16" s="58" t="s">
        <v>29</v>
      </c>
      <c r="C16" s="56">
        <f>SUM(inicio:final!C179)</f>
        <v>26384</v>
      </c>
      <c r="D16" s="23">
        <f>SUM(inicio:final!D179)</f>
        <v>3852064</v>
      </c>
      <c r="E16" s="56">
        <f>SUM(inicio:final!E179)</f>
        <v>5924</v>
      </c>
      <c r="F16" s="23">
        <f>SUM(inicio:final!F179)</f>
        <v>3450967</v>
      </c>
      <c r="G16" s="23">
        <f>SUM(inicio:final!G179)</f>
        <v>988715</v>
      </c>
      <c r="H16" s="23">
        <f>SUM(inicio:final!H179)</f>
        <v>1631000</v>
      </c>
      <c r="I16" s="23">
        <f>SUM(inicio:final!I179)</f>
        <v>0</v>
      </c>
      <c r="J16" s="23">
        <f>SUM(inicio:final!J179)</f>
        <v>410000</v>
      </c>
      <c r="K16" s="23">
        <f>SUM(inicio:final!K179)</f>
        <v>20095830</v>
      </c>
      <c r="L16" s="23">
        <f>SUM(inicio:final!L179)</f>
        <v>1168706</v>
      </c>
      <c r="M16" s="23">
        <f>SUM(inicio:final!M179)</f>
        <v>31694777</v>
      </c>
      <c r="N16" s="23">
        <f>SUM(inicio:final!N179)</f>
        <v>28365793</v>
      </c>
      <c r="O16" s="23">
        <f>SUM(inicio:final!O179)</f>
        <v>47318356.259000003</v>
      </c>
    </row>
    <row r="17" spans="1:15" ht="15.75" hidden="1" thickBot="1" x14ac:dyDescent="0.3">
      <c r="A17" s="21"/>
      <c r="B17" s="58" t="s">
        <v>30</v>
      </c>
      <c r="C17" s="56">
        <f>SUM(inicio:final!C180)</f>
        <v>25693</v>
      </c>
      <c r="D17" s="23">
        <f>SUM(inicio:final!D180)</f>
        <v>3807242</v>
      </c>
      <c r="E17" s="56">
        <f>SUM(inicio:final!E180)</f>
        <v>3107</v>
      </c>
      <c r="F17" s="23">
        <f>SUM(inicio:final!F180)</f>
        <v>2010331</v>
      </c>
      <c r="G17" s="23">
        <f>SUM(inicio:final!G180)</f>
        <v>992446</v>
      </c>
      <c r="H17" s="23">
        <f>SUM(inicio:final!H180)</f>
        <v>1631000</v>
      </c>
      <c r="I17" s="23">
        <f>SUM(inicio:final!I180)</f>
        <v>199819</v>
      </c>
      <c r="J17" s="23">
        <f>SUM(inicio:final!J180)</f>
        <v>410000</v>
      </c>
      <c r="K17" s="23">
        <f>SUM(inicio:final!K180)</f>
        <v>20172240</v>
      </c>
      <c r="L17" s="23">
        <f>SUM(inicio:final!L180)</f>
        <v>1011978</v>
      </c>
      <c r="M17" s="23">
        <f>SUM(inicio:final!M180)</f>
        <v>30325138</v>
      </c>
      <c r="N17" s="23">
        <f>SUM(inicio:final!N180)</f>
        <v>29535977</v>
      </c>
      <c r="O17" s="23">
        <f>SUM(inicio:final!O180)</f>
        <v>48021166.259000003</v>
      </c>
    </row>
    <row r="18" spans="1:15" ht="15.75" hidden="1" thickBot="1" x14ac:dyDescent="0.3">
      <c r="A18" s="21"/>
      <c r="B18" s="58" t="s">
        <v>31</v>
      </c>
      <c r="C18" s="56">
        <f>SUM(inicio:final!C181)</f>
        <v>26254</v>
      </c>
      <c r="D18" s="23">
        <f>SUM(inicio:final!D181)</f>
        <v>3833084</v>
      </c>
      <c r="E18" s="56">
        <f>SUM(inicio:final!E181)</f>
        <v>1683</v>
      </c>
      <c r="F18" s="23">
        <f>SUM(inicio:final!F181)</f>
        <v>945837</v>
      </c>
      <c r="G18" s="23">
        <f>SUM(inicio:final!G181)</f>
        <v>992446</v>
      </c>
      <c r="H18" s="23">
        <f>SUM(inicio:final!H181)</f>
        <v>1631000</v>
      </c>
      <c r="I18" s="23">
        <f>SUM(inicio:final!I181)</f>
        <v>0</v>
      </c>
      <c r="J18" s="23">
        <f>SUM(inicio:final!J181)</f>
        <v>410000</v>
      </c>
      <c r="K18" s="23">
        <f>SUM(inicio:final!K181)</f>
        <v>20172240</v>
      </c>
      <c r="L18" s="23">
        <f>SUM(inicio:final!L181)</f>
        <v>1119930</v>
      </c>
      <c r="M18" s="23">
        <f>SUM(inicio:final!M181)</f>
        <v>29191970</v>
      </c>
      <c r="N18" s="23">
        <f>SUM(inicio:final!N181)</f>
        <v>27326046</v>
      </c>
      <c r="O18" s="23">
        <f>SUM(inicio:final!O181)</f>
        <v>49980903.259000003</v>
      </c>
    </row>
    <row r="19" spans="1:15" ht="15.75" hidden="1" thickBot="1" x14ac:dyDescent="0.3">
      <c r="A19" s="21"/>
      <c r="B19" s="58" t="s">
        <v>32</v>
      </c>
      <c r="C19" s="56">
        <f>SUM(inicio:final!C182)</f>
        <v>24010</v>
      </c>
      <c r="D19" s="23">
        <f>SUM(inicio:final!D182)</f>
        <v>3505460</v>
      </c>
      <c r="E19" s="56">
        <f>SUM(inicio:final!E182)</f>
        <v>1256</v>
      </c>
      <c r="F19" s="23">
        <f>SUM(inicio:final!F182)</f>
        <v>702104</v>
      </c>
      <c r="G19" s="23">
        <f>SUM(inicio:final!G182)</f>
        <v>992446</v>
      </c>
      <c r="H19" s="23">
        <f>SUM(inicio:final!H182)</f>
        <v>1631000</v>
      </c>
      <c r="I19" s="23">
        <f>SUM(inicio:final!I182)</f>
        <v>24900</v>
      </c>
      <c r="J19" s="23">
        <f>SUM(inicio:final!J182)</f>
        <v>395000</v>
      </c>
      <c r="K19" s="23">
        <f>SUM(inicio:final!K182)</f>
        <v>20172240</v>
      </c>
      <c r="L19" s="23">
        <f>SUM(inicio:final!L182)</f>
        <v>957510</v>
      </c>
      <c r="M19" s="23">
        <f>SUM(inicio:final!M182)</f>
        <v>28467947</v>
      </c>
      <c r="N19" s="23">
        <f>SUM(inicio:final!N182)</f>
        <v>26930084</v>
      </c>
      <c r="O19" s="23">
        <f>SUM(inicio:final!O182)</f>
        <v>51435210.259000003</v>
      </c>
    </row>
    <row r="20" spans="1:15" ht="15.75" hidden="1" thickBot="1" x14ac:dyDescent="0.3">
      <c r="A20" s="21"/>
      <c r="B20" s="58" t="s">
        <v>33</v>
      </c>
      <c r="C20" s="56">
        <f>SUM(inicio:final!C183)</f>
        <v>27250</v>
      </c>
      <c r="D20" s="23">
        <f>SUM(inicio:final!D183)</f>
        <v>3978500</v>
      </c>
      <c r="E20" s="56">
        <f>SUM(inicio:final!E183)</f>
        <v>1608</v>
      </c>
      <c r="F20" s="23">
        <f>SUM(inicio:final!F183)</f>
        <v>898872</v>
      </c>
      <c r="G20" s="23">
        <f>SUM(inicio:final!G183)</f>
        <v>992446</v>
      </c>
      <c r="H20" s="23">
        <f>SUM(inicio:final!H183)</f>
        <v>1859573</v>
      </c>
      <c r="I20" s="23">
        <f>SUM(inicio:final!I183)</f>
        <v>0</v>
      </c>
      <c r="J20" s="23">
        <f>SUM(inicio:final!J183)</f>
        <v>380000</v>
      </c>
      <c r="K20" s="23">
        <f>SUM(inicio:final!K183)</f>
        <v>20172240</v>
      </c>
      <c r="L20" s="23">
        <f>SUM(inicio:final!L183)</f>
        <v>851328</v>
      </c>
      <c r="M20" s="23">
        <f>SUM(inicio:final!M183)</f>
        <v>29221373</v>
      </c>
      <c r="N20" s="23">
        <f>SUM(inicio:final!N183)</f>
        <v>28987633</v>
      </c>
      <c r="O20" s="23">
        <f>SUM(inicio:final!O183)</f>
        <v>51684230.259000003</v>
      </c>
    </row>
    <row r="21" spans="1:15" ht="15.75" hidden="1" thickBot="1" x14ac:dyDescent="0.3">
      <c r="A21" s="21"/>
      <c r="B21" s="58" t="s">
        <v>34</v>
      </c>
      <c r="C21" s="56">
        <f>SUM(inicio:final!C184)</f>
        <v>28531</v>
      </c>
      <c r="D21" s="23">
        <f>SUM(inicio:final!D184)</f>
        <v>4165526</v>
      </c>
      <c r="E21" s="56">
        <f>SUM(inicio:final!E184)</f>
        <v>2703</v>
      </c>
      <c r="F21" s="23">
        <f>SUM(inicio:final!F184)</f>
        <v>1512957</v>
      </c>
      <c r="G21" s="23">
        <f>SUM(inicio:final!G184)</f>
        <v>992446</v>
      </c>
      <c r="H21" s="23">
        <f>SUM(inicio:final!H184)</f>
        <v>1863301</v>
      </c>
      <c r="I21" s="23">
        <f>SUM(inicio:final!I184)</f>
        <v>15900</v>
      </c>
      <c r="J21" s="23">
        <f>SUM(inicio:final!J184)</f>
        <v>375000</v>
      </c>
      <c r="K21" s="23">
        <f>SUM(inicio:final!K184)</f>
        <v>20172240</v>
      </c>
      <c r="L21" s="23">
        <f>SUM(inicio:final!L184)</f>
        <v>1119594</v>
      </c>
      <c r="M21" s="23">
        <f>SUM(inicio:final!M184)</f>
        <v>30305394</v>
      </c>
      <c r="N21" s="23">
        <f>SUM(inicio:final!N184)</f>
        <v>30112530</v>
      </c>
      <c r="O21" s="23">
        <f>SUM(inicio:final!O184)</f>
        <v>51957094.259000003</v>
      </c>
    </row>
    <row r="22" spans="1:15" ht="15.75" hidden="1" thickBot="1" x14ac:dyDescent="0.3">
      <c r="A22" s="21"/>
      <c r="B22" s="58" t="s">
        <v>35</v>
      </c>
      <c r="C22" s="56">
        <f>SUM(inicio:final!C185)</f>
        <v>24481</v>
      </c>
      <c r="D22" s="23">
        <f>SUM(inicio:final!D185)</f>
        <v>3574226</v>
      </c>
      <c r="E22" s="56">
        <f>SUM(inicio:final!E185)</f>
        <v>3347</v>
      </c>
      <c r="F22" s="23">
        <f>SUM(inicio:final!F185)</f>
        <v>1989437</v>
      </c>
      <c r="G22" s="23">
        <f>SUM(inicio:final!G185)</f>
        <v>992446</v>
      </c>
      <c r="H22" s="23">
        <f>SUM(inicio:final!H185)</f>
        <v>1861670</v>
      </c>
      <c r="I22" s="23">
        <f>SUM(inicio:final!I185)</f>
        <v>123409</v>
      </c>
      <c r="J22" s="23">
        <f>SUM(inicio:final!J185)</f>
        <v>378333</v>
      </c>
      <c r="K22" s="23">
        <f>SUM(inicio:final!K185)</f>
        <v>20172240</v>
      </c>
      <c r="L22" s="23">
        <f>SUM(inicio:final!L185)</f>
        <v>1438290</v>
      </c>
      <c r="M22" s="23">
        <f>SUM(inicio:final!M185)</f>
        <v>30499074</v>
      </c>
      <c r="N22" s="23">
        <f>SUM(inicio:final!N185)</f>
        <v>30359868</v>
      </c>
      <c r="O22" s="23">
        <f>SUM(inicio:final!O185)</f>
        <v>52127227.259000003</v>
      </c>
    </row>
    <row r="23" spans="1:15" ht="15.75" hidden="1" thickBot="1" x14ac:dyDescent="0.3">
      <c r="A23" s="21"/>
      <c r="B23" s="58" t="s">
        <v>36</v>
      </c>
      <c r="C23" s="56">
        <f>SUM(inicio:final!C186)</f>
        <v>29747</v>
      </c>
      <c r="D23" s="23">
        <f>SUM(inicio:final!D186)</f>
        <v>4343062</v>
      </c>
      <c r="E23" s="56">
        <f>SUM(inicio:final!E186)</f>
        <v>7136</v>
      </c>
      <c r="F23" s="23">
        <f>SUM(inicio:final!F186)</f>
        <v>4028984</v>
      </c>
      <c r="G23" s="23">
        <f>SUM(inicio:final!G186)</f>
        <v>992446</v>
      </c>
      <c r="H23" s="23">
        <f>SUM(inicio:final!H186)</f>
        <v>1868427</v>
      </c>
      <c r="I23" s="23">
        <f>SUM(inicio:final!I186)</f>
        <v>0</v>
      </c>
      <c r="J23" s="23">
        <f>SUM(inicio:final!J186)</f>
        <v>375000</v>
      </c>
      <c r="K23" s="23">
        <f>SUM(inicio:final!K186)</f>
        <v>20172240</v>
      </c>
      <c r="L23" s="23">
        <f>SUM(inicio:final!L186)</f>
        <v>7059888</v>
      </c>
      <c r="M23" s="23">
        <f>SUM(inicio:final!M186)</f>
        <v>38813264</v>
      </c>
      <c r="N23" s="23">
        <f>SUM(inicio:final!N186)</f>
        <v>30306531</v>
      </c>
      <c r="O23" s="23">
        <f>SUM(inicio:final!O186)</f>
        <v>60660743.259000003</v>
      </c>
    </row>
    <row r="24" spans="1:15" ht="15.75" hidden="1" thickBot="1" x14ac:dyDescent="0.3">
      <c r="A24" s="21"/>
      <c r="B24" s="58" t="s">
        <v>37</v>
      </c>
      <c r="C24" s="56">
        <f>SUM(inicio:final!C187)</f>
        <v>30463</v>
      </c>
      <c r="D24" s="23">
        <f>SUM(inicio:final!D187)</f>
        <v>4447598</v>
      </c>
      <c r="E24" s="56">
        <f>SUM(inicio:final!E187)</f>
        <v>8618</v>
      </c>
      <c r="F24" s="23">
        <f>SUM(inicio:final!F187)</f>
        <v>4971722</v>
      </c>
      <c r="G24" s="23">
        <f>SUM(inicio:final!G187)</f>
        <v>992446</v>
      </c>
      <c r="H24" s="23">
        <f>SUM(inicio:final!H187)</f>
        <v>1873087</v>
      </c>
      <c r="I24" s="23">
        <f>SUM(inicio:final!I187)</f>
        <v>122464</v>
      </c>
      <c r="J24" s="23">
        <f>SUM(inicio:final!J187)</f>
        <v>365000</v>
      </c>
      <c r="K24" s="23">
        <f>SUM(inicio:final!K187)</f>
        <v>20172240</v>
      </c>
      <c r="L24" s="23">
        <f>SUM(inicio:final!L187)</f>
        <v>1483038</v>
      </c>
      <c r="M24" s="23">
        <f>SUM(inicio:final!M187)</f>
        <v>34400436</v>
      </c>
      <c r="N24" s="23">
        <f>SUM(inicio:final!N187)</f>
        <v>32146403</v>
      </c>
      <c r="O24" s="23">
        <f>SUM(inicio:final!O187)</f>
        <v>62941935.259000003</v>
      </c>
    </row>
    <row r="25" spans="1:15" ht="15.75" thickBot="1" x14ac:dyDescent="0.3">
      <c r="A25" s="21">
        <v>2018</v>
      </c>
      <c r="B25" s="22" t="s">
        <v>38</v>
      </c>
      <c r="C25" s="56">
        <f>SUM(inicio:final!C188)</f>
        <v>36405</v>
      </c>
      <c r="D25" s="23">
        <f>SUM(inicio:final!D188)</f>
        <v>5315130</v>
      </c>
      <c r="E25" s="56">
        <f>SUM(inicio:final!E188)</f>
        <v>9534</v>
      </c>
      <c r="F25" s="23">
        <f>SUM(inicio:final!F188)</f>
        <v>5425266</v>
      </c>
      <c r="G25" s="23">
        <f>SUM(inicio:final!G188)</f>
        <v>992446</v>
      </c>
      <c r="H25" s="23">
        <f>SUM(inicio:final!H188)</f>
        <v>1874951</v>
      </c>
      <c r="I25" s="23">
        <f>SUM(inicio:final!I188)</f>
        <v>122464</v>
      </c>
      <c r="J25" s="23">
        <f>SUM(inicio:final!J188)</f>
        <v>335000</v>
      </c>
      <c r="K25" s="23">
        <f>SUM(inicio:final!K188)</f>
        <v>20630016</v>
      </c>
      <c r="L25" s="23">
        <f>SUM(inicio:final!L188)</f>
        <v>1568419</v>
      </c>
      <c r="M25" s="23">
        <f>SUM(inicio:final!M188)</f>
        <v>36236139</v>
      </c>
      <c r="N25" s="23">
        <f>SUM(inicio:final!N188)</f>
        <v>34936052</v>
      </c>
      <c r="O25" s="23">
        <f>SUM(inicio:final!O188)</f>
        <v>64269575.259000003</v>
      </c>
    </row>
    <row r="26" spans="1:15" ht="15.75" thickBot="1" x14ac:dyDescent="0.3">
      <c r="A26" s="21"/>
      <c r="B26" s="22" t="s">
        <v>27</v>
      </c>
      <c r="C26" s="56">
        <f>SUM(inicio:final!C189)</f>
        <v>34691</v>
      </c>
      <c r="D26" s="23">
        <f>SUM(inicio:final!D189)</f>
        <v>5064886</v>
      </c>
      <c r="E26" s="56">
        <f>SUM(inicio:final!E189)</f>
        <v>7490</v>
      </c>
      <c r="F26" s="23">
        <f>SUM(inicio:final!F189)</f>
        <v>4230650</v>
      </c>
      <c r="G26" s="23">
        <f>SUM(inicio:final!G189)</f>
        <v>992446</v>
      </c>
      <c r="H26" s="23">
        <f>SUM(inicio:final!H189)</f>
        <v>1881941</v>
      </c>
      <c r="I26" s="23">
        <f>SUM(inicio:final!I189)</f>
        <v>29516</v>
      </c>
      <c r="J26" s="23">
        <f>SUM(inicio:final!J189)</f>
        <v>295893</v>
      </c>
      <c r="K26" s="23">
        <f>SUM(inicio:final!K189)</f>
        <v>20630016</v>
      </c>
      <c r="L26" s="23">
        <f>SUM(inicio:final!L189)</f>
        <v>1274686</v>
      </c>
      <c r="M26" s="23">
        <f>SUM(inicio:final!M189)</f>
        <v>34426241</v>
      </c>
      <c r="N26" s="23">
        <f>SUM(inicio:final!N189)</f>
        <v>34064204</v>
      </c>
      <c r="O26" s="23">
        <f>SUM(inicio:final!O189)</f>
        <v>65837837.259000003</v>
      </c>
    </row>
    <row r="27" spans="1:15" ht="15.75" thickBot="1" x14ac:dyDescent="0.3">
      <c r="A27" s="21"/>
      <c r="B27" s="22" t="s">
        <v>28</v>
      </c>
      <c r="C27" s="56">
        <f>SUM(inicio:final!C190)</f>
        <v>31074</v>
      </c>
      <c r="D27" s="23">
        <f>SUM(inicio:final!D190)</f>
        <v>4536804</v>
      </c>
      <c r="E27" s="56">
        <f>SUM(inicio:final!E190)</f>
        <v>7089</v>
      </c>
      <c r="F27" s="23">
        <f>SUM(inicio:final!F190)</f>
        <v>4379991</v>
      </c>
      <c r="G27" s="23">
        <f>SUM(inicio:final!G190)</f>
        <v>992446</v>
      </c>
      <c r="H27" s="23">
        <f>SUM(inicio:final!H190)</f>
        <v>1884970</v>
      </c>
      <c r="I27" s="23">
        <f>SUM(inicio:final!I190)</f>
        <v>0</v>
      </c>
      <c r="J27" s="23">
        <f>SUM(inicio:final!J190)</f>
        <v>313548</v>
      </c>
      <c r="K27" s="23">
        <f>SUM(inicio:final!K190)</f>
        <v>20630016</v>
      </c>
      <c r="L27" s="23">
        <f>SUM(inicio:final!L190)</f>
        <v>1556914</v>
      </c>
      <c r="M27" s="23">
        <f>SUM(inicio:final!M190)</f>
        <v>34320821</v>
      </c>
      <c r="N27" s="23">
        <f>SUM(inicio:final!N190)</f>
        <v>30838265</v>
      </c>
      <c r="O27" s="23">
        <f>SUM(inicio:final!O190)</f>
        <v>69294261.259000003</v>
      </c>
    </row>
    <row r="28" spans="1:15" ht="15.75" thickBot="1" x14ac:dyDescent="0.3">
      <c r="A28" s="21"/>
      <c r="B28" s="22" t="s">
        <v>29</v>
      </c>
      <c r="C28" s="56">
        <f>SUM(inicio:final!C191)</f>
        <v>29145</v>
      </c>
      <c r="D28" s="23">
        <f>SUM(inicio:final!D191)</f>
        <v>4255170</v>
      </c>
      <c r="E28" s="56">
        <f>SUM(inicio:final!E191)</f>
        <v>6386</v>
      </c>
      <c r="F28" s="23">
        <f>SUM(inicio:final!F191)</f>
        <v>3609374</v>
      </c>
      <c r="G28" s="23">
        <f>SUM(inicio:final!G191)</f>
        <v>992446</v>
      </c>
      <c r="H28" s="23">
        <f>SUM(inicio:final!H191)</f>
        <v>1879432</v>
      </c>
      <c r="I28" s="23">
        <f>SUM(inicio:final!I191)</f>
        <v>0</v>
      </c>
      <c r="J28" s="23">
        <f>SUM(inicio:final!J191)</f>
        <v>320000</v>
      </c>
      <c r="K28" s="23">
        <f>SUM(inicio:final!K191)</f>
        <v>20630016</v>
      </c>
      <c r="L28" s="23">
        <f>SUM(inicio:final!L191)</f>
        <v>1615216</v>
      </c>
      <c r="M28" s="23">
        <f>SUM(inicio:final!M191)</f>
        <v>33327638</v>
      </c>
      <c r="N28" s="23">
        <f>SUM(inicio:final!N191)</f>
        <v>35036834</v>
      </c>
      <c r="O28" s="23">
        <f>SUM(inicio:final!O191)</f>
        <v>67559081.259000003</v>
      </c>
    </row>
    <row r="29" spans="1:15" ht="15.75" thickBot="1" x14ac:dyDescent="0.3">
      <c r="A29" s="21"/>
      <c r="B29" s="22" t="s">
        <v>30</v>
      </c>
      <c r="C29" s="56">
        <f>SUM(inicio:final!C192)</f>
        <v>30399</v>
      </c>
      <c r="D29" s="23">
        <f>SUM(inicio:final!D192)</f>
        <v>4438254</v>
      </c>
      <c r="E29" s="56">
        <f>SUM(inicio:final!E192)</f>
        <v>5506</v>
      </c>
      <c r="F29" s="23">
        <f>SUM(inicio:final!F192)</f>
        <v>3097474</v>
      </c>
      <c r="G29" s="23">
        <f>SUM(inicio:final!G192)</f>
        <v>992446</v>
      </c>
      <c r="H29" s="23">
        <f>SUM(inicio:final!H192)</f>
        <v>1884536</v>
      </c>
      <c r="I29" s="23">
        <f>SUM(inicio:final!I192)</f>
        <v>66666</v>
      </c>
      <c r="J29" s="23">
        <f>SUM(inicio:final!J192)</f>
        <v>320000</v>
      </c>
      <c r="K29" s="23">
        <f>SUM(inicio:final!K192)</f>
        <v>20630016</v>
      </c>
      <c r="L29" s="23">
        <f>SUM(inicio:final!L192)</f>
        <v>1466586</v>
      </c>
      <c r="M29" s="23">
        <f>SUM(inicio:final!M192)</f>
        <v>32921801</v>
      </c>
      <c r="N29" s="23">
        <f>SUM(inicio:final!N192)</f>
        <v>31373890</v>
      </c>
      <c r="O29" s="23">
        <f>SUM(inicio:final!O192)</f>
        <v>69081169.259000003</v>
      </c>
    </row>
    <row r="30" spans="1:15" ht="15.75" thickBot="1" x14ac:dyDescent="0.3">
      <c r="A30" s="21"/>
      <c r="B30" s="22" t="s">
        <v>31</v>
      </c>
      <c r="C30" s="56">
        <f>SUM(inicio:final!C193)</f>
        <v>24396</v>
      </c>
      <c r="D30" s="23">
        <f>SUM(inicio:final!D193)</f>
        <v>3561816</v>
      </c>
      <c r="E30" s="56">
        <f>SUM(inicio:final!E193)</f>
        <v>1797</v>
      </c>
      <c r="F30" s="23">
        <f>SUM(inicio:final!F193)</f>
        <v>1036202</v>
      </c>
      <c r="G30" s="23">
        <f>SUM(inicio:final!G193)</f>
        <v>992446</v>
      </c>
      <c r="H30" s="23">
        <f>SUM(inicio:final!H193)</f>
        <v>1890336</v>
      </c>
      <c r="I30" s="23">
        <f>SUM(inicio:final!I193)</f>
        <v>0</v>
      </c>
      <c r="J30" s="23">
        <f>SUM(inicio:final!J193)</f>
        <v>211167</v>
      </c>
      <c r="K30" s="23">
        <f>SUM(inicio:final!K193)</f>
        <v>20630016</v>
      </c>
      <c r="L30" s="23">
        <f>SUM(inicio:final!L193)</f>
        <v>1360125</v>
      </c>
      <c r="M30" s="23">
        <f>SUM(inicio:final!M193)</f>
        <v>29707844</v>
      </c>
      <c r="N30" s="23">
        <f>SUM(inicio:final!N193)</f>
        <v>38524116</v>
      </c>
      <c r="O30" s="23">
        <f>SUM(inicio:final!O193)</f>
        <v>60293566.259000003</v>
      </c>
    </row>
    <row r="31" spans="1:15" ht="15.75" thickBot="1" x14ac:dyDescent="0.3">
      <c r="A31" s="21"/>
      <c r="B31" s="22" t="s">
        <v>32</v>
      </c>
      <c r="C31" s="56">
        <f>SUM(inicio:final!C194)</f>
        <v>25753</v>
      </c>
      <c r="D31" s="23">
        <f>SUM(inicio:final!D194)</f>
        <v>3759938</v>
      </c>
      <c r="E31" s="56">
        <f>SUM(inicio:final!E194)</f>
        <v>1237</v>
      </c>
      <c r="F31" s="23">
        <f>SUM(inicio:final!F194)</f>
        <v>691483</v>
      </c>
      <c r="G31" s="23">
        <f>SUM(inicio:final!G194)</f>
        <v>992446</v>
      </c>
      <c r="H31" s="23">
        <f>SUM(inicio:final!H194)</f>
        <v>1893352</v>
      </c>
      <c r="I31" s="23">
        <f>SUM(inicio:final!I194)</f>
        <v>0</v>
      </c>
      <c r="J31" s="23">
        <f>SUM(inicio:final!J194)</f>
        <v>55000</v>
      </c>
      <c r="K31" s="23">
        <f>SUM(inicio:final!K194)</f>
        <v>20630016</v>
      </c>
      <c r="L31" s="23">
        <f>SUM(inicio:final!L194)</f>
        <v>1146075</v>
      </c>
      <c r="M31" s="23">
        <f>SUM(inicio:final!M194)</f>
        <v>29248451</v>
      </c>
      <c r="N31" s="23">
        <f>SUM(inicio:final!N194)</f>
        <v>24531274</v>
      </c>
      <c r="O31" s="23">
        <f>SUM(inicio:final!O194)</f>
        <v>64985177.259000003</v>
      </c>
    </row>
    <row r="32" spans="1:15" ht="15.75" thickBot="1" x14ac:dyDescent="0.3">
      <c r="A32" s="21"/>
      <c r="B32" s="22" t="s">
        <v>33</v>
      </c>
      <c r="C32" s="56">
        <f>SUM(inicio:final!C195)</f>
        <v>27729</v>
      </c>
      <c r="D32" s="23">
        <f>SUM(inicio:final!D195)</f>
        <v>4048434</v>
      </c>
      <c r="E32" s="56">
        <f>SUM(inicio:final!E195)</f>
        <v>1527</v>
      </c>
      <c r="F32" s="23">
        <f>SUM(inicio:final!F195)</f>
        <v>853593</v>
      </c>
      <c r="G32" s="23">
        <f>SUM(inicio:final!G195)</f>
        <v>992446</v>
      </c>
      <c r="H32" s="23">
        <f>SUM(inicio:final!H195)</f>
        <v>1899152</v>
      </c>
      <c r="I32" s="23">
        <f>SUM(inicio:final!I195)</f>
        <v>0</v>
      </c>
      <c r="J32" s="23">
        <f>SUM(inicio:final!J195)</f>
        <v>44032</v>
      </c>
      <c r="K32" s="23">
        <f>SUM(inicio:final!K195)</f>
        <v>20630016</v>
      </c>
      <c r="L32" s="23">
        <f>SUM(inicio:final!L195)</f>
        <v>1149015</v>
      </c>
      <c r="M32" s="23">
        <f>SUM(inicio:final!M195)</f>
        <v>29696829</v>
      </c>
      <c r="N32" s="23">
        <f>SUM(inicio:final!N195)</f>
        <v>32623330</v>
      </c>
      <c r="O32" s="23">
        <f>SUM(inicio:final!O195)</f>
        <v>62116250.259000003</v>
      </c>
    </row>
    <row r="33" spans="1:15" ht="15.75" thickBot="1" x14ac:dyDescent="0.3">
      <c r="A33" s="21"/>
      <c r="B33" s="22" t="s">
        <v>34</v>
      </c>
      <c r="C33" s="56">
        <f>SUM(inicio:final!C196)</f>
        <v>25651</v>
      </c>
      <c r="D33" s="23">
        <f>SUM(inicio:final!D196)</f>
        <v>3745046</v>
      </c>
      <c r="E33" s="56">
        <f>SUM(inicio:final!E196)</f>
        <v>2686</v>
      </c>
      <c r="F33" s="23">
        <f>SUM(inicio:final!F196)</f>
        <v>1524153</v>
      </c>
      <c r="G33" s="23">
        <f>SUM(inicio:final!G196)</f>
        <v>992446</v>
      </c>
      <c r="H33" s="23">
        <f>SUM(inicio:final!H196)</f>
        <v>1904024</v>
      </c>
      <c r="I33" s="23">
        <f>SUM(inicio:final!I196)</f>
        <v>0</v>
      </c>
      <c r="J33" s="23">
        <f>SUM(inicio:final!J196)</f>
        <v>40000</v>
      </c>
      <c r="K33" s="23">
        <f>SUM(inicio:final!K196)</f>
        <v>20630016</v>
      </c>
      <c r="L33" s="23">
        <f>SUM(inicio:final!L196)</f>
        <v>1754720</v>
      </c>
      <c r="M33" s="23">
        <f>SUM(inicio:final!M196)</f>
        <v>30670546</v>
      </c>
      <c r="N33" s="23">
        <f>SUM(inicio:final!N196)</f>
        <v>25989010</v>
      </c>
      <c r="O33" s="23">
        <f>SUM(inicio:final!O196)</f>
        <v>66772509.259000003</v>
      </c>
    </row>
    <row r="34" spans="1:15" ht="15.75" thickBot="1" x14ac:dyDescent="0.3">
      <c r="A34" s="21"/>
      <c r="B34" s="22" t="s">
        <v>35</v>
      </c>
      <c r="C34" s="56">
        <f>SUM(inicio:final!C197)</f>
        <v>25391</v>
      </c>
      <c r="D34" s="23">
        <f>SUM(inicio:final!D197)</f>
        <v>3707086</v>
      </c>
      <c r="E34" s="56">
        <f>SUM(inicio:final!E197)</f>
        <v>3968</v>
      </c>
      <c r="F34" s="23">
        <f>SUM(inicio:final!F197)</f>
        <v>2316212</v>
      </c>
      <c r="G34" s="23">
        <f>SUM(inicio:final!G197)</f>
        <v>992446</v>
      </c>
      <c r="H34" s="23">
        <f>SUM(inicio:final!H197)</f>
        <v>1909360</v>
      </c>
      <c r="I34" s="23">
        <f>SUM(inicio:final!I197)</f>
        <v>0</v>
      </c>
      <c r="J34" s="23">
        <f>SUM(inicio:final!J197)</f>
        <v>40000</v>
      </c>
      <c r="K34" s="23">
        <f>SUM(inicio:final!K197)</f>
        <v>20630016</v>
      </c>
      <c r="L34" s="23">
        <f>SUM(inicio:final!L197)</f>
        <v>1982376</v>
      </c>
      <c r="M34" s="23">
        <f>SUM(inicio:final!M197)</f>
        <v>31657637</v>
      </c>
      <c r="N34" s="23">
        <f>SUM(inicio:final!N197)</f>
        <v>31664197</v>
      </c>
      <c r="O34" s="23">
        <f>SUM(inicio:final!O197)</f>
        <v>66685808.259000003</v>
      </c>
    </row>
    <row r="35" spans="1:15" ht="15.75" thickBot="1" x14ac:dyDescent="0.3">
      <c r="A35" s="21"/>
      <c r="B35" s="22" t="s">
        <v>36</v>
      </c>
      <c r="C35" s="56">
        <f>SUM(inicio:final!C198)</f>
        <v>28640</v>
      </c>
      <c r="D35" s="23">
        <f>SUM(inicio:final!D198)</f>
        <v>4181440</v>
      </c>
      <c r="E35" s="56">
        <f>SUM(inicio:final!E198)</f>
        <v>6667</v>
      </c>
      <c r="F35" s="23">
        <f>SUM(inicio:final!F198)</f>
        <v>3939793</v>
      </c>
      <c r="G35" s="23">
        <f>SUM(inicio:final!G198)</f>
        <v>992446</v>
      </c>
      <c r="H35" s="23">
        <f>SUM(inicio:final!H198)</f>
        <v>1916320</v>
      </c>
      <c r="I35" s="23">
        <f>SUM(inicio:final!I198)</f>
        <v>590240</v>
      </c>
      <c r="J35" s="23">
        <f>SUM(inicio:final!J198)</f>
        <v>40000</v>
      </c>
      <c r="K35" s="23">
        <f>SUM(inicio:final!K198)</f>
        <v>20630016</v>
      </c>
      <c r="L35" s="23">
        <f>SUM(inicio:final!L198)</f>
        <v>2260412</v>
      </c>
      <c r="M35" s="23">
        <f>SUM(inicio:final!M198)</f>
        <v>34611768</v>
      </c>
      <c r="N35" s="23">
        <f>SUM(inicio:final!N198)</f>
        <v>33892532</v>
      </c>
      <c r="O35" s="23">
        <f>SUM(inicio:final!O198)</f>
        <v>67824903.259000003</v>
      </c>
    </row>
    <row r="36" spans="1:15" ht="15.75" thickBot="1" x14ac:dyDescent="0.3">
      <c r="A36" s="21"/>
      <c r="B36" s="22" t="s">
        <v>37</v>
      </c>
      <c r="C36" s="56">
        <f>SUM(inicio:final!C199)</f>
        <v>29946</v>
      </c>
      <c r="D36" s="23">
        <f>SUM(inicio:final!D199)</f>
        <v>4372467</v>
      </c>
      <c r="E36" s="56">
        <f>SUM(inicio:final!E199)</f>
        <v>7053</v>
      </c>
      <c r="F36" s="23">
        <f>SUM(inicio:final!F199)</f>
        <v>3947487</v>
      </c>
      <c r="G36" s="23">
        <f>SUM(inicio:final!G199)</f>
        <v>992446</v>
      </c>
      <c r="H36" s="23">
        <f>SUM(inicio:final!H199)</f>
        <v>1918640</v>
      </c>
      <c r="I36" s="23">
        <f>SUM(inicio:final!I199)</f>
        <v>172120</v>
      </c>
      <c r="J36" s="23">
        <f>SUM(inicio:final!J199)</f>
        <v>40000</v>
      </c>
      <c r="K36" s="23">
        <f>SUM(inicio:final!K199)</f>
        <v>20630016</v>
      </c>
      <c r="L36" s="23">
        <f>SUM(inicio:final!L199)</f>
        <v>2893023</v>
      </c>
      <c r="M36" s="23">
        <f>SUM(inicio:final!M199)</f>
        <v>35101432</v>
      </c>
      <c r="N36" s="23">
        <f>SUM(inicio:final!N199)</f>
        <v>36275638</v>
      </c>
      <c r="O36" s="23">
        <f>SUM(inicio:final!O199)</f>
        <v>68720921.259000003</v>
      </c>
    </row>
    <row r="37" spans="1:15" ht="15.75" thickBot="1" x14ac:dyDescent="0.3">
      <c r="A37" s="54">
        <v>2019</v>
      </c>
      <c r="B37" s="62" t="s">
        <v>38</v>
      </c>
      <c r="C37" s="63">
        <f>SUM(inicio:final!C200)</f>
        <v>35190</v>
      </c>
      <c r="D37" s="64">
        <f>SUM(inicio:final!D200)</f>
        <v>5137740</v>
      </c>
      <c r="E37" s="63">
        <f>SUM(inicio:final!E200)</f>
        <v>7858</v>
      </c>
      <c r="F37" s="64">
        <f>SUM(inicio:final!F200)</f>
        <v>4564882</v>
      </c>
      <c r="G37" s="64">
        <f>SUM(inicio:final!G200)</f>
        <v>1018248</v>
      </c>
      <c r="H37" s="64">
        <f>SUM(inicio:final!H200)</f>
        <v>1917248</v>
      </c>
      <c r="I37" s="64">
        <f>SUM(inicio:final!I200)</f>
        <v>57500</v>
      </c>
      <c r="J37" s="64">
        <f>SUM(inicio:final!J200)</f>
        <v>40000</v>
      </c>
      <c r="K37" s="64">
        <f>SUM(inicio:final!K200)</f>
        <v>21167004</v>
      </c>
      <c r="L37" s="64">
        <f>SUM(inicio:final!L200)</f>
        <v>2314064</v>
      </c>
      <c r="M37" s="64">
        <f>SUM(inicio:final!M200)</f>
        <v>36446420</v>
      </c>
      <c r="N37" s="64">
        <f>SUM(inicio:final!N200)</f>
        <v>33941781</v>
      </c>
      <c r="O37" s="64">
        <f>SUM(inicio:final!O200)</f>
        <v>86606375.259000003</v>
      </c>
    </row>
    <row r="38" spans="1:15" ht="15.75" thickBot="1" x14ac:dyDescent="0.3">
      <c r="A38" s="21"/>
      <c r="B38" s="22" t="s">
        <v>27</v>
      </c>
      <c r="C38" s="66">
        <f>SUM(inicio:final!C201)</f>
        <v>39271</v>
      </c>
      <c r="D38" s="67">
        <f>SUM(inicio:final!D201)</f>
        <v>5674134</v>
      </c>
      <c r="E38" s="66">
        <f>SUM(inicio:final!E201)</f>
        <v>7528</v>
      </c>
      <c r="F38" s="67">
        <f>SUM(inicio:final!F201)</f>
        <v>4217512</v>
      </c>
      <c r="G38" s="67">
        <f>SUM(inicio:final!G201)</f>
        <v>1018248</v>
      </c>
      <c r="H38" s="67">
        <f>SUM(inicio:final!H201)</f>
        <v>1917944</v>
      </c>
      <c r="I38" s="67">
        <f>SUM(inicio:final!I201)</f>
        <v>172500</v>
      </c>
      <c r="J38" s="67">
        <f>SUM(inicio:final!J201)</f>
        <v>40000</v>
      </c>
      <c r="K38" s="67">
        <f>SUM(inicio:final!K201)</f>
        <v>21166464</v>
      </c>
      <c r="L38" s="67">
        <f>SUM(inicio:final!L201)</f>
        <v>2204560</v>
      </c>
      <c r="M38" s="67">
        <f>SUM(inicio:final!M201)</f>
        <v>36411362</v>
      </c>
      <c r="N38" s="67">
        <f>SUM(inicio:final!N201)</f>
        <v>35254344</v>
      </c>
      <c r="O38" s="67">
        <f>SUM(inicio:final!O201)</f>
        <v>65971172.259000003</v>
      </c>
    </row>
    <row r="39" spans="1:15" ht="15.75" thickBot="1" x14ac:dyDescent="0.3">
      <c r="A39" s="21"/>
      <c r="B39" s="22" t="s">
        <v>28</v>
      </c>
      <c r="C39" s="66">
        <f>SUM(inicio:final!C202)</f>
        <v>32955</v>
      </c>
      <c r="D39" s="67">
        <f>SUM(inicio:final!D202)</f>
        <v>4752228</v>
      </c>
      <c r="E39" s="66">
        <f>SUM(inicio:final!E202)</f>
        <v>6639.75</v>
      </c>
      <c r="F39" s="67">
        <f>SUM(inicio:final!F202)</f>
        <v>3886220.25</v>
      </c>
      <c r="G39" s="67">
        <f>SUM(inicio:final!G202)</f>
        <v>1017136.6451612903</v>
      </c>
      <c r="H39" s="67">
        <f>SUM(inicio:final!H202)</f>
        <v>1916239.0322580645</v>
      </c>
      <c r="I39" s="67">
        <f>SUM(inicio:final!I202)</f>
        <v>0</v>
      </c>
      <c r="J39" s="67">
        <f>SUM(inicio:final!J202)</f>
        <v>40000</v>
      </c>
      <c r="K39" s="67">
        <f>SUM(inicio:final!K202)</f>
        <v>21143187.096774194</v>
      </c>
      <c r="L39" s="67">
        <f>SUM(inicio:final!L202)</f>
        <v>2343097</v>
      </c>
      <c r="M39" s="67">
        <f>SUM(inicio:final!M202)</f>
        <v>35098108.024193548</v>
      </c>
      <c r="N39" s="67">
        <f>SUM(inicio:final!N202)</f>
        <v>32616274</v>
      </c>
      <c r="O39" s="67">
        <f>SUM(inicio:final!O202)</f>
        <v>68453006.283193558</v>
      </c>
    </row>
    <row r="40" spans="1:15" ht="15.75" thickBot="1" x14ac:dyDescent="0.3">
      <c r="A40" s="21"/>
      <c r="B40" s="22" t="s">
        <v>29</v>
      </c>
      <c r="C40" s="66">
        <f>SUM(inicio:final!C203)</f>
        <v>30397</v>
      </c>
      <c r="D40" s="67">
        <f>SUM(inicio:final!D203)</f>
        <v>4374850</v>
      </c>
      <c r="E40" s="66">
        <f>SUM(inicio:final!E203)</f>
        <v>6549</v>
      </c>
      <c r="F40" s="67">
        <f>SUM(inicio:final!F203)</f>
        <v>3355856</v>
      </c>
      <c r="G40" s="67">
        <f>SUM(inicio:final!G203)</f>
        <v>1018248</v>
      </c>
      <c r="H40" s="67">
        <f>SUM(inicio:final!H203)</f>
        <v>1925368</v>
      </c>
      <c r="I40" s="67">
        <f>SUM(inicio:final!I203)</f>
        <v>115000</v>
      </c>
      <c r="J40" s="67">
        <f>SUM(inicio:final!J203)</f>
        <v>40000</v>
      </c>
      <c r="K40" s="67">
        <f>SUM(inicio:final!K203)</f>
        <v>21166464</v>
      </c>
      <c r="L40" s="67">
        <f>SUM(inicio:final!L203)</f>
        <v>1161804</v>
      </c>
      <c r="M40" s="67">
        <f>SUM(inicio:final!M203)</f>
        <v>33157590</v>
      </c>
      <c r="N40" s="67">
        <f>SUM(inicio:final!N203)</f>
        <v>32457495</v>
      </c>
      <c r="O40" s="67">
        <f>SUM(inicio:final!O203)</f>
        <v>69153101.283193558</v>
      </c>
    </row>
    <row r="41" spans="1:15" ht="15.75" thickBot="1" x14ac:dyDescent="0.3">
      <c r="A41" s="21"/>
      <c r="B41" s="22" t="s">
        <v>30</v>
      </c>
      <c r="C41" s="66">
        <f>SUM(inicio:final!C204)</f>
        <v>31655</v>
      </c>
      <c r="D41" s="67">
        <f>SUM(inicio:final!D204)</f>
        <v>4588694</v>
      </c>
      <c r="E41" s="66">
        <f>SUM(inicio:final!E204)</f>
        <v>4768</v>
      </c>
      <c r="F41" s="67">
        <f>SUM(inicio:final!F204)</f>
        <v>2685832</v>
      </c>
      <c r="G41" s="67">
        <f>SUM(inicio:final!G204)</f>
        <v>1022076</v>
      </c>
      <c r="H41" s="67">
        <f>SUM(inicio:final!H204)</f>
        <v>1940657</v>
      </c>
      <c r="I41" s="67">
        <f>SUM(inicio:final!I204)</f>
        <v>112778</v>
      </c>
      <c r="J41" s="67">
        <f>SUM(inicio:final!J204)</f>
        <v>40000</v>
      </c>
      <c r="K41" s="67">
        <f>SUM(inicio:final!K204)</f>
        <v>21246640</v>
      </c>
      <c r="L41" s="67">
        <f>SUM(inicio:final!L204)</f>
        <v>0</v>
      </c>
      <c r="M41" s="67">
        <f>SUM(inicio:final!M204)</f>
        <v>31636677</v>
      </c>
      <c r="N41" s="67">
        <f>SUM(inicio:final!N204)</f>
        <v>4167286</v>
      </c>
      <c r="O41" s="67">
        <f>SUM(inicio:final!O204)</f>
        <v>96622492.283193544</v>
      </c>
    </row>
    <row r="42" spans="1:15" ht="15.75" thickBot="1" x14ac:dyDescent="0.3">
      <c r="A42" s="21"/>
      <c r="B42" s="22" t="s">
        <v>31</v>
      </c>
      <c r="C42" s="56"/>
      <c r="D42" s="23"/>
      <c r="E42" s="56"/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5" ht="15.75" thickBot="1" x14ac:dyDescent="0.3">
      <c r="A43" s="21"/>
      <c r="B43" s="22" t="s">
        <v>32</v>
      </c>
      <c r="C43" s="56"/>
      <c r="D43" s="23"/>
      <c r="E43" s="56"/>
      <c r="F43" s="23"/>
      <c r="G43" s="23"/>
      <c r="H43" s="23"/>
      <c r="I43" s="23"/>
      <c r="J43" s="23"/>
      <c r="K43" s="23"/>
      <c r="L43" s="23"/>
      <c r="M43" s="23"/>
      <c r="N43" s="23"/>
      <c r="O43" s="23"/>
    </row>
    <row r="44" spans="1:15" ht="15.75" thickBot="1" x14ac:dyDescent="0.3">
      <c r="A44" s="21"/>
      <c r="B44" s="22" t="s">
        <v>33</v>
      </c>
      <c r="C44" s="56"/>
      <c r="D44" s="23"/>
      <c r="E44" s="56"/>
      <c r="F44" s="23"/>
      <c r="G44" s="23"/>
      <c r="H44" s="23"/>
      <c r="I44" s="23"/>
      <c r="J44" s="23"/>
      <c r="K44" s="23"/>
      <c r="L44" s="23"/>
      <c r="M44" s="23"/>
      <c r="N44" s="23"/>
      <c r="O44" s="23"/>
    </row>
    <row r="45" spans="1:15" ht="15.75" thickBot="1" x14ac:dyDescent="0.3">
      <c r="A45" s="21"/>
      <c r="B45" s="22" t="s">
        <v>34</v>
      </c>
      <c r="C45" s="56"/>
      <c r="D45" s="23"/>
      <c r="E45" s="56"/>
      <c r="F45" s="23"/>
      <c r="G45" s="23"/>
      <c r="H45" s="23"/>
      <c r="I45" s="23"/>
      <c r="J45" s="23"/>
      <c r="K45" s="23"/>
      <c r="L45" s="23"/>
      <c r="M45" s="23"/>
      <c r="N45" s="23"/>
      <c r="O45" s="23"/>
    </row>
    <row r="46" spans="1:15" ht="15.75" thickBot="1" x14ac:dyDescent="0.3">
      <c r="A46" s="21"/>
      <c r="B46" s="22" t="s">
        <v>35</v>
      </c>
      <c r="C46" s="56"/>
      <c r="D46" s="23"/>
      <c r="E46" s="56"/>
      <c r="F46" s="23"/>
      <c r="G46" s="23"/>
      <c r="H46" s="23"/>
      <c r="I46" s="23"/>
      <c r="J46" s="23"/>
      <c r="K46" s="23"/>
      <c r="L46" s="23"/>
      <c r="M46" s="23"/>
      <c r="N46" s="23"/>
      <c r="O46" s="23"/>
    </row>
    <row r="47" spans="1:15" ht="15.75" thickBot="1" x14ac:dyDescent="0.3">
      <c r="A47" s="21"/>
      <c r="B47" s="22" t="s">
        <v>36</v>
      </c>
      <c r="C47" s="56"/>
      <c r="D47" s="23"/>
      <c r="E47" s="56"/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ht="15.75" thickBot="1" x14ac:dyDescent="0.3">
      <c r="A48" s="21"/>
      <c r="B48" s="22" t="s">
        <v>37</v>
      </c>
      <c r="C48" s="56"/>
      <c r="D48" s="23"/>
      <c r="E48" s="56"/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1:15" x14ac:dyDescent="0.25">
      <c r="A49" s="21"/>
      <c r="B49" s="51"/>
      <c r="C49" s="61"/>
      <c r="D49" s="53"/>
      <c r="E49" s="61"/>
      <c r="F49" s="53"/>
      <c r="G49" s="53"/>
      <c r="H49" s="53"/>
      <c r="I49" s="53"/>
      <c r="J49" s="53"/>
      <c r="K49" s="53"/>
      <c r="L49" s="53"/>
      <c r="M49" s="53"/>
      <c r="N49" s="53"/>
      <c r="O49" s="53"/>
    </row>
    <row r="50" spans="1:15" x14ac:dyDescent="0.25">
      <c r="A50" s="21"/>
      <c r="B50" s="54" t="s">
        <v>122</v>
      </c>
      <c r="C50" s="55">
        <f>SUM(C13:C37)</f>
        <v>720770</v>
      </c>
      <c r="D50" s="55">
        <f t="shared" ref="D50:O50" si="0">SUM(D13:D37)</f>
        <v>105259680</v>
      </c>
      <c r="E50" s="55">
        <f t="shared" si="0"/>
        <v>130275</v>
      </c>
      <c r="F50" s="55">
        <f t="shared" si="0"/>
        <v>74204196</v>
      </c>
      <c r="G50" s="55">
        <f t="shared" si="0"/>
        <v>24493700</v>
      </c>
      <c r="H50" s="55">
        <f t="shared" si="0"/>
        <v>45124320</v>
      </c>
      <c r="I50" s="55">
        <f t="shared" si="0"/>
        <v>1524998</v>
      </c>
      <c r="J50" s="55">
        <f t="shared" si="0"/>
        <v>6711640</v>
      </c>
      <c r="K50" s="55">
        <f t="shared" si="0"/>
        <v>503838751</v>
      </c>
      <c r="L50" s="55">
        <f t="shared" si="0"/>
        <v>42019962</v>
      </c>
      <c r="M50" s="55">
        <f t="shared" si="0"/>
        <v>816006637</v>
      </c>
      <c r="N50" s="55">
        <f t="shared" si="0"/>
        <v>789040520</v>
      </c>
      <c r="O50" s="55">
        <f t="shared" si="0"/>
        <v>1468646290.7050009</v>
      </c>
    </row>
    <row r="51" spans="1:15" x14ac:dyDescent="0.25">
      <c r="A51" s="21"/>
      <c r="B51" s="51"/>
      <c r="C51" s="52"/>
      <c r="D51" s="53"/>
      <c r="E51" s="52"/>
      <c r="F51" s="53"/>
      <c r="G51" s="53"/>
      <c r="H51" s="53"/>
      <c r="I51" s="53"/>
      <c r="J51" s="53"/>
      <c r="K51" s="53"/>
      <c r="L51" s="53"/>
      <c r="M51" s="53"/>
      <c r="N51" s="53"/>
      <c r="O51" s="53"/>
    </row>
    <row r="52" spans="1:15" x14ac:dyDescent="0.25">
      <c r="A52" s="21"/>
      <c r="B52" s="51"/>
      <c r="C52" s="52"/>
      <c r="D52" s="53"/>
      <c r="E52" s="52"/>
      <c r="F52" s="53"/>
      <c r="G52" s="53"/>
      <c r="H52" s="53"/>
      <c r="I52" s="53"/>
      <c r="J52" s="53"/>
      <c r="K52" s="53"/>
      <c r="L52" s="53"/>
      <c r="M52" s="53"/>
      <c r="N52" s="53"/>
      <c r="O52" s="53"/>
    </row>
    <row r="53" spans="1:15" hidden="1" x14ac:dyDescent="0.25"/>
    <row r="54" spans="1:15" ht="15.75" hidden="1" thickBot="1" x14ac:dyDescent="0.3"/>
    <row r="55" spans="1:15" ht="15.75" hidden="1" thickBot="1" x14ac:dyDescent="0.3">
      <c r="B55" s="60">
        <v>2017</v>
      </c>
      <c r="C55" s="59" t="s">
        <v>48</v>
      </c>
      <c r="D55" s="59" t="s">
        <v>47</v>
      </c>
    </row>
    <row r="56" spans="1:15" ht="15.75" hidden="1" thickBot="1" x14ac:dyDescent="0.3">
      <c r="B56" s="59" t="s">
        <v>38</v>
      </c>
      <c r="C56" s="36">
        <f t="shared" ref="C56:C67" si="1">M13</f>
        <v>35999321</v>
      </c>
      <c r="D56" s="36">
        <f t="shared" ref="D56:D67" si="2">N13</f>
        <v>31951782</v>
      </c>
    </row>
    <row r="57" spans="1:15" ht="15.75" hidden="1" thickBot="1" x14ac:dyDescent="0.3">
      <c r="B57" s="59" t="s">
        <v>27</v>
      </c>
      <c r="C57" s="36">
        <f t="shared" si="1"/>
        <v>34293392</v>
      </c>
      <c r="D57" s="36">
        <f t="shared" si="2"/>
        <v>33504088</v>
      </c>
    </row>
    <row r="58" spans="1:15" ht="15.75" hidden="1" thickBot="1" x14ac:dyDescent="0.3">
      <c r="B58" s="59" t="s">
        <v>28</v>
      </c>
      <c r="C58" s="36">
        <f t="shared" si="1"/>
        <v>34420984</v>
      </c>
      <c r="D58" s="36">
        <f t="shared" si="2"/>
        <v>35822662</v>
      </c>
    </row>
    <row r="59" spans="1:15" ht="15.75" hidden="1" thickBot="1" x14ac:dyDescent="0.3">
      <c r="B59" s="59" t="s">
        <v>29</v>
      </c>
      <c r="C59" s="36">
        <f t="shared" si="1"/>
        <v>31694777</v>
      </c>
      <c r="D59" s="36">
        <f t="shared" si="2"/>
        <v>28365793</v>
      </c>
    </row>
    <row r="60" spans="1:15" ht="15.75" hidden="1" thickBot="1" x14ac:dyDescent="0.3">
      <c r="B60" s="59" t="s">
        <v>30</v>
      </c>
      <c r="C60" s="36">
        <f t="shared" si="1"/>
        <v>30325138</v>
      </c>
      <c r="D60" s="36">
        <f t="shared" si="2"/>
        <v>29535977</v>
      </c>
    </row>
    <row r="61" spans="1:15" ht="15.75" hidden="1" thickBot="1" x14ac:dyDescent="0.3">
      <c r="B61" s="59" t="s">
        <v>31</v>
      </c>
      <c r="C61" s="36">
        <f t="shared" si="1"/>
        <v>29191970</v>
      </c>
      <c r="D61" s="36">
        <f t="shared" si="2"/>
        <v>27326046</v>
      </c>
    </row>
    <row r="62" spans="1:15" ht="15.75" hidden="1" thickBot="1" x14ac:dyDescent="0.3">
      <c r="B62" s="59" t="s">
        <v>32</v>
      </c>
      <c r="C62" s="36">
        <f t="shared" si="1"/>
        <v>28467947</v>
      </c>
      <c r="D62" s="36">
        <f t="shared" si="2"/>
        <v>26930084</v>
      </c>
    </row>
    <row r="63" spans="1:15" ht="15.75" hidden="1" thickBot="1" x14ac:dyDescent="0.3">
      <c r="B63" s="59" t="s">
        <v>33</v>
      </c>
      <c r="C63" s="36">
        <f t="shared" si="1"/>
        <v>29221373</v>
      </c>
      <c r="D63" s="36">
        <f t="shared" si="2"/>
        <v>28987633</v>
      </c>
    </row>
    <row r="64" spans="1:15" ht="15.75" hidden="1" thickBot="1" x14ac:dyDescent="0.3">
      <c r="B64" s="59" t="s">
        <v>34</v>
      </c>
      <c r="C64" s="36">
        <f t="shared" si="1"/>
        <v>30305394</v>
      </c>
      <c r="D64" s="36">
        <f t="shared" si="2"/>
        <v>30112530</v>
      </c>
    </row>
    <row r="65" spans="2:4" ht="15.75" hidden="1" thickBot="1" x14ac:dyDescent="0.3">
      <c r="B65" s="59" t="s">
        <v>35</v>
      </c>
      <c r="C65" s="36">
        <f t="shared" si="1"/>
        <v>30499074</v>
      </c>
      <c r="D65" s="36">
        <f t="shared" si="2"/>
        <v>30359868</v>
      </c>
    </row>
    <row r="66" spans="2:4" ht="15.75" hidden="1" thickBot="1" x14ac:dyDescent="0.3">
      <c r="B66" s="59" t="s">
        <v>36</v>
      </c>
      <c r="C66" s="36">
        <f t="shared" si="1"/>
        <v>38813264</v>
      </c>
      <c r="D66" s="36">
        <f t="shared" si="2"/>
        <v>30306531</v>
      </c>
    </row>
    <row r="67" spans="2:4" ht="15.75" hidden="1" thickBot="1" x14ac:dyDescent="0.3">
      <c r="B67" s="59" t="s">
        <v>37</v>
      </c>
      <c r="C67" s="36">
        <f t="shared" si="1"/>
        <v>34400436</v>
      </c>
      <c r="D67" s="36">
        <f t="shared" si="2"/>
        <v>32146403</v>
      </c>
    </row>
    <row r="68" spans="2:4" hidden="1" x14ac:dyDescent="0.25"/>
    <row r="69" spans="2:4" hidden="1" x14ac:dyDescent="0.25"/>
    <row r="70" spans="2:4" hidden="1" x14ac:dyDescent="0.25"/>
    <row r="71" spans="2:4" hidden="1" x14ac:dyDescent="0.25"/>
    <row r="72" spans="2:4" hidden="1" x14ac:dyDescent="0.25"/>
    <row r="73" spans="2:4" hidden="1" x14ac:dyDescent="0.25"/>
    <row r="74" spans="2:4" hidden="1" x14ac:dyDescent="0.25"/>
    <row r="75" spans="2:4" hidden="1" x14ac:dyDescent="0.25"/>
    <row r="76" spans="2:4" hidden="1" x14ac:dyDescent="0.25"/>
    <row r="77" spans="2:4" ht="15.75" hidden="1" thickBot="1" x14ac:dyDescent="0.3"/>
    <row r="78" spans="2:4" ht="15.75" hidden="1" thickBot="1" x14ac:dyDescent="0.3">
      <c r="B78" s="60">
        <v>2018</v>
      </c>
      <c r="C78" s="59" t="s">
        <v>48</v>
      </c>
      <c r="D78" s="59" t="s">
        <v>47</v>
      </c>
    </row>
    <row r="79" spans="2:4" ht="15.75" hidden="1" thickBot="1" x14ac:dyDescent="0.3">
      <c r="B79" s="59" t="s">
        <v>38</v>
      </c>
      <c r="C79" s="36">
        <f>M25</f>
        <v>36236139</v>
      </c>
      <c r="D79" s="36">
        <f>N25</f>
        <v>34936052</v>
      </c>
    </row>
    <row r="80" spans="2:4" ht="15.75" hidden="1" thickBot="1" x14ac:dyDescent="0.3">
      <c r="B80" s="59" t="s">
        <v>27</v>
      </c>
      <c r="C80" s="36">
        <f t="shared" ref="C80:D80" si="3">M26</f>
        <v>34426241</v>
      </c>
      <c r="D80" s="36">
        <f t="shared" si="3"/>
        <v>34064204</v>
      </c>
    </row>
    <row r="81" spans="2:4" ht="15.75" hidden="1" thickBot="1" x14ac:dyDescent="0.3">
      <c r="B81" s="59" t="s">
        <v>28</v>
      </c>
      <c r="C81" s="36">
        <f t="shared" ref="C81:D81" si="4">M27</f>
        <v>34320821</v>
      </c>
      <c r="D81" s="36">
        <f t="shared" si="4"/>
        <v>30838265</v>
      </c>
    </row>
    <row r="82" spans="2:4" ht="15.75" hidden="1" thickBot="1" x14ac:dyDescent="0.3">
      <c r="B82" s="59" t="s">
        <v>29</v>
      </c>
      <c r="C82" s="36">
        <f t="shared" ref="C82:C90" si="5">M28</f>
        <v>33327638</v>
      </c>
      <c r="D82" s="36">
        <f t="shared" ref="D82:D90" si="6">N28</f>
        <v>35036834</v>
      </c>
    </row>
    <row r="83" spans="2:4" ht="15.75" hidden="1" thickBot="1" x14ac:dyDescent="0.3">
      <c r="B83" s="59" t="s">
        <v>30</v>
      </c>
      <c r="C83" s="36">
        <f t="shared" si="5"/>
        <v>32921801</v>
      </c>
      <c r="D83" s="36">
        <f t="shared" si="6"/>
        <v>31373890</v>
      </c>
    </row>
    <row r="84" spans="2:4" ht="15.75" hidden="1" thickBot="1" x14ac:dyDescent="0.3">
      <c r="B84" s="59" t="s">
        <v>31</v>
      </c>
      <c r="C84" s="36">
        <f t="shared" si="5"/>
        <v>29707844</v>
      </c>
      <c r="D84" s="36">
        <f t="shared" si="6"/>
        <v>38524116</v>
      </c>
    </row>
    <row r="85" spans="2:4" ht="15.75" hidden="1" thickBot="1" x14ac:dyDescent="0.3">
      <c r="B85" s="59" t="s">
        <v>32</v>
      </c>
      <c r="C85" s="36">
        <f t="shared" si="5"/>
        <v>29248451</v>
      </c>
      <c r="D85" s="36">
        <f t="shared" si="6"/>
        <v>24531274</v>
      </c>
    </row>
    <row r="86" spans="2:4" ht="15.75" hidden="1" thickBot="1" x14ac:dyDescent="0.3">
      <c r="B86" s="59" t="s">
        <v>33</v>
      </c>
      <c r="C86" s="36">
        <f t="shared" si="5"/>
        <v>29696829</v>
      </c>
      <c r="D86" s="36">
        <f t="shared" si="6"/>
        <v>32623330</v>
      </c>
    </row>
    <row r="87" spans="2:4" ht="15.75" hidden="1" thickBot="1" x14ac:dyDescent="0.3">
      <c r="B87" s="59" t="s">
        <v>34</v>
      </c>
      <c r="C87" s="36">
        <f t="shared" si="5"/>
        <v>30670546</v>
      </c>
      <c r="D87" s="36">
        <f t="shared" si="6"/>
        <v>25989010</v>
      </c>
    </row>
    <row r="88" spans="2:4" ht="15.75" hidden="1" thickBot="1" x14ac:dyDescent="0.3">
      <c r="B88" s="59" t="s">
        <v>35</v>
      </c>
      <c r="C88" s="36">
        <f t="shared" si="5"/>
        <v>31657637</v>
      </c>
      <c r="D88" s="36">
        <f t="shared" si="6"/>
        <v>31664197</v>
      </c>
    </row>
    <row r="89" spans="2:4" ht="15.75" hidden="1" thickBot="1" x14ac:dyDescent="0.3">
      <c r="B89" s="59" t="s">
        <v>36</v>
      </c>
      <c r="C89" s="36">
        <f t="shared" si="5"/>
        <v>34611768</v>
      </c>
      <c r="D89" s="36">
        <f t="shared" si="6"/>
        <v>33892532</v>
      </c>
    </row>
    <row r="90" spans="2:4" ht="15.75" hidden="1" thickBot="1" x14ac:dyDescent="0.3">
      <c r="B90" s="59" t="s">
        <v>37</v>
      </c>
      <c r="C90" s="36">
        <f t="shared" si="5"/>
        <v>35101432</v>
      </c>
      <c r="D90" s="36">
        <f t="shared" si="6"/>
        <v>36275638</v>
      </c>
    </row>
    <row r="91" spans="2:4" hidden="1" x14ac:dyDescent="0.25"/>
    <row r="92" spans="2:4" hidden="1" x14ac:dyDescent="0.25"/>
    <row r="93" spans="2:4" hidden="1" x14ac:dyDescent="0.25"/>
    <row r="94" spans="2:4" hidden="1" x14ac:dyDescent="0.25"/>
    <row r="95" spans="2:4" hidden="1" x14ac:dyDescent="0.25"/>
    <row r="96" spans="2:4" hidden="1" x14ac:dyDescent="0.25"/>
    <row r="97" spans="2:4" hidden="1" x14ac:dyDescent="0.25"/>
    <row r="98" spans="2:4" hidden="1" x14ac:dyDescent="0.25"/>
    <row r="99" spans="2:4" ht="15.75" thickBot="1" x14ac:dyDescent="0.3"/>
    <row r="100" spans="2:4" ht="15.75" thickBot="1" x14ac:dyDescent="0.3">
      <c r="B100" s="60">
        <v>2019</v>
      </c>
      <c r="C100" s="59" t="s">
        <v>48</v>
      </c>
      <c r="D100" s="59" t="s">
        <v>47</v>
      </c>
    </row>
    <row r="101" spans="2:4" ht="15.75" thickBot="1" x14ac:dyDescent="0.3">
      <c r="B101" s="59" t="s">
        <v>38</v>
      </c>
      <c r="C101" s="36">
        <f t="shared" ref="C101:C111" si="7">M37</f>
        <v>36446420</v>
      </c>
      <c r="D101" s="36">
        <f t="shared" ref="D101:D111" si="8">N37</f>
        <v>33941781</v>
      </c>
    </row>
    <row r="102" spans="2:4" ht="15.75" thickBot="1" x14ac:dyDescent="0.3">
      <c r="B102" s="59" t="s">
        <v>27</v>
      </c>
      <c r="C102" s="36">
        <f t="shared" si="7"/>
        <v>36411362</v>
      </c>
      <c r="D102" s="36">
        <f t="shared" si="8"/>
        <v>35254344</v>
      </c>
    </row>
    <row r="103" spans="2:4" ht="15.75" thickBot="1" x14ac:dyDescent="0.3">
      <c r="B103" s="59" t="s">
        <v>28</v>
      </c>
      <c r="C103" s="36">
        <f t="shared" si="7"/>
        <v>35098108.024193548</v>
      </c>
      <c r="D103" s="36">
        <f t="shared" si="8"/>
        <v>32616274</v>
      </c>
    </row>
    <row r="104" spans="2:4" ht="15.75" thickBot="1" x14ac:dyDescent="0.3">
      <c r="B104" s="59" t="s">
        <v>29</v>
      </c>
      <c r="C104" s="36">
        <f t="shared" si="7"/>
        <v>33157590</v>
      </c>
      <c r="D104" s="36">
        <f t="shared" si="8"/>
        <v>32457495</v>
      </c>
    </row>
    <row r="105" spans="2:4" ht="15.75" thickBot="1" x14ac:dyDescent="0.3">
      <c r="B105" s="59" t="s">
        <v>30</v>
      </c>
      <c r="C105" s="36">
        <f t="shared" si="7"/>
        <v>31636677</v>
      </c>
      <c r="D105" s="36">
        <f t="shared" si="8"/>
        <v>4167286</v>
      </c>
    </row>
    <row r="106" spans="2:4" ht="15.75" thickBot="1" x14ac:dyDescent="0.3">
      <c r="B106" s="59" t="s">
        <v>31</v>
      </c>
      <c r="C106" s="36">
        <f t="shared" si="7"/>
        <v>0</v>
      </c>
      <c r="D106" s="36">
        <f t="shared" si="8"/>
        <v>0</v>
      </c>
    </row>
    <row r="107" spans="2:4" ht="15.75" thickBot="1" x14ac:dyDescent="0.3">
      <c r="B107" s="59" t="s">
        <v>32</v>
      </c>
      <c r="C107" s="36">
        <f t="shared" si="7"/>
        <v>0</v>
      </c>
      <c r="D107" s="36">
        <f t="shared" si="8"/>
        <v>0</v>
      </c>
    </row>
    <row r="108" spans="2:4" ht="15.75" thickBot="1" x14ac:dyDescent="0.3">
      <c r="B108" s="59" t="s">
        <v>33</v>
      </c>
      <c r="C108" s="36">
        <f t="shared" si="7"/>
        <v>0</v>
      </c>
      <c r="D108" s="36">
        <f t="shared" si="8"/>
        <v>0</v>
      </c>
    </row>
    <row r="109" spans="2:4" ht="15.75" thickBot="1" x14ac:dyDescent="0.3">
      <c r="B109" s="59" t="s">
        <v>34</v>
      </c>
      <c r="C109" s="36">
        <f t="shared" si="7"/>
        <v>0</v>
      </c>
      <c r="D109" s="36">
        <f t="shared" si="8"/>
        <v>0</v>
      </c>
    </row>
    <row r="110" spans="2:4" ht="15.75" thickBot="1" x14ac:dyDescent="0.3">
      <c r="B110" s="59" t="s">
        <v>35</v>
      </c>
      <c r="C110" s="36">
        <f t="shared" si="7"/>
        <v>0</v>
      </c>
      <c r="D110" s="36">
        <f t="shared" si="8"/>
        <v>0</v>
      </c>
    </row>
    <row r="111" spans="2:4" ht="15.75" thickBot="1" x14ac:dyDescent="0.3">
      <c r="B111" s="59" t="s">
        <v>36</v>
      </c>
      <c r="C111" s="36">
        <f t="shared" si="7"/>
        <v>0</v>
      </c>
      <c r="D111" s="36">
        <f t="shared" si="8"/>
        <v>0</v>
      </c>
    </row>
    <row r="112" spans="2:4" ht="15.75" thickBot="1" x14ac:dyDescent="0.3">
      <c r="B112" s="59" t="s">
        <v>37</v>
      </c>
      <c r="C112" s="36">
        <f t="shared" ref="C112" si="9">M49</f>
        <v>0</v>
      </c>
      <c r="D112" s="36">
        <f t="shared" ref="D112" si="10">N49</f>
        <v>0</v>
      </c>
    </row>
  </sheetData>
  <mergeCells count="2">
    <mergeCell ref="L10:O10"/>
    <mergeCell ref="E10:F10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B6:O43"/>
  <sheetViews>
    <sheetView zoomScale="70" zoomScaleNormal="70" workbookViewId="0">
      <selection activeCell="M53" sqref="M53"/>
    </sheetView>
  </sheetViews>
  <sheetFormatPr baseColWidth="10" defaultRowHeight="15" x14ac:dyDescent="0.25"/>
  <cols>
    <col min="2" max="2" width="45.28515625" customWidth="1"/>
    <col min="5" max="5" width="15.85546875" bestFit="1" customWidth="1"/>
    <col min="10" max="10" width="14" bestFit="1" customWidth="1"/>
    <col min="15" max="15" width="14" bestFit="1" customWidth="1"/>
  </cols>
  <sheetData>
    <row r="6" spans="2:15" ht="15.75" thickBot="1" x14ac:dyDescent="0.3">
      <c r="B6" s="47"/>
    </row>
    <row r="7" spans="2:15" ht="15.75" thickBot="1" x14ac:dyDescent="0.3">
      <c r="B7" s="73" t="s">
        <v>63</v>
      </c>
      <c r="C7" s="74"/>
      <c r="D7" s="74"/>
      <c r="E7" s="75"/>
      <c r="G7" s="73" t="s">
        <v>64</v>
      </c>
      <c r="H7" s="74"/>
      <c r="I7" s="74"/>
      <c r="J7" s="75"/>
      <c r="L7" s="73" t="s">
        <v>65</v>
      </c>
      <c r="M7" s="74"/>
      <c r="N7" s="74"/>
      <c r="O7" s="75"/>
    </row>
    <row r="8" spans="2:15" ht="15.75" thickBot="1" x14ac:dyDescent="0.3">
      <c r="B8" s="35" t="s">
        <v>66</v>
      </c>
      <c r="C8" s="35" t="s">
        <v>67</v>
      </c>
      <c r="D8" s="35" t="s">
        <v>68</v>
      </c>
      <c r="E8" s="35" t="s">
        <v>9</v>
      </c>
      <c r="G8" s="35" t="s">
        <v>66</v>
      </c>
      <c r="H8" s="35" t="s">
        <v>67</v>
      </c>
      <c r="I8" s="35" t="s">
        <v>68</v>
      </c>
      <c r="J8" s="35" t="s">
        <v>9</v>
      </c>
      <c r="L8" s="35" t="s">
        <v>66</v>
      </c>
      <c r="M8" s="35" t="s">
        <v>67</v>
      </c>
      <c r="N8" s="35" t="s">
        <v>68</v>
      </c>
      <c r="O8" s="35" t="s">
        <v>9</v>
      </c>
    </row>
    <row r="9" spans="2:15" ht="15.75" thickBot="1" x14ac:dyDescent="0.3">
      <c r="B9" s="35" t="s">
        <v>69</v>
      </c>
      <c r="C9" s="48">
        <v>16</v>
      </c>
      <c r="D9" s="35">
        <v>47</v>
      </c>
      <c r="E9" s="49">
        <v>5591073</v>
      </c>
      <c r="G9" s="35" t="s">
        <v>115</v>
      </c>
      <c r="H9" s="35" t="s">
        <v>116</v>
      </c>
      <c r="I9" s="35">
        <v>3</v>
      </c>
      <c r="J9" s="50">
        <v>368928</v>
      </c>
      <c r="L9" s="35" t="s">
        <v>70</v>
      </c>
      <c r="M9" s="35">
        <v>2</v>
      </c>
      <c r="N9" s="35">
        <v>2</v>
      </c>
      <c r="O9" s="49">
        <v>184407</v>
      </c>
    </row>
    <row r="10" spans="2:15" ht="15.75" thickBot="1" x14ac:dyDescent="0.3">
      <c r="B10" s="35" t="s">
        <v>71</v>
      </c>
      <c r="C10" s="48">
        <v>46</v>
      </c>
      <c r="D10" s="35">
        <v>5</v>
      </c>
      <c r="E10" s="49">
        <v>752804</v>
      </c>
      <c r="G10" s="35"/>
      <c r="H10" s="35"/>
      <c r="I10" s="35"/>
      <c r="J10" s="50"/>
      <c r="L10" s="35" t="s">
        <v>72</v>
      </c>
      <c r="M10" s="35">
        <v>6</v>
      </c>
      <c r="N10" s="35">
        <v>2</v>
      </c>
      <c r="O10" s="49">
        <v>314547</v>
      </c>
    </row>
    <row r="11" spans="2:15" ht="15.75" thickBot="1" x14ac:dyDescent="0.3">
      <c r="B11" s="35" t="s">
        <v>73</v>
      </c>
      <c r="C11" s="48" t="s">
        <v>74</v>
      </c>
      <c r="D11" s="35">
        <v>38</v>
      </c>
      <c r="E11" s="49">
        <v>4565422</v>
      </c>
      <c r="G11" s="35"/>
      <c r="H11" s="35"/>
      <c r="I11" s="35"/>
      <c r="J11" s="35"/>
      <c r="L11" s="35" t="s">
        <v>75</v>
      </c>
      <c r="M11" s="35">
        <v>7</v>
      </c>
      <c r="N11" s="35">
        <v>2</v>
      </c>
      <c r="O11" s="49">
        <v>715403</v>
      </c>
    </row>
    <row r="12" spans="2:15" ht="15.75" thickBot="1" x14ac:dyDescent="0.3">
      <c r="B12" s="35" t="s">
        <v>82</v>
      </c>
      <c r="C12" s="48" t="s">
        <v>83</v>
      </c>
      <c r="D12" s="35">
        <v>60</v>
      </c>
      <c r="E12" s="49">
        <v>6371737</v>
      </c>
      <c r="G12" s="35"/>
      <c r="H12" s="35"/>
      <c r="I12" s="35"/>
      <c r="J12" s="35"/>
      <c r="L12" s="35" t="s">
        <v>76</v>
      </c>
      <c r="M12" s="35">
        <v>13</v>
      </c>
      <c r="N12" s="35">
        <v>2</v>
      </c>
      <c r="O12" s="49">
        <v>266146</v>
      </c>
    </row>
    <row r="13" spans="2:15" ht="15.75" thickBot="1" x14ac:dyDescent="0.3">
      <c r="B13" s="35" t="s">
        <v>86</v>
      </c>
      <c r="C13" s="48" t="s">
        <v>87</v>
      </c>
      <c r="D13" s="35">
        <v>6</v>
      </c>
      <c r="E13" s="49">
        <v>789681</v>
      </c>
      <c r="G13" s="35"/>
      <c r="H13" s="35"/>
      <c r="I13" s="35"/>
      <c r="J13" s="35"/>
      <c r="L13" s="35" t="s">
        <v>77</v>
      </c>
      <c r="M13" s="35">
        <v>20</v>
      </c>
      <c r="N13" s="35">
        <v>2</v>
      </c>
      <c r="O13" s="49">
        <v>175263</v>
      </c>
    </row>
    <row r="14" spans="2:15" ht="15.75" thickBot="1" x14ac:dyDescent="0.3">
      <c r="B14" s="35" t="s">
        <v>90</v>
      </c>
      <c r="C14" s="35" t="s">
        <v>91</v>
      </c>
      <c r="D14" s="35">
        <v>12</v>
      </c>
      <c r="E14" s="49">
        <v>835875</v>
      </c>
      <c r="G14" s="35"/>
      <c r="H14" s="35"/>
      <c r="I14" s="35"/>
      <c r="J14" s="35"/>
      <c r="L14" s="35" t="s">
        <v>78</v>
      </c>
      <c r="M14" s="35">
        <v>27</v>
      </c>
      <c r="N14" s="35">
        <v>2</v>
      </c>
      <c r="O14" s="49">
        <v>160866</v>
      </c>
    </row>
    <row r="15" spans="2:15" ht="15.75" thickBot="1" x14ac:dyDescent="0.3">
      <c r="B15" s="35" t="s">
        <v>96</v>
      </c>
      <c r="C15" s="48">
        <v>50</v>
      </c>
      <c r="D15" s="35">
        <v>6</v>
      </c>
      <c r="E15" s="50">
        <v>704298</v>
      </c>
      <c r="G15" s="35"/>
      <c r="H15" s="35"/>
      <c r="I15" s="35"/>
      <c r="J15" s="50"/>
      <c r="L15" s="35" t="s">
        <v>79</v>
      </c>
      <c r="M15" s="35">
        <v>43</v>
      </c>
      <c r="N15" s="35">
        <v>2</v>
      </c>
      <c r="O15" s="49">
        <v>175263</v>
      </c>
    </row>
    <row r="16" spans="2:15" ht="15.75" thickBot="1" x14ac:dyDescent="0.3">
      <c r="B16" s="35" t="s">
        <v>97</v>
      </c>
      <c r="C16" s="48" t="s">
        <v>98</v>
      </c>
      <c r="D16" s="35">
        <v>5</v>
      </c>
      <c r="E16" s="50">
        <v>750219</v>
      </c>
      <c r="G16" s="35"/>
      <c r="H16" s="35"/>
      <c r="I16" s="35"/>
      <c r="J16" s="50"/>
      <c r="L16" s="35" t="s">
        <v>80</v>
      </c>
      <c r="M16" s="35" t="s">
        <v>81</v>
      </c>
      <c r="N16" s="35">
        <v>2</v>
      </c>
      <c r="O16" s="49">
        <v>175263</v>
      </c>
    </row>
    <row r="17" spans="2:15" ht="15.75" thickBot="1" x14ac:dyDescent="0.3">
      <c r="B17" s="35" t="s">
        <v>99</v>
      </c>
      <c r="C17" s="48">
        <v>60</v>
      </c>
      <c r="D17" s="35">
        <v>12</v>
      </c>
      <c r="E17" s="50">
        <v>1520274</v>
      </c>
      <c r="G17" s="35"/>
      <c r="H17" s="35"/>
      <c r="I17" s="35"/>
      <c r="J17" s="50"/>
      <c r="L17" s="35" t="s">
        <v>84</v>
      </c>
      <c r="M17" s="35" t="s">
        <v>85</v>
      </c>
      <c r="N17" s="35">
        <v>2</v>
      </c>
      <c r="O17" s="49">
        <v>313236</v>
      </c>
    </row>
    <row r="18" spans="2:15" ht="15.75" thickBot="1" x14ac:dyDescent="0.3">
      <c r="B18" s="35" t="s">
        <v>106</v>
      </c>
      <c r="C18" s="35" t="s">
        <v>120</v>
      </c>
      <c r="D18" s="35">
        <v>67</v>
      </c>
      <c r="E18" s="50">
        <v>7645795</v>
      </c>
      <c r="G18" s="35"/>
      <c r="H18" s="35"/>
      <c r="I18" s="35"/>
      <c r="J18" s="35"/>
      <c r="L18" s="35" t="s">
        <v>88</v>
      </c>
      <c r="M18" s="35" t="s">
        <v>89</v>
      </c>
      <c r="N18" s="35">
        <v>2</v>
      </c>
      <c r="O18" s="49">
        <v>175263</v>
      </c>
    </row>
    <row r="19" spans="2:15" ht="15.75" thickBot="1" x14ac:dyDescent="0.3">
      <c r="B19" s="35" t="s">
        <v>107</v>
      </c>
      <c r="C19" s="35" t="s">
        <v>121</v>
      </c>
      <c r="D19" s="35">
        <v>17</v>
      </c>
      <c r="E19" s="50">
        <v>2390359</v>
      </c>
      <c r="G19" s="35"/>
      <c r="H19" s="35"/>
      <c r="I19" s="35"/>
      <c r="J19" s="35"/>
      <c r="L19" s="35" t="s">
        <v>92</v>
      </c>
      <c r="M19" s="35" t="s">
        <v>93</v>
      </c>
      <c r="N19" s="35">
        <v>2</v>
      </c>
      <c r="O19" s="50">
        <v>248243</v>
      </c>
    </row>
    <row r="20" spans="2:15" ht="15.75" thickBot="1" x14ac:dyDescent="0.3">
      <c r="B20" s="35" t="s">
        <v>108</v>
      </c>
      <c r="C20" s="35">
        <v>22</v>
      </c>
      <c r="D20" s="35">
        <v>8</v>
      </c>
      <c r="E20" s="50">
        <v>1069383</v>
      </c>
      <c r="G20" s="35"/>
      <c r="H20" s="35"/>
      <c r="I20" s="35"/>
      <c r="J20" s="50"/>
      <c r="L20" s="35" t="s">
        <v>94</v>
      </c>
      <c r="M20" s="35" t="s">
        <v>95</v>
      </c>
      <c r="N20" s="35">
        <v>2</v>
      </c>
      <c r="O20" s="50">
        <v>160282</v>
      </c>
    </row>
    <row r="21" spans="2:15" ht="15.75" thickBot="1" x14ac:dyDescent="0.3">
      <c r="B21" s="35" t="s">
        <v>111</v>
      </c>
      <c r="C21" s="35" t="s">
        <v>112</v>
      </c>
      <c r="D21" s="35">
        <v>11</v>
      </c>
      <c r="E21" s="50">
        <v>1470246</v>
      </c>
      <c r="G21" s="35"/>
      <c r="H21" s="35"/>
      <c r="I21" s="35"/>
      <c r="J21" s="35"/>
      <c r="L21" s="35" t="s">
        <v>100</v>
      </c>
      <c r="M21" s="35">
        <v>7</v>
      </c>
      <c r="N21" s="35">
        <v>2</v>
      </c>
      <c r="O21" s="50">
        <v>160282</v>
      </c>
    </row>
    <row r="22" spans="2:15" ht="15.75" thickBot="1" x14ac:dyDescent="0.3">
      <c r="B22" s="35" t="s">
        <v>113</v>
      </c>
      <c r="C22" s="35" t="s">
        <v>114</v>
      </c>
      <c r="D22" s="35">
        <v>29</v>
      </c>
      <c r="E22" s="50">
        <v>4194303</v>
      </c>
      <c r="G22" s="35"/>
      <c r="H22" s="35"/>
      <c r="I22" s="35"/>
      <c r="J22" s="35"/>
      <c r="L22" s="35" t="s">
        <v>101</v>
      </c>
      <c r="M22" s="35">
        <v>47</v>
      </c>
      <c r="N22" s="35">
        <v>2</v>
      </c>
      <c r="O22" s="50">
        <v>186672</v>
      </c>
    </row>
    <row r="23" spans="2:15" ht="15.75" thickBot="1" x14ac:dyDescent="0.3">
      <c r="B23" s="35"/>
      <c r="C23" s="35"/>
      <c r="D23" s="35"/>
      <c r="E23" s="49"/>
      <c r="G23" s="35"/>
      <c r="H23" s="35"/>
      <c r="I23" s="35"/>
      <c r="J23" s="35"/>
      <c r="L23" s="35" t="s">
        <v>102</v>
      </c>
      <c r="M23" s="35">
        <v>61</v>
      </c>
      <c r="N23" s="35">
        <v>2</v>
      </c>
      <c r="O23" s="50">
        <v>168109</v>
      </c>
    </row>
    <row r="24" spans="2:15" ht="15.75" thickBot="1" x14ac:dyDescent="0.3">
      <c r="B24" s="35"/>
      <c r="C24" s="35"/>
      <c r="D24" s="35"/>
      <c r="E24" s="49"/>
      <c r="G24" s="35"/>
      <c r="H24" s="35"/>
      <c r="I24" s="35"/>
      <c r="J24" s="35"/>
      <c r="L24" s="35" t="s">
        <v>103</v>
      </c>
      <c r="M24" s="35">
        <v>67</v>
      </c>
      <c r="N24" s="35">
        <v>2</v>
      </c>
      <c r="O24" s="50">
        <v>281855</v>
      </c>
    </row>
    <row r="25" spans="2:15" ht="15.75" thickBot="1" x14ac:dyDescent="0.3">
      <c r="B25" s="35"/>
      <c r="C25" s="35"/>
      <c r="D25" s="35"/>
      <c r="E25" s="49"/>
      <c r="G25" s="35"/>
      <c r="H25" s="35"/>
      <c r="I25" s="35"/>
      <c r="J25" s="35"/>
      <c r="L25" s="35" t="s">
        <v>104</v>
      </c>
      <c r="M25" s="35">
        <v>73</v>
      </c>
      <c r="N25" s="35">
        <v>2</v>
      </c>
      <c r="O25" s="50">
        <v>215016</v>
      </c>
    </row>
    <row r="26" spans="2:15" ht="15.75" thickBot="1" x14ac:dyDescent="0.3">
      <c r="B26" s="35"/>
      <c r="C26" s="35"/>
      <c r="D26" s="35"/>
      <c r="E26" s="49"/>
      <c r="G26" s="35"/>
      <c r="H26" s="35"/>
      <c r="I26" s="35"/>
      <c r="J26" s="35"/>
      <c r="L26" s="35" t="s">
        <v>105</v>
      </c>
      <c r="M26" s="35">
        <v>82</v>
      </c>
      <c r="N26" s="35">
        <v>2</v>
      </c>
      <c r="O26" s="50">
        <v>160986.6</v>
      </c>
    </row>
    <row r="27" spans="2:15" ht="15.75" thickBot="1" x14ac:dyDescent="0.3">
      <c r="B27" s="35"/>
      <c r="C27" s="35"/>
      <c r="D27" s="35"/>
      <c r="E27" s="49"/>
      <c r="G27" s="35"/>
      <c r="H27" s="35"/>
      <c r="I27" s="35"/>
      <c r="J27" s="35"/>
      <c r="L27" s="35" t="s">
        <v>109</v>
      </c>
      <c r="M27" s="35">
        <v>17</v>
      </c>
      <c r="N27" s="35">
        <v>2</v>
      </c>
      <c r="O27" s="50">
        <v>175263</v>
      </c>
    </row>
    <row r="28" spans="2:15" ht="15.75" thickBot="1" x14ac:dyDescent="0.3">
      <c r="B28" s="35"/>
      <c r="C28" s="35"/>
      <c r="D28" s="35"/>
      <c r="E28" s="49"/>
      <c r="G28" s="35"/>
      <c r="H28" s="35"/>
      <c r="I28" s="35"/>
      <c r="J28" s="35"/>
      <c r="L28" s="35" t="s">
        <v>110</v>
      </c>
      <c r="M28" s="35">
        <v>23</v>
      </c>
      <c r="N28" s="35">
        <v>2</v>
      </c>
      <c r="O28" s="50">
        <v>175701</v>
      </c>
    </row>
    <row r="29" spans="2:15" ht="15.75" thickBot="1" x14ac:dyDescent="0.3">
      <c r="B29" s="35"/>
      <c r="C29" s="35"/>
      <c r="D29" s="35"/>
      <c r="E29" s="49"/>
      <c r="G29" s="35"/>
      <c r="H29" s="35"/>
      <c r="I29" s="35"/>
      <c r="J29" s="35"/>
      <c r="L29" s="35" t="s">
        <v>117</v>
      </c>
      <c r="M29" s="35" t="s">
        <v>118</v>
      </c>
      <c r="N29" s="35">
        <v>2</v>
      </c>
      <c r="O29" s="50">
        <v>175263</v>
      </c>
    </row>
    <row r="30" spans="2:15" ht="15.75" thickBot="1" x14ac:dyDescent="0.3">
      <c r="B30" s="35"/>
      <c r="C30" s="35"/>
      <c r="D30" s="35"/>
      <c r="E30" s="49"/>
      <c r="G30" s="35"/>
      <c r="H30" s="35"/>
      <c r="I30" s="35"/>
      <c r="J30" s="35"/>
      <c r="L30" s="35" t="s">
        <v>117</v>
      </c>
      <c r="M30" s="35" t="s">
        <v>119</v>
      </c>
      <c r="N30" s="35">
        <v>2</v>
      </c>
      <c r="O30" s="50">
        <v>175263</v>
      </c>
    </row>
    <row r="31" spans="2:15" ht="15.75" thickBot="1" x14ac:dyDescent="0.3">
      <c r="B31" s="35"/>
      <c r="C31" s="35"/>
      <c r="D31" s="35"/>
      <c r="E31" s="49"/>
      <c r="G31" s="35"/>
      <c r="H31" s="35"/>
      <c r="I31" s="35"/>
      <c r="J31" s="35"/>
      <c r="L31" s="35"/>
      <c r="M31" s="35"/>
      <c r="N31" s="35"/>
      <c r="O31" s="50"/>
    </row>
    <row r="32" spans="2:15" ht="15.75" thickBot="1" x14ac:dyDescent="0.3">
      <c r="B32" s="35"/>
      <c r="C32" s="35"/>
      <c r="D32" s="35"/>
      <c r="E32" s="49"/>
      <c r="G32" s="35"/>
      <c r="H32" s="35"/>
      <c r="I32" s="35"/>
      <c r="J32" s="35"/>
      <c r="L32" s="35"/>
      <c r="M32" s="35"/>
      <c r="N32" s="35"/>
      <c r="O32" s="50"/>
    </row>
    <row r="33" spans="2:15" ht="15.75" thickBot="1" x14ac:dyDescent="0.3">
      <c r="B33" s="35"/>
      <c r="C33" s="35"/>
      <c r="D33" s="35"/>
      <c r="E33" s="49"/>
      <c r="G33" s="35"/>
      <c r="H33" s="35"/>
      <c r="I33" s="35"/>
      <c r="J33" s="35"/>
      <c r="L33" s="35"/>
      <c r="M33" s="35"/>
      <c r="N33" s="35"/>
      <c r="O33" s="35"/>
    </row>
    <row r="34" spans="2:15" ht="15.75" thickBot="1" x14ac:dyDescent="0.3">
      <c r="B34" s="35"/>
      <c r="C34" s="35"/>
      <c r="D34" s="35"/>
      <c r="E34" s="49"/>
      <c r="G34" s="35"/>
      <c r="H34" s="35"/>
      <c r="I34" s="35"/>
      <c r="J34" s="35"/>
      <c r="L34" s="35"/>
      <c r="M34" s="35"/>
      <c r="N34" s="35"/>
      <c r="O34" s="50"/>
    </row>
    <row r="35" spans="2:15" ht="15.75" thickBot="1" x14ac:dyDescent="0.3">
      <c r="B35" s="35"/>
      <c r="C35" s="35"/>
      <c r="D35" s="35"/>
      <c r="E35" s="49"/>
      <c r="G35" s="35"/>
      <c r="H35" s="35"/>
      <c r="I35" s="35"/>
      <c r="J35" s="35"/>
      <c r="L35" s="35"/>
      <c r="M35" s="35"/>
      <c r="N35" s="35"/>
      <c r="O35" s="50"/>
    </row>
    <row r="36" spans="2:15" ht="15.75" thickBot="1" x14ac:dyDescent="0.3">
      <c r="B36" s="35"/>
      <c r="C36" s="35"/>
      <c r="D36" s="35"/>
      <c r="E36" s="49"/>
      <c r="G36" s="35"/>
      <c r="H36" s="35"/>
      <c r="I36" s="35"/>
      <c r="J36" s="35"/>
      <c r="L36" s="35"/>
      <c r="M36" s="35"/>
      <c r="N36" s="35"/>
      <c r="O36" s="35"/>
    </row>
    <row r="37" spans="2:15" ht="15.75" thickBot="1" x14ac:dyDescent="0.3">
      <c r="B37" s="35"/>
      <c r="C37" s="35"/>
      <c r="D37" s="35"/>
      <c r="E37" s="49"/>
      <c r="G37" s="35"/>
      <c r="H37" s="35"/>
      <c r="I37" s="35"/>
      <c r="J37" s="35"/>
      <c r="L37" s="35"/>
      <c r="M37" s="35"/>
      <c r="N37" s="35"/>
      <c r="O37" s="50"/>
    </row>
    <row r="38" spans="2:15" ht="15.75" thickBot="1" x14ac:dyDescent="0.3">
      <c r="B38" s="35"/>
      <c r="C38" s="35"/>
      <c r="D38" s="35"/>
      <c r="E38" s="49"/>
      <c r="G38" s="35"/>
      <c r="H38" s="35"/>
      <c r="I38" s="35"/>
      <c r="J38" s="35"/>
      <c r="L38" s="35"/>
      <c r="M38" s="35"/>
      <c r="N38" s="35"/>
      <c r="O38" s="50"/>
    </row>
    <row r="39" spans="2:15" ht="15.75" thickBot="1" x14ac:dyDescent="0.3">
      <c r="B39" s="35"/>
      <c r="C39" s="35"/>
      <c r="D39" s="35"/>
      <c r="E39" s="35"/>
      <c r="G39" s="35"/>
      <c r="H39" s="35"/>
      <c r="I39" s="35"/>
      <c r="J39" s="35"/>
      <c r="L39" s="35"/>
      <c r="M39" s="35"/>
      <c r="N39" s="35"/>
      <c r="O39" s="50"/>
    </row>
    <row r="40" spans="2:15" ht="15.75" thickBot="1" x14ac:dyDescent="0.3">
      <c r="B40" s="35"/>
      <c r="C40" s="35"/>
      <c r="D40" s="35"/>
      <c r="E40" s="50"/>
      <c r="G40" s="35"/>
      <c r="H40" s="35"/>
      <c r="I40" s="35"/>
      <c r="J40" s="35"/>
      <c r="L40" s="35"/>
      <c r="M40" s="35"/>
      <c r="N40" s="35"/>
      <c r="O40" s="35"/>
    </row>
    <row r="41" spans="2:15" ht="15.75" thickBot="1" x14ac:dyDescent="0.3">
      <c r="B41" s="35"/>
      <c r="C41" s="35"/>
      <c r="D41" s="35"/>
      <c r="E41" s="50"/>
      <c r="G41" s="35"/>
      <c r="H41" s="35"/>
      <c r="I41" s="35"/>
      <c r="J41" s="35"/>
      <c r="L41" s="35"/>
      <c r="M41" s="35"/>
      <c r="N41" s="35"/>
      <c r="O41" s="35"/>
    </row>
    <row r="42" spans="2:15" ht="15.75" thickBot="1" x14ac:dyDescent="0.3">
      <c r="B42" s="35"/>
      <c r="C42" s="35"/>
      <c r="D42" s="35"/>
      <c r="E42" s="50"/>
      <c r="G42" s="35"/>
      <c r="H42" s="35"/>
      <c r="I42" s="35"/>
      <c r="J42" s="35"/>
      <c r="L42" s="35"/>
      <c r="M42" s="35"/>
      <c r="N42" s="35"/>
      <c r="O42" s="35"/>
    </row>
    <row r="43" spans="2:15" ht="15.75" thickBot="1" x14ac:dyDescent="0.3">
      <c r="B43" s="35"/>
      <c r="C43" s="35"/>
      <c r="D43" s="35"/>
      <c r="E43" s="50"/>
      <c r="G43" s="35"/>
      <c r="H43" s="35"/>
      <c r="I43" s="35"/>
      <c r="J43" s="35"/>
      <c r="L43" s="35"/>
      <c r="M43" s="35"/>
      <c r="N43" s="35"/>
      <c r="O43" s="35"/>
    </row>
  </sheetData>
  <mergeCells count="3">
    <mergeCell ref="B7:E7"/>
    <mergeCell ref="G7:J7"/>
    <mergeCell ref="L7:O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O270"/>
  <sheetViews>
    <sheetView workbookViewId="0">
      <selection activeCell="C204" sqref="C204"/>
    </sheetView>
  </sheetViews>
  <sheetFormatPr baseColWidth="10" defaultRowHeight="15" x14ac:dyDescent="0.25"/>
  <cols>
    <col min="4" max="4" width="11.85546875" bestFit="1" customWidth="1"/>
    <col min="6" max="6" width="11.85546875" bestFit="1" customWidth="1"/>
    <col min="10" max="10" width="14.28515625" bestFit="1" customWidth="1"/>
    <col min="11" max="12" width="11.85546875" bestFit="1" customWidth="1"/>
    <col min="13" max="13" width="15.85546875" customWidth="1"/>
    <col min="14" max="14" width="12.85546875" bestFit="1" customWidth="1"/>
    <col min="15" max="15" width="17.5703125" customWidth="1"/>
  </cols>
  <sheetData>
    <row r="2" spans="1:15" ht="18.75" x14ac:dyDescent="0.3">
      <c r="B2" s="4" t="s">
        <v>0</v>
      </c>
      <c r="C2" s="4"/>
      <c r="D2" s="1"/>
      <c r="E2" s="1"/>
      <c r="F2" s="1"/>
      <c r="G2" s="2"/>
      <c r="H2" s="3"/>
      <c r="I2" s="3"/>
      <c r="J2" s="3"/>
      <c r="K2" s="3"/>
      <c r="L2" s="2"/>
      <c r="M2" s="2"/>
      <c r="N2" s="2"/>
      <c r="O2" s="2"/>
    </row>
    <row r="3" spans="1:15" ht="18.75" x14ac:dyDescent="0.3">
      <c r="B3" s="4" t="s">
        <v>39</v>
      </c>
      <c r="C3" s="4" t="s">
        <v>40</v>
      </c>
      <c r="G3" s="2"/>
      <c r="H3" s="3"/>
      <c r="I3" s="3"/>
      <c r="J3" s="3"/>
      <c r="L3" s="2"/>
      <c r="M3" s="2"/>
      <c r="N3" s="2"/>
      <c r="O3" s="2"/>
    </row>
    <row r="4" spans="1:15" ht="15.75" thickBot="1" x14ac:dyDescent="0.3">
      <c r="B4" s="5"/>
      <c r="C4" s="5"/>
      <c r="D4" s="5"/>
      <c r="E4" s="5"/>
      <c r="F4" s="5"/>
      <c r="G4" s="2"/>
      <c r="H4" s="3"/>
      <c r="I4" s="3"/>
      <c r="J4" s="3"/>
      <c r="K4" s="3"/>
      <c r="L4" s="2"/>
      <c r="M4" s="2"/>
      <c r="N4" s="2"/>
      <c r="O4" s="2"/>
    </row>
    <row r="5" spans="1:15" ht="15.75" thickBot="1" x14ac:dyDescent="0.3">
      <c r="B5" s="6"/>
      <c r="C5" s="27" t="s">
        <v>3</v>
      </c>
      <c r="D5" s="28"/>
      <c r="E5" s="7" t="s">
        <v>4</v>
      </c>
      <c r="F5" s="8"/>
      <c r="G5" s="29" t="s">
        <v>5</v>
      </c>
      <c r="H5" s="30"/>
      <c r="I5" s="30"/>
      <c r="J5" s="30"/>
      <c r="K5" s="31"/>
      <c r="L5" s="32" t="s">
        <v>6</v>
      </c>
      <c r="M5" s="30"/>
      <c r="N5" s="30"/>
      <c r="O5" s="31"/>
    </row>
    <row r="6" spans="1:15" x14ac:dyDescent="0.25">
      <c r="B6" s="9" t="s">
        <v>7</v>
      </c>
      <c r="C6" s="9" t="s">
        <v>8</v>
      </c>
      <c r="D6" s="9" t="s">
        <v>9</v>
      </c>
      <c r="E6" s="9" t="s">
        <v>8</v>
      </c>
      <c r="F6" s="9" t="s">
        <v>9</v>
      </c>
      <c r="G6" s="10" t="s">
        <v>10</v>
      </c>
      <c r="H6" s="9" t="s">
        <v>11</v>
      </c>
      <c r="I6" s="11" t="s">
        <v>12</v>
      </c>
      <c r="J6" s="12" t="s">
        <v>13</v>
      </c>
      <c r="K6" s="10" t="s">
        <v>14</v>
      </c>
      <c r="L6" s="13" t="s">
        <v>15</v>
      </c>
      <c r="M6" s="10" t="s">
        <v>9</v>
      </c>
      <c r="N6" s="10"/>
      <c r="O6" s="14" t="s">
        <v>16</v>
      </c>
    </row>
    <row r="7" spans="1:15" ht="15.75" thickBot="1" x14ac:dyDescent="0.3">
      <c r="B7" s="15" t="s">
        <v>17</v>
      </c>
      <c r="C7" s="15" t="s">
        <v>18</v>
      </c>
      <c r="D7" s="15" t="s">
        <v>19</v>
      </c>
      <c r="E7" s="15" t="s">
        <v>20</v>
      </c>
      <c r="F7" s="15" t="s">
        <v>21</v>
      </c>
      <c r="G7" s="16" t="s">
        <v>22</v>
      </c>
      <c r="H7" s="15" t="s">
        <v>23</v>
      </c>
      <c r="I7" s="17"/>
      <c r="J7" s="17"/>
      <c r="K7" s="18" t="s">
        <v>24</v>
      </c>
      <c r="L7" s="19"/>
      <c r="M7" s="16" t="s">
        <v>25</v>
      </c>
      <c r="N7" s="18" t="s">
        <v>26</v>
      </c>
      <c r="O7" s="20" t="s">
        <v>25</v>
      </c>
    </row>
    <row r="8" spans="1:15" ht="15.75" hidden="1" thickBot="1" x14ac:dyDescent="0.3">
      <c r="A8" s="21">
        <v>2003</v>
      </c>
      <c r="B8" s="22"/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5">
        <v>394141.60000000003</v>
      </c>
    </row>
    <row r="9" spans="1:15" ht="15.75" hidden="1" thickBot="1" x14ac:dyDescent="0.3">
      <c r="A9" s="21"/>
      <c r="B9" s="22" t="s">
        <v>27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6">
        <v>472969.92000000004</v>
      </c>
    </row>
    <row r="10" spans="1:15" ht="15.75" hidden="1" thickBot="1" x14ac:dyDescent="0.3">
      <c r="A10" s="21"/>
      <c r="B10" s="22" t="s">
        <v>28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6">
        <v>551798.24</v>
      </c>
    </row>
    <row r="11" spans="1:15" ht="15.75" hidden="1" thickBot="1" x14ac:dyDescent="0.3">
      <c r="A11" s="21"/>
      <c r="B11" s="22" t="s">
        <v>29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6">
        <v>630626.55999999994</v>
      </c>
    </row>
    <row r="12" spans="1:15" ht="15.75" hidden="1" thickBot="1" x14ac:dyDescent="0.3">
      <c r="A12" s="21"/>
      <c r="B12" s="22" t="s">
        <v>30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78000</v>
      </c>
      <c r="L12" s="23">
        <v>0</v>
      </c>
      <c r="M12" s="23">
        <v>78000</v>
      </c>
      <c r="N12" s="23">
        <v>0</v>
      </c>
      <c r="O12" s="26">
        <v>709454.87999999989</v>
      </c>
    </row>
    <row r="13" spans="1:15" ht="15.75" hidden="1" thickBot="1" x14ac:dyDescent="0.3">
      <c r="A13" s="21"/>
      <c r="B13" s="22" t="s">
        <v>31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78000</v>
      </c>
      <c r="L13" s="23">
        <v>0</v>
      </c>
      <c r="M13" s="23">
        <v>1131000</v>
      </c>
      <c r="N13" s="23">
        <v>79518</v>
      </c>
      <c r="O13" s="26">
        <v>788283.19999999984</v>
      </c>
    </row>
    <row r="14" spans="1:15" ht="15.75" hidden="1" thickBot="1" x14ac:dyDescent="0.3">
      <c r="A14" s="21"/>
      <c r="B14" s="22" t="s">
        <v>32</v>
      </c>
      <c r="C14" s="23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1326000</v>
      </c>
      <c r="L14" s="23">
        <v>0</v>
      </c>
      <c r="M14" s="23">
        <v>2067000</v>
      </c>
      <c r="N14" s="23">
        <v>0</v>
      </c>
      <c r="O14" s="26">
        <v>906111.51999999979</v>
      </c>
    </row>
    <row r="15" spans="1:15" ht="15.75" hidden="1" thickBot="1" x14ac:dyDescent="0.3">
      <c r="A15" s="21"/>
      <c r="B15" s="22" t="s">
        <v>33</v>
      </c>
      <c r="C15" s="23">
        <v>6120.2000000000007</v>
      </c>
      <c r="D15" s="23">
        <v>385572.60000000003</v>
      </c>
      <c r="E15" s="23">
        <v>3750.9459999999999</v>
      </c>
      <c r="F15" s="23">
        <v>1125283.8</v>
      </c>
      <c r="G15" s="23">
        <v>0</v>
      </c>
      <c r="H15" s="23">
        <v>0</v>
      </c>
      <c r="I15" s="23">
        <v>0</v>
      </c>
      <c r="J15" s="23">
        <v>0</v>
      </c>
      <c r="K15" s="23">
        <v>1326000</v>
      </c>
      <c r="L15" s="23">
        <v>0</v>
      </c>
      <c r="M15" s="23">
        <v>3577856.4000000004</v>
      </c>
      <c r="N15" s="23">
        <v>0</v>
      </c>
      <c r="O15" s="26">
        <v>1023939.8399999997</v>
      </c>
    </row>
    <row r="16" spans="1:15" ht="15.75" hidden="1" thickBot="1" x14ac:dyDescent="0.3">
      <c r="A16" s="21"/>
      <c r="B16" s="22" t="s">
        <v>34</v>
      </c>
      <c r="C16" s="23">
        <v>0</v>
      </c>
      <c r="D16" s="23">
        <v>0</v>
      </c>
      <c r="E16" s="23">
        <v>1.3590000000000018</v>
      </c>
      <c r="F16" s="23">
        <v>407.7000000000005</v>
      </c>
      <c r="G16" s="23">
        <v>0</v>
      </c>
      <c r="H16" s="23">
        <v>0</v>
      </c>
      <c r="I16" s="23">
        <v>0</v>
      </c>
      <c r="J16" s="23">
        <v>0</v>
      </c>
      <c r="K16" s="23">
        <v>1326000</v>
      </c>
      <c r="L16" s="23">
        <v>0</v>
      </c>
      <c r="M16" s="23">
        <v>2067407.7</v>
      </c>
      <c r="N16" s="23">
        <v>0</v>
      </c>
      <c r="O16" s="26">
        <v>1141768.1599999997</v>
      </c>
    </row>
    <row r="17" spans="1:15" ht="15.75" hidden="1" thickBot="1" x14ac:dyDescent="0.3">
      <c r="A17" s="21"/>
      <c r="B17" s="22" t="s">
        <v>35</v>
      </c>
      <c r="C17" s="23">
        <v>27453.600000000002</v>
      </c>
      <c r="D17" s="23">
        <v>1729576.8</v>
      </c>
      <c r="E17" s="23">
        <v>13882.565999999999</v>
      </c>
      <c r="F17" s="23">
        <v>4164769.8000000003</v>
      </c>
      <c r="G17" s="23">
        <v>0</v>
      </c>
      <c r="H17" s="23">
        <v>0</v>
      </c>
      <c r="I17" s="23">
        <v>0</v>
      </c>
      <c r="J17" s="23">
        <v>0</v>
      </c>
      <c r="K17" s="23">
        <v>1326000</v>
      </c>
      <c r="L17" s="23">
        <v>0</v>
      </c>
      <c r="M17" s="23">
        <v>7961346.5999999987</v>
      </c>
      <c r="N17" s="23">
        <v>0</v>
      </c>
      <c r="O17" s="26">
        <v>1259596.4799999997</v>
      </c>
    </row>
    <row r="18" spans="1:15" ht="15.75" hidden="1" thickBot="1" x14ac:dyDescent="0.3">
      <c r="A18" s="21"/>
      <c r="B18" s="22" t="s">
        <v>36</v>
      </c>
      <c r="C18" s="23">
        <v>2340.9000000000005</v>
      </c>
      <c r="D18" s="23">
        <v>147476.70000000001</v>
      </c>
      <c r="E18" s="23">
        <v>1355.7759999999989</v>
      </c>
      <c r="F18" s="23">
        <v>406732.7999999997</v>
      </c>
      <c r="G18" s="23">
        <v>0</v>
      </c>
      <c r="H18" s="23">
        <v>0</v>
      </c>
      <c r="I18" s="23">
        <v>0</v>
      </c>
      <c r="J18" s="23">
        <v>0</v>
      </c>
      <c r="K18" s="23">
        <v>1326000</v>
      </c>
      <c r="L18" s="23">
        <v>0</v>
      </c>
      <c r="M18" s="23">
        <v>2621209.5</v>
      </c>
      <c r="N18" s="23">
        <v>0</v>
      </c>
      <c r="O18" s="26">
        <v>1377424.7999999998</v>
      </c>
    </row>
    <row r="19" spans="1:15" ht="15.75" hidden="1" thickBot="1" x14ac:dyDescent="0.3">
      <c r="A19" s="21"/>
      <c r="B19" s="22" t="s">
        <v>37</v>
      </c>
      <c r="C19" s="23">
        <v>5159.0999999999995</v>
      </c>
      <c r="D19" s="23">
        <v>325023.30000000005</v>
      </c>
      <c r="E19" s="23">
        <v>3170.933</v>
      </c>
      <c r="F19" s="23">
        <v>951279.90000000014</v>
      </c>
      <c r="G19" s="23">
        <v>0</v>
      </c>
      <c r="H19" s="23">
        <v>0</v>
      </c>
      <c r="I19" s="23">
        <v>0</v>
      </c>
      <c r="J19" s="23">
        <v>0</v>
      </c>
      <c r="K19" s="23">
        <v>1326000</v>
      </c>
      <c r="L19" s="23">
        <v>0</v>
      </c>
      <c r="M19" s="23">
        <v>3343303.1999999997</v>
      </c>
      <c r="N19" s="23">
        <v>0</v>
      </c>
      <c r="O19" s="26">
        <v>1573253.1199999999</v>
      </c>
    </row>
    <row r="20" spans="1:15" ht="15.75" hidden="1" thickBot="1" x14ac:dyDescent="0.3">
      <c r="A20" s="21">
        <v>2004</v>
      </c>
      <c r="B20" s="22" t="s">
        <v>38</v>
      </c>
      <c r="C20" s="23">
        <v>2563.2999999999997</v>
      </c>
      <c r="D20" s="23">
        <v>161487.89999999997</v>
      </c>
      <c r="E20" s="23">
        <v>1873.0900000000001</v>
      </c>
      <c r="F20" s="23">
        <v>561927</v>
      </c>
      <c r="G20" s="23">
        <v>0</v>
      </c>
      <c r="H20" s="23">
        <v>0</v>
      </c>
      <c r="I20" s="23">
        <v>0</v>
      </c>
      <c r="J20" s="23">
        <v>0</v>
      </c>
      <c r="K20" s="23">
        <v>1326000</v>
      </c>
      <c r="L20" s="23">
        <v>0</v>
      </c>
      <c r="M20" s="23">
        <v>3037614.8999999994</v>
      </c>
      <c r="N20" s="23">
        <v>0</v>
      </c>
      <c r="O20" s="26">
        <v>1769081.44</v>
      </c>
    </row>
    <row r="21" spans="1:15" ht="15.75" hidden="1" thickBot="1" x14ac:dyDescent="0.3">
      <c r="A21" s="21"/>
      <c r="B21" s="22" t="s">
        <v>27</v>
      </c>
      <c r="C21" s="23">
        <v>3820.5000000000018</v>
      </c>
      <c r="D21" s="23">
        <v>240691.50000000009</v>
      </c>
      <c r="E21" s="23">
        <v>3965.3100000000004</v>
      </c>
      <c r="F21" s="23">
        <v>1217067</v>
      </c>
      <c r="G21" s="23">
        <v>0</v>
      </c>
      <c r="H21" s="23">
        <v>0</v>
      </c>
      <c r="I21" s="23">
        <v>0</v>
      </c>
      <c r="J21" s="23">
        <v>0</v>
      </c>
      <c r="K21" s="23">
        <v>1326000</v>
      </c>
      <c r="L21" s="23">
        <v>0</v>
      </c>
      <c r="M21" s="23">
        <v>3530158.5</v>
      </c>
      <c r="N21" s="23">
        <v>39000</v>
      </c>
      <c r="O21" s="26">
        <v>1925909.76</v>
      </c>
    </row>
    <row r="22" spans="1:15" ht="15.75" hidden="1" thickBot="1" x14ac:dyDescent="0.3">
      <c r="A22" s="21"/>
      <c r="B22" s="22" t="s">
        <v>28</v>
      </c>
      <c r="C22" s="23">
        <v>4241.7999999999975</v>
      </c>
      <c r="D22" s="23">
        <v>267233.39999999979</v>
      </c>
      <c r="E22" s="23">
        <v>1839.0900000000001</v>
      </c>
      <c r="F22" s="23">
        <v>554895.00000000012</v>
      </c>
      <c r="G22" s="23">
        <v>0</v>
      </c>
      <c r="H22" s="23">
        <v>0</v>
      </c>
      <c r="I22" s="23">
        <v>0</v>
      </c>
      <c r="J22" s="23">
        <v>0</v>
      </c>
      <c r="K22" s="23">
        <v>1326000</v>
      </c>
      <c r="L22" s="23">
        <v>0</v>
      </c>
      <c r="M22" s="23">
        <v>2889128.4</v>
      </c>
      <c r="N22" s="23">
        <v>0</v>
      </c>
      <c r="O22" s="26">
        <v>2201205.98</v>
      </c>
    </row>
    <row r="23" spans="1:15" ht="15.75" hidden="1" thickBot="1" x14ac:dyDescent="0.3">
      <c r="A23" s="21"/>
      <c r="B23" s="22" t="s">
        <v>29</v>
      </c>
      <c r="C23" s="23">
        <v>2856.4000000000019</v>
      </c>
      <c r="D23" s="23">
        <v>179953.20000000013</v>
      </c>
      <c r="E23" s="23">
        <v>690.50999999999931</v>
      </c>
      <c r="F23" s="23">
        <v>248583.59999999974</v>
      </c>
      <c r="G23" s="23">
        <v>0</v>
      </c>
      <c r="H23" s="23">
        <v>0</v>
      </c>
      <c r="I23" s="23">
        <v>0</v>
      </c>
      <c r="J23" s="23">
        <v>0</v>
      </c>
      <c r="K23" s="23">
        <v>1326000</v>
      </c>
      <c r="L23" s="23">
        <v>0</v>
      </c>
      <c r="M23" s="23">
        <v>2495536.8000000003</v>
      </c>
      <c r="N23" s="23">
        <v>0</v>
      </c>
      <c r="O23" s="26">
        <v>2514884.8000000003</v>
      </c>
    </row>
    <row r="24" spans="1:15" ht="15.75" hidden="1" thickBot="1" x14ac:dyDescent="0.3">
      <c r="A24" s="21"/>
      <c r="B24" s="22" t="s">
        <v>30</v>
      </c>
      <c r="C24" s="23">
        <v>2942.5999999999981</v>
      </c>
      <c r="D24" s="23">
        <v>185383.79999999987</v>
      </c>
      <c r="E24" s="23">
        <v>618.50000000000011</v>
      </c>
      <c r="F24" s="23">
        <v>222660.00000000003</v>
      </c>
      <c r="G24" s="23">
        <v>0</v>
      </c>
      <c r="H24" s="23">
        <v>0</v>
      </c>
      <c r="I24" s="23">
        <v>0</v>
      </c>
      <c r="J24" s="23">
        <v>0</v>
      </c>
      <c r="K24" s="23">
        <v>2067000</v>
      </c>
      <c r="L24" s="23">
        <v>33872</v>
      </c>
      <c r="M24" s="23">
        <v>2475043.7999999998</v>
      </c>
      <c r="N24" s="23">
        <v>0</v>
      </c>
      <c r="O24" s="26">
        <v>3306864.3200000003</v>
      </c>
    </row>
    <row r="25" spans="1:15" ht="15.75" hidden="1" thickBot="1" x14ac:dyDescent="0.3">
      <c r="A25" s="21"/>
      <c r="B25" s="22" t="s">
        <v>31</v>
      </c>
      <c r="C25" s="23">
        <v>2709.5000000000009</v>
      </c>
      <c r="D25" s="23">
        <v>170698.50000000006</v>
      </c>
      <c r="E25" s="23">
        <v>401.70000000000056</v>
      </c>
      <c r="F25" s="23">
        <v>144612.0000000002</v>
      </c>
      <c r="G25" s="23">
        <v>0</v>
      </c>
      <c r="H25" s="23">
        <v>0</v>
      </c>
      <c r="I25" s="23">
        <v>0</v>
      </c>
      <c r="J25" s="23">
        <v>0</v>
      </c>
      <c r="K25" s="23">
        <v>2067000</v>
      </c>
      <c r="L25" s="23">
        <v>34030</v>
      </c>
      <c r="M25" s="23">
        <v>2382310.5000000009</v>
      </c>
      <c r="N25" s="23">
        <v>378000</v>
      </c>
      <c r="O25" s="26">
        <v>3878975.54</v>
      </c>
    </row>
    <row r="26" spans="1:15" ht="15.75" hidden="1" thickBot="1" x14ac:dyDescent="0.3">
      <c r="A26" s="21"/>
      <c r="B26" s="22" t="s">
        <v>32</v>
      </c>
      <c r="C26" s="23">
        <v>3505.2999999999984</v>
      </c>
      <c r="D26" s="23">
        <v>220833.89999999991</v>
      </c>
      <c r="E26" s="23">
        <v>338.50000000000011</v>
      </c>
      <c r="F26" s="23">
        <v>121860.00000000004</v>
      </c>
      <c r="G26" s="23">
        <v>0</v>
      </c>
      <c r="H26" s="23">
        <v>0</v>
      </c>
      <c r="I26" s="23">
        <v>0</v>
      </c>
      <c r="J26" s="23">
        <v>0</v>
      </c>
      <c r="K26" s="23">
        <v>2067000</v>
      </c>
      <c r="L26" s="23">
        <v>34178</v>
      </c>
      <c r="M26" s="23">
        <v>2409693.9</v>
      </c>
      <c r="N26" s="23">
        <v>585000</v>
      </c>
      <c r="O26" s="26">
        <v>4971361.8600000003</v>
      </c>
    </row>
    <row r="27" spans="1:15" ht="15.75" hidden="1" thickBot="1" x14ac:dyDescent="0.3">
      <c r="A27" s="21"/>
      <c r="B27" s="22" t="s">
        <v>33</v>
      </c>
      <c r="C27" s="23">
        <v>3102.1000000000022</v>
      </c>
      <c r="D27" s="23">
        <v>195432.30000000013</v>
      </c>
      <c r="E27" s="23">
        <v>412.49999999999955</v>
      </c>
      <c r="F27" s="23">
        <v>148499.99999999983</v>
      </c>
      <c r="G27" s="23">
        <v>0</v>
      </c>
      <c r="H27" s="23">
        <v>0</v>
      </c>
      <c r="I27" s="23">
        <v>0</v>
      </c>
      <c r="J27" s="23">
        <v>0</v>
      </c>
      <c r="K27" s="23">
        <v>2067000</v>
      </c>
      <c r="L27" s="23">
        <v>34266</v>
      </c>
      <c r="M27" s="23">
        <v>2410932.3000000003</v>
      </c>
      <c r="N27" s="23">
        <v>1440118</v>
      </c>
      <c r="O27" s="26">
        <v>5738906.9800000014</v>
      </c>
    </row>
    <row r="28" spans="1:15" ht="15.75" hidden="1" thickBot="1" x14ac:dyDescent="0.3">
      <c r="A28" s="21"/>
      <c r="B28" s="22" t="s">
        <v>34</v>
      </c>
      <c r="C28" s="23">
        <v>3402.9</v>
      </c>
      <c r="D28" s="23">
        <v>214382.7</v>
      </c>
      <c r="E28" s="23">
        <v>918.89999999999986</v>
      </c>
      <c r="F28" s="23">
        <v>330803.99999999994</v>
      </c>
      <c r="G28" s="23">
        <v>0</v>
      </c>
      <c r="H28" s="23">
        <v>0</v>
      </c>
      <c r="I28" s="23">
        <v>0</v>
      </c>
      <c r="J28" s="23">
        <v>0</v>
      </c>
      <c r="K28" s="23">
        <v>2067000</v>
      </c>
      <c r="L28" s="23">
        <v>34382</v>
      </c>
      <c r="M28" s="23">
        <v>2612186.6999999997</v>
      </c>
      <c r="N28" s="23">
        <v>1967881</v>
      </c>
      <c r="O28" s="26">
        <v>6237258.4000000004</v>
      </c>
    </row>
    <row r="29" spans="1:15" ht="15.75" hidden="1" thickBot="1" x14ac:dyDescent="0.3">
      <c r="A29" s="21"/>
      <c r="B29" s="22" t="s">
        <v>35</v>
      </c>
      <c r="C29" s="23">
        <v>2757.8999999999996</v>
      </c>
      <c r="D29" s="23">
        <v>173747.69999999998</v>
      </c>
      <c r="E29" s="23">
        <v>1223</v>
      </c>
      <c r="F29" s="23">
        <v>440280</v>
      </c>
      <c r="G29" s="23">
        <v>0</v>
      </c>
      <c r="H29" s="23">
        <v>0</v>
      </c>
      <c r="I29" s="23">
        <v>0</v>
      </c>
      <c r="J29" s="23">
        <v>0</v>
      </c>
      <c r="K29" s="23">
        <v>2067000</v>
      </c>
      <c r="L29" s="23">
        <v>68894</v>
      </c>
      <c r="M29" s="23">
        <v>2681027.7000000007</v>
      </c>
      <c r="N29" s="23">
        <v>2877043</v>
      </c>
      <c r="O29" s="26">
        <v>6255044.4200000009</v>
      </c>
    </row>
    <row r="30" spans="1:15" ht="15.75" hidden="1" thickBot="1" x14ac:dyDescent="0.3">
      <c r="A30" s="21"/>
      <c r="B30" s="22" t="s">
        <v>36</v>
      </c>
      <c r="C30" s="23">
        <v>3506.8</v>
      </c>
      <c r="D30" s="23">
        <v>220928.39999999994</v>
      </c>
      <c r="E30" s="23">
        <v>1586.7000000000007</v>
      </c>
      <c r="F30" s="23">
        <v>571212.00000000023</v>
      </c>
      <c r="G30" s="23">
        <v>0</v>
      </c>
      <c r="H30" s="23">
        <v>0</v>
      </c>
      <c r="I30" s="23">
        <v>0</v>
      </c>
      <c r="J30" s="23">
        <v>0</v>
      </c>
      <c r="K30" s="23">
        <v>2106000</v>
      </c>
      <c r="L30" s="23">
        <v>69060</v>
      </c>
      <c r="M30" s="23">
        <v>2898140.4</v>
      </c>
      <c r="N30" s="23">
        <v>2237157</v>
      </c>
      <c r="O30" s="26">
        <v>7031129.1400000006</v>
      </c>
    </row>
    <row r="31" spans="1:15" ht="15.75" hidden="1" thickBot="1" x14ac:dyDescent="0.3">
      <c r="A31" s="21"/>
      <c r="B31" s="22" t="s">
        <v>37</v>
      </c>
      <c r="C31" s="23">
        <v>2803.6000000000004</v>
      </c>
      <c r="D31" s="23">
        <v>176626.80000000002</v>
      </c>
      <c r="E31" s="23">
        <v>1606.3999999999996</v>
      </c>
      <c r="F31" s="23">
        <v>578304</v>
      </c>
      <c r="G31" s="23">
        <v>0</v>
      </c>
      <c r="H31" s="23">
        <v>0</v>
      </c>
      <c r="I31" s="23">
        <v>0</v>
      </c>
      <c r="J31" s="23">
        <v>0</v>
      </c>
      <c r="K31" s="23">
        <v>2106000</v>
      </c>
      <c r="L31" s="23">
        <v>69268</v>
      </c>
      <c r="M31" s="23">
        <v>2860930.8</v>
      </c>
      <c r="N31" s="23">
        <v>2512020</v>
      </c>
      <c r="O31" s="26">
        <v>7254047.2599999998</v>
      </c>
    </row>
    <row r="32" spans="1:15" ht="15.75" hidden="1" thickBot="1" x14ac:dyDescent="0.3">
      <c r="A32" s="21">
        <v>2005</v>
      </c>
      <c r="B32" s="22" t="s">
        <v>38</v>
      </c>
      <c r="C32" s="23">
        <v>7712.2999999999993</v>
      </c>
      <c r="D32" s="23">
        <v>485874.9</v>
      </c>
      <c r="E32" s="23">
        <v>2949.1000000000004</v>
      </c>
      <c r="F32" s="23">
        <v>1061676</v>
      </c>
      <c r="G32" s="23">
        <v>0</v>
      </c>
      <c r="H32" s="23">
        <v>0</v>
      </c>
      <c r="I32" s="23">
        <v>0</v>
      </c>
      <c r="J32" s="23">
        <v>0</v>
      </c>
      <c r="K32" s="23">
        <v>2106000</v>
      </c>
      <c r="L32" s="23">
        <v>69132</v>
      </c>
      <c r="M32" s="23">
        <v>4667550.8999999994</v>
      </c>
      <c r="N32" s="23">
        <v>1645290</v>
      </c>
      <c r="O32" s="26">
        <v>10070181.48</v>
      </c>
    </row>
    <row r="33" spans="1:15" ht="15.75" hidden="1" thickBot="1" x14ac:dyDescent="0.3">
      <c r="A33" s="21"/>
      <c r="B33" s="22" t="s">
        <v>27</v>
      </c>
      <c r="C33" s="23">
        <v>5422</v>
      </c>
      <c r="D33" s="23">
        <v>341586</v>
      </c>
      <c r="E33" s="23">
        <v>2664.1000000000004</v>
      </c>
      <c r="F33" s="23">
        <v>959076</v>
      </c>
      <c r="G33" s="23">
        <v>4000</v>
      </c>
      <c r="H33" s="23">
        <v>0</v>
      </c>
      <c r="I33" s="23">
        <v>234000</v>
      </c>
      <c r="J33" s="23">
        <v>52000</v>
      </c>
      <c r="K33" s="23">
        <v>2067000</v>
      </c>
      <c r="L33" s="23">
        <v>68910</v>
      </c>
      <c r="M33" s="23">
        <v>3423662</v>
      </c>
      <c r="N33" s="23">
        <v>2651289</v>
      </c>
      <c r="O33" s="26">
        <v>11108403.800000001</v>
      </c>
    </row>
    <row r="34" spans="1:15" ht="15.75" hidden="1" thickBot="1" x14ac:dyDescent="0.3">
      <c r="A34" s="21"/>
      <c r="B34" s="22" t="s">
        <v>28</v>
      </c>
      <c r="C34" s="23">
        <v>4325</v>
      </c>
      <c r="D34" s="23">
        <v>272475</v>
      </c>
      <c r="E34" s="23">
        <v>2112.2999999999997</v>
      </c>
      <c r="F34" s="23">
        <v>760427.99999999988</v>
      </c>
      <c r="G34" s="23">
        <v>4000</v>
      </c>
      <c r="H34" s="23">
        <v>0</v>
      </c>
      <c r="I34" s="23">
        <v>0</v>
      </c>
      <c r="J34" s="23">
        <v>52000</v>
      </c>
      <c r="K34" s="23">
        <v>2106000</v>
      </c>
      <c r="L34" s="23">
        <v>68796</v>
      </c>
      <c r="M34" s="23">
        <v>3194903</v>
      </c>
      <c r="N34" s="23">
        <v>3965741</v>
      </c>
      <c r="O34" s="26">
        <v>10390568.120000001</v>
      </c>
    </row>
    <row r="35" spans="1:15" ht="15.75" hidden="1" thickBot="1" x14ac:dyDescent="0.3">
      <c r="A35" s="21"/>
      <c r="B35" s="22" t="s">
        <v>29</v>
      </c>
      <c r="C35" s="23">
        <v>4912.8999999999996</v>
      </c>
      <c r="D35" s="23">
        <v>309512.7</v>
      </c>
      <c r="E35" s="23">
        <v>1621.9</v>
      </c>
      <c r="F35" s="23">
        <v>583884</v>
      </c>
      <c r="G35" s="23">
        <v>4000</v>
      </c>
      <c r="H35" s="23">
        <v>0</v>
      </c>
      <c r="I35" s="23">
        <v>0</v>
      </c>
      <c r="J35" s="23">
        <v>52000</v>
      </c>
      <c r="K35" s="23">
        <v>2106000</v>
      </c>
      <c r="L35" s="23">
        <v>69064</v>
      </c>
      <c r="M35" s="23">
        <v>3075396.7</v>
      </c>
      <c r="N35" s="23">
        <v>2657531</v>
      </c>
      <c r="O35" s="26">
        <v>10670317.140000001</v>
      </c>
    </row>
    <row r="36" spans="1:15" ht="15.75" hidden="1" thickBot="1" x14ac:dyDescent="0.3">
      <c r="A36" s="21"/>
      <c r="B36" s="22" t="s">
        <v>30</v>
      </c>
      <c r="C36" s="23">
        <v>4707.2</v>
      </c>
      <c r="D36" s="23">
        <v>296553.59999999998</v>
      </c>
      <c r="E36" s="23">
        <v>729.05</v>
      </c>
      <c r="F36" s="23">
        <v>262458</v>
      </c>
      <c r="G36" s="23">
        <v>4000</v>
      </c>
      <c r="H36" s="23">
        <v>0</v>
      </c>
      <c r="I36" s="23">
        <v>0</v>
      </c>
      <c r="J36" s="23">
        <v>152000</v>
      </c>
      <c r="K36" s="23">
        <v>2106000</v>
      </c>
      <c r="L36" s="23">
        <v>69630</v>
      </c>
      <c r="M36" s="23">
        <v>2741011.6</v>
      </c>
      <c r="N36" s="23">
        <v>2780228</v>
      </c>
      <c r="O36" s="26">
        <v>10672227.060000001</v>
      </c>
    </row>
    <row r="37" spans="1:15" ht="15.75" hidden="1" thickBot="1" x14ac:dyDescent="0.3">
      <c r="A37" s="21"/>
      <c r="B37" s="22" t="s">
        <v>31</v>
      </c>
      <c r="C37" s="23">
        <v>4815.6000000000004</v>
      </c>
      <c r="D37" s="23">
        <v>303382.80000000005</v>
      </c>
      <c r="E37" s="23">
        <v>424.21</v>
      </c>
      <c r="F37" s="23">
        <v>152715.59999999998</v>
      </c>
      <c r="G37" s="23">
        <v>4000</v>
      </c>
      <c r="H37" s="23">
        <v>0</v>
      </c>
      <c r="I37" s="23">
        <v>0</v>
      </c>
      <c r="J37" s="23">
        <v>148000</v>
      </c>
      <c r="K37" s="23">
        <v>2106000</v>
      </c>
      <c r="L37" s="23">
        <v>69958</v>
      </c>
      <c r="M37" s="23">
        <v>2634098.3999999994</v>
      </c>
      <c r="N37" s="23">
        <v>1927223</v>
      </c>
      <c r="O37" s="26">
        <v>11438513.979999999</v>
      </c>
    </row>
    <row r="38" spans="1:15" ht="15.75" hidden="1" thickBot="1" x14ac:dyDescent="0.3">
      <c r="A38" s="21"/>
      <c r="B38" s="22" t="s">
        <v>32</v>
      </c>
      <c r="C38" s="23">
        <v>4351</v>
      </c>
      <c r="D38" s="23">
        <v>274113</v>
      </c>
      <c r="E38" s="23">
        <v>457.24000000000132</v>
      </c>
      <c r="F38" s="23">
        <v>164606.40000000049</v>
      </c>
      <c r="G38" s="23">
        <v>4000</v>
      </c>
      <c r="H38" s="23">
        <v>0</v>
      </c>
      <c r="I38" s="23">
        <v>0</v>
      </c>
      <c r="J38" s="23">
        <v>148000</v>
      </c>
      <c r="K38" s="23">
        <v>2106000</v>
      </c>
      <c r="L38" s="23">
        <v>70218</v>
      </c>
      <c r="M38" s="23">
        <v>2616719.4000000004</v>
      </c>
      <c r="N38" s="23">
        <v>1738428</v>
      </c>
      <c r="O38" s="26">
        <v>12228039.300000001</v>
      </c>
    </row>
    <row r="39" spans="1:15" ht="15.75" hidden="1" thickBot="1" x14ac:dyDescent="0.3">
      <c r="A39" s="21"/>
      <c r="B39" s="22" t="s">
        <v>33</v>
      </c>
      <c r="C39" s="23">
        <v>4403.7000000000007</v>
      </c>
      <c r="D39" s="23">
        <v>277433.10000000009</v>
      </c>
      <c r="E39" s="23">
        <v>490.59999999999906</v>
      </c>
      <c r="F39" s="23">
        <v>176615.99999999965</v>
      </c>
      <c r="G39" s="23">
        <v>4000</v>
      </c>
      <c r="H39" s="23">
        <v>0</v>
      </c>
      <c r="I39" s="23">
        <v>0</v>
      </c>
      <c r="J39" s="23">
        <v>148000</v>
      </c>
      <c r="K39" s="23">
        <v>2106000</v>
      </c>
      <c r="L39" s="23">
        <v>70600</v>
      </c>
      <c r="M39" s="23">
        <v>2632049.0999999996</v>
      </c>
      <c r="N39" s="23">
        <v>4177637</v>
      </c>
      <c r="O39" s="26">
        <v>10599814.92</v>
      </c>
    </row>
    <row r="40" spans="1:15" ht="15.75" hidden="1" thickBot="1" x14ac:dyDescent="0.3">
      <c r="A40" s="21"/>
      <c r="B40" s="22" t="s">
        <v>34</v>
      </c>
      <c r="C40" s="23">
        <v>4124.7999999999984</v>
      </c>
      <c r="D40" s="23">
        <v>259862.39999999991</v>
      </c>
      <c r="E40" s="23">
        <v>593.89999999999964</v>
      </c>
      <c r="F40" s="23">
        <v>213803.99999999988</v>
      </c>
      <c r="G40" s="23">
        <v>4000</v>
      </c>
      <c r="H40" s="23">
        <v>0</v>
      </c>
      <c r="I40" s="23">
        <v>0</v>
      </c>
      <c r="J40" s="23">
        <v>148000</v>
      </c>
      <c r="K40" s="23">
        <v>2093000</v>
      </c>
      <c r="L40" s="23">
        <v>70870</v>
      </c>
      <c r="M40" s="23">
        <v>2638666.4</v>
      </c>
      <c r="N40" s="23">
        <v>1481816</v>
      </c>
      <c r="O40" s="26">
        <v>11195800.639999999</v>
      </c>
    </row>
    <row r="41" spans="1:15" ht="15.75" hidden="1" thickBot="1" x14ac:dyDescent="0.3">
      <c r="A41" s="21"/>
      <c r="B41" s="22" t="s">
        <v>35</v>
      </c>
      <c r="C41" s="23">
        <v>5611</v>
      </c>
      <c r="D41" s="23">
        <v>353493</v>
      </c>
      <c r="E41" s="23">
        <v>965</v>
      </c>
      <c r="F41" s="23">
        <v>347400</v>
      </c>
      <c r="G41" s="23">
        <v>4000</v>
      </c>
      <c r="H41" s="23">
        <v>0</v>
      </c>
      <c r="I41" s="23">
        <v>0</v>
      </c>
      <c r="J41" s="23">
        <v>144000</v>
      </c>
      <c r="K41" s="23">
        <v>2145000</v>
      </c>
      <c r="L41" s="23">
        <v>71436</v>
      </c>
      <c r="M41" s="23">
        <v>2952893</v>
      </c>
      <c r="N41" s="23">
        <v>2030873</v>
      </c>
      <c r="O41" s="26">
        <v>12325406.959999999</v>
      </c>
    </row>
    <row r="42" spans="1:15" ht="15.75" hidden="1" thickBot="1" x14ac:dyDescent="0.3">
      <c r="A42" s="21"/>
      <c r="B42" s="22" t="s">
        <v>36</v>
      </c>
      <c r="C42" s="23">
        <v>3674</v>
      </c>
      <c r="D42" s="23">
        <v>231462</v>
      </c>
      <c r="E42" s="23">
        <v>1833</v>
      </c>
      <c r="F42" s="23">
        <v>659880</v>
      </c>
      <c r="G42" s="23">
        <v>4000</v>
      </c>
      <c r="H42" s="23">
        <v>0</v>
      </c>
      <c r="I42" s="23">
        <v>0</v>
      </c>
      <c r="J42" s="23">
        <v>144000</v>
      </c>
      <c r="K42" s="23">
        <v>2184000</v>
      </c>
      <c r="L42" s="23">
        <v>71894</v>
      </c>
      <c r="M42" s="23">
        <v>3143342</v>
      </c>
      <c r="N42" s="23">
        <v>1750681</v>
      </c>
      <c r="O42" s="26">
        <v>13712498.979999997</v>
      </c>
    </row>
    <row r="43" spans="1:15" ht="15.75" hidden="1" thickBot="1" x14ac:dyDescent="0.3">
      <c r="A43" s="21"/>
      <c r="B43" s="22" t="s">
        <v>37</v>
      </c>
      <c r="C43" s="23">
        <v>30751</v>
      </c>
      <c r="D43" s="23">
        <v>1937313</v>
      </c>
      <c r="E43" s="23">
        <v>2005</v>
      </c>
      <c r="F43" s="23">
        <v>721800</v>
      </c>
      <c r="G43" s="23">
        <v>4000</v>
      </c>
      <c r="H43" s="23">
        <v>0</v>
      </c>
      <c r="I43" s="23">
        <v>0</v>
      </c>
      <c r="J43" s="23">
        <v>144000</v>
      </c>
      <c r="K43" s="23">
        <v>2184000</v>
      </c>
      <c r="L43" s="23">
        <v>71900</v>
      </c>
      <c r="M43" s="23">
        <v>4911113</v>
      </c>
      <c r="N43" s="23">
        <v>3136538</v>
      </c>
      <c r="O43" s="26">
        <v>13451382.299999997</v>
      </c>
    </row>
    <row r="44" spans="1:15" ht="15.75" hidden="1" thickBot="1" x14ac:dyDescent="0.3">
      <c r="A44" s="21">
        <v>2006</v>
      </c>
      <c r="B44" s="22" t="s">
        <v>38</v>
      </c>
      <c r="C44" s="23">
        <v>9378</v>
      </c>
      <c r="D44" s="23">
        <v>590814</v>
      </c>
      <c r="E44" s="23">
        <v>3796</v>
      </c>
      <c r="F44" s="23">
        <v>1366560</v>
      </c>
      <c r="G44" s="23">
        <v>4000</v>
      </c>
      <c r="H44" s="23">
        <v>0</v>
      </c>
      <c r="I44" s="23">
        <v>0</v>
      </c>
      <c r="J44" s="23">
        <v>144000</v>
      </c>
      <c r="K44" s="23">
        <v>2145000</v>
      </c>
      <c r="L44" s="23">
        <v>71704</v>
      </c>
      <c r="M44" s="23">
        <v>4170374</v>
      </c>
      <c r="N44" s="23">
        <v>2766617</v>
      </c>
      <c r="O44" s="26">
        <v>15069148.619999997</v>
      </c>
    </row>
    <row r="45" spans="1:15" ht="15.75" hidden="1" thickBot="1" x14ac:dyDescent="0.3">
      <c r="A45" s="21"/>
      <c r="B45" s="22" t="s">
        <v>27</v>
      </c>
      <c r="C45" s="23">
        <v>6987</v>
      </c>
      <c r="D45" s="23">
        <v>440181</v>
      </c>
      <c r="E45" s="23">
        <v>3022</v>
      </c>
      <c r="F45" s="23">
        <v>1087920</v>
      </c>
      <c r="G45" s="23">
        <v>4000</v>
      </c>
      <c r="H45" s="23">
        <v>0</v>
      </c>
      <c r="I45" s="23">
        <v>0</v>
      </c>
      <c r="J45" s="23">
        <v>144000</v>
      </c>
      <c r="K45" s="23">
        <v>2145000</v>
      </c>
      <c r="L45" s="23">
        <v>71690</v>
      </c>
      <c r="M45" s="23">
        <v>3741101</v>
      </c>
      <c r="N45" s="23">
        <v>2313262</v>
      </c>
      <c r="O45" s="26">
        <v>17038381.939999998</v>
      </c>
    </row>
    <row r="46" spans="1:15" ht="15.75" hidden="1" thickBot="1" x14ac:dyDescent="0.3">
      <c r="A46" s="21"/>
      <c r="B46" s="22" t="s">
        <v>28</v>
      </c>
      <c r="C46" s="23">
        <v>4059</v>
      </c>
      <c r="D46" s="23">
        <v>255717</v>
      </c>
      <c r="E46" s="23">
        <v>2413</v>
      </c>
      <c r="F46" s="23">
        <v>868680</v>
      </c>
      <c r="G46" s="23">
        <v>4000</v>
      </c>
      <c r="H46" s="23">
        <v>0</v>
      </c>
      <c r="I46" s="23">
        <v>0</v>
      </c>
      <c r="J46" s="23">
        <v>144000</v>
      </c>
      <c r="K46" s="23">
        <v>2184000</v>
      </c>
      <c r="L46" s="23">
        <v>71662</v>
      </c>
      <c r="M46" s="23">
        <v>3376397</v>
      </c>
      <c r="N46" s="23">
        <v>4257898</v>
      </c>
      <c r="O46" s="26">
        <v>16042480.259999998</v>
      </c>
    </row>
    <row r="47" spans="1:15" ht="15.75" hidden="1" thickBot="1" x14ac:dyDescent="0.3">
      <c r="A47" s="21"/>
      <c r="B47" s="22" t="s">
        <v>29</v>
      </c>
      <c r="C47" s="23">
        <v>4574</v>
      </c>
      <c r="D47" s="23">
        <v>288162</v>
      </c>
      <c r="E47" s="23">
        <v>2520</v>
      </c>
      <c r="F47" s="23">
        <v>907200</v>
      </c>
      <c r="G47" s="23">
        <v>4000</v>
      </c>
      <c r="H47" s="23">
        <v>0</v>
      </c>
      <c r="I47" s="23">
        <v>0</v>
      </c>
      <c r="J47" s="23">
        <v>144000</v>
      </c>
      <c r="K47" s="23">
        <v>2184000</v>
      </c>
      <c r="L47" s="23">
        <v>71942</v>
      </c>
      <c r="M47" s="23">
        <v>3447362</v>
      </c>
      <c r="N47" s="23">
        <v>2712800</v>
      </c>
      <c r="O47" s="26">
        <v>16715466.579999996</v>
      </c>
    </row>
    <row r="48" spans="1:15" ht="15.75" hidden="1" thickBot="1" x14ac:dyDescent="0.3">
      <c r="A48" s="21"/>
      <c r="B48" s="22" t="s">
        <v>30</v>
      </c>
      <c r="C48" s="23">
        <v>4903</v>
      </c>
      <c r="D48" s="23">
        <v>308889</v>
      </c>
      <c r="E48" s="23">
        <v>1666</v>
      </c>
      <c r="F48" s="23">
        <v>599760</v>
      </c>
      <c r="G48" s="23">
        <v>4000</v>
      </c>
      <c r="H48" s="23">
        <v>0</v>
      </c>
      <c r="I48" s="23">
        <v>0</v>
      </c>
      <c r="J48" s="23">
        <v>144000</v>
      </c>
      <c r="K48" s="23">
        <v>2184000</v>
      </c>
      <c r="L48" s="23">
        <v>72378</v>
      </c>
      <c r="M48" s="23">
        <v>3160649</v>
      </c>
      <c r="N48" s="23">
        <v>2404904</v>
      </c>
      <c r="O48" s="26">
        <v>17334743.899999999</v>
      </c>
    </row>
    <row r="49" spans="1:15" ht="15.75" hidden="1" thickBot="1" x14ac:dyDescent="0.3">
      <c r="A49" s="21"/>
      <c r="B49" s="22" t="s">
        <v>31</v>
      </c>
      <c r="C49" s="23">
        <v>4849</v>
      </c>
      <c r="D49" s="23">
        <v>305487</v>
      </c>
      <c r="E49" s="23">
        <v>509</v>
      </c>
      <c r="F49" s="23">
        <v>183240</v>
      </c>
      <c r="G49" s="23">
        <v>4000</v>
      </c>
      <c r="H49" s="23">
        <v>0</v>
      </c>
      <c r="I49" s="23">
        <v>0</v>
      </c>
      <c r="J49" s="23">
        <v>144000</v>
      </c>
      <c r="K49" s="23">
        <v>2184000</v>
      </c>
      <c r="L49" s="23">
        <v>72606</v>
      </c>
      <c r="M49" s="23">
        <v>2740727</v>
      </c>
      <c r="N49" s="23">
        <v>3621557</v>
      </c>
      <c r="O49" s="26">
        <v>16367874.219999997</v>
      </c>
    </row>
    <row r="50" spans="1:15" ht="15.75" hidden="1" thickBot="1" x14ac:dyDescent="0.3">
      <c r="A50" s="21"/>
      <c r="B50" s="22" t="s">
        <v>32</v>
      </c>
      <c r="C50" s="23">
        <v>3158</v>
      </c>
      <c r="D50" s="23">
        <v>198954</v>
      </c>
      <c r="E50" s="23">
        <v>275</v>
      </c>
      <c r="F50" s="23">
        <v>99000</v>
      </c>
      <c r="G50" s="23">
        <v>4000</v>
      </c>
      <c r="H50" s="23">
        <v>0</v>
      </c>
      <c r="I50" s="23">
        <v>0</v>
      </c>
      <c r="J50" s="23">
        <v>144000</v>
      </c>
      <c r="K50" s="23">
        <v>2184000</v>
      </c>
      <c r="L50" s="23">
        <v>72958</v>
      </c>
      <c r="M50" s="23">
        <v>2549954</v>
      </c>
      <c r="N50" s="23">
        <v>3043733</v>
      </c>
      <c r="O50" s="26">
        <v>15505901.539999995</v>
      </c>
    </row>
    <row r="51" spans="1:15" ht="15.75" hidden="1" thickBot="1" x14ac:dyDescent="0.3">
      <c r="A51" s="21"/>
      <c r="B51" s="22" t="s">
        <v>33</v>
      </c>
      <c r="C51" s="23">
        <v>4032</v>
      </c>
      <c r="D51" s="23">
        <v>254016</v>
      </c>
      <c r="E51" s="23">
        <v>386</v>
      </c>
      <c r="F51" s="23">
        <v>138960</v>
      </c>
      <c r="G51" s="23">
        <v>4000</v>
      </c>
      <c r="H51" s="23">
        <v>0</v>
      </c>
      <c r="I51" s="23">
        <v>0</v>
      </c>
      <c r="J51" s="23">
        <v>144000</v>
      </c>
      <c r="K51" s="23">
        <v>2184000</v>
      </c>
      <c r="L51" s="23">
        <v>73344</v>
      </c>
      <c r="M51" s="23">
        <v>2644976</v>
      </c>
      <c r="N51" s="23">
        <v>1747785</v>
      </c>
      <c r="O51" s="26">
        <v>16097134.539999995</v>
      </c>
    </row>
    <row r="52" spans="1:15" ht="15.75" hidden="1" thickBot="1" x14ac:dyDescent="0.3">
      <c r="A52" s="21"/>
      <c r="B52" s="22" t="s">
        <v>34</v>
      </c>
      <c r="C52" s="23">
        <v>5495</v>
      </c>
      <c r="D52" s="23">
        <v>346185</v>
      </c>
      <c r="E52" s="23">
        <v>930</v>
      </c>
      <c r="F52" s="23">
        <v>334800</v>
      </c>
      <c r="G52" s="23">
        <v>4000</v>
      </c>
      <c r="H52" s="23">
        <v>0</v>
      </c>
      <c r="I52" s="23">
        <v>0</v>
      </c>
      <c r="J52" s="23">
        <v>144000</v>
      </c>
      <c r="K52" s="23">
        <v>2184000</v>
      </c>
      <c r="L52" s="23">
        <v>73604</v>
      </c>
      <c r="M52" s="23">
        <v>2932985</v>
      </c>
      <c r="N52" s="23">
        <v>4979603</v>
      </c>
      <c r="O52" s="26">
        <v>13879578.539999997</v>
      </c>
    </row>
    <row r="53" spans="1:15" ht="15.75" hidden="1" thickBot="1" x14ac:dyDescent="0.3">
      <c r="A53" s="21"/>
      <c r="B53" s="22" t="s">
        <v>35</v>
      </c>
      <c r="C53" s="23">
        <v>5276</v>
      </c>
      <c r="D53" s="23">
        <v>332388</v>
      </c>
      <c r="E53" s="23">
        <v>2151</v>
      </c>
      <c r="F53" s="23">
        <v>774360</v>
      </c>
      <c r="G53" s="23">
        <v>4000</v>
      </c>
      <c r="H53" s="23">
        <v>0</v>
      </c>
      <c r="I53" s="23">
        <v>0</v>
      </c>
      <c r="J53" s="23">
        <v>144000</v>
      </c>
      <c r="K53" s="23">
        <v>2184000</v>
      </c>
      <c r="L53" s="23">
        <v>73670</v>
      </c>
      <c r="M53" s="23">
        <v>3358748</v>
      </c>
      <c r="N53" s="23">
        <v>2109495</v>
      </c>
      <c r="O53" s="26">
        <v>14186815.539999997</v>
      </c>
    </row>
    <row r="54" spans="1:15" ht="15.75" hidden="1" thickBot="1" x14ac:dyDescent="0.3">
      <c r="A54" s="21"/>
      <c r="B54" s="22" t="s">
        <v>36</v>
      </c>
      <c r="C54" s="23">
        <v>5130</v>
      </c>
      <c r="D54" s="23">
        <v>323190</v>
      </c>
      <c r="E54" s="23">
        <v>3484</v>
      </c>
      <c r="F54" s="23">
        <v>1254240</v>
      </c>
      <c r="G54" s="23">
        <v>4000</v>
      </c>
      <c r="H54" s="23">
        <v>0</v>
      </c>
      <c r="I54" s="23">
        <v>0</v>
      </c>
      <c r="J54" s="23">
        <v>144000</v>
      </c>
      <c r="K54" s="23">
        <v>2184000</v>
      </c>
      <c r="L54" s="23">
        <v>73516</v>
      </c>
      <c r="M54" s="23">
        <v>3829430</v>
      </c>
      <c r="N54" s="23">
        <v>1837786</v>
      </c>
      <c r="O54" s="26">
        <v>16057686.539999995</v>
      </c>
    </row>
    <row r="55" spans="1:15" ht="15.75" hidden="1" thickBot="1" x14ac:dyDescent="0.3">
      <c r="A55" s="21"/>
      <c r="B55" s="22" t="s">
        <v>37</v>
      </c>
      <c r="C55" s="23">
        <v>3053</v>
      </c>
      <c r="D55" s="23">
        <v>192339</v>
      </c>
      <c r="E55" s="23">
        <v>1914</v>
      </c>
      <c r="F55" s="23">
        <v>689040</v>
      </c>
      <c r="G55" s="23">
        <v>4000</v>
      </c>
      <c r="H55" s="23">
        <v>0</v>
      </c>
      <c r="I55" s="23">
        <v>0</v>
      </c>
      <c r="J55" s="23">
        <v>144000</v>
      </c>
      <c r="K55" s="23">
        <v>2191000</v>
      </c>
      <c r="L55" s="23">
        <v>73346</v>
      </c>
      <c r="M55" s="23">
        <v>3336379</v>
      </c>
      <c r="N55" s="23">
        <v>3092983</v>
      </c>
      <c r="O55" s="26">
        <v>16056914.539999999</v>
      </c>
    </row>
    <row r="56" spans="1:15" ht="15.75" hidden="1" thickBot="1" x14ac:dyDescent="0.3">
      <c r="A56" s="21">
        <v>2007</v>
      </c>
      <c r="B56" s="22" t="s">
        <v>38</v>
      </c>
      <c r="C56" s="23">
        <v>8910</v>
      </c>
      <c r="D56" s="23">
        <v>561330</v>
      </c>
      <c r="E56" s="23">
        <v>3867</v>
      </c>
      <c r="F56" s="23">
        <v>1392120</v>
      </c>
      <c r="G56" s="23">
        <v>4000</v>
      </c>
      <c r="H56" s="23">
        <v>0</v>
      </c>
      <c r="I56" s="23">
        <v>0</v>
      </c>
      <c r="J56" s="23">
        <v>144000</v>
      </c>
      <c r="K56" s="23">
        <v>2615000</v>
      </c>
      <c r="L56" s="23">
        <v>73354</v>
      </c>
      <c r="M56" s="23">
        <v>4636450</v>
      </c>
      <c r="N56" s="23">
        <v>5819569</v>
      </c>
      <c r="O56" s="26">
        <v>17025441.539999999</v>
      </c>
    </row>
    <row r="57" spans="1:15" ht="15.75" hidden="1" thickBot="1" x14ac:dyDescent="0.3">
      <c r="A57" s="21"/>
      <c r="B57" s="22" t="s">
        <v>27</v>
      </c>
      <c r="C57" s="23">
        <v>7475</v>
      </c>
      <c r="D57" s="23">
        <v>470925</v>
      </c>
      <c r="E57" s="23">
        <v>3268</v>
      </c>
      <c r="F57" s="23">
        <v>1176480</v>
      </c>
      <c r="G57" s="23">
        <v>4000</v>
      </c>
      <c r="H57" s="23">
        <v>0</v>
      </c>
      <c r="I57" s="23">
        <v>0</v>
      </c>
      <c r="J57" s="23">
        <v>144000</v>
      </c>
      <c r="K57" s="23">
        <v>2615000</v>
      </c>
      <c r="L57" s="23">
        <v>73526</v>
      </c>
      <c r="M57" s="23">
        <v>4330405</v>
      </c>
      <c r="N57" s="23">
        <v>2470539</v>
      </c>
      <c r="O57" s="26">
        <v>18442992.539999995</v>
      </c>
    </row>
    <row r="58" spans="1:15" ht="15.75" hidden="1" thickBot="1" x14ac:dyDescent="0.3">
      <c r="A58" s="21"/>
      <c r="B58" s="22" t="s">
        <v>28</v>
      </c>
      <c r="C58" s="23">
        <v>4532</v>
      </c>
      <c r="D58" s="23">
        <v>285516</v>
      </c>
      <c r="E58" s="23">
        <v>2051</v>
      </c>
      <c r="F58" s="23">
        <v>738360</v>
      </c>
      <c r="G58" s="23">
        <v>4000</v>
      </c>
      <c r="H58" s="23">
        <v>0</v>
      </c>
      <c r="I58" s="23">
        <v>0</v>
      </c>
      <c r="J58" s="23">
        <v>144000</v>
      </c>
      <c r="K58" s="23">
        <v>2576000</v>
      </c>
      <c r="L58" s="23">
        <v>73492</v>
      </c>
      <c r="M58" s="23">
        <v>3667876</v>
      </c>
      <c r="N58" s="23">
        <v>5565324</v>
      </c>
      <c r="O58" s="26">
        <v>16419669.539999997</v>
      </c>
    </row>
    <row r="59" spans="1:15" ht="15.75" hidden="1" thickBot="1" x14ac:dyDescent="0.3">
      <c r="A59" s="21"/>
      <c r="B59" s="22" t="s">
        <v>29</v>
      </c>
      <c r="C59" s="23">
        <v>5264</v>
      </c>
      <c r="D59" s="23">
        <v>331632</v>
      </c>
      <c r="E59" s="23">
        <v>2002</v>
      </c>
      <c r="F59" s="23">
        <v>720720</v>
      </c>
      <c r="G59" s="23">
        <v>4000</v>
      </c>
      <c r="H59" s="23">
        <v>0</v>
      </c>
      <c r="I59" s="23">
        <v>0</v>
      </c>
      <c r="J59" s="23">
        <v>144000</v>
      </c>
      <c r="K59" s="23">
        <v>2622000</v>
      </c>
      <c r="L59" s="23">
        <v>73654</v>
      </c>
      <c r="M59" s="23">
        <v>3742352</v>
      </c>
      <c r="N59" s="23">
        <v>3937025</v>
      </c>
      <c r="O59" s="26">
        <v>14751745.5</v>
      </c>
    </row>
    <row r="60" spans="1:15" ht="15.75" hidden="1" thickBot="1" x14ac:dyDescent="0.3">
      <c r="A60" s="21"/>
      <c r="B60" s="22" t="s">
        <v>30</v>
      </c>
      <c r="C60" s="23">
        <v>4197</v>
      </c>
      <c r="D60" s="23">
        <v>264411</v>
      </c>
      <c r="E60" s="23">
        <v>909</v>
      </c>
      <c r="F60" s="23">
        <v>327600</v>
      </c>
      <c r="G60" s="23">
        <v>4000</v>
      </c>
      <c r="H60" s="23">
        <v>0</v>
      </c>
      <c r="I60" s="23">
        <v>0</v>
      </c>
      <c r="J60" s="23">
        <v>144000</v>
      </c>
      <c r="K60" s="23">
        <v>2622000</v>
      </c>
      <c r="L60" s="23">
        <v>74056</v>
      </c>
      <c r="M60" s="23">
        <v>3282011</v>
      </c>
      <c r="N60" s="23">
        <v>3575065</v>
      </c>
      <c r="O60" s="26">
        <v>14262019.5</v>
      </c>
    </row>
    <row r="61" spans="1:15" ht="15.75" hidden="1" thickBot="1" x14ac:dyDescent="0.3">
      <c r="A61" s="21"/>
      <c r="B61" s="22" t="s">
        <v>31</v>
      </c>
      <c r="C61" s="23">
        <v>3887</v>
      </c>
      <c r="D61" s="23">
        <v>244881</v>
      </c>
      <c r="E61" s="23">
        <v>289</v>
      </c>
      <c r="F61" s="23">
        <v>104040</v>
      </c>
      <c r="G61" s="23">
        <v>4000</v>
      </c>
      <c r="H61" s="23">
        <v>0</v>
      </c>
      <c r="I61" s="23">
        <v>0</v>
      </c>
      <c r="J61" s="23">
        <v>144000</v>
      </c>
      <c r="K61" s="23">
        <v>2622000</v>
      </c>
      <c r="L61" s="23">
        <v>74496</v>
      </c>
      <c r="M61" s="23">
        <v>3038921</v>
      </c>
      <c r="N61" s="23">
        <v>2574046</v>
      </c>
      <c r="O61" s="26">
        <v>14301336.82</v>
      </c>
    </row>
    <row r="62" spans="1:15" ht="15.75" hidden="1" thickBot="1" x14ac:dyDescent="0.3">
      <c r="A62" s="21"/>
      <c r="B62" s="22" t="s">
        <v>32</v>
      </c>
      <c r="C62" s="23">
        <v>3912</v>
      </c>
      <c r="D62" s="23">
        <v>246456</v>
      </c>
      <c r="E62" s="23">
        <v>311</v>
      </c>
      <c r="F62" s="23">
        <v>111960</v>
      </c>
      <c r="G62" s="23">
        <v>4000</v>
      </c>
      <c r="H62" s="23">
        <v>0</v>
      </c>
      <c r="I62" s="23">
        <v>0</v>
      </c>
      <c r="J62" s="23">
        <v>144000</v>
      </c>
      <c r="K62" s="23">
        <v>2622000</v>
      </c>
      <c r="L62" s="23">
        <v>75106</v>
      </c>
      <c r="M62" s="23">
        <v>3074416</v>
      </c>
      <c r="N62" s="23">
        <v>3291693</v>
      </c>
      <c r="O62" s="26">
        <v>14100785.140000001</v>
      </c>
    </row>
    <row r="63" spans="1:15" ht="15.75" hidden="1" thickBot="1" x14ac:dyDescent="0.3">
      <c r="A63" s="21"/>
      <c r="B63" s="22" t="s">
        <v>33</v>
      </c>
      <c r="C63" s="23">
        <v>3266</v>
      </c>
      <c r="D63" s="23">
        <v>205806</v>
      </c>
      <c r="E63" s="23">
        <v>251</v>
      </c>
      <c r="F63" s="23">
        <v>90360</v>
      </c>
      <c r="G63" s="23">
        <v>4000</v>
      </c>
      <c r="H63" s="23">
        <v>0</v>
      </c>
      <c r="I63" s="23">
        <v>0</v>
      </c>
      <c r="J63" s="23">
        <v>44000</v>
      </c>
      <c r="K63" s="23">
        <v>2668000</v>
      </c>
      <c r="L63" s="23">
        <v>75890</v>
      </c>
      <c r="M63" s="23">
        <v>3012166</v>
      </c>
      <c r="N63" s="23">
        <v>4230829</v>
      </c>
      <c r="O63" s="26">
        <v>12763343.459999999</v>
      </c>
    </row>
    <row r="64" spans="1:15" ht="15.75" hidden="1" thickBot="1" x14ac:dyDescent="0.3">
      <c r="A64" s="21"/>
      <c r="B64" s="22" t="s">
        <v>34</v>
      </c>
      <c r="C64" s="23">
        <v>4290</v>
      </c>
      <c r="D64" s="23">
        <v>270270</v>
      </c>
      <c r="E64" s="23">
        <v>947</v>
      </c>
      <c r="F64" s="23">
        <v>340920</v>
      </c>
      <c r="G64" s="23">
        <v>4000</v>
      </c>
      <c r="H64" s="23">
        <v>0</v>
      </c>
      <c r="I64" s="23">
        <v>0</v>
      </c>
      <c r="J64" s="23">
        <v>44000</v>
      </c>
      <c r="K64" s="23">
        <v>2668000</v>
      </c>
      <c r="L64" s="23">
        <v>76716</v>
      </c>
      <c r="M64" s="23">
        <v>3327190</v>
      </c>
      <c r="N64" s="23">
        <v>5397799</v>
      </c>
      <c r="O64" s="26">
        <v>11212412.779999999</v>
      </c>
    </row>
    <row r="65" spans="1:15" ht="15.75" hidden="1" thickBot="1" x14ac:dyDescent="0.3">
      <c r="A65" s="21"/>
      <c r="B65" s="22" t="s">
        <v>35</v>
      </c>
      <c r="C65" s="23">
        <v>3802</v>
      </c>
      <c r="D65" s="23">
        <v>296854</v>
      </c>
      <c r="E65" s="23">
        <v>1866</v>
      </c>
      <c r="F65" s="23">
        <v>671760</v>
      </c>
      <c r="G65" s="23">
        <v>4000</v>
      </c>
      <c r="H65" s="23">
        <v>0</v>
      </c>
      <c r="I65" s="23">
        <v>0</v>
      </c>
      <c r="J65" s="23">
        <v>44000</v>
      </c>
      <c r="K65" s="23">
        <v>2668000</v>
      </c>
      <c r="L65" s="23">
        <v>126082</v>
      </c>
      <c r="M65" s="23">
        <v>3684614</v>
      </c>
      <c r="N65" s="23">
        <v>2886533</v>
      </c>
      <c r="O65" s="26">
        <v>12089165.1</v>
      </c>
    </row>
    <row r="66" spans="1:15" ht="15.75" hidden="1" thickBot="1" x14ac:dyDescent="0.3">
      <c r="A66" s="21"/>
      <c r="B66" s="22" t="s">
        <v>36</v>
      </c>
      <c r="C66" s="23">
        <v>6022</v>
      </c>
      <c r="D66" s="23">
        <v>470826</v>
      </c>
      <c r="E66" s="23">
        <v>3260</v>
      </c>
      <c r="F66" s="23">
        <v>1173600</v>
      </c>
      <c r="G66" s="23">
        <v>4000</v>
      </c>
      <c r="H66" s="23">
        <v>0</v>
      </c>
      <c r="I66" s="23">
        <v>0</v>
      </c>
      <c r="J66" s="23">
        <v>48000</v>
      </c>
      <c r="K66" s="23">
        <v>2668000</v>
      </c>
      <c r="L66" s="23">
        <v>165000</v>
      </c>
      <c r="M66" s="23">
        <v>4364426</v>
      </c>
      <c r="N66" s="23">
        <v>2645481</v>
      </c>
      <c r="O66" s="26">
        <v>13686665.42</v>
      </c>
    </row>
    <row r="67" spans="1:15" ht="15.75" hidden="1" thickBot="1" x14ac:dyDescent="0.3">
      <c r="A67" s="21"/>
      <c r="B67" s="22" t="s">
        <v>37</v>
      </c>
      <c r="C67" s="23">
        <v>4098</v>
      </c>
      <c r="D67" s="23">
        <v>319878</v>
      </c>
      <c r="E67" s="23">
        <v>2505</v>
      </c>
      <c r="F67" s="23">
        <v>901800</v>
      </c>
      <c r="G67" s="23">
        <v>4000</v>
      </c>
      <c r="H67" s="23">
        <v>0</v>
      </c>
      <c r="I67" s="23">
        <v>0</v>
      </c>
      <c r="J67" s="23">
        <v>48000</v>
      </c>
      <c r="K67" s="23">
        <v>2668000</v>
      </c>
      <c r="L67" s="23">
        <v>193669</v>
      </c>
      <c r="M67" s="23">
        <v>3941678</v>
      </c>
      <c r="N67" s="23">
        <v>2940678</v>
      </c>
      <c r="O67" s="26">
        <v>14753928.74</v>
      </c>
    </row>
    <row r="68" spans="1:15" ht="15.75" hidden="1" thickBot="1" x14ac:dyDescent="0.3">
      <c r="A68" s="21">
        <v>2008</v>
      </c>
      <c r="B68" s="22" t="s">
        <v>38</v>
      </c>
      <c r="C68" s="23">
        <v>10017</v>
      </c>
      <c r="D68" s="23">
        <v>876879</v>
      </c>
      <c r="E68" s="23">
        <v>5769</v>
      </c>
      <c r="F68" s="23">
        <v>2076840</v>
      </c>
      <c r="G68" s="23">
        <v>4000</v>
      </c>
      <c r="H68" s="23">
        <v>0</v>
      </c>
      <c r="I68" s="23">
        <v>0</v>
      </c>
      <c r="J68" s="23">
        <v>48000</v>
      </c>
      <c r="K68" s="23">
        <v>2760000</v>
      </c>
      <c r="L68" s="23">
        <v>200530</v>
      </c>
      <c r="M68" s="23">
        <v>5765719</v>
      </c>
      <c r="N68" s="23">
        <v>5014803</v>
      </c>
      <c r="O68" s="26">
        <v>15538344.059999999</v>
      </c>
    </row>
    <row r="69" spans="1:15" ht="15.75" hidden="1" thickBot="1" x14ac:dyDescent="0.3">
      <c r="A69" s="21"/>
      <c r="B69" s="22" t="s">
        <v>27</v>
      </c>
      <c r="C69" s="23">
        <v>4879</v>
      </c>
      <c r="D69" s="23">
        <v>434426</v>
      </c>
      <c r="E69" s="23">
        <v>2333</v>
      </c>
      <c r="F69" s="23">
        <v>839880</v>
      </c>
      <c r="G69" s="23">
        <v>4000</v>
      </c>
      <c r="H69" s="23">
        <v>0</v>
      </c>
      <c r="I69" s="23">
        <v>0</v>
      </c>
      <c r="J69" s="23">
        <v>48000</v>
      </c>
      <c r="K69" s="23">
        <v>2760000</v>
      </c>
      <c r="L69" s="23">
        <v>183400</v>
      </c>
      <c r="M69" s="23">
        <v>4086306</v>
      </c>
      <c r="N69" s="23">
        <v>3403278</v>
      </c>
      <c r="O69" s="26">
        <v>16362208.380000001</v>
      </c>
    </row>
    <row r="70" spans="1:15" ht="15.75" hidden="1" thickBot="1" x14ac:dyDescent="0.3">
      <c r="A70" s="21"/>
      <c r="B70" s="22" t="s">
        <v>28</v>
      </c>
      <c r="C70" s="23">
        <v>5016</v>
      </c>
      <c r="D70" s="23">
        <v>554145</v>
      </c>
      <c r="E70" s="23">
        <v>2323</v>
      </c>
      <c r="F70" s="23">
        <v>836280</v>
      </c>
      <c r="G70" s="23">
        <v>4000</v>
      </c>
      <c r="H70" s="23">
        <v>0</v>
      </c>
      <c r="I70" s="23">
        <v>0</v>
      </c>
      <c r="J70" s="23">
        <v>48000</v>
      </c>
      <c r="K70" s="23">
        <v>2760000</v>
      </c>
      <c r="L70" s="23">
        <v>192991</v>
      </c>
      <c r="M70" s="23">
        <v>4202425</v>
      </c>
      <c r="N70" s="23">
        <v>4963782</v>
      </c>
      <c r="O70" s="26">
        <v>15476913.699999999</v>
      </c>
    </row>
    <row r="71" spans="1:15" ht="15.75" hidden="1" thickBot="1" x14ac:dyDescent="0.3">
      <c r="A71" s="21"/>
      <c r="B71" s="22" t="s">
        <v>29</v>
      </c>
      <c r="C71" s="23">
        <v>6296</v>
      </c>
      <c r="D71" s="23">
        <v>776542</v>
      </c>
      <c r="E71" s="23">
        <v>2746</v>
      </c>
      <c r="F71" s="23">
        <v>988560</v>
      </c>
      <c r="G71" s="23">
        <v>4000</v>
      </c>
      <c r="H71" s="23">
        <v>0</v>
      </c>
      <c r="I71" s="23">
        <v>0</v>
      </c>
      <c r="J71" s="23">
        <v>48000</v>
      </c>
      <c r="K71" s="23">
        <v>2760000</v>
      </c>
      <c r="L71" s="23">
        <v>202551</v>
      </c>
      <c r="M71" s="23">
        <v>4577102</v>
      </c>
      <c r="N71" s="23">
        <v>4799319</v>
      </c>
      <c r="O71" s="26">
        <v>14796152.699999999</v>
      </c>
    </row>
    <row r="72" spans="1:15" ht="15.75" hidden="1" thickBot="1" x14ac:dyDescent="0.3">
      <c r="A72" s="21"/>
      <c r="B72" s="22" t="s">
        <v>30</v>
      </c>
      <c r="C72" s="23">
        <v>3996</v>
      </c>
      <c r="D72" s="23">
        <v>401476</v>
      </c>
      <c r="E72" s="23">
        <v>564</v>
      </c>
      <c r="F72" s="23">
        <v>203040</v>
      </c>
      <c r="G72" s="23">
        <v>4000</v>
      </c>
      <c r="H72" s="23">
        <v>0</v>
      </c>
      <c r="I72" s="23">
        <v>0</v>
      </c>
      <c r="J72" s="23">
        <v>48000</v>
      </c>
      <c r="K72" s="23">
        <v>2760000</v>
      </c>
      <c r="L72" s="23">
        <v>180386</v>
      </c>
      <c r="M72" s="23">
        <v>3416516</v>
      </c>
      <c r="N72" s="23">
        <v>3799080</v>
      </c>
      <c r="O72" s="26">
        <v>14634800.699999999</v>
      </c>
    </row>
    <row r="73" spans="1:15" ht="15.75" hidden="1" thickBot="1" x14ac:dyDescent="0.3">
      <c r="A73" s="21"/>
      <c r="B73" s="22" t="s">
        <v>31</v>
      </c>
      <c r="C73" s="23">
        <v>3834</v>
      </c>
      <c r="D73" s="23">
        <v>398571</v>
      </c>
      <c r="E73" s="23">
        <v>331</v>
      </c>
      <c r="F73" s="23">
        <v>119160</v>
      </c>
      <c r="G73" s="23">
        <v>4000</v>
      </c>
      <c r="H73" s="23">
        <v>0</v>
      </c>
      <c r="I73" s="23">
        <v>0</v>
      </c>
      <c r="J73" s="23">
        <v>48000</v>
      </c>
      <c r="K73" s="23">
        <v>2760000</v>
      </c>
      <c r="L73" s="23">
        <v>186683</v>
      </c>
      <c r="M73" s="23">
        <v>3329731</v>
      </c>
      <c r="N73" s="23">
        <v>2687276</v>
      </c>
      <c r="O73" s="26">
        <v>14805372.699999999</v>
      </c>
    </row>
    <row r="74" spans="1:15" ht="15.75" hidden="1" thickBot="1" x14ac:dyDescent="0.3">
      <c r="A74" s="21"/>
      <c r="B74" s="22" t="s">
        <v>32</v>
      </c>
      <c r="C74" s="23">
        <v>4640</v>
      </c>
      <c r="D74" s="23">
        <v>519208</v>
      </c>
      <c r="E74" s="23">
        <v>252</v>
      </c>
      <c r="F74" s="23">
        <v>90720</v>
      </c>
      <c r="G74" s="23">
        <v>0</v>
      </c>
      <c r="H74" s="23">
        <v>0</v>
      </c>
      <c r="I74" s="23">
        <v>0</v>
      </c>
      <c r="J74" s="23">
        <v>48000</v>
      </c>
      <c r="K74" s="23">
        <v>2760000</v>
      </c>
      <c r="L74" s="23">
        <v>203406</v>
      </c>
      <c r="M74" s="23">
        <v>3417928</v>
      </c>
      <c r="N74" s="23">
        <v>3155641</v>
      </c>
      <c r="O74" s="26">
        <v>15158272.699999999</v>
      </c>
    </row>
    <row r="75" spans="1:15" ht="15.75" hidden="1" thickBot="1" x14ac:dyDescent="0.3">
      <c r="A75" s="21"/>
      <c r="B75" s="22" t="s">
        <v>33</v>
      </c>
      <c r="C75" s="23">
        <v>3569</v>
      </c>
      <c r="D75" s="23">
        <v>384078</v>
      </c>
      <c r="E75" s="23">
        <v>428</v>
      </c>
      <c r="F75" s="23">
        <v>154080</v>
      </c>
      <c r="G75" s="23">
        <v>0</v>
      </c>
      <c r="H75" s="23">
        <v>0</v>
      </c>
      <c r="I75" s="23">
        <v>0</v>
      </c>
      <c r="J75" s="23">
        <v>48000</v>
      </c>
      <c r="K75" s="23">
        <v>2760000</v>
      </c>
      <c r="L75" s="23">
        <v>222192</v>
      </c>
      <c r="M75" s="23">
        <v>3346158</v>
      </c>
      <c r="N75" s="23">
        <v>2320017</v>
      </c>
      <c r="O75" s="26">
        <v>16263653.699999999</v>
      </c>
    </row>
    <row r="76" spans="1:15" ht="15.75" hidden="1" thickBot="1" x14ac:dyDescent="0.3">
      <c r="A76" s="21"/>
      <c r="B76" s="22" t="s">
        <v>34</v>
      </c>
      <c r="C76" s="23">
        <v>4260</v>
      </c>
      <c r="D76" s="23">
        <v>469191</v>
      </c>
      <c r="E76" s="23">
        <v>782</v>
      </c>
      <c r="F76" s="23">
        <v>281520</v>
      </c>
      <c r="G76" s="23">
        <v>0</v>
      </c>
      <c r="H76" s="23">
        <v>0</v>
      </c>
      <c r="I76" s="23">
        <v>0</v>
      </c>
      <c r="J76" s="23">
        <v>48000</v>
      </c>
      <c r="K76" s="23">
        <v>2760000</v>
      </c>
      <c r="L76" s="23">
        <v>220682</v>
      </c>
      <c r="M76" s="23">
        <v>3558711</v>
      </c>
      <c r="N76" s="23">
        <v>3077075</v>
      </c>
      <c r="O76" s="26">
        <v>16787000.699999999</v>
      </c>
    </row>
    <row r="77" spans="1:15" ht="15.75" hidden="1" thickBot="1" x14ac:dyDescent="0.3">
      <c r="A77" s="21"/>
      <c r="B77" s="22" t="s">
        <v>35</v>
      </c>
      <c r="C77" s="23">
        <v>5016</v>
      </c>
      <c r="D77" s="23">
        <v>629252</v>
      </c>
      <c r="E77" s="23">
        <v>2409</v>
      </c>
      <c r="F77" s="23">
        <v>867240</v>
      </c>
      <c r="G77" s="23">
        <v>0</v>
      </c>
      <c r="H77" s="23">
        <v>0</v>
      </c>
      <c r="I77" s="23">
        <v>0</v>
      </c>
      <c r="J77" s="23">
        <v>48000</v>
      </c>
      <c r="K77" s="23">
        <v>2760000</v>
      </c>
      <c r="L77" s="23">
        <v>372525</v>
      </c>
      <c r="M77" s="23">
        <v>4304492</v>
      </c>
      <c r="N77" s="23">
        <v>3736840</v>
      </c>
      <c r="O77" s="26">
        <v>17574712.699999999</v>
      </c>
    </row>
    <row r="78" spans="1:15" ht="15.75" hidden="1" thickBot="1" x14ac:dyDescent="0.3">
      <c r="A78" s="21"/>
      <c r="B78" s="22" t="s">
        <v>36</v>
      </c>
      <c r="C78" s="23">
        <v>4255</v>
      </c>
      <c r="D78" s="23">
        <v>506342</v>
      </c>
      <c r="E78" s="23">
        <v>2545</v>
      </c>
      <c r="F78" s="23">
        <v>916200</v>
      </c>
      <c r="G78" s="23">
        <v>0</v>
      </c>
      <c r="H78" s="23">
        <v>0</v>
      </c>
      <c r="I78" s="23">
        <v>0</v>
      </c>
      <c r="J78" s="23">
        <v>48000</v>
      </c>
      <c r="K78" s="23">
        <v>2760000</v>
      </c>
      <c r="L78" s="23">
        <v>382240</v>
      </c>
      <c r="M78" s="23">
        <v>4230542</v>
      </c>
      <c r="N78" s="23">
        <v>3795800</v>
      </c>
      <c r="O78" s="26">
        <v>18233910.719999999</v>
      </c>
    </row>
    <row r="79" spans="1:15" ht="15.75" hidden="1" thickBot="1" x14ac:dyDescent="0.3">
      <c r="A79" s="21"/>
      <c r="B79" s="22" t="s">
        <v>37</v>
      </c>
      <c r="C79" s="23">
        <v>7685</v>
      </c>
      <c r="D79" s="23">
        <v>899923</v>
      </c>
      <c r="E79" s="23">
        <v>3693</v>
      </c>
      <c r="F79" s="23">
        <v>1340280</v>
      </c>
      <c r="G79" s="23">
        <v>0</v>
      </c>
      <c r="H79" s="23">
        <v>0</v>
      </c>
      <c r="I79" s="23">
        <v>0</v>
      </c>
      <c r="J79" s="23">
        <v>48000</v>
      </c>
      <c r="K79" s="23">
        <v>2760000</v>
      </c>
      <c r="L79" s="23">
        <v>432991.67000000004</v>
      </c>
      <c r="M79" s="23">
        <v>5048203</v>
      </c>
      <c r="N79" s="23">
        <v>4987049.6900000004</v>
      </c>
      <c r="O79" s="26">
        <v>18816449.579999998</v>
      </c>
    </row>
    <row r="80" spans="1:15" ht="15.75" hidden="1" thickBot="1" x14ac:dyDescent="0.3">
      <c r="A80" s="21">
        <v>2009</v>
      </c>
      <c r="B80" s="22" t="s">
        <v>38</v>
      </c>
      <c r="C80" s="23">
        <v>7464</v>
      </c>
      <c r="D80" s="23">
        <v>926528</v>
      </c>
      <c r="E80" s="23">
        <v>3439</v>
      </c>
      <c r="F80" s="23">
        <v>1238040</v>
      </c>
      <c r="G80" s="23">
        <v>0</v>
      </c>
      <c r="H80" s="23">
        <v>0</v>
      </c>
      <c r="I80" s="23">
        <v>0</v>
      </c>
      <c r="J80" s="23">
        <v>48000</v>
      </c>
      <c r="K80" s="23">
        <v>2760000</v>
      </c>
      <c r="L80" s="23">
        <v>543775.57000000007</v>
      </c>
      <c r="M80" s="23">
        <v>5014568</v>
      </c>
      <c r="N80" s="23">
        <v>4479096</v>
      </c>
      <c r="O80" s="26">
        <v>18445106.93</v>
      </c>
    </row>
    <row r="81" spans="1:15" ht="15.75" hidden="1" thickBot="1" x14ac:dyDescent="0.3">
      <c r="A81" s="21"/>
      <c r="B81" s="22" t="s">
        <v>27</v>
      </c>
      <c r="C81" s="23">
        <v>8538</v>
      </c>
      <c r="D81" s="23">
        <v>1111030</v>
      </c>
      <c r="E81" s="23">
        <v>3280</v>
      </c>
      <c r="F81" s="23">
        <v>1528560</v>
      </c>
      <c r="G81" s="23">
        <v>0</v>
      </c>
      <c r="H81" s="23">
        <v>0</v>
      </c>
      <c r="I81" s="23">
        <v>12000</v>
      </c>
      <c r="J81" s="23">
        <v>48000</v>
      </c>
      <c r="K81" s="23">
        <v>2760000</v>
      </c>
      <c r="L81" s="23">
        <v>550832</v>
      </c>
      <c r="M81" s="23">
        <v>5447590</v>
      </c>
      <c r="N81" s="23">
        <v>4016209</v>
      </c>
      <c r="O81" s="26">
        <v>20240992.519999996</v>
      </c>
    </row>
    <row r="82" spans="1:15" ht="15.75" hidden="1" thickBot="1" x14ac:dyDescent="0.3">
      <c r="A82" s="21"/>
      <c r="B82" s="22" t="s">
        <v>28</v>
      </c>
      <c r="C82" s="23">
        <v>7456</v>
      </c>
      <c r="D82" s="23">
        <v>970160</v>
      </c>
      <c r="E82" s="23">
        <v>3428</v>
      </c>
      <c r="F82" s="23">
        <v>1595520</v>
      </c>
      <c r="G82" s="23">
        <v>0</v>
      </c>
      <c r="H82" s="23">
        <v>0</v>
      </c>
      <c r="I82" s="23">
        <v>0</v>
      </c>
      <c r="J82" s="23">
        <v>44000</v>
      </c>
      <c r="K82" s="23">
        <v>2760000</v>
      </c>
      <c r="L82" s="23">
        <v>502180</v>
      </c>
      <c r="M82" s="23">
        <v>5369680</v>
      </c>
      <c r="N82" s="23">
        <v>5326798</v>
      </c>
      <c r="O82" s="26">
        <v>20604896.519999996</v>
      </c>
    </row>
    <row r="83" spans="1:15" ht="15.75" hidden="1" thickBot="1" x14ac:dyDescent="0.3">
      <c r="A83" s="21"/>
      <c r="B83" s="22" t="s">
        <v>29</v>
      </c>
      <c r="C83" s="23">
        <v>5077</v>
      </c>
      <c r="D83" s="23">
        <v>713918</v>
      </c>
      <c r="E83" s="23">
        <v>2238</v>
      </c>
      <c r="F83" s="23">
        <v>884520</v>
      </c>
      <c r="G83" s="23">
        <v>0</v>
      </c>
      <c r="H83" s="23">
        <v>0</v>
      </c>
      <c r="I83" s="23">
        <v>0</v>
      </c>
      <c r="J83" s="23">
        <v>48000</v>
      </c>
      <c r="K83" s="23">
        <v>2760000</v>
      </c>
      <c r="L83" s="23">
        <v>579844</v>
      </c>
      <c r="M83" s="23">
        <v>4410438</v>
      </c>
      <c r="N83" s="23">
        <v>5660345.9589999998</v>
      </c>
      <c r="O83" s="26">
        <v>19565182.500999995</v>
      </c>
    </row>
    <row r="84" spans="1:15" ht="15.75" hidden="1" thickBot="1" x14ac:dyDescent="0.3">
      <c r="A84" s="21"/>
      <c r="B84" s="22" t="s">
        <v>30</v>
      </c>
      <c r="C84" s="23">
        <v>4491</v>
      </c>
      <c r="D84" s="23">
        <v>655674</v>
      </c>
      <c r="E84" s="23">
        <v>1073</v>
      </c>
      <c r="F84" s="23">
        <v>386280</v>
      </c>
      <c r="G84" s="23">
        <v>0</v>
      </c>
      <c r="H84" s="23">
        <v>0</v>
      </c>
      <c r="I84" s="23">
        <v>0</v>
      </c>
      <c r="J84" s="23">
        <v>60000</v>
      </c>
      <c r="K84" s="23">
        <v>2760000</v>
      </c>
      <c r="L84" s="23">
        <v>466105</v>
      </c>
      <c r="M84" s="23">
        <v>3861954</v>
      </c>
      <c r="N84" s="23">
        <v>2924305</v>
      </c>
      <c r="O84" s="26">
        <v>21061718.500999995</v>
      </c>
    </row>
    <row r="85" spans="1:15" ht="15.75" hidden="1" thickBot="1" x14ac:dyDescent="0.3">
      <c r="A85" s="21"/>
      <c r="B85" s="22" t="s">
        <v>31</v>
      </c>
      <c r="C85" s="23">
        <v>5934</v>
      </c>
      <c r="D85" s="23">
        <v>866364</v>
      </c>
      <c r="E85" s="23">
        <v>737</v>
      </c>
      <c r="F85" s="23">
        <v>265320</v>
      </c>
      <c r="G85" s="23">
        <v>0</v>
      </c>
      <c r="H85" s="23">
        <v>0</v>
      </c>
      <c r="I85" s="23">
        <v>0</v>
      </c>
      <c r="J85" s="23">
        <v>60000</v>
      </c>
      <c r="K85" s="23">
        <v>2770000</v>
      </c>
      <c r="L85" s="23">
        <v>491222</v>
      </c>
      <c r="M85" s="23">
        <v>3986698</v>
      </c>
      <c r="N85" s="23">
        <v>4312775</v>
      </c>
      <c r="O85" s="26">
        <v>20720071.500999995</v>
      </c>
    </row>
    <row r="86" spans="1:15" ht="15.75" hidden="1" thickBot="1" x14ac:dyDescent="0.3">
      <c r="A86" s="21"/>
      <c r="B86" s="22" t="s">
        <v>32</v>
      </c>
      <c r="C86" s="23">
        <v>4864</v>
      </c>
      <c r="D86" s="23">
        <v>710144</v>
      </c>
      <c r="E86" s="23">
        <v>347</v>
      </c>
      <c r="F86" s="23">
        <v>124920</v>
      </c>
      <c r="G86" s="23">
        <v>0</v>
      </c>
      <c r="H86" s="23">
        <v>0</v>
      </c>
      <c r="I86" s="23">
        <v>12000</v>
      </c>
      <c r="J86" s="23">
        <v>68000</v>
      </c>
      <c r="K86" s="23">
        <v>2760000</v>
      </c>
      <c r="L86" s="23">
        <v>482501</v>
      </c>
      <c r="M86" s="23">
        <v>3959064</v>
      </c>
      <c r="N86" s="23">
        <v>3753933</v>
      </c>
      <c r="O86" s="26">
        <v>24293910.500999995</v>
      </c>
    </row>
    <row r="87" spans="1:15" ht="15.75" hidden="1" thickBot="1" x14ac:dyDescent="0.3">
      <c r="A87" s="21"/>
      <c r="B87" s="22" t="s">
        <v>33</v>
      </c>
      <c r="C87" s="23">
        <v>4673</v>
      </c>
      <c r="D87" s="23">
        <v>682258</v>
      </c>
      <c r="E87" s="23">
        <v>-5498</v>
      </c>
      <c r="F87" s="23">
        <v>-1979280</v>
      </c>
      <c r="G87" s="23">
        <v>0</v>
      </c>
      <c r="H87" s="23">
        <v>0</v>
      </c>
      <c r="I87" s="23">
        <v>0</v>
      </c>
      <c r="J87" s="23">
        <v>60000</v>
      </c>
      <c r="K87" s="23">
        <v>3330000</v>
      </c>
      <c r="L87" s="23">
        <v>478089</v>
      </c>
      <c r="M87" s="23">
        <v>1792978</v>
      </c>
      <c r="N87" s="23">
        <v>3488931</v>
      </c>
      <c r="O87" s="26">
        <v>24847428.500999995</v>
      </c>
    </row>
    <row r="88" spans="1:15" ht="15.75" hidden="1" thickBot="1" x14ac:dyDescent="0.3">
      <c r="A88" s="21"/>
      <c r="B88" s="22" t="s">
        <v>34</v>
      </c>
      <c r="C88" s="23">
        <v>6746</v>
      </c>
      <c r="D88" s="23">
        <v>984916</v>
      </c>
      <c r="E88" s="23">
        <v>838</v>
      </c>
      <c r="F88" s="23">
        <v>328860</v>
      </c>
      <c r="G88" s="23">
        <v>0</v>
      </c>
      <c r="H88" s="23">
        <v>0</v>
      </c>
      <c r="I88" s="23">
        <v>0</v>
      </c>
      <c r="J88" s="23">
        <v>48000</v>
      </c>
      <c r="K88" s="23">
        <v>2770000</v>
      </c>
      <c r="L88" s="23">
        <v>521582</v>
      </c>
      <c r="M88" s="23">
        <v>4131776</v>
      </c>
      <c r="N88" s="23">
        <v>2974471</v>
      </c>
      <c r="O88" s="26">
        <v>26394853.500999995</v>
      </c>
    </row>
    <row r="89" spans="1:15" ht="15.75" hidden="1" thickBot="1" x14ac:dyDescent="0.3">
      <c r="A89" s="21"/>
      <c r="B89" s="22" t="s">
        <v>35</v>
      </c>
      <c r="C89" s="23">
        <v>5633</v>
      </c>
      <c r="D89" s="23">
        <v>835801</v>
      </c>
      <c r="E89" s="23">
        <v>1965</v>
      </c>
      <c r="F89" s="23">
        <v>755280</v>
      </c>
      <c r="G89" s="23">
        <v>0</v>
      </c>
      <c r="H89" s="23">
        <v>0</v>
      </c>
      <c r="I89" s="23">
        <v>0</v>
      </c>
      <c r="J89" s="23">
        <v>52000</v>
      </c>
      <c r="K89" s="23">
        <v>2770000</v>
      </c>
      <c r="L89" s="23">
        <v>485840</v>
      </c>
      <c r="M89" s="23">
        <v>4413081</v>
      </c>
      <c r="N89" s="23">
        <v>4126239</v>
      </c>
      <c r="O89" s="26">
        <v>26903661.500999995</v>
      </c>
    </row>
    <row r="90" spans="1:15" ht="15.75" hidden="1" thickBot="1" x14ac:dyDescent="0.3">
      <c r="A90" s="21"/>
      <c r="B90" s="22" t="s">
        <v>36</v>
      </c>
      <c r="C90" s="23">
        <v>5894</v>
      </c>
      <c r="D90" s="23">
        <v>860524</v>
      </c>
      <c r="E90" s="23">
        <v>2587</v>
      </c>
      <c r="F90" s="23">
        <v>1028160</v>
      </c>
      <c r="G90" s="23">
        <v>0</v>
      </c>
      <c r="H90" s="23">
        <v>0</v>
      </c>
      <c r="I90" s="23">
        <v>0</v>
      </c>
      <c r="J90" s="23">
        <v>56000</v>
      </c>
      <c r="K90" s="23">
        <v>2769000</v>
      </c>
      <c r="L90" s="23">
        <v>711597</v>
      </c>
      <c r="M90" s="23">
        <v>4730078</v>
      </c>
      <c r="N90" s="23">
        <v>4350499</v>
      </c>
      <c r="O90" s="26">
        <v>27808982.300999995</v>
      </c>
    </row>
    <row r="91" spans="1:15" ht="15.75" hidden="1" thickBot="1" x14ac:dyDescent="0.3">
      <c r="A91" s="21"/>
      <c r="B91" s="22" t="s">
        <v>37</v>
      </c>
      <c r="C91" s="23">
        <v>7627</v>
      </c>
      <c r="D91" s="23">
        <v>1113542</v>
      </c>
      <c r="E91" s="23">
        <v>4520</v>
      </c>
      <c r="F91" s="23">
        <v>2010060</v>
      </c>
      <c r="G91" s="23">
        <v>0</v>
      </c>
      <c r="H91" s="23">
        <v>0</v>
      </c>
      <c r="I91" s="23">
        <v>0</v>
      </c>
      <c r="J91" s="23">
        <v>56000</v>
      </c>
      <c r="K91" s="23">
        <v>2769000</v>
      </c>
      <c r="L91" s="23">
        <v>597725</v>
      </c>
      <c r="M91" s="23">
        <v>5948602</v>
      </c>
      <c r="N91" s="23">
        <v>5232496</v>
      </c>
      <c r="O91" s="26">
        <v>29015585.441</v>
      </c>
    </row>
    <row r="92" spans="1:15" ht="15.75" hidden="1" thickBot="1" x14ac:dyDescent="0.3">
      <c r="A92">
        <v>2010</v>
      </c>
      <c r="B92" s="22" t="s">
        <v>38</v>
      </c>
      <c r="C92" s="23">
        <v>7460</v>
      </c>
      <c r="D92" s="23">
        <v>1089160</v>
      </c>
      <c r="E92" s="23">
        <v>4168</v>
      </c>
      <c r="F92" s="23">
        <v>1536120</v>
      </c>
      <c r="G92" s="23">
        <v>0</v>
      </c>
      <c r="H92" s="23">
        <v>0</v>
      </c>
      <c r="I92" s="23">
        <v>100000</v>
      </c>
      <c r="J92" s="23">
        <v>56000</v>
      </c>
      <c r="K92" s="23">
        <v>3282000</v>
      </c>
      <c r="L92" s="23">
        <v>720214</v>
      </c>
      <c r="M92" s="23">
        <v>6263280</v>
      </c>
      <c r="N92" s="23">
        <v>5914765</v>
      </c>
      <c r="O92" s="26">
        <v>30330428.419</v>
      </c>
    </row>
    <row r="93" spans="1:15" ht="15.75" hidden="1" thickBot="1" x14ac:dyDescent="0.3">
      <c r="B93" s="22" t="s">
        <v>27</v>
      </c>
      <c r="C93" s="23">
        <v>7992</v>
      </c>
      <c r="D93" s="23">
        <v>1166832</v>
      </c>
      <c r="E93" s="23">
        <v>4026</v>
      </c>
      <c r="F93" s="23">
        <v>1455300</v>
      </c>
      <c r="G93" s="23">
        <v>0</v>
      </c>
      <c r="H93" s="23">
        <v>0</v>
      </c>
      <c r="I93" s="23">
        <v>50000</v>
      </c>
      <c r="J93" s="23">
        <v>56000</v>
      </c>
      <c r="K93" s="23">
        <v>3291000</v>
      </c>
      <c r="L93" s="23">
        <v>772937</v>
      </c>
      <c r="M93" s="23">
        <v>6269132</v>
      </c>
      <c r="N93" s="23">
        <v>5484245</v>
      </c>
      <c r="O93" s="26">
        <v>32670116.519000001</v>
      </c>
    </row>
    <row r="94" spans="1:15" ht="15.75" hidden="1" thickBot="1" x14ac:dyDescent="0.3">
      <c r="B94" s="22" t="s">
        <v>28</v>
      </c>
      <c r="C94" s="23">
        <v>5489</v>
      </c>
      <c r="D94" s="23">
        <v>801394</v>
      </c>
      <c r="E94" s="23">
        <v>2992</v>
      </c>
      <c r="F94" s="23">
        <v>1003500</v>
      </c>
      <c r="G94" s="23">
        <v>0</v>
      </c>
      <c r="H94" s="23">
        <v>0</v>
      </c>
      <c r="I94" s="23">
        <v>50000</v>
      </c>
      <c r="J94" s="23">
        <v>56000</v>
      </c>
      <c r="K94" s="23">
        <v>3300000</v>
      </c>
      <c r="L94" s="23">
        <v>712631</v>
      </c>
      <c r="M94" s="23">
        <v>5460894</v>
      </c>
      <c r="N94" s="23">
        <v>5543533</v>
      </c>
      <c r="O94" s="26">
        <v>33400352.519000001</v>
      </c>
    </row>
    <row r="95" spans="1:15" ht="15.75" hidden="1" thickBot="1" x14ac:dyDescent="0.3">
      <c r="B95" s="22" t="s">
        <v>29</v>
      </c>
      <c r="C95" s="23">
        <v>5305</v>
      </c>
      <c r="D95" s="23">
        <v>774530</v>
      </c>
      <c r="E95" s="23">
        <v>2184</v>
      </c>
      <c r="F95" s="23">
        <v>842580</v>
      </c>
      <c r="G95" s="23">
        <v>0</v>
      </c>
      <c r="H95" s="23">
        <v>0</v>
      </c>
      <c r="I95" s="23">
        <v>50000</v>
      </c>
      <c r="J95" s="23">
        <v>52000</v>
      </c>
      <c r="K95" s="23">
        <v>3300000</v>
      </c>
      <c r="L95" s="23">
        <v>550344</v>
      </c>
      <c r="M95" s="23">
        <v>5269110</v>
      </c>
      <c r="N95" s="23">
        <v>4814396</v>
      </c>
      <c r="O95" s="26">
        <v>34492920.749000005</v>
      </c>
    </row>
    <row r="96" spans="1:15" ht="15.75" hidden="1" thickBot="1" x14ac:dyDescent="0.3">
      <c r="B96" s="22" t="s">
        <v>30</v>
      </c>
      <c r="C96" s="23">
        <v>4314</v>
      </c>
      <c r="D96" s="23">
        <v>629844</v>
      </c>
      <c r="E96" s="23">
        <v>1061</v>
      </c>
      <c r="F96" s="23">
        <v>407160</v>
      </c>
      <c r="G96" s="23">
        <v>0</v>
      </c>
      <c r="H96" s="23">
        <v>0</v>
      </c>
      <c r="I96" s="23">
        <v>50000</v>
      </c>
      <c r="J96" s="23">
        <v>56000</v>
      </c>
      <c r="K96" s="23">
        <v>3300000</v>
      </c>
      <c r="L96" s="23">
        <v>766929</v>
      </c>
      <c r="M96" s="23">
        <v>4693004</v>
      </c>
      <c r="N96" s="23">
        <v>4859355</v>
      </c>
      <c r="O96" s="26">
        <v>35496044.749000005</v>
      </c>
    </row>
    <row r="97" spans="1:15" ht="15.75" hidden="1" thickBot="1" x14ac:dyDescent="0.3">
      <c r="B97" s="22" t="s">
        <v>31</v>
      </c>
      <c r="C97" s="23">
        <v>4446</v>
      </c>
      <c r="D97" s="23">
        <v>649116</v>
      </c>
      <c r="E97" s="23">
        <v>488</v>
      </c>
      <c r="F97" s="23">
        <v>175320</v>
      </c>
      <c r="G97" s="23">
        <v>0</v>
      </c>
      <c r="H97" s="23">
        <v>0</v>
      </c>
      <c r="I97" s="23">
        <v>0</v>
      </c>
      <c r="J97" s="23">
        <v>56000</v>
      </c>
      <c r="K97" s="23">
        <v>3300000</v>
      </c>
      <c r="L97" s="23">
        <v>508848</v>
      </c>
      <c r="M97" s="23">
        <v>4180436</v>
      </c>
      <c r="N97" s="23">
        <v>3361324</v>
      </c>
      <c r="O97" s="26">
        <v>36803486.149000004</v>
      </c>
    </row>
    <row r="98" spans="1:15" ht="15.75" hidden="1" thickBot="1" x14ac:dyDescent="0.3">
      <c r="A98" s="21"/>
      <c r="B98" s="22" t="s">
        <v>32</v>
      </c>
      <c r="C98" s="23">
        <v>5420</v>
      </c>
      <c r="D98" s="23">
        <v>791320</v>
      </c>
      <c r="E98" s="23">
        <v>356</v>
      </c>
      <c r="F98" s="23">
        <v>128160</v>
      </c>
      <c r="G98" s="23">
        <v>0</v>
      </c>
      <c r="H98" s="23">
        <v>0</v>
      </c>
      <c r="I98" s="23">
        <v>59000</v>
      </c>
      <c r="J98" s="23">
        <v>144246</v>
      </c>
      <c r="K98" s="23">
        <v>3555574.3</v>
      </c>
      <c r="L98" s="23">
        <v>834870.3</v>
      </c>
      <c r="M98" s="23">
        <v>5130284</v>
      </c>
      <c r="N98" s="23">
        <v>4429905</v>
      </c>
      <c r="O98" s="26">
        <v>32271683.149</v>
      </c>
    </row>
    <row r="99" spans="1:15" ht="15.75" hidden="1" thickBot="1" x14ac:dyDescent="0.3">
      <c r="A99" s="21"/>
      <c r="B99" s="22" t="s">
        <v>33</v>
      </c>
      <c r="C99" s="23">
        <v>4572</v>
      </c>
      <c r="D99" s="23">
        <v>667512</v>
      </c>
      <c r="E99" s="23">
        <v>402</v>
      </c>
      <c r="F99" s="23">
        <v>144720</v>
      </c>
      <c r="G99" s="23">
        <v>0</v>
      </c>
      <c r="H99" s="23">
        <v>55000</v>
      </c>
      <c r="I99" s="23">
        <v>40500</v>
      </c>
      <c r="J99" s="23">
        <v>189174</v>
      </c>
      <c r="K99" s="23">
        <v>3555874.3</v>
      </c>
      <c r="L99" s="23">
        <v>657136.30000000005</v>
      </c>
      <c r="M99" s="23">
        <v>4791646</v>
      </c>
      <c r="N99" s="23">
        <v>11376347</v>
      </c>
      <c r="O99" s="26">
        <v>25771552.148999996</v>
      </c>
    </row>
    <row r="100" spans="1:15" ht="15.75" hidden="1" thickBot="1" x14ac:dyDescent="0.3">
      <c r="A100" s="21"/>
      <c r="B100" s="22" t="s">
        <v>34</v>
      </c>
      <c r="C100" s="23">
        <v>7319</v>
      </c>
      <c r="D100" s="23">
        <v>1068574</v>
      </c>
      <c r="E100" s="23">
        <v>1344</v>
      </c>
      <c r="F100" s="23">
        <v>500400</v>
      </c>
      <c r="G100" s="23">
        <v>0</v>
      </c>
      <c r="H100" s="23">
        <v>0</v>
      </c>
      <c r="I100" s="23">
        <v>44000</v>
      </c>
      <c r="J100" s="23">
        <v>197334</v>
      </c>
      <c r="K100" s="23">
        <v>3594474.3</v>
      </c>
      <c r="L100" s="23">
        <v>678513.3</v>
      </c>
      <c r="M100" s="23">
        <v>5409580</v>
      </c>
      <c r="N100" s="23">
        <v>3993155</v>
      </c>
      <c r="O100" s="26">
        <v>27363030.149</v>
      </c>
    </row>
    <row r="101" spans="1:15" ht="15.75" hidden="1" thickBot="1" x14ac:dyDescent="0.3">
      <c r="A101" s="21"/>
      <c r="B101" s="22" t="s">
        <v>35</v>
      </c>
      <c r="C101" s="23">
        <v>-7747</v>
      </c>
      <c r="D101" s="23">
        <v>-1131062</v>
      </c>
      <c r="E101" s="23">
        <v>-1713</v>
      </c>
      <c r="F101" s="23">
        <v>-532440</v>
      </c>
      <c r="G101" s="23">
        <v>0</v>
      </c>
      <c r="H101" s="23">
        <v>0</v>
      </c>
      <c r="I101" s="23">
        <v>4000</v>
      </c>
      <c r="J101" s="23">
        <v>-3219270</v>
      </c>
      <c r="K101" s="23">
        <v>3647562.3</v>
      </c>
      <c r="L101" s="23">
        <v>-2697303.7</v>
      </c>
      <c r="M101" s="23">
        <v>5595172</v>
      </c>
      <c r="N101" s="23">
        <v>5942619</v>
      </c>
      <c r="O101" s="26">
        <v>23756911.149</v>
      </c>
    </row>
    <row r="102" spans="1:15" ht="15.75" hidden="1" thickBot="1" x14ac:dyDescent="0.3">
      <c r="A102" s="21"/>
      <c r="B102" s="22" t="s">
        <v>36</v>
      </c>
      <c r="C102" s="23">
        <v>18993</v>
      </c>
      <c r="D102" s="23">
        <v>2772978</v>
      </c>
      <c r="E102" s="23">
        <v>7354</v>
      </c>
      <c r="F102" s="23">
        <v>2932920</v>
      </c>
      <c r="G102" s="23">
        <v>0</v>
      </c>
      <c r="H102" s="23">
        <v>0</v>
      </c>
      <c r="I102" s="23">
        <v>4000</v>
      </c>
      <c r="J102" s="23">
        <v>3528626</v>
      </c>
      <c r="K102" s="23">
        <v>240768.29999999981</v>
      </c>
      <c r="L102" s="23">
        <v>633155.29999999981</v>
      </c>
      <c r="M102" s="23">
        <v>6178366</v>
      </c>
      <c r="N102" s="23">
        <v>6220404</v>
      </c>
      <c r="O102" s="26">
        <v>27188946.148999996</v>
      </c>
    </row>
    <row r="103" spans="1:15" ht="15.75" hidden="1" thickBot="1" x14ac:dyDescent="0.3">
      <c r="A103" s="21"/>
      <c r="B103" s="22" t="s">
        <v>37</v>
      </c>
      <c r="C103" s="23">
        <v>5508</v>
      </c>
      <c r="D103" s="23">
        <v>804168</v>
      </c>
      <c r="E103" s="23">
        <v>4427</v>
      </c>
      <c r="F103" s="23">
        <v>2093400</v>
      </c>
      <c r="G103" s="23">
        <v>0</v>
      </c>
      <c r="H103" s="23">
        <v>0</v>
      </c>
      <c r="I103" s="23">
        <v>4000</v>
      </c>
      <c r="J103" s="23">
        <v>234248</v>
      </c>
      <c r="K103" s="23">
        <v>3437704.3</v>
      </c>
      <c r="L103" s="23">
        <v>462179.29999999981</v>
      </c>
      <c r="M103" s="23">
        <v>6621847</v>
      </c>
      <c r="N103" s="23">
        <v>6707733</v>
      </c>
      <c r="O103" s="26">
        <v>27282466.148999996</v>
      </c>
    </row>
    <row r="104" spans="1:15" ht="15.75" hidden="1" thickBot="1" x14ac:dyDescent="0.3">
      <c r="A104" s="21">
        <v>2011</v>
      </c>
      <c r="B104" s="22" t="s">
        <v>38</v>
      </c>
      <c r="C104" s="23">
        <v>17002</v>
      </c>
      <c r="D104" s="23">
        <v>2482292</v>
      </c>
      <c r="E104" s="23">
        <v>7591</v>
      </c>
      <c r="F104" s="23">
        <v>3335400</v>
      </c>
      <c r="G104" s="23">
        <v>29649</v>
      </c>
      <c r="H104" s="23">
        <v>0</v>
      </c>
      <c r="I104" s="23">
        <v>4000</v>
      </c>
      <c r="J104" s="23">
        <v>60000</v>
      </c>
      <c r="K104" s="23">
        <v>3625600</v>
      </c>
      <c r="L104" s="23">
        <v>263500</v>
      </c>
      <c r="M104" s="23">
        <v>9796441</v>
      </c>
      <c r="N104" s="23">
        <v>5633265</v>
      </c>
      <c r="O104" s="26">
        <v>31492466.148999996</v>
      </c>
    </row>
    <row r="105" spans="1:15" ht="15.75" hidden="1" thickBot="1" x14ac:dyDescent="0.3">
      <c r="A105" s="21"/>
      <c r="B105" s="22" t="s">
        <v>27</v>
      </c>
      <c r="C105" s="23">
        <v>6726</v>
      </c>
      <c r="D105" s="23">
        <v>981996</v>
      </c>
      <c r="E105" s="23">
        <v>4755</v>
      </c>
      <c r="F105" s="23">
        <v>2343510</v>
      </c>
      <c r="G105" s="23">
        <v>0</v>
      </c>
      <c r="H105" s="23">
        <v>0</v>
      </c>
      <c r="I105" s="23">
        <v>4000</v>
      </c>
      <c r="J105" s="23">
        <v>60000</v>
      </c>
      <c r="K105" s="23">
        <v>3625600</v>
      </c>
      <c r="L105" s="23">
        <v>273216</v>
      </c>
      <c r="M105" s="23">
        <v>7284322</v>
      </c>
      <c r="N105" s="23">
        <v>6358866</v>
      </c>
      <c r="O105" s="26">
        <v>29926484.149</v>
      </c>
    </row>
    <row r="106" spans="1:15" ht="15.75" hidden="1" thickBot="1" x14ac:dyDescent="0.3">
      <c r="A106" s="21"/>
      <c r="B106" s="22" t="s">
        <v>28</v>
      </c>
      <c r="C106" s="23">
        <v>5952</v>
      </c>
      <c r="D106" s="23">
        <v>868992</v>
      </c>
      <c r="E106" s="23">
        <v>3558</v>
      </c>
      <c r="F106" s="23">
        <v>1519200</v>
      </c>
      <c r="G106" s="23">
        <v>0</v>
      </c>
      <c r="H106" s="23">
        <v>0</v>
      </c>
      <c r="I106" s="23">
        <v>4000</v>
      </c>
      <c r="J106" s="23">
        <v>56000</v>
      </c>
      <c r="K106" s="23">
        <v>3625600</v>
      </c>
      <c r="L106" s="23">
        <v>316099</v>
      </c>
      <c r="M106" s="23">
        <v>6345729</v>
      </c>
      <c r="N106" s="23">
        <v>5544421</v>
      </c>
      <c r="O106" s="26">
        <v>30682398.149</v>
      </c>
    </row>
    <row r="107" spans="1:15" ht="15.75" hidden="1" thickBot="1" x14ac:dyDescent="0.3">
      <c r="A107" s="21"/>
      <c r="B107" s="22" t="s">
        <v>29</v>
      </c>
      <c r="C107" s="23">
        <v>6297</v>
      </c>
      <c r="D107" s="23">
        <v>919362</v>
      </c>
      <c r="E107" s="23">
        <v>2882</v>
      </c>
      <c r="F107" s="23">
        <v>1186740</v>
      </c>
      <c r="G107" s="23">
        <v>0</v>
      </c>
      <c r="H107" s="23">
        <v>0</v>
      </c>
      <c r="I107" s="23">
        <v>4000</v>
      </c>
      <c r="J107" s="23">
        <v>56000</v>
      </c>
      <c r="K107" s="23">
        <v>3625600</v>
      </c>
      <c r="L107" s="23">
        <v>271868</v>
      </c>
      <c r="M107" s="23">
        <v>6059570</v>
      </c>
      <c r="N107" s="23">
        <v>8409508</v>
      </c>
      <c r="O107" s="26">
        <v>28276472.148999996</v>
      </c>
    </row>
    <row r="108" spans="1:15" ht="15.75" hidden="1" thickBot="1" x14ac:dyDescent="0.3">
      <c r="A108" s="21"/>
      <c r="B108" s="22" t="s">
        <v>30</v>
      </c>
      <c r="C108" s="23">
        <v>4069</v>
      </c>
      <c r="D108" s="23">
        <v>594074</v>
      </c>
      <c r="E108" s="23">
        <v>1146</v>
      </c>
      <c r="F108" s="23">
        <v>450720</v>
      </c>
      <c r="G108" s="23">
        <v>0</v>
      </c>
      <c r="H108" s="23">
        <v>0</v>
      </c>
      <c r="I108" s="23">
        <v>4000</v>
      </c>
      <c r="J108" s="23">
        <v>56000</v>
      </c>
      <c r="K108" s="23">
        <v>3625600</v>
      </c>
      <c r="L108" s="23">
        <v>274218</v>
      </c>
      <c r="M108" s="23">
        <v>5000612</v>
      </c>
      <c r="N108" s="23">
        <v>4432575</v>
      </c>
      <c r="O108" s="26">
        <v>28998053.148999996</v>
      </c>
    </row>
    <row r="109" spans="1:15" ht="15.75" hidden="1" thickBot="1" x14ac:dyDescent="0.3">
      <c r="A109" s="21"/>
      <c r="B109" s="22" t="s">
        <v>31</v>
      </c>
      <c r="C109" s="23">
        <v>3984</v>
      </c>
      <c r="D109" s="23">
        <v>581664</v>
      </c>
      <c r="E109" s="23">
        <v>868</v>
      </c>
      <c r="F109" s="23">
        <v>312480</v>
      </c>
      <c r="G109" s="23">
        <v>0</v>
      </c>
      <c r="H109" s="23">
        <v>0</v>
      </c>
      <c r="I109" s="23">
        <v>4000</v>
      </c>
      <c r="J109" s="23">
        <v>56000</v>
      </c>
      <c r="K109" s="23">
        <v>3625600</v>
      </c>
      <c r="L109" s="23">
        <v>334785</v>
      </c>
      <c r="M109" s="23">
        <v>4910529</v>
      </c>
      <c r="N109" s="23">
        <v>3373824</v>
      </c>
      <c r="O109" s="26">
        <v>30538758.148999996</v>
      </c>
    </row>
    <row r="110" spans="1:15" ht="15.75" hidden="1" thickBot="1" x14ac:dyDescent="0.3">
      <c r="A110" s="21"/>
      <c r="B110" s="22" t="s">
        <v>32</v>
      </c>
      <c r="C110" s="23">
        <v>4922</v>
      </c>
      <c r="D110" s="23">
        <v>718612</v>
      </c>
      <c r="E110" s="23">
        <v>511</v>
      </c>
      <c r="F110" s="23">
        <v>183960</v>
      </c>
      <c r="G110" s="23">
        <v>0</v>
      </c>
      <c r="H110" s="23">
        <v>0</v>
      </c>
      <c r="I110" s="23">
        <v>8000</v>
      </c>
      <c r="J110" s="23">
        <v>68000</v>
      </c>
      <c r="K110" s="23">
        <v>3625600</v>
      </c>
      <c r="L110" s="23">
        <v>307258</v>
      </c>
      <c r="M110" s="23">
        <v>4903430</v>
      </c>
      <c r="N110" s="23">
        <v>4734936</v>
      </c>
      <c r="O110" s="26">
        <v>30657580.148999996</v>
      </c>
    </row>
    <row r="111" spans="1:15" ht="15.75" hidden="1" thickBot="1" x14ac:dyDescent="0.3">
      <c r="A111" s="21"/>
      <c r="B111" s="22" t="s">
        <v>33</v>
      </c>
      <c r="C111" s="23">
        <v>4109</v>
      </c>
      <c r="D111" s="23">
        <v>599914</v>
      </c>
      <c r="E111" s="23">
        <v>458</v>
      </c>
      <c r="F111" s="23">
        <v>164880</v>
      </c>
      <c r="G111" s="23">
        <v>0</v>
      </c>
      <c r="H111" s="23">
        <v>0</v>
      </c>
      <c r="I111" s="23">
        <v>8000</v>
      </c>
      <c r="J111" s="23">
        <v>68000</v>
      </c>
      <c r="K111" s="23">
        <v>3625600</v>
      </c>
      <c r="L111" s="23">
        <v>350956</v>
      </c>
      <c r="M111" s="23">
        <v>4809350</v>
      </c>
      <c r="N111" s="23">
        <v>3390323</v>
      </c>
      <c r="O111" s="26">
        <v>32146279.148999996</v>
      </c>
    </row>
    <row r="112" spans="1:15" ht="15.75" hidden="1" thickBot="1" x14ac:dyDescent="0.3">
      <c r="A112" s="21"/>
      <c r="B112" s="22" t="s">
        <v>34</v>
      </c>
      <c r="C112" s="23">
        <v>5121</v>
      </c>
      <c r="D112" s="23">
        <v>747666</v>
      </c>
      <c r="E112" s="23">
        <v>1082</v>
      </c>
      <c r="F112" s="23">
        <v>389520</v>
      </c>
      <c r="G112" s="23">
        <v>0</v>
      </c>
      <c r="H112" s="23">
        <v>0</v>
      </c>
      <c r="I112" s="23">
        <v>8000</v>
      </c>
      <c r="J112" s="23">
        <v>68000</v>
      </c>
      <c r="K112" s="23">
        <v>3625600</v>
      </c>
      <c r="L112" s="23">
        <v>360293</v>
      </c>
      <c r="M112" s="23">
        <v>5191079</v>
      </c>
      <c r="N112" s="23">
        <v>4384746</v>
      </c>
      <c r="O112" s="26">
        <v>32964612.148999996</v>
      </c>
    </row>
    <row r="113" spans="1:15" ht="15.75" hidden="1" thickBot="1" x14ac:dyDescent="0.3">
      <c r="A113" s="21"/>
      <c r="B113" s="22" t="s">
        <v>35</v>
      </c>
      <c r="C113" s="23">
        <v>5120</v>
      </c>
      <c r="D113" s="23">
        <v>747520</v>
      </c>
      <c r="E113" s="23">
        <v>2020</v>
      </c>
      <c r="F113" s="23">
        <v>747360</v>
      </c>
      <c r="G113" s="23">
        <v>0</v>
      </c>
      <c r="H113" s="23">
        <v>0</v>
      </c>
      <c r="I113" s="23">
        <v>8000</v>
      </c>
      <c r="J113" s="23">
        <v>68000</v>
      </c>
      <c r="K113" s="23">
        <v>3625600</v>
      </c>
      <c r="L113" s="23">
        <v>309473</v>
      </c>
      <c r="M113" s="23">
        <v>5497953</v>
      </c>
      <c r="N113" s="23">
        <v>4615660</v>
      </c>
      <c r="O113" s="26">
        <v>33858905.148999996</v>
      </c>
    </row>
    <row r="114" spans="1:15" ht="15.75" hidden="1" thickBot="1" x14ac:dyDescent="0.3">
      <c r="A114" s="21"/>
      <c r="B114" s="22" t="s">
        <v>36</v>
      </c>
      <c r="C114" s="23">
        <v>6171</v>
      </c>
      <c r="D114" s="23">
        <v>900966</v>
      </c>
      <c r="E114" s="23">
        <v>2973</v>
      </c>
      <c r="F114" s="23">
        <v>1358820</v>
      </c>
      <c r="G114" s="23">
        <v>0</v>
      </c>
      <c r="H114" s="23">
        <v>0</v>
      </c>
      <c r="I114" s="23">
        <v>8000</v>
      </c>
      <c r="J114" s="23">
        <v>68000</v>
      </c>
      <c r="K114" s="23">
        <v>3627809</v>
      </c>
      <c r="L114" s="23">
        <v>324404</v>
      </c>
      <c r="M114" s="23">
        <v>6266582</v>
      </c>
      <c r="N114" s="23">
        <v>6591078</v>
      </c>
      <c r="O114" s="26">
        <v>33503030.148999996</v>
      </c>
    </row>
    <row r="115" spans="1:15" ht="15.75" hidden="1" thickBot="1" x14ac:dyDescent="0.3">
      <c r="A115" s="21"/>
      <c r="B115" s="22" t="s">
        <v>37</v>
      </c>
      <c r="C115" s="23">
        <v>7386</v>
      </c>
      <c r="D115" s="23">
        <v>1078356</v>
      </c>
      <c r="E115" s="23">
        <v>4734</v>
      </c>
      <c r="F115" s="23">
        <v>2310840</v>
      </c>
      <c r="G115" s="23">
        <v>0</v>
      </c>
      <c r="H115" s="23">
        <v>0</v>
      </c>
      <c r="I115" s="23">
        <v>8000</v>
      </c>
      <c r="J115" s="23">
        <v>68000</v>
      </c>
      <c r="K115" s="23">
        <v>3627809</v>
      </c>
      <c r="L115" s="23">
        <v>388941</v>
      </c>
      <c r="M115" s="23">
        <v>7473946</v>
      </c>
      <c r="N115" s="23">
        <v>7333028</v>
      </c>
      <c r="O115" s="26">
        <v>33712744.148999996</v>
      </c>
    </row>
    <row r="116" spans="1:15" ht="15.75" hidden="1" thickBot="1" x14ac:dyDescent="0.3">
      <c r="A116" s="21">
        <v>2012</v>
      </c>
      <c r="B116" s="22" t="s">
        <v>38</v>
      </c>
      <c r="C116" s="23">
        <v>8492</v>
      </c>
      <c r="D116" s="23">
        <v>1239832</v>
      </c>
      <c r="E116" s="23">
        <v>5008</v>
      </c>
      <c r="F116" s="23">
        <v>2416680</v>
      </c>
      <c r="G116" s="23">
        <v>0</v>
      </c>
      <c r="H116" s="23">
        <v>0</v>
      </c>
      <c r="I116" s="23">
        <v>33466</v>
      </c>
      <c r="J116" s="23">
        <v>131665</v>
      </c>
      <c r="K116" s="23">
        <v>3766976</v>
      </c>
      <c r="L116" s="23">
        <v>369910</v>
      </c>
      <c r="M116" s="23">
        <v>7950529</v>
      </c>
      <c r="N116" s="23">
        <v>6052319</v>
      </c>
      <c r="O116" s="26">
        <v>35622954.148999996</v>
      </c>
    </row>
    <row r="117" spans="1:15" ht="15.75" hidden="1" thickBot="1" x14ac:dyDescent="0.3">
      <c r="A117" s="21"/>
      <c r="B117" s="22" t="s">
        <v>27</v>
      </c>
      <c r="C117" s="23">
        <v>7794</v>
      </c>
      <c r="D117" s="23">
        <v>1137924</v>
      </c>
      <c r="E117" s="23">
        <v>4307</v>
      </c>
      <c r="F117" s="23">
        <v>1917720</v>
      </c>
      <c r="G117" s="23">
        <v>0</v>
      </c>
      <c r="H117" s="23">
        <v>0</v>
      </c>
      <c r="I117" s="23">
        <v>8000</v>
      </c>
      <c r="J117" s="23">
        <v>68000</v>
      </c>
      <c r="K117" s="23">
        <v>3766976</v>
      </c>
      <c r="L117" s="23">
        <v>385246</v>
      </c>
      <c r="M117" s="23">
        <v>7251413</v>
      </c>
      <c r="N117" s="23">
        <v>6048894</v>
      </c>
      <c r="O117" s="26">
        <v>36874659.149000004</v>
      </c>
    </row>
    <row r="118" spans="1:15" ht="15.75" hidden="1" thickBot="1" x14ac:dyDescent="0.3">
      <c r="A118" s="21"/>
      <c r="B118" s="22" t="s">
        <v>28</v>
      </c>
      <c r="C118" s="23">
        <v>7614</v>
      </c>
      <c r="D118" s="23">
        <v>1111644</v>
      </c>
      <c r="E118" s="23">
        <v>4078</v>
      </c>
      <c r="F118" s="23">
        <v>1768500</v>
      </c>
      <c r="G118" s="23">
        <v>0</v>
      </c>
      <c r="H118" s="23">
        <v>0</v>
      </c>
      <c r="I118" s="23">
        <v>8000</v>
      </c>
      <c r="J118" s="23">
        <v>68000</v>
      </c>
      <c r="K118" s="23">
        <v>3766976</v>
      </c>
      <c r="L118" s="23">
        <v>392731</v>
      </c>
      <c r="M118" s="23">
        <v>7107851</v>
      </c>
      <c r="N118" s="23">
        <v>6495359</v>
      </c>
      <c r="O118" s="26">
        <v>37499151.149000004</v>
      </c>
    </row>
    <row r="119" spans="1:15" ht="15.75" hidden="1" thickBot="1" x14ac:dyDescent="0.3">
      <c r="A119" s="21"/>
      <c r="B119" s="22" t="s">
        <v>29</v>
      </c>
      <c r="C119" s="23">
        <v>5931</v>
      </c>
      <c r="D119" s="23">
        <v>865926</v>
      </c>
      <c r="E119" s="23">
        <v>2770</v>
      </c>
      <c r="F119" s="23">
        <v>1060560</v>
      </c>
      <c r="G119" s="23">
        <v>0</v>
      </c>
      <c r="H119" s="23">
        <v>0</v>
      </c>
      <c r="I119" s="23">
        <v>71432</v>
      </c>
      <c r="J119" s="23">
        <v>68000</v>
      </c>
      <c r="K119" s="23">
        <v>3766976</v>
      </c>
      <c r="L119" s="23">
        <v>372044</v>
      </c>
      <c r="M119" s="23">
        <v>6165888</v>
      </c>
      <c r="N119" s="23">
        <v>5314576</v>
      </c>
      <c r="O119" s="26">
        <v>38334654.149000004</v>
      </c>
    </row>
    <row r="120" spans="1:15" ht="15.75" hidden="1" thickBot="1" x14ac:dyDescent="0.3">
      <c r="A120" s="21"/>
      <c r="B120" s="22" t="s">
        <v>30</v>
      </c>
      <c r="C120" s="23">
        <v>7483</v>
      </c>
      <c r="D120" s="23">
        <v>1092518</v>
      </c>
      <c r="E120" s="23">
        <v>2826</v>
      </c>
      <c r="F120" s="23">
        <v>1362240</v>
      </c>
      <c r="G120" s="23">
        <v>0</v>
      </c>
      <c r="H120" s="23">
        <v>0</v>
      </c>
      <c r="I120" s="23">
        <v>188000</v>
      </c>
      <c r="J120" s="23">
        <v>68000</v>
      </c>
      <c r="K120" s="23">
        <v>3766976</v>
      </c>
      <c r="L120" s="23">
        <v>379256</v>
      </c>
      <c r="M120" s="23">
        <v>6728990</v>
      </c>
      <c r="N120" s="23">
        <v>6052094</v>
      </c>
      <c r="O120" s="26">
        <v>39282409.149000004</v>
      </c>
    </row>
    <row r="121" spans="1:15" ht="15.75" hidden="1" thickBot="1" x14ac:dyDescent="0.3">
      <c r="A121" s="21"/>
      <c r="B121" s="22" t="s">
        <v>31</v>
      </c>
      <c r="C121" s="23">
        <v>2175</v>
      </c>
      <c r="D121" s="23">
        <v>707662</v>
      </c>
      <c r="E121" s="23">
        <v>427</v>
      </c>
      <c r="F121" s="23">
        <v>153720</v>
      </c>
      <c r="G121" s="23">
        <v>0</v>
      </c>
      <c r="H121" s="23">
        <v>0</v>
      </c>
      <c r="I121" s="23">
        <v>88000</v>
      </c>
      <c r="J121" s="23">
        <v>72000</v>
      </c>
      <c r="K121" s="23">
        <v>3766976</v>
      </c>
      <c r="L121" s="23">
        <v>353852</v>
      </c>
      <c r="M121" s="23">
        <v>5114595</v>
      </c>
      <c r="N121" s="23">
        <v>6144996</v>
      </c>
      <c r="O121" s="26">
        <v>38224764.148999996</v>
      </c>
    </row>
    <row r="122" spans="1:15" ht="15.75" hidden="1" thickBot="1" x14ac:dyDescent="0.3">
      <c r="A122" s="21"/>
      <c r="B122" s="22" t="s">
        <v>32</v>
      </c>
      <c r="C122" s="23">
        <v>7614</v>
      </c>
      <c r="D122" s="23">
        <v>721532</v>
      </c>
      <c r="E122" s="23">
        <v>504</v>
      </c>
      <c r="F122" s="23">
        <v>181440</v>
      </c>
      <c r="G122" s="23">
        <v>0</v>
      </c>
      <c r="H122" s="23">
        <v>63432</v>
      </c>
      <c r="I122" s="23">
        <v>67432</v>
      </c>
      <c r="J122" s="23">
        <v>76000</v>
      </c>
      <c r="K122" s="23">
        <v>3766976</v>
      </c>
      <c r="L122" s="23">
        <v>389043</v>
      </c>
      <c r="M122" s="23">
        <v>5198423</v>
      </c>
      <c r="N122" s="23">
        <v>4975041</v>
      </c>
      <c r="O122" s="26">
        <v>38531294.148999996</v>
      </c>
    </row>
    <row r="123" spans="1:15" ht="15.75" hidden="1" thickBot="1" x14ac:dyDescent="0.3">
      <c r="A123" s="21"/>
      <c r="B123" s="22" t="s">
        <v>33</v>
      </c>
      <c r="C123" s="23">
        <v>4973</v>
      </c>
      <c r="D123" s="23">
        <v>726058</v>
      </c>
      <c r="E123" s="23">
        <v>578</v>
      </c>
      <c r="F123" s="23">
        <v>208080</v>
      </c>
      <c r="G123" s="23">
        <v>0</v>
      </c>
      <c r="H123" s="23">
        <v>0</v>
      </c>
      <c r="I123" s="23">
        <v>0</v>
      </c>
      <c r="J123" s="23">
        <v>215000</v>
      </c>
      <c r="K123" s="23">
        <v>3766976</v>
      </c>
      <c r="L123" s="23">
        <v>352914</v>
      </c>
      <c r="M123" s="23">
        <v>5269028</v>
      </c>
      <c r="N123" s="23">
        <v>4378318</v>
      </c>
      <c r="O123" s="26">
        <v>39469147.148999996</v>
      </c>
    </row>
    <row r="124" spans="1:15" ht="15.75" hidden="1" thickBot="1" x14ac:dyDescent="0.3">
      <c r="A124" s="21"/>
      <c r="B124" s="22" t="s">
        <v>34</v>
      </c>
      <c r="C124" s="23">
        <v>5709</v>
      </c>
      <c r="D124" s="23">
        <v>833514</v>
      </c>
      <c r="E124" s="23">
        <v>1371</v>
      </c>
      <c r="F124" s="23">
        <v>493560</v>
      </c>
      <c r="G124" s="23">
        <v>0</v>
      </c>
      <c r="H124" s="23">
        <v>0</v>
      </c>
      <c r="I124" s="23">
        <v>0</v>
      </c>
      <c r="J124" s="23">
        <v>225000</v>
      </c>
      <c r="K124" s="23">
        <v>3766976</v>
      </c>
      <c r="L124" s="23">
        <v>391993</v>
      </c>
      <c r="M124" s="23">
        <v>5694182</v>
      </c>
      <c r="N124" s="23">
        <v>5507917</v>
      </c>
      <c r="O124" s="26">
        <v>39672273.148999996</v>
      </c>
    </row>
    <row r="125" spans="1:15" ht="15.75" hidden="1" thickBot="1" x14ac:dyDescent="0.3">
      <c r="A125" s="21"/>
      <c r="B125" s="22" t="s">
        <v>35</v>
      </c>
      <c r="C125" s="23">
        <v>2682</v>
      </c>
      <c r="D125" s="23">
        <v>781684</v>
      </c>
      <c r="E125" s="23">
        <v>1753</v>
      </c>
      <c r="F125" s="23">
        <v>634320</v>
      </c>
      <c r="G125" s="23">
        <v>0</v>
      </c>
      <c r="H125" s="23">
        <v>0</v>
      </c>
      <c r="I125" s="23">
        <v>0</v>
      </c>
      <c r="J125" s="23">
        <v>215000</v>
      </c>
      <c r="K125" s="23">
        <v>3766976</v>
      </c>
      <c r="L125" s="23">
        <v>318262</v>
      </c>
      <c r="M125" s="23">
        <v>5716242</v>
      </c>
      <c r="N125" s="23">
        <v>4826808</v>
      </c>
      <c r="O125" s="26">
        <v>40499940.148999996</v>
      </c>
    </row>
    <row r="126" spans="1:15" ht="15.75" hidden="1" thickBot="1" x14ac:dyDescent="0.3">
      <c r="A126" s="21"/>
      <c r="B126" s="22" t="s">
        <v>36</v>
      </c>
      <c r="C126" s="23">
        <v>5653</v>
      </c>
      <c r="D126" s="23">
        <v>825338</v>
      </c>
      <c r="E126" s="23">
        <v>4242</v>
      </c>
      <c r="F126" s="23">
        <v>2157120</v>
      </c>
      <c r="G126" s="23">
        <v>0</v>
      </c>
      <c r="H126" s="23">
        <v>0</v>
      </c>
      <c r="I126" s="23">
        <v>139912</v>
      </c>
      <c r="J126" s="23">
        <v>215000</v>
      </c>
      <c r="K126" s="23">
        <v>3767851</v>
      </c>
      <c r="L126" s="23">
        <v>563946</v>
      </c>
      <c r="M126" s="23">
        <v>7583028</v>
      </c>
      <c r="N126" s="23">
        <v>5602386</v>
      </c>
      <c r="O126" s="26">
        <v>42654525.848999999</v>
      </c>
    </row>
    <row r="127" spans="1:15" ht="15.75" hidden="1" thickBot="1" x14ac:dyDescent="0.3">
      <c r="A127" s="21"/>
      <c r="B127" s="22" t="s">
        <v>37</v>
      </c>
      <c r="C127" s="23">
        <v>6048</v>
      </c>
      <c r="D127" s="23">
        <v>883008</v>
      </c>
      <c r="E127" s="23">
        <v>4091</v>
      </c>
      <c r="F127" s="23">
        <v>1530720</v>
      </c>
      <c r="G127" s="23">
        <v>0</v>
      </c>
      <c r="H127" s="23">
        <v>0</v>
      </c>
      <c r="I127" s="23">
        <v>12288</v>
      </c>
      <c r="J127" s="23">
        <v>215000</v>
      </c>
      <c r="K127" s="23">
        <v>3767851</v>
      </c>
      <c r="L127" s="23">
        <v>335890</v>
      </c>
      <c r="M127" s="23">
        <v>6744757</v>
      </c>
      <c r="N127" s="23">
        <v>7408239</v>
      </c>
      <c r="O127" s="26">
        <v>41932184.949000001</v>
      </c>
    </row>
    <row r="128" spans="1:15" ht="15.75" hidden="1" thickBot="1" x14ac:dyDescent="0.3">
      <c r="A128" s="21">
        <v>2013</v>
      </c>
      <c r="B128" s="22" t="s">
        <v>38</v>
      </c>
      <c r="C128" s="23">
        <v>9146</v>
      </c>
      <c r="D128" s="23">
        <v>1337944</v>
      </c>
      <c r="E128" s="23">
        <v>5393</v>
      </c>
      <c r="F128" s="23">
        <v>2593440</v>
      </c>
      <c r="G128" s="23">
        <v>0</v>
      </c>
      <c r="H128" s="23">
        <v>0</v>
      </c>
      <c r="I128" s="23">
        <v>0</v>
      </c>
      <c r="J128" s="23">
        <v>215000</v>
      </c>
      <c r="K128" s="23">
        <v>3822976</v>
      </c>
      <c r="L128" s="23">
        <v>494722</v>
      </c>
      <c r="M128" s="23">
        <v>8392469</v>
      </c>
      <c r="N128" s="23">
        <v>7329047</v>
      </c>
      <c r="O128" s="26">
        <v>43004448.949000001</v>
      </c>
    </row>
    <row r="129" spans="1:15" ht="15.75" hidden="1" thickBot="1" x14ac:dyDescent="0.3">
      <c r="A129" s="21"/>
      <c r="B129" s="22" t="s">
        <v>27</v>
      </c>
      <c r="C129" s="23">
        <v>8749</v>
      </c>
      <c r="D129" s="23">
        <v>1277354</v>
      </c>
      <c r="E129" s="23">
        <v>4485</v>
      </c>
      <c r="F129" s="23">
        <v>1911780</v>
      </c>
      <c r="G129" s="23">
        <v>0</v>
      </c>
      <c r="H129" s="23">
        <v>565248</v>
      </c>
      <c r="I129" s="23">
        <v>147456</v>
      </c>
      <c r="J129" s="23">
        <v>205000</v>
      </c>
      <c r="K129" s="23">
        <v>3822976</v>
      </c>
      <c r="L129" s="23">
        <v>414314</v>
      </c>
      <c r="M129" s="23">
        <v>8153023</v>
      </c>
      <c r="N129" s="23">
        <v>6931446</v>
      </c>
      <c r="O129" s="26">
        <v>44639772.949000001</v>
      </c>
    </row>
    <row r="130" spans="1:15" ht="15.75" hidden="1" thickBot="1" x14ac:dyDescent="0.3">
      <c r="A130" s="21"/>
      <c r="B130" s="22" t="s">
        <v>28</v>
      </c>
      <c r="C130" s="23">
        <v>6973</v>
      </c>
      <c r="D130" s="23">
        <v>1018058</v>
      </c>
      <c r="E130" s="23">
        <v>3992</v>
      </c>
      <c r="F130" s="23">
        <v>1842840</v>
      </c>
      <c r="G130" s="23">
        <v>0</v>
      </c>
      <c r="H130" s="23">
        <v>0</v>
      </c>
      <c r="I130" s="23">
        <v>0</v>
      </c>
      <c r="J130" s="23">
        <v>205000</v>
      </c>
      <c r="K130" s="23">
        <v>3822976</v>
      </c>
      <c r="L130" s="23">
        <v>538235</v>
      </c>
      <c r="M130" s="23">
        <v>7427109</v>
      </c>
      <c r="N130" s="23">
        <v>7492844</v>
      </c>
      <c r="O130" s="26">
        <v>44514305.949000001</v>
      </c>
    </row>
    <row r="131" spans="1:15" ht="15.75" hidden="1" thickBot="1" x14ac:dyDescent="0.3">
      <c r="A131" s="21"/>
      <c r="B131" s="22" t="s">
        <v>29</v>
      </c>
      <c r="C131" s="23">
        <v>6518</v>
      </c>
      <c r="D131" s="23">
        <v>951628</v>
      </c>
      <c r="E131" s="23">
        <v>3161</v>
      </c>
      <c r="F131" s="23">
        <v>1312200</v>
      </c>
      <c r="G131" s="23">
        <v>0</v>
      </c>
      <c r="H131" s="23">
        <v>0</v>
      </c>
      <c r="I131" s="23">
        <v>0</v>
      </c>
      <c r="J131" s="23">
        <v>210000</v>
      </c>
      <c r="K131" s="23">
        <v>3822976</v>
      </c>
      <c r="L131" s="23">
        <v>408063</v>
      </c>
      <c r="M131" s="23">
        <v>6704867</v>
      </c>
      <c r="N131" s="23">
        <v>4791475</v>
      </c>
      <c r="O131" s="26">
        <v>46434208.949000001</v>
      </c>
    </row>
    <row r="132" spans="1:15" ht="15.75" hidden="1" thickBot="1" x14ac:dyDescent="0.3">
      <c r="A132" s="21"/>
      <c r="B132" s="22" t="s">
        <v>30</v>
      </c>
      <c r="C132" s="23">
        <v>7072</v>
      </c>
      <c r="D132" s="23">
        <v>1037038</v>
      </c>
      <c r="E132" s="23">
        <v>1534</v>
      </c>
      <c r="F132" s="23">
        <v>560880</v>
      </c>
      <c r="G132" s="23">
        <v>0</v>
      </c>
      <c r="H132" s="23">
        <v>0</v>
      </c>
      <c r="I132" s="23">
        <v>0</v>
      </c>
      <c r="J132" s="23">
        <v>200000</v>
      </c>
      <c r="K132" s="23">
        <v>3822976</v>
      </c>
      <c r="L132" s="23">
        <v>584900</v>
      </c>
      <c r="M132" s="23">
        <v>6145782</v>
      </c>
      <c r="N132" s="23">
        <v>5262651</v>
      </c>
      <c r="O132" s="26">
        <v>47282443.949000001</v>
      </c>
    </row>
    <row r="133" spans="1:15" ht="15.75" hidden="1" thickBot="1" x14ac:dyDescent="0.3">
      <c r="A133" s="21"/>
      <c r="B133" s="22" t="s">
        <v>31</v>
      </c>
      <c r="C133" s="23">
        <v>5600</v>
      </c>
      <c r="D133" s="23">
        <v>817600</v>
      </c>
      <c r="E133" s="23">
        <v>424</v>
      </c>
      <c r="F133" s="23">
        <v>152640</v>
      </c>
      <c r="G133" s="23">
        <v>0</v>
      </c>
      <c r="H133" s="23">
        <v>0</v>
      </c>
      <c r="I133" s="23">
        <v>0</v>
      </c>
      <c r="J133" s="23">
        <v>200000</v>
      </c>
      <c r="K133" s="23">
        <v>3822976</v>
      </c>
      <c r="L133" s="23">
        <v>501473</v>
      </c>
      <c r="M133" s="23">
        <v>5494689</v>
      </c>
      <c r="N133" s="23">
        <v>21617885</v>
      </c>
      <c r="O133" s="26">
        <v>31086086.948999997</v>
      </c>
    </row>
    <row r="134" spans="1:15" ht="15.75" hidden="1" thickBot="1" x14ac:dyDescent="0.3">
      <c r="A134" s="21"/>
      <c r="B134" s="22" t="s">
        <v>32</v>
      </c>
      <c r="C134" s="23">
        <v>5498</v>
      </c>
      <c r="D134" s="23">
        <v>827090</v>
      </c>
      <c r="E134" s="23">
        <v>410</v>
      </c>
      <c r="F134" s="23">
        <v>147600</v>
      </c>
      <c r="G134" s="23">
        <v>0</v>
      </c>
      <c r="H134" s="23">
        <v>0</v>
      </c>
      <c r="I134" s="23">
        <v>0</v>
      </c>
      <c r="J134" s="23">
        <v>200000</v>
      </c>
      <c r="K134" s="23">
        <v>3822976</v>
      </c>
      <c r="L134" s="23">
        <v>304811</v>
      </c>
      <c r="M134" s="23">
        <v>5302477</v>
      </c>
      <c r="N134" s="23">
        <v>3916008</v>
      </c>
      <c r="O134" s="26">
        <v>32383495.948999997</v>
      </c>
    </row>
    <row r="135" spans="1:15" ht="15.75" hidden="1" thickBot="1" x14ac:dyDescent="0.3">
      <c r="A135" s="21"/>
      <c r="B135" s="22" t="s">
        <v>33</v>
      </c>
      <c r="C135" s="23">
        <v>5364</v>
      </c>
      <c r="D135" s="23">
        <v>783144</v>
      </c>
      <c r="E135" s="23">
        <v>730</v>
      </c>
      <c r="F135" s="23">
        <v>262800</v>
      </c>
      <c r="G135" s="23">
        <v>15075</v>
      </c>
      <c r="H135" s="23">
        <v>0</v>
      </c>
      <c r="I135" s="23">
        <v>149960</v>
      </c>
      <c r="J135" s="23">
        <v>200000</v>
      </c>
      <c r="K135" s="23">
        <v>3822976</v>
      </c>
      <c r="L135" s="23">
        <v>509504</v>
      </c>
      <c r="M135" s="23">
        <v>5743459</v>
      </c>
      <c r="N135" s="23">
        <v>5023601</v>
      </c>
      <c r="O135" s="26">
        <v>33043626.948999997</v>
      </c>
    </row>
    <row r="136" spans="1:15" ht="15.75" hidden="1" thickBot="1" x14ac:dyDescent="0.3">
      <c r="A136" s="21"/>
      <c r="B136" s="22" t="s">
        <v>34</v>
      </c>
      <c r="C136" s="23">
        <v>6448</v>
      </c>
      <c r="D136" s="23">
        <v>941408</v>
      </c>
      <c r="E136" s="23">
        <v>1158</v>
      </c>
      <c r="F136" s="23">
        <v>416880</v>
      </c>
      <c r="G136" s="23">
        <v>0</v>
      </c>
      <c r="H136" s="23">
        <v>0</v>
      </c>
      <c r="I136" s="23">
        <v>54470</v>
      </c>
      <c r="J136" s="23">
        <v>200000</v>
      </c>
      <c r="K136" s="23">
        <v>3822976</v>
      </c>
      <c r="L136" s="23">
        <v>250230</v>
      </c>
      <c r="M136" s="23">
        <v>5685964</v>
      </c>
      <c r="N136" s="23">
        <v>13933234</v>
      </c>
      <c r="O136" s="26">
        <v>20830944.949000001</v>
      </c>
    </row>
    <row r="137" spans="1:15" ht="15.75" hidden="1" thickBot="1" x14ac:dyDescent="0.3">
      <c r="A137" s="21"/>
      <c r="B137" s="22" t="s">
        <v>35</v>
      </c>
      <c r="C137" s="23">
        <v>6526</v>
      </c>
      <c r="D137" s="23">
        <v>952796</v>
      </c>
      <c r="E137" s="23">
        <v>3290</v>
      </c>
      <c r="F137" s="23">
        <v>1292220</v>
      </c>
      <c r="G137" s="23">
        <v>0</v>
      </c>
      <c r="H137" s="23">
        <v>49330</v>
      </c>
      <c r="I137" s="23">
        <v>12570</v>
      </c>
      <c r="J137" s="23">
        <v>202500</v>
      </c>
      <c r="K137" s="23">
        <v>3822976</v>
      </c>
      <c r="L137" s="23">
        <v>356065</v>
      </c>
      <c r="M137" s="23">
        <v>6659127</v>
      </c>
      <c r="N137" s="23">
        <v>5844237</v>
      </c>
      <c r="O137" s="26">
        <v>21615439.948999997</v>
      </c>
    </row>
    <row r="138" spans="1:15" ht="15.75" hidden="1" thickBot="1" x14ac:dyDescent="0.3">
      <c r="A138" s="21"/>
      <c r="B138" s="22" t="s">
        <v>36</v>
      </c>
      <c r="C138" s="23">
        <v>6543</v>
      </c>
      <c r="D138" s="23">
        <v>955278</v>
      </c>
      <c r="E138" s="23">
        <v>3448</v>
      </c>
      <c r="F138" s="23">
        <v>1463580</v>
      </c>
      <c r="G138" s="23">
        <v>0</v>
      </c>
      <c r="H138" s="23">
        <v>5000</v>
      </c>
      <c r="I138" s="23">
        <v>0</v>
      </c>
      <c r="J138" s="23">
        <v>205000</v>
      </c>
      <c r="K138" s="23">
        <v>3824778</v>
      </c>
      <c r="L138" s="23">
        <v>270397</v>
      </c>
      <c r="M138" s="23">
        <v>6724033</v>
      </c>
      <c r="N138" s="23">
        <v>5817575</v>
      </c>
      <c r="O138" s="26">
        <v>22445805.948999997</v>
      </c>
    </row>
    <row r="139" spans="1:15" ht="15.75" hidden="1" thickBot="1" x14ac:dyDescent="0.3">
      <c r="A139" s="21"/>
      <c r="B139" s="22" t="s">
        <v>37</v>
      </c>
      <c r="C139" s="23">
        <v>6434</v>
      </c>
      <c r="D139" s="23">
        <v>939364</v>
      </c>
      <c r="E139" s="23">
        <v>5478</v>
      </c>
      <c r="F139" s="23">
        <v>2814120</v>
      </c>
      <c r="G139" s="23">
        <v>0</v>
      </c>
      <c r="H139" s="23">
        <v>1085000</v>
      </c>
      <c r="I139" s="23">
        <v>202154</v>
      </c>
      <c r="J139" s="23">
        <v>205000</v>
      </c>
      <c r="K139" s="23">
        <v>3824778</v>
      </c>
      <c r="L139" s="23">
        <v>312434</v>
      </c>
      <c r="M139" s="23">
        <v>9102850</v>
      </c>
      <c r="N139" s="23">
        <v>9368385</v>
      </c>
      <c r="O139" s="26">
        <v>22640329.948999997</v>
      </c>
    </row>
    <row r="140" spans="1:15" ht="15.75" hidden="1" thickBot="1" x14ac:dyDescent="0.3">
      <c r="A140" s="21">
        <v>2014</v>
      </c>
      <c r="B140" s="22" t="s">
        <v>38</v>
      </c>
      <c r="C140" s="23">
        <v>8117</v>
      </c>
      <c r="D140" s="23">
        <v>1185082</v>
      </c>
      <c r="E140" s="23">
        <v>4651</v>
      </c>
      <c r="F140" s="23">
        <v>3411000</v>
      </c>
      <c r="G140" s="23">
        <v>0</v>
      </c>
      <c r="H140" s="23">
        <v>275000</v>
      </c>
      <c r="I140" s="23">
        <v>135869</v>
      </c>
      <c r="J140" s="23">
        <v>205000</v>
      </c>
      <c r="K140" s="23">
        <v>3938304</v>
      </c>
      <c r="L140" s="23">
        <v>305430</v>
      </c>
      <c r="M140" s="23">
        <v>9372960</v>
      </c>
      <c r="N140" s="23">
        <v>8711441</v>
      </c>
      <c r="O140" s="26">
        <v>23401114.948999997</v>
      </c>
    </row>
    <row r="141" spans="1:15" ht="15.75" hidden="1" thickBot="1" x14ac:dyDescent="0.3">
      <c r="A141" s="21"/>
      <c r="B141" s="22" t="s">
        <v>27</v>
      </c>
      <c r="C141" s="23">
        <v>8288</v>
      </c>
      <c r="D141" s="23">
        <v>1210048</v>
      </c>
      <c r="E141" s="23">
        <v>3296</v>
      </c>
      <c r="F141" s="23">
        <v>1652400</v>
      </c>
      <c r="G141" s="23">
        <v>0</v>
      </c>
      <c r="H141" s="23">
        <v>275000</v>
      </c>
      <c r="I141" s="23">
        <v>16541</v>
      </c>
      <c r="J141" s="23">
        <v>205000</v>
      </c>
      <c r="K141" s="23">
        <v>3938304</v>
      </c>
      <c r="L141" s="23">
        <v>296470</v>
      </c>
      <c r="M141" s="23">
        <v>7507222</v>
      </c>
      <c r="N141" s="23">
        <v>7145729</v>
      </c>
      <c r="O141" s="26">
        <v>23775926.948999997</v>
      </c>
    </row>
    <row r="142" spans="1:15" ht="15.75" hidden="1" thickBot="1" x14ac:dyDescent="0.3">
      <c r="A142" s="21"/>
      <c r="B142" s="22" t="s">
        <v>28</v>
      </c>
      <c r="C142" s="23">
        <v>6918</v>
      </c>
      <c r="D142" s="23">
        <v>1010028</v>
      </c>
      <c r="E142" s="23">
        <v>3047</v>
      </c>
      <c r="F142" s="23">
        <v>1568160</v>
      </c>
      <c r="G142" s="23">
        <v>0</v>
      </c>
      <c r="H142" s="23">
        <v>275000</v>
      </c>
      <c r="I142" s="23">
        <v>16541</v>
      </c>
      <c r="J142" s="23">
        <v>210000</v>
      </c>
      <c r="K142" s="23">
        <v>3938304</v>
      </c>
      <c r="L142" s="23">
        <v>312042</v>
      </c>
      <c r="M142" s="23">
        <v>7260075</v>
      </c>
      <c r="N142" s="23">
        <v>15817157</v>
      </c>
      <c r="O142" s="26">
        <v>15370446.949000001</v>
      </c>
    </row>
    <row r="143" spans="1:15" ht="15.75" hidden="1" thickBot="1" x14ac:dyDescent="0.3">
      <c r="A143" s="21"/>
      <c r="B143" s="22" t="s">
        <v>29</v>
      </c>
      <c r="C143" s="23">
        <v>6615</v>
      </c>
      <c r="D143" s="23">
        <v>965790</v>
      </c>
      <c r="E143" s="23">
        <v>2838</v>
      </c>
      <c r="F143" s="23">
        <v>1148940</v>
      </c>
      <c r="G143" s="23">
        <v>0</v>
      </c>
      <c r="H143" s="23">
        <v>275000</v>
      </c>
      <c r="I143" s="23">
        <v>0</v>
      </c>
      <c r="J143" s="23">
        <v>205000</v>
      </c>
      <c r="K143" s="23">
        <v>3938304</v>
      </c>
      <c r="L143" s="23">
        <v>313152</v>
      </c>
      <c r="M143" s="23">
        <v>6776186</v>
      </c>
      <c r="N143" s="23">
        <v>5357483</v>
      </c>
      <c r="O143" s="26">
        <v>16859149.949000001</v>
      </c>
    </row>
    <row r="144" spans="1:15" ht="15.75" hidden="1" thickBot="1" x14ac:dyDescent="0.3">
      <c r="A144" s="21"/>
      <c r="B144" s="22" t="s">
        <v>30</v>
      </c>
      <c r="C144" s="23">
        <v>5748</v>
      </c>
      <c r="D144" s="23">
        <v>839208</v>
      </c>
      <c r="E144" s="23">
        <v>1329</v>
      </c>
      <c r="F144" s="23">
        <v>512640</v>
      </c>
      <c r="G144" s="23">
        <v>0</v>
      </c>
      <c r="H144" s="23">
        <v>280000</v>
      </c>
      <c r="I144" s="23">
        <v>55000</v>
      </c>
      <c r="J144" s="23">
        <v>205000</v>
      </c>
      <c r="K144" s="23">
        <v>3938304</v>
      </c>
      <c r="L144" s="23">
        <v>317176</v>
      </c>
      <c r="M144" s="23">
        <v>6133328</v>
      </c>
      <c r="N144" s="23">
        <v>6446294</v>
      </c>
      <c r="O144" s="26">
        <v>16631183.949000001</v>
      </c>
    </row>
    <row r="145" spans="1:15" ht="15.75" hidden="1" thickBot="1" x14ac:dyDescent="0.3">
      <c r="A145" s="21"/>
      <c r="B145" s="22" t="s">
        <v>31</v>
      </c>
      <c r="C145" s="23">
        <v>4679</v>
      </c>
      <c r="D145" s="23">
        <v>683134</v>
      </c>
      <c r="E145" s="23">
        <v>579</v>
      </c>
      <c r="F145" s="23">
        <v>208440</v>
      </c>
      <c r="G145" s="23">
        <v>0</v>
      </c>
      <c r="H145" s="23">
        <v>285000</v>
      </c>
      <c r="I145" s="23">
        <v>0</v>
      </c>
      <c r="J145" s="23">
        <v>225000</v>
      </c>
      <c r="K145" s="23">
        <v>3938304</v>
      </c>
      <c r="L145" s="23">
        <v>302603</v>
      </c>
      <c r="M145" s="23">
        <v>5572481</v>
      </c>
      <c r="N145" s="23">
        <v>4729958</v>
      </c>
      <c r="O145" s="26">
        <v>14463332.949000001</v>
      </c>
    </row>
    <row r="146" spans="1:15" ht="15.75" hidden="1" thickBot="1" x14ac:dyDescent="0.3">
      <c r="A146" s="21"/>
      <c r="B146" s="22" t="s">
        <v>32</v>
      </c>
      <c r="C146" s="23">
        <v>5954</v>
      </c>
      <c r="D146" s="23">
        <v>869284</v>
      </c>
      <c r="E146" s="23">
        <v>464</v>
      </c>
      <c r="F146" s="23">
        <v>167040</v>
      </c>
      <c r="G146" s="23">
        <v>0</v>
      </c>
      <c r="H146" s="23">
        <v>275000</v>
      </c>
      <c r="I146" s="23">
        <v>0</v>
      </c>
      <c r="J146" s="23">
        <v>225000</v>
      </c>
      <c r="K146" s="23">
        <v>3938304</v>
      </c>
      <c r="L146" s="23">
        <v>254186</v>
      </c>
      <c r="M146" s="23">
        <v>5658814</v>
      </c>
      <c r="N146" s="23">
        <v>6883770</v>
      </c>
      <c r="O146" s="26">
        <v>13308376.949000001</v>
      </c>
    </row>
    <row r="147" spans="1:15" ht="15.75" hidden="1" thickBot="1" x14ac:dyDescent="0.3">
      <c r="A147" s="21"/>
      <c r="B147" s="22" t="s">
        <v>33</v>
      </c>
      <c r="C147" s="23">
        <v>4792</v>
      </c>
      <c r="D147" s="23">
        <v>699632</v>
      </c>
      <c r="E147" s="23">
        <v>489</v>
      </c>
      <c r="F147" s="23">
        <v>176040</v>
      </c>
      <c r="G147" s="23">
        <v>0</v>
      </c>
      <c r="H147" s="23">
        <v>275000</v>
      </c>
      <c r="I147" s="23">
        <v>0</v>
      </c>
      <c r="J147" s="23">
        <v>215000</v>
      </c>
      <c r="K147" s="23">
        <v>3938304</v>
      </c>
      <c r="L147" s="23">
        <v>332731</v>
      </c>
      <c r="M147" s="23">
        <v>5508716</v>
      </c>
      <c r="N147" s="23">
        <v>5347416</v>
      </c>
      <c r="O147" s="26">
        <v>13597667.949000001</v>
      </c>
    </row>
    <row r="148" spans="1:15" ht="15.75" hidden="1" thickBot="1" x14ac:dyDescent="0.3">
      <c r="A148" s="21"/>
      <c r="B148" s="22" t="s">
        <v>34</v>
      </c>
      <c r="C148" s="23">
        <v>6051</v>
      </c>
      <c r="D148" s="23">
        <v>883446</v>
      </c>
      <c r="E148" s="23">
        <v>734</v>
      </c>
      <c r="F148" s="23">
        <v>264240</v>
      </c>
      <c r="G148" s="23">
        <v>0</v>
      </c>
      <c r="H148" s="23">
        <v>275000</v>
      </c>
      <c r="I148" s="23">
        <v>0</v>
      </c>
      <c r="J148" s="23">
        <v>215000</v>
      </c>
      <c r="K148" s="23">
        <v>3938304</v>
      </c>
      <c r="L148" s="23">
        <v>288185</v>
      </c>
      <c r="M148" s="23">
        <v>5794175</v>
      </c>
      <c r="N148" s="23">
        <v>13207210</v>
      </c>
      <c r="O148" s="26">
        <v>6254632.949000001</v>
      </c>
    </row>
    <row r="149" spans="1:15" ht="15.75" hidden="1" thickBot="1" x14ac:dyDescent="0.3">
      <c r="A149" s="21"/>
      <c r="B149" s="22" t="s">
        <v>35</v>
      </c>
      <c r="C149" s="23">
        <v>6354</v>
      </c>
      <c r="D149" s="23">
        <v>927684</v>
      </c>
      <c r="E149" s="23">
        <v>1667</v>
      </c>
      <c r="F149" s="23">
        <v>615780</v>
      </c>
      <c r="G149" s="23">
        <v>0</v>
      </c>
      <c r="H149" s="23">
        <v>277000</v>
      </c>
      <c r="I149" s="23">
        <v>0</v>
      </c>
      <c r="J149" s="23">
        <v>215000</v>
      </c>
      <c r="K149" s="23">
        <v>3938304</v>
      </c>
      <c r="L149" s="23">
        <v>437886</v>
      </c>
      <c r="M149" s="23">
        <v>6293000</v>
      </c>
      <c r="N149" s="23">
        <v>5977611</v>
      </c>
      <c r="O149" s="26">
        <v>6688675.949000001</v>
      </c>
    </row>
    <row r="150" spans="1:15" ht="15.75" hidden="1" thickBot="1" x14ac:dyDescent="0.3">
      <c r="A150" s="21"/>
      <c r="B150" s="22" t="s">
        <v>36</v>
      </c>
      <c r="C150" s="23">
        <v>7256</v>
      </c>
      <c r="D150" s="23">
        <v>1059376</v>
      </c>
      <c r="E150" s="23">
        <v>3534</v>
      </c>
      <c r="F150" s="23">
        <v>1959480</v>
      </c>
      <c r="G150" s="23">
        <v>0</v>
      </c>
      <c r="H150" s="23">
        <v>277000</v>
      </c>
      <c r="I150" s="23">
        <v>37311</v>
      </c>
      <c r="J150" s="23">
        <v>215000</v>
      </c>
      <c r="K150" s="23">
        <v>3941163</v>
      </c>
      <c r="L150" s="23">
        <v>392856</v>
      </c>
      <c r="M150" s="23">
        <v>7763079</v>
      </c>
      <c r="N150" s="23">
        <v>7480459</v>
      </c>
      <c r="O150" s="26">
        <v>7090602.949000001</v>
      </c>
    </row>
    <row r="151" spans="1:15" ht="15.75" hidden="1" thickBot="1" x14ac:dyDescent="0.3">
      <c r="A151" s="21"/>
      <c r="B151" s="22" t="s">
        <v>37</v>
      </c>
      <c r="C151" s="23">
        <v>-1357</v>
      </c>
      <c r="D151" s="23">
        <v>1045360</v>
      </c>
      <c r="E151" s="23">
        <v>3132</v>
      </c>
      <c r="F151" s="23">
        <v>1371240</v>
      </c>
      <c r="G151" s="23">
        <v>0</v>
      </c>
      <c r="H151" s="23">
        <v>385000</v>
      </c>
      <c r="I151" s="23">
        <v>0</v>
      </c>
      <c r="J151" s="23">
        <v>210000</v>
      </c>
      <c r="K151" s="23">
        <v>3941163</v>
      </c>
      <c r="L151" s="23">
        <v>394032</v>
      </c>
      <c r="M151" s="23">
        <v>7248795</v>
      </c>
      <c r="N151" s="23">
        <v>7461119</v>
      </c>
      <c r="O151" s="26">
        <v>6976078.949000001</v>
      </c>
    </row>
    <row r="152" spans="1:15" ht="15.75" hidden="1" thickBot="1" x14ac:dyDescent="0.3">
      <c r="A152" s="21">
        <v>2015</v>
      </c>
      <c r="B152" s="22" t="s">
        <v>38</v>
      </c>
      <c r="C152" s="23">
        <v>8587</v>
      </c>
      <c r="D152" s="23">
        <v>1253702</v>
      </c>
      <c r="E152" s="23">
        <v>4029</v>
      </c>
      <c r="F152" s="23">
        <v>2370600</v>
      </c>
      <c r="G152" s="23">
        <v>0</v>
      </c>
      <c r="H152" s="23">
        <v>389959</v>
      </c>
      <c r="I152" s="23">
        <v>0</v>
      </c>
      <c r="J152" s="23">
        <v>202500</v>
      </c>
      <c r="K152" s="23">
        <v>4121280</v>
      </c>
      <c r="L152" s="23">
        <v>313798</v>
      </c>
      <c r="M152" s="23">
        <v>8553839</v>
      </c>
      <c r="N152" s="23">
        <v>8208134</v>
      </c>
      <c r="O152" s="26">
        <v>7419783.949000001</v>
      </c>
    </row>
    <row r="153" spans="1:15" ht="15.75" hidden="1" thickBot="1" x14ac:dyDescent="0.3">
      <c r="A153" s="21"/>
      <c r="B153" s="22" t="s">
        <v>27</v>
      </c>
      <c r="C153" s="23">
        <v>9077</v>
      </c>
      <c r="D153" s="23">
        <v>1325242</v>
      </c>
      <c r="E153" s="23">
        <v>4189</v>
      </c>
      <c r="F153" s="23">
        <v>2499120</v>
      </c>
      <c r="G153" s="23">
        <v>0</v>
      </c>
      <c r="H153" s="23">
        <v>389959</v>
      </c>
      <c r="I153" s="23">
        <v>0</v>
      </c>
      <c r="J153" s="23">
        <v>190000</v>
      </c>
      <c r="K153" s="23">
        <v>4121280</v>
      </c>
      <c r="L153" s="23">
        <v>392720</v>
      </c>
      <c r="M153" s="23">
        <v>8771231</v>
      </c>
      <c r="N153" s="23">
        <v>7547219</v>
      </c>
      <c r="O153" s="26">
        <v>8790885.949000001</v>
      </c>
    </row>
    <row r="154" spans="1:15" ht="15.75" hidden="1" thickBot="1" x14ac:dyDescent="0.3">
      <c r="A154" s="21"/>
      <c r="B154" s="22" t="s">
        <v>28</v>
      </c>
      <c r="C154" s="23">
        <v>7289</v>
      </c>
      <c r="D154" s="23">
        <v>1064194</v>
      </c>
      <c r="E154" s="23">
        <v>3167</v>
      </c>
      <c r="F154" s="23">
        <v>1496700</v>
      </c>
      <c r="G154" s="23">
        <v>0</v>
      </c>
      <c r="H154" s="23">
        <v>551126</v>
      </c>
      <c r="I154" s="23">
        <v>7438</v>
      </c>
      <c r="J154" s="23">
        <v>190000</v>
      </c>
      <c r="K154" s="23">
        <v>4123759</v>
      </c>
      <c r="L154" s="23">
        <v>443214</v>
      </c>
      <c r="M154" s="23">
        <v>7672157</v>
      </c>
      <c r="N154" s="23">
        <v>6678476</v>
      </c>
      <c r="O154" s="26">
        <v>9988840.949000001</v>
      </c>
    </row>
    <row r="155" spans="1:15" ht="15.75" hidden="1" thickBot="1" x14ac:dyDescent="0.3">
      <c r="A155" s="21"/>
      <c r="B155" s="22" t="s">
        <v>29</v>
      </c>
      <c r="C155" s="23">
        <v>7232</v>
      </c>
      <c r="D155" s="23">
        <v>1055872</v>
      </c>
      <c r="E155" s="23">
        <v>2687</v>
      </c>
      <c r="F155" s="23">
        <v>1102320</v>
      </c>
      <c r="G155" s="23">
        <v>0</v>
      </c>
      <c r="H155" s="23">
        <v>551126</v>
      </c>
      <c r="I155" s="23">
        <v>7438</v>
      </c>
      <c r="J155" s="23">
        <v>190000</v>
      </c>
      <c r="K155" s="23">
        <v>4123759</v>
      </c>
      <c r="L155" s="23">
        <v>445581</v>
      </c>
      <c r="M155" s="23">
        <v>7271559</v>
      </c>
      <c r="N155" s="23">
        <v>7635899</v>
      </c>
      <c r="O155" s="26">
        <v>9829037.949000001</v>
      </c>
    </row>
    <row r="156" spans="1:15" ht="15.75" hidden="1" thickBot="1" x14ac:dyDescent="0.3">
      <c r="A156" s="21"/>
      <c r="B156" s="22" t="s">
        <v>30</v>
      </c>
      <c r="C156" s="23">
        <v>6634</v>
      </c>
      <c r="D156" s="23">
        <v>968564</v>
      </c>
      <c r="E156" s="23">
        <v>2346</v>
      </c>
      <c r="F156" s="23">
        <v>853290</v>
      </c>
      <c r="G156" s="23">
        <v>0</v>
      </c>
      <c r="H156" s="23">
        <v>551126</v>
      </c>
      <c r="I156" s="23">
        <v>7438</v>
      </c>
      <c r="J156" s="23">
        <v>180000</v>
      </c>
      <c r="K156" s="23">
        <v>4123759</v>
      </c>
      <c r="L156" s="23">
        <v>448290</v>
      </c>
      <c r="M156" s="23">
        <v>6977439</v>
      </c>
      <c r="N156" s="23">
        <v>5857035</v>
      </c>
      <c r="O156" s="26">
        <v>11104469.949000001</v>
      </c>
    </row>
    <row r="157" spans="1:15" ht="15.75" hidden="1" thickBot="1" x14ac:dyDescent="0.3">
      <c r="A157" s="21"/>
      <c r="B157" s="22" t="s">
        <v>31</v>
      </c>
      <c r="C157" s="23">
        <v>6046</v>
      </c>
      <c r="D157" s="23">
        <v>883884</v>
      </c>
      <c r="E157" s="23">
        <v>975</v>
      </c>
      <c r="F157" s="23">
        <v>501030</v>
      </c>
      <c r="G157" s="23">
        <v>0</v>
      </c>
      <c r="H157" s="23">
        <v>551126</v>
      </c>
      <c r="I157" s="23">
        <v>7438</v>
      </c>
      <c r="J157" s="23">
        <v>180000</v>
      </c>
      <c r="K157" s="23">
        <v>4123759</v>
      </c>
      <c r="L157" s="23">
        <v>449694</v>
      </c>
      <c r="M157" s="23">
        <v>6491937</v>
      </c>
      <c r="N157" s="23">
        <v>7228844</v>
      </c>
      <c r="O157" s="26">
        <v>10572556.949000001</v>
      </c>
    </row>
    <row r="158" spans="1:15" ht="15.75" hidden="1" thickBot="1" x14ac:dyDescent="0.3">
      <c r="A158" s="21"/>
      <c r="B158" s="22" t="s">
        <v>32</v>
      </c>
      <c r="C158" s="23">
        <v>6738</v>
      </c>
      <c r="D158" s="23">
        <v>983748</v>
      </c>
      <c r="E158" s="23">
        <v>773</v>
      </c>
      <c r="F158" s="23">
        <v>423270</v>
      </c>
      <c r="G158" s="23">
        <v>0</v>
      </c>
      <c r="H158" s="23">
        <v>551126</v>
      </c>
      <c r="I158" s="23">
        <v>7438</v>
      </c>
      <c r="J158" s="23">
        <v>180000</v>
      </c>
      <c r="K158" s="23">
        <v>4123759</v>
      </c>
      <c r="L158" s="23">
        <v>551903</v>
      </c>
      <c r="M158" s="23">
        <v>6616043</v>
      </c>
      <c r="N158" s="23">
        <v>5435792</v>
      </c>
      <c r="O158" s="26">
        <v>11958008.949000001</v>
      </c>
    </row>
    <row r="159" spans="1:15" ht="15.75" hidden="1" thickBot="1" x14ac:dyDescent="0.3">
      <c r="A159" s="21"/>
      <c r="B159" s="22" t="s">
        <v>33</v>
      </c>
      <c r="C159" s="23">
        <v>5725</v>
      </c>
      <c r="D159" s="23">
        <v>835850</v>
      </c>
      <c r="E159" s="23">
        <v>560</v>
      </c>
      <c r="F159" s="23">
        <v>353430</v>
      </c>
      <c r="G159" s="23">
        <v>0</v>
      </c>
      <c r="H159" s="23">
        <v>551126</v>
      </c>
      <c r="I159" s="23">
        <v>7438</v>
      </c>
      <c r="J159" s="23">
        <v>180000</v>
      </c>
      <c r="K159" s="23">
        <v>4123759</v>
      </c>
      <c r="L159" s="23">
        <v>539880</v>
      </c>
      <c r="M159" s="23">
        <v>6400455</v>
      </c>
      <c r="N159" s="23">
        <v>5758528</v>
      </c>
      <c r="O159" s="26">
        <v>12790963.949000001</v>
      </c>
    </row>
    <row r="160" spans="1:15" ht="15.75" hidden="1" thickBot="1" x14ac:dyDescent="0.3">
      <c r="A160" s="21"/>
      <c r="B160" s="22" t="s">
        <v>34</v>
      </c>
      <c r="C160" s="23">
        <v>6837</v>
      </c>
      <c r="D160" s="23">
        <v>998202</v>
      </c>
      <c r="E160" s="23">
        <v>871</v>
      </c>
      <c r="F160" s="23">
        <v>313560</v>
      </c>
      <c r="G160" s="23">
        <v>0</v>
      </c>
      <c r="H160" s="23">
        <v>551126</v>
      </c>
      <c r="I160" s="23">
        <v>7438</v>
      </c>
      <c r="J160" s="23">
        <v>180000</v>
      </c>
      <c r="K160" s="23">
        <v>4123759</v>
      </c>
      <c r="L160" s="23">
        <v>710010</v>
      </c>
      <c r="M160" s="23">
        <v>6729067</v>
      </c>
      <c r="N160" s="23">
        <v>6260141</v>
      </c>
      <c r="O160" s="26">
        <v>13414917.949000001</v>
      </c>
    </row>
    <row r="161" spans="1:15" ht="15.75" hidden="1" thickBot="1" x14ac:dyDescent="0.3">
      <c r="A161" s="21"/>
      <c r="B161" s="22" t="s">
        <v>35</v>
      </c>
      <c r="C161" s="23">
        <v>7458</v>
      </c>
      <c r="D161" s="23">
        <v>1088868</v>
      </c>
      <c r="E161" s="23">
        <v>855</v>
      </c>
      <c r="F161" s="23">
        <v>308340</v>
      </c>
      <c r="G161" s="23">
        <v>0</v>
      </c>
      <c r="H161" s="23">
        <v>550832</v>
      </c>
      <c r="I161" s="23">
        <v>7438</v>
      </c>
      <c r="J161" s="23">
        <v>180000</v>
      </c>
      <c r="K161" s="23">
        <v>4123759</v>
      </c>
      <c r="L161" s="23">
        <v>458820</v>
      </c>
      <c r="M161" s="23">
        <v>6563029</v>
      </c>
      <c r="N161" s="23">
        <v>6130853</v>
      </c>
      <c r="O161" s="26">
        <v>14002121.949000001</v>
      </c>
    </row>
    <row r="162" spans="1:15" ht="15.75" hidden="1" thickBot="1" x14ac:dyDescent="0.3">
      <c r="A162" s="21"/>
      <c r="B162" s="22" t="s">
        <v>36</v>
      </c>
      <c r="C162" s="23">
        <v>7431</v>
      </c>
      <c r="D162" s="23">
        <v>1084926</v>
      </c>
      <c r="E162" s="23">
        <v>2079</v>
      </c>
      <c r="F162" s="23">
        <v>807480</v>
      </c>
      <c r="G162" s="23">
        <v>0</v>
      </c>
      <c r="H162" s="23">
        <v>550832</v>
      </c>
      <c r="I162" s="23">
        <v>7438</v>
      </c>
      <c r="J162" s="23">
        <v>180000</v>
      </c>
      <c r="K162" s="23">
        <v>4133759</v>
      </c>
      <c r="L162" s="23">
        <v>409576</v>
      </c>
      <c r="M162" s="23">
        <v>7018983</v>
      </c>
      <c r="N162" s="23">
        <v>6958478</v>
      </c>
      <c r="O162" s="26">
        <v>14217654.949000001</v>
      </c>
    </row>
    <row r="163" spans="1:15" ht="15.75" hidden="1" thickBot="1" x14ac:dyDescent="0.3">
      <c r="A163" s="21"/>
      <c r="B163" s="22" t="s">
        <v>37</v>
      </c>
      <c r="C163" s="23">
        <v>10305</v>
      </c>
      <c r="D163" s="23">
        <v>1504530</v>
      </c>
      <c r="E163" s="23">
        <v>3256</v>
      </c>
      <c r="F163" s="23">
        <v>1351980</v>
      </c>
      <c r="G163" s="23">
        <v>0</v>
      </c>
      <c r="H163" s="23">
        <v>543610</v>
      </c>
      <c r="I163" s="23">
        <v>6998</v>
      </c>
      <c r="J163" s="23">
        <v>178333</v>
      </c>
      <c r="K163" s="23">
        <v>4133613</v>
      </c>
      <c r="L163" s="23">
        <v>358806</v>
      </c>
      <c r="M163" s="23">
        <v>7923890</v>
      </c>
      <c r="N163" s="23">
        <v>9576457</v>
      </c>
      <c r="O163" s="26">
        <v>12719067.949000001</v>
      </c>
    </row>
    <row r="164" spans="1:15" ht="15.75" hidden="1" thickBot="1" x14ac:dyDescent="0.3">
      <c r="A164" s="21">
        <v>2016</v>
      </c>
      <c r="B164" s="22" t="s">
        <v>38</v>
      </c>
      <c r="C164" s="23">
        <v>7953</v>
      </c>
      <c r="D164" s="23">
        <v>1160408</v>
      </c>
      <c r="E164" s="23">
        <v>2640</v>
      </c>
      <c r="F164" s="23">
        <v>979560</v>
      </c>
      <c r="G164" s="23">
        <v>0</v>
      </c>
      <c r="H164" s="23">
        <v>543610</v>
      </c>
      <c r="I164" s="23">
        <v>6998</v>
      </c>
      <c r="J164" s="23">
        <v>170000</v>
      </c>
      <c r="K164" s="23">
        <v>4763613</v>
      </c>
      <c r="L164" s="23">
        <v>358806</v>
      </c>
      <c r="M164" s="23">
        <v>7777757</v>
      </c>
      <c r="N164" s="23">
        <v>6747830</v>
      </c>
      <c r="O164" s="26">
        <v>13954232.949000001</v>
      </c>
    </row>
    <row r="165" spans="1:15" ht="15.75" hidden="1" thickBot="1" x14ac:dyDescent="0.3">
      <c r="A165" s="21"/>
      <c r="B165" s="22" t="s">
        <v>27</v>
      </c>
      <c r="C165" s="23">
        <v>8972</v>
      </c>
      <c r="D165" s="23">
        <v>1309912</v>
      </c>
      <c r="E165" s="23">
        <v>2766</v>
      </c>
      <c r="F165" s="23">
        <v>1044720</v>
      </c>
      <c r="G165" s="23">
        <v>0</v>
      </c>
      <c r="H165" s="23">
        <v>543654</v>
      </c>
      <c r="I165" s="23">
        <v>6998</v>
      </c>
      <c r="J165" s="23">
        <v>170000</v>
      </c>
      <c r="K165" s="23">
        <v>4763613</v>
      </c>
      <c r="L165" s="23">
        <v>308610</v>
      </c>
      <c r="M165" s="23">
        <v>7942092</v>
      </c>
      <c r="N165" s="23">
        <v>7599503</v>
      </c>
      <c r="O165" s="26">
        <v>14502236.949000001</v>
      </c>
    </row>
    <row r="166" spans="1:15" ht="15.75" hidden="1" thickBot="1" x14ac:dyDescent="0.3">
      <c r="A166" s="21"/>
      <c r="B166" s="22" t="s">
        <v>28</v>
      </c>
      <c r="C166" s="23">
        <v>8063</v>
      </c>
      <c r="D166" s="23">
        <v>1177198</v>
      </c>
      <c r="E166" s="23">
        <v>2911</v>
      </c>
      <c r="F166" s="23">
        <v>1704420</v>
      </c>
      <c r="G166" s="23">
        <v>0</v>
      </c>
      <c r="H166" s="23">
        <v>543654</v>
      </c>
      <c r="I166" s="23">
        <v>6998</v>
      </c>
      <c r="J166" s="23">
        <v>170000</v>
      </c>
      <c r="K166" s="23">
        <v>4763613</v>
      </c>
      <c r="L166" s="23">
        <v>258120</v>
      </c>
      <c r="M166" s="23">
        <v>8470023</v>
      </c>
      <c r="N166" s="23">
        <v>6744022</v>
      </c>
      <c r="O166" s="26">
        <v>16382217.948999999</v>
      </c>
    </row>
    <row r="167" spans="1:15" ht="15.75" hidden="1" thickBot="1" x14ac:dyDescent="0.3">
      <c r="A167" s="21"/>
      <c r="B167" s="22" t="s">
        <v>29</v>
      </c>
      <c r="C167" s="23">
        <v>8053</v>
      </c>
      <c r="D167" s="23">
        <v>1183330</v>
      </c>
      <c r="E167" s="23">
        <v>1331</v>
      </c>
      <c r="F167" s="23">
        <v>496260</v>
      </c>
      <c r="G167" s="23">
        <v>0</v>
      </c>
      <c r="H167" s="23">
        <v>545106</v>
      </c>
      <c r="I167" s="23">
        <v>7064</v>
      </c>
      <c r="J167" s="23">
        <v>160000</v>
      </c>
      <c r="K167" s="23">
        <v>4763635</v>
      </c>
      <c r="L167" s="23">
        <v>155442</v>
      </c>
      <c r="M167" s="23">
        <v>7156329</v>
      </c>
      <c r="N167" s="23">
        <v>8391574</v>
      </c>
      <c r="O167" s="26">
        <v>15301480.949000001</v>
      </c>
    </row>
    <row r="168" spans="1:15" ht="15.75" hidden="1" thickBot="1" x14ac:dyDescent="0.3">
      <c r="A168" s="21"/>
      <c r="B168" s="22" t="s">
        <v>30</v>
      </c>
      <c r="C168" s="23">
        <v>5685</v>
      </c>
      <c r="D168" s="23">
        <v>830010</v>
      </c>
      <c r="E168" s="23">
        <v>498</v>
      </c>
      <c r="F168" s="23">
        <v>179280</v>
      </c>
      <c r="G168" s="23">
        <v>0</v>
      </c>
      <c r="H168" s="23">
        <v>544712</v>
      </c>
      <c r="I168" s="23">
        <v>7064</v>
      </c>
      <c r="J168" s="23">
        <v>160000</v>
      </c>
      <c r="K168" s="23">
        <v>4763635</v>
      </c>
      <c r="L168" s="23">
        <v>207944</v>
      </c>
      <c r="M168" s="23">
        <v>6538137</v>
      </c>
      <c r="N168" s="23">
        <v>7009464</v>
      </c>
      <c r="O168" s="26">
        <v>14984661.949000001</v>
      </c>
    </row>
    <row r="169" spans="1:15" ht="15.75" hidden="1" thickBot="1" x14ac:dyDescent="0.3">
      <c r="A169" s="21"/>
      <c r="B169" s="22" t="s">
        <v>31</v>
      </c>
      <c r="C169" s="23">
        <v>7386</v>
      </c>
      <c r="D169" s="23">
        <v>1188099</v>
      </c>
      <c r="E169" s="23">
        <v>357</v>
      </c>
      <c r="F169" s="23">
        <v>128520</v>
      </c>
      <c r="G169" s="23">
        <v>0</v>
      </c>
      <c r="H169" s="23">
        <v>544082</v>
      </c>
      <c r="I169" s="23">
        <v>7064</v>
      </c>
      <c r="J169" s="23">
        <v>160000</v>
      </c>
      <c r="K169" s="23">
        <v>4763635</v>
      </c>
      <c r="L169" s="23">
        <v>260520</v>
      </c>
      <c r="M169" s="23">
        <v>6897412</v>
      </c>
      <c r="N169" s="23">
        <v>6889823</v>
      </c>
      <c r="O169" s="26">
        <v>15146758.949000001</v>
      </c>
    </row>
    <row r="170" spans="1:15" ht="15.75" hidden="1" thickBot="1" x14ac:dyDescent="0.3">
      <c r="A170" s="21"/>
      <c r="B170" s="22" t="s">
        <v>32</v>
      </c>
      <c r="C170" s="23">
        <v>6120</v>
      </c>
      <c r="D170" s="23">
        <v>893520</v>
      </c>
      <c r="E170" s="23">
        <v>374</v>
      </c>
      <c r="F170" s="23">
        <v>134640</v>
      </c>
      <c r="G170" s="23">
        <v>0</v>
      </c>
      <c r="H170" s="23">
        <v>527395</v>
      </c>
      <c r="I170" s="23">
        <v>6473</v>
      </c>
      <c r="J170" s="23">
        <v>160000</v>
      </c>
      <c r="K170" s="23">
        <v>4763438</v>
      </c>
      <c r="L170" s="23">
        <v>313698</v>
      </c>
      <c r="M170" s="23">
        <v>6649384</v>
      </c>
      <c r="N170" s="23">
        <v>5740022</v>
      </c>
      <c r="O170" s="26">
        <v>16205900.949000001</v>
      </c>
    </row>
    <row r="171" spans="1:15" ht="15.75" hidden="1" thickBot="1" x14ac:dyDescent="0.3">
      <c r="A171" s="21"/>
      <c r="B171" s="22" t="s">
        <v>33</v>
      </c>
      <c r="C171" s="23">
        <v>5957</v>
      </c>
      <c r="D171" s="23">
        <v>869722</v>
      </c>
      <c r="E171" s="23">
        <v>509</v>
      </c>
      <c r="F171" s="23">
        <v>205020</v>
      </c>
      <c r="G171" s="23">
        <v>0</v>
      </c>
      <c r="H171" s="23">
        <v>527395</v>
      </c>
      <c r="I171" s="23">
        <v>6473</v>
      </c>
      <c r="J171" s="23">
        <v>160000</v>
      </c>
      <c r="K171" s="23">
        <v>4763438</v>
      </c>
      <c r="L171" s="23">
        <v>262090</v>
      </c>
      <c r="M171" s="23">
        <v>6644358</v>
      </c>
      <c r="N171" s="23">
        <v>6106103</v>
      </c>
      <c r="O171" s="26">
        <v>16893935.949000001</v>
      </c>
    </row>
    <row r="172" spans="1:15" ht="15.75" hidden="1" thickBot="1" x14ac:dyDescent="0.3">
      <c r="A172" s="21"/>
      <c r="B172" s="22" t="s">
        <v>34</v>
      </c>
      <c r="C172" s="23">
        <v>6884</v>
      </c>
      <c r="D172" s="23">
        <v>1005064</v>
      </c>
      <c r="E172" s="23">
        <v>1252</v>
      </c>
      <c r="F172" s="23">
        <v>451920</v>
      </c>
      <c r="G172" s="23">
        <v>0</v>
      </c>
      <c r="H172" s="23">
        <v>385000</v>
      </c>
      <c r="I172" s="23">
        <v>0</v>
      </c>
      <c r="J172" s="23">
        <v>160000</v>
      </c>
      <c r="K172" s="23">
        <v>4761280</v>
      </c>
      <c r="L172" s="23">
        <v>314688</v>
      </c>
      <c r="M172" s="23">
        <v>6986952</v>
      </c>
      <c r="N172" s="23">
        <v>6420192</v>
      </c>
      <c r="O172" s="26">
        <v>17551695.949000001</v>
      </c>
    </row>
    <row r="173" spans="1:15" ht="15.75" hidden="1" thickBot="1" x14ac:dyDescent="0.3">
      <c r="A173" s="21"/>
      <c r="B173" s="22" t="s">
        <v>35</v>
      </c>
      <c r="C173" s="23">
        <v>5814</v>
      </c>
      <c r="D173" s="23">
        <v>848844</v>
      </c>
      <c r="E173" s="23">
        <v>1485</v>
      </c>
      <c r="F173" s="23">
        <v>541260</v>
      </c>
      <c r="G173" s="23">
        <v>0</v>
      </c>
      <c r="H173" s="23">
        <v>385000</v>
      </c>
      <c r="I173" s="23">
        <v>0</v>
      </c>
      <c r="J173" s="23">
        <v>160000</v>
      </c>
      <c r="K173" s="23">
        <v>4761280</v>
      </c>
      <c r="L173" s="23">
        <v>262615</v>
      </c>
      <c r="M173" s="23">
        <v>6867999</v>
      </c>
      <c r="N173" s="23">
        <v>7093788</v>
      </c>
      <c r="O173" s="26">
        <v>17416906.949000001</v>
      </c>
    </row>
    <row r="174" spans="1:15" ht="15.75" hidden="1" thickBot="1" x14ac:dyDescent="0.3">
      <c r="A174" s="21"/>
      <c r="B174" s="22" t="s">
        <v>36</v>
      </c>
      <c r="C174" s="23">
        <v>6511</v>
      </c>
      <c r="D174" s="23">
        <v>968418</v>
      </c>
      <c r="E174" s="23">
        <v>2576</v>
      </c>
      <c r="F174" s="23">
        <v>1114494</v>
      </c>
      <c r="G174" s="23">
        <v>3731</v>
      </c>
      <c r="H174" s="23">
        <v>385000</v>
      </c>
      <c r="I174" s="23">
        <v>0</v>
      </c>
      <c r="J174" s="23">
        <v>160000</v>
      </c>
      <c r="K174" s="23">
        <v>4763295</v>
      </c>
      <c r="L174" s="23">
        <v>157881</v>
      </c>
      <c r="M174" s="23">
        <v>7461819</v>
      </c>
      <c r="N174" s="23">
        <v>9029611</v>
      </c>
      <c r="O174" s="26">
        <v>15940114.949000001</v>
      </c>
    </row>
    <row r="175" spans="1:15" ht="15.75" hidden="1" thickBot="1" x14ac:dyDescent="0.3">
      <c r="A175" s="21"/>
      <c r="B175" s="22" t="s">
        <v>37</v>
      </c>
      <c r="C175" s="23">
        <v>8295</v>
      </c>
      <c r="D175" s="23">
        <v>1211070</v>
      </c>
      <c r="E175" s="23">
        <v>3040</v>
      </c>
      <c r="F175" s="23">
        <v>1228353</v>
      </c>
      <c r="G175" s="23">
        <v>3731</v>
      </c>
      <c r="H175" s="23">
        <v>385000</v>
      </c>
      <c r="I175" s="23">
        <v>0</v>
      </c>
      <c r="J175" s="23">
        <v>160000</v>
      </c>
      <c r="K175" s="23">
        <v>4763295</v>
      </c>
      <c r="L175" s="23">
        <v>158088</v>
      </c>
      <c r="M175" s="23">
        <v>7818537</v>
      </c>
      <c r="N175" s="23">
        <v>8005284</v>
      </c>
      <c r="O175" s="26">
        <v>15844367.949000001</v>
      </c>
    </row>
    <row r="176" spans="1:15" ht="15.75" hidden="1" thickBot="1" x14ac:dyDescent="0.3">
      <c r="A176" s="21">
        <v>2017</v>
      </c>
      <c r="B176" s="22" t="s">
        <v>38</v>
      </c>
      <c r="C176" s="46">
        <f>SUM([1]Inicio:Final!E175)</f>
        <v>8028</v>
      </c>
      <c r="D176" s="23">
        <f>SUM([1]Inicio:Final!G175)</f>
        <v>1141381</v>
      </c>
      <c r="E176" s="46">
        <f>SUM([1]Inicio:Final!J175)</f>
        <v>2694</v>
      </c>
      <c r="F176" s="23">
        <f>SUM([1]Inicio:Final!L175)</f>
        <v>1533735</v>
      </c>
      <c r="G176" s="23">
        <f>SUM([1]Inicio:Final!M175)</f>
        <v>238784</v>
      </c>
      <c r="H176" s="23">
        <f>SUM([1]Inicio:Final!N175)</f>
        <v>385000</v>
      </c>
      <c r="I176" s="23">
        <f>SUM([1]Inicio:Final!O175)</f>
        <v>0</v>
      </c>
      <c r="J176" s="23">
        <f>SUM([1]Inicio:Final!P175)</f>
        <v>125000</v>
      </c>
      <c r="K176" s="23">
        <f>SUM([1]Inicio:Final!Q175)</f>
        <v>4890240</v>
      </c>
      <c r="L176" s="23">
        <f>SUM([1]Inicio:Final!R175)</f>
        <v>157908</v>
      </c>
      <c r="M176" s="23">
        <f>SUM([1]Inicio:Final!S175)</f>
        <v>8472048</v>
      </c>
      <c r="N176" s="23">
        <f>SUM([1]Inicio:Final!V175)</f>
        <v>8282591</v>
      </c>
      <c r="O176" s="26">
        <f>SUM([1]Inicio:Final!W175)</f>
        <v>15755731.949000001</v>
      </c>
    </row>
    <row r="177" spans="1:15" ht="15.75" hidden="1" thickBot="1" x14ac:dyDescent="0.3">
      <c r="A177" s="21"/>
      <c r="B177" s="22" t="s">
        <v>27</v>
      </c>
      <c r="C177" s="46">
        <f>SUM([1]Inicio:Final!E176)</f>
        <v>8860</v>
      </c>
      <c r="D177" s="23">
        <f>SUM([1]Inicio:Final!G176)</f>
        <v>1293560</v>
      </c>
      <c r="E177" s="46">
        <f>SUM([1]Inicio:Final!J176)</f>
        <v>2454</v>
      </c>
      <c r="F177" s="23">
        <f>SUM([1]Inicio:Final!L176)</f>
        <v>1385888</v>
      </c>
      <c r="G177" s="23">
        <f>SUM([1]Inicio:Final!M176)</f>
        <v>238784</v>
      </c>
      <c r="H177" s="23">
        <f>SUM([1]Inicio:Final!N176)</f>
        <v>385000</v>
      </c>
      <c r="I177" s="23">
        <f>SUM([1]Inicio:Final!O176)</f>
        <v>0</v>
      </c>
      <c r="J177" s="23">
        <f>SUM([1]Inicio:Final!P176)</f>
        <v>125000</v>
      </c>
      <c r="K177" s="23">
        <f>SUM([1]Inicio:Final!Q176)</f>
        <v>4890240</v>
      </c>
      <c r="L177" s="23">
        <f>SUM([1]Inicio:Final!R176)</f>
        <v>211136</v>
      </c>
      <c r="M177" s="23">
        <f>SUM([1]Inicio:Final!S176)</f>
        <v>8529608</v>
      </c>
      <c r="N177" s="23">
        <f>SUM([1]Inicio:Final!V176)</f>
        <v>7921289</v>
      </c>
      <c r="O177" s="26">
        <f>SUM([1]Inicio:Final!W176)</f>
        <v>16364050.949000001</v>
      </c>
    </row>
    <row r="178" spans="1:15" ht="15.75" hidden="1" thickBot="1" x14ac:dyDescent="0.3">
      <c r="A178" s="21"/>
      <c r="B178" s="22" t="s">
        <v>28</v>
      </c>
      <c r="C178" s="46">
        <f>SUM([1]Inicio:Final!E177)</f>
        <v>9297</v>
      </c>
      <c r="D178" s="23">
        <f>SUM([1]Inicio:Final!G177)</f>
        <v>1357362</v>
      </c>
      <c r="E178" s="46">
        <f>SUM([1]Inicio:Final!J177)</f>
        <v>2224</v>
      </c>
      <c r="F178" s="23">
        <f>SUM([1]Inicio:Final!L177)</f>
        <v>1290116</v>
      </c>
      <c r="G178" s="23">
        <f>SUM([1]Inicio:Final!M177)</f>
        <v>238784</v>
      </c>
      <c r="H178" s="23">
        <f>SUM([1]Inicio:Final!N177)</f>
        <v>385000</v>
      </c>
      <c r="I178" s="23">
        <f>SUM([1]Inicio:Final!O177)</f>
        <v>0</v>
      </c>
      <c r="J178" s="23">
        <f>SUM([1]Inicio:Final!P177)</f>
        <v>125000</v>
      </c>
      <c r="K178" s="23">
        <f>SUM([1]Inicio:Final!Q177)</f>
        <v>4890240</v>
      </c>
      <c r="L178" s="23">
        <f>SUM([1]Inicio:Final!R177)</f>
        <v>317664</v>
      </c>
      <c r="M178" s="23">
        <f>SUM([1]Inicio:Final!S177)</f>
        <v>8604166</v>
      </c>
      <c r="N178" s="23">
        <f>SUM([1]Inicio:Final!V177)</f>
        <v>9804302</v>
      </c>
      <c r="O178" s="26">
        <f>SUM([1]Inicio:Final!W177)</f>
        <v>15163914.949000001</v>
      </c>
    </row>
    <row r="179" spans="1:15" ht="15.75" hidden="1" thickBot="1" x14ac:dyDescent="0.3">
      <c r="A179" s="21"/>
      <c r="B179" s="22" t="s">
        <v>29</v>
      </c>
      <c r="C179" s="46">
        <f>SUM([1]Inicio:Final!E178)</f>
        <v>7506</v>
      </c>
      <c r="D179" s="23">
        <f>SUM([1]Inicio:Final!G178)</f>
        <v>1095876</v>
      </c>
      <c r="E179" s="46">
        <f>SUM([1]Inicio:Final!J178)</f>
        <v>1578</v>
      </c>
      <c r="F179" s="23">
        <f>SUM([1]Inicio:Final!L178)</f>
        <v>1031615</v>
      </c>
      <c r="G179" s="23">
        <f>SUM([1]Inicio:Final!M178)</f>
        <v>238784</v>
      </c>
      <c r="H179" s="23">
        <f>SUM([1]Inicio:Final!N178)</f>
        <v>385000</v>
      </c>
      <c r="I179" s="23">
        <f>SUM([1]Inicio:Final!O178)</f>
        <v>0</v>
      </c>
      <c r="J179" s="23">
        <f>SUM([1]Inicio:Final!P178)</f>
        <v>125000</v>
      </c>
      <c r="K179" s="23">
        <f>SUM([1]Inicio:Final!Q178)</f>
        <v>4890240</v>
      </c>
      <c r="L179" s="23">
        <f>SUM([1]Inicio:Final!R178)</f>
        <v>371861</v>
      </c>
      <c r="M179" s="23">
        <f>SUM([1]Inicio:Final!S178)</f>
        <v>8138376</v>
      </c>
      <c r="N179" s="23">
        <f>SUM([1]Inicio:Final!V178)</f>
        <v>6407805</v>
      </c>
      <c r="O179" s="26">
        <f>SUM([1]Inicio:Final!W178)</f>
        <v>16894485.949000001</v>
      </c>
    </row>
    <row r="180" spans="1:15" ht="15.75" hidden="1" thickBot="1" x14ac:dyDescent="0.3">
      <c r="A180" s="21"/>
      <c r="B180" s="22" t="s">
        <v>30</v>
      </c>
      <c r="C180" s="46">
        <f>SUM([1]Inicio:Final!E179)</f>
        <v>7516</v>
      </c>
      <c r="D180" s="23">
        <f>SUM([1]Inicio:Final!G179)</f>
        <v>1097336</v>
      </c>
      <c r="E180" s="46">
        <f>SUM([1]Inicio:Final!J179)</f>
        <v>1036</v>
      </c>
      <c r="F180" s="23">
        <f>SUM([1]Inicio:Final!L179)</f>
        <v>850577</v>
      </c>
      <c r="G180" s="23">
        <f>SUM([1]Inicio:Final!M179)</f>
        <v>238784</v>
      </c>
      <c r="H180" s="23">
        <f>SUM([1]Inicio:Final!N179)</f>
        <v>385000</v>
      </c>
      <c r="I180" s="23">
        <f>SUM([1]Inicio:Final!O179)</f>
        <v>123409</v>
      </c>
      <c r="J180" s="23">
        <f>SUM([1]Inicio:Final!P179)</f>
        <v>125000</v>
      </c>
      <c r="K180" s="23">
        <f>SUM([1]Inicio:Final!Q179)</f>
        <v>4890240</v>
      </c>
      <c r="L180" s="23">
        <f>SUM([1]Inicio:Final!R179)</f>
        <v>213048</v>
      </c>
      <c r="M180" s="23">
        <f>SUM([1]Inicio:Final!S179)</f>
        <v>7923394</v>
      </c>
      <c r="N180" s="23">
        <f>SUM([1]Inicio:Final!V179)</f>
        <v>7978870</v>
      </c>
      <c r="O180" s="26">
        <f>SUM([1]Inicio:Final!W179)</f>
        <v>16839009.949000001</v>
      </c>
    </row>
    <row r="181" spans="1:15" ht="15.75" hidden="1" thickBot="1" x14ac:dyDescent="0.3">
      <c r="A181" s="21"/>
      <c r="B181" s="22" t="s">
        <v>31</v>
      </c>
      <c r="C181" s="46">
        <f>SUM([1]Inicio:Final!E180)</f>
        <v>6523</v>
      </c>
      <c r="D181" s="23">
        <f>SUM([1]Inicio:Final!G180)</f>
        <v>952358</v>
      </c>
      <c r="E181" s="46">
        <f>SUM([1]Inicio:Final!J180)</f>
        <v>442</v>
      </c>
      <c r="F181" s="23">
        <f>SUM([1]Inicio:Final!L180)</f>
        <v>247078</v>
      </c>
      <c r="G181" s="23">
        <f>SUM([1]Inicio:Final!M180)</f>
        <v>238784</v>
      </c>
      <c r="H181" s="23">
        <f>SUM([1]Inicio:Final!N180)</f>
        <v>385000</v>
      </c>
      <c r="I181" s="23">
        <f>SUM([1]Inicio:Final!O180)</f>
        <v>0</v>
      </c>
      <c r="J181" s="23">
        <f>SUM([1]Inicio:Final!P180)</f>
        <v>125000</v>
      </c>
      <c r="K181" s="23">
        <f>SUM([1]Inicio:Final!Q180)</f>
        <v>4890240</v>
      </c>
      <c r="L181" s="23">
        <f>SUM([1]Inicio:Final!R180)</f>
        <v>159990</v>
      </c>
      <c r="M181" s="23">
        <f>SUM([1]Inicio:Final!S180)</f>
        <v>6998450</v>
      </c>
      <c r="N181" s="23">
        <f>SUM([1]Inicio:Final!V180)</f>
        <v>7605387</v>
      </c>
      <c r="O181" s="26">
        <f>SUM([1]Inicio:Final!W180)</f>
        <v>16232072.949000001</v>
      </c>
    </row>
    <row r="182" spans="1:15" ht="15.75" hidden="1" thickBot="1" x14ac:dyDescent="0.3">
      <c r="A182" s="21"/>
      <c r="B182" s="22" t="s">
        <v>32</v>
      </c>
      <c r="C182" s="46">
        <f>SUM([1]Inicio:Final!E181)</f>
        <v>6382</v>
      </c>
      <c r="D182" s="23">
        <f>SUM([1]Inicio:Final!G181)</f>
        <v>931772</v>
      </c>
      <c r="E182" s="46">
        <f>SUM([1]Inicio:Final!J181)</f>
        <v>294</v>
      </c>
      <c r="F182" s="23">
        <f>SUM([1]Inicio:Final!L181)</f>
        <v>164346</v>
      </c>
      <c r="G182" s="23">
        <f>SUM([1]Inicio:Final!M181)</f>
        <v>238784</v>
      </c>
      <c r="H182" s="23">
        <f>SUM([1]Inicio:Final!N181)</f>
        <v>385000</v>
      </c>
      <c r="I182" s="23">
        <f>SUM([1]Inicio:Final!O181)</f>
        <v>0</v>
      </c>
      <c r="J182" s="23">
        <f>SUM([1]Inicio:Final!P181)</f>
        <v>125000</v>
      </c>
      <c r="K182" s="23">
        <f>SUM([1]Inicio:Final!Q181)</f>
        <v>4890240</v>
      </c>
      <c r="L182" s="23">
        <f>SUM([1]Inicio:Final!R181)</f>
        <v>265975</v>
      </c>
      <c r="M182" s="23">
        <f>SUM([1]Inicio:Final!S181)</f>
        <v>7001117</v>
      </c>
      <c r="N182" s="23">
        <f>SUM([1]Inicio:Final!V181)</f>
        <v>6341648</v>
      </c>
      <c r="O182" s="26">
        <f>SUM([1]Inicio:Final!W181)</f>
        <v>16891541.949000001</v>
      </c>
    </row>
    <row r="183" spans="1:15" ht="15.75" hidden="1" thickBot="1" x14ac:dyDescent="0.3">
      <c r="A183" s="21"/>
      <c r="B183" s="22" t="s">
        <v>33</v>
      </c>
      <c r="C183" s="46">
        <f>SUM([1]Inicio:Final!E182)</f>
        <v>6216</v>
      </c>
      <c r="D183" s="23">
        <f>SUM([1]Inicio:Final!G182)</f>
        <v>907536</v>
      </c>
      <c r="E183" s="46">
        <f>SUM([1]Inicio:Final!J182)</f>
        <v>433</v>
      </c>
      <c r="F183" s="23">
        <f>SUM([1]Inicio:Final!L182)</f>
        <v>242047</v>
      </c>
      <c r="G183" s="23">
        <f>SUM([1]Inicio:Final!M182)</f>
        <v>238784</v>
      </c>
      <c r="H183" s="23">
        <f>SUM([1]Inicio:Final!N182)</f>
        <v>438955</v>
      </c>
      <c r="I183" s="23">
        <f>SUM([1]Inicio:Final!O182)</f>
        <v>0</v>
      </c>
      <c r="J183" s="23">
        <f>SUM([1]Inicio:Final!P182)</f>
        <v>120000</v>
      </c>
      <c r="K183" s="23">
        <f>SUM([1]Inicio:Final!Q182)</f>
        <v>4890240</v>
      </c>
      <c r="L183" s="23">
        <f>SUM([1]Inicio:Final!R182)</f>
        <v>266040</v>
      </c>
      <c r="M183" s="23">
        <f>SUM([1]Inicio:Final!S182)</f>
        <v>7103602</v>
      </c>
      <c r="N183" s="23">
        <f>SUM([1]Inicio:Final!V182)</f>
        <v>7096952</v>
      </c>
      <c r="O183" s="26">
        <f>SUM([1]Inicio:Final!W182)</f>
        <v>16898191.949000001</v>
      </c>
    </row>
    <row r="184" spans="1:15" ht="15.75" hidden="1" thickBot="1" x14ac:dyDescent="0.3">
      <c r="B184" s="22" t="s">
        <v>34</v>
      </c>
      <c r="C184" s="46">
        <f>SUM([1]Inicio:Final!E183)</f>
        <v>7000</v>
      </c>
      <c r="D184" s="23">
        <f>SUM([1]Inicio:Final!G183)</f>
        <v>1022000</v>
      </c>
      <c r="E184" s="46">
        <f>SUM([1]Inicio:Final!J183)</f>
        <v>751</v>
      </c>
      <c r="F184" s="23">
        <f>SUM([1]Inicio:Final!L183)</f>
        <v>419809</v>
      </c>
      <c r="G184" s="23">
        <f>SUM([1]Inicio:Final!M183)</f>
        <v>238784</v>
      </c>
      <c r="H184" s="23">
        <f>SUM([1]Inicio:Final!N183)</f>
        <v>439835</v>
      </c>
      <c r="I184" s="23">
        <f>SUM([1]Inicio:Final!O183)</f>
        <v>0</v>
      </c>
      <c r="J184" s="23">
        <f>SUM([1]Inicio:Final!P183)</f>
        <v>120000</v>
      </c>
      <c r="K184" s="23">
        <f>SUM([1]Inicio:Final!Q183)</f>
        <v>4890240</v>
      </c>
      <c r="L184" s="23">
        <f>SUM([1]Inicio:Final!R183)</f>
        <v>319884</v>
      </c>
      <c r="M184" s="23">
        <f>SUM([1]Inicio:Final!S183)</f>
        <v>7450552</v>
      </c>
      <c r="N184" s="23">
        <f>SUM([1]Inicio:Final!V183)</f>
        <v>6578153</v>
      </c>
      <c r="O184" s="26">
        <f>SUM([1]Inicio:Final!W183)</f>
        <v>17770590.949000001</v>
      </c>
    </row>
    <row r="185" spans="1:15" ht="15.75" hidden="1" thickBot="1" x14ac:dyDescent="0.3">
      <c r="B185" s="22" t="s">
        <v>35</v>
      </c>
      <c r="C185" s="46">
        <f>SUM([1]Inicio:Final!E184)</f>
        <v>6239</v>
      </c>
      <c r="D185" s="23">
        <f>SUM([1]Inicio:Final!G184)</f>
        <v>910894</v>
      </c>
      <c r="E185" s="46">
        <f>SUM([1]Inicio:Final!J184)</f>
        <v>768</v>
      </c>
      <c r="F185" s="23">
        <f>SUM([1]Inicio:Final!L184)</f>
        <v>429312</v>
      </c>
      <c r="G185" s="23">
        <f>SUM([1]Inicio:Final!M184)</f>
        <v>238784</v>
      </c>
      <c r="H185" s="23">
        <f>SUM([1]Inicio:Final!N184)</f>
        <v>439450</v>
      </c>
      <c r="I185" s="23">
        <f>SUM([1]Inicio:Final!O184)</f>
        <v>0</v>
      </c>
      <c r="J185" s="23">
        <f>SUM([1]Inicio:Final!P184)</f>
        <v>123333</v>
      </c>
      <c r="K185" s="23">
        <f>SUM([1]Inicio:Final!Q184)</f>
        <v>4890240</v>
      </c>
      <c r="L185" s="23">
        <f>SUM([1]Inicio:Final!R184)</f>
        <v>479430</v>
      </c>
      <c r="M185" s="23">
        <f>SUM([1]Inicio:Final!S184)</f>
        <v>7511443</v>
      </c>
      <c r="N185" s="23">
        <f>SUM([1]Inicio:Final!V184)</f>
        <v>6966997</v>
      </c>
      <c r="O185" s="26">
        <f>SUM([1]Inicio:Final!W184)</f>
        <v>18315036.949000001</v>
      </c>
    </row>
    <row r="186" spans="1:15" ht="15.75" hidden="1" thickBot="1" x14ac:dyDescent="0.3">
      <c r="B186" s="22" t="s">
        <v>36</v>
      </c>
      <c r="C186" s="46">
        <f>SUM([1]Inicio:Final!E185)</f>
        <v>7162</v>
      </c>
      <c r="D186" s="23">
        <f>SUM([1]Inicio:Final!G185)</f>
        <v>1045652</v>
      </c>
      <c r="E186" s="46">
        <f>SUM([1]Inicio:Final!J185)</f>
        <v>1835</v>
      </c>
      <c r="F186" s="23">
        <f>SUM([1]Inicio:Final!L185)</f>
        <v>1029005</v>
      </c>
      <c r="G186" s="23">
        <f>SUM([1]Inicio:Final!M185)</f>
        <v>238784</v>
      </c>
      <c r="H186" s="23">
        <f>SUM([1]Inicio:Final!N185)</f>
        <v>441045</v>
      </c>
      <c r="I186" s="23">
        <f>SUM([1]Inicio:Final!O185)</f>
        <v>0</v>
      </c>
      <c r="J186" s="23">
        <f>SUM([1]Inicio:Final!P185)</f>
        <v>130000</v>
      </c>
      <c r="K186" s="23">
        <f>SUM([1]Inicio:Final!Q185)</f>
        <v>4890240</v>
      </c>
      <c r="L186" s="23">
        <f>SUM([1]Inicio:Final!R185)</f>
        <v>5965972</v>
      </c>
      <c r="M186" s="23">
        <f>SUM([1]Inicio:Final!S185)</f>
        <v>13740698</v>
      </c>
      <c r="N186" s="23">
        <f>SUM([1]Inicio:Final!V185)</f>
        <v>6061689</v>
      </c>
      <c r="O186" s="26">
        <f>SUM([1]Inicio:Final!W185)</f>
        <v>25994045.948999997</v>
      </c>
    </row>
    <row r="187" spans="1:15" ht="15.75" hidden="1" thickBot="1" x14ac:dyDescent="0.3">
      <c r="B187" s="22" t="s">
        <v>37</v>
      </c>
      <c r="C187" s="46">
        <f>SUM([1]Inicio:Final!E186)</f>
        <v>7476</v>
      </c>
      <c r="D187" s="23">
        <f>SUM([1]Inicio:Final!G186)</f>
        <v>1091496</v>
      </c>
      <c r="E187" s="46">
        <f>SUM([1]Inicio:Final!J186)</f>
        <v>2187</v>
      </c>
      <c r="F187" s="23">
        <f>SUM([1]Inicio:Final!L186)</f>
        <v>1321893</v>
      </c>
      <c r="G187" s="23">
        <f>SUM([1]Inicio:Final!M186)</f>
        <v>238784</v>
      </c>
      <c r="H187" s="23">
        <f>SUM([1]Inicio:Final!N186)</f>
        <v>442145</v>
      </c>
      <c r="I187" s="23">
        <f>SUM([1]Inicio:Final!O186)</f>
        <v>0</v>
      </c>
      <c r="J187" s="23">
        <f>SUM([1]Inicio:Final!P186)</f>
        <v>120000</v>
      </c>
      <c r="K187" s="23">
        <f>SUM([1]Inicio:Final!Q186)</f>
        <v>4890240</v>
      </c>
      <c r="L187" s="23">
        <f>SUM([1]Inicio:Final!R186)</f>
        <v>321900</v>
      </c>
      <c r="M187" s="23">
        <f>SUM([1]Inicio:Final!S186)</f>
        <v>8426458</v>
      </c>
      <c r="N187" s="23">
        <f>SUM([1]Inicio:Final!V186)</f>
        <v>9014383</v>
      </c>
      <c r="O187" s="26">
        <f>SUM([1]Inicio:Final!W186)</f>
        <v>25406120.948999997</v>
      </c>
    </row>
    <row r="188" spans="1:15" ht="16.5" hidden="1" customHeight="1" thickBot="1" x14ac:dyDescent="0.3">
      <c r="A188">
        <v>2018</v>
      </c>
      <c r="B188" s="22" t="s">
        <v>38</v>
      </c>
      <c r="C188" s="46">
        <f>SUM([1]Inicio:Final!E187)</f>
        <v>8595</v>
      </c>
      <c r="D188" s="23">
        <f>SUM([1]Inicio:Final!G187)</f>
        <v>1254870</v>
      </c>
      <c r="E188" s="46">
        <f>SUM([1]Inicio:Final!J187)</f>
        <v>2617</v>
      </c>
      <c r="F188" s="23">
        <f>SUM([1]Inicio:Final!L187)</f>
        <v>1510603</v>
      </c>
      <c r="G188" s="23">
        <f>SUM([1]Inicio:Final!M187)</f>
        <v>238784</v>
      </c>
      <c r="H188" s="23">
        <f>SUM([1]Inicio:Final!N187)</f>
        <v>442585</v>
      </c>
      <c r="I188" s="23">
        <f>SUM([1]Inicio:Final!O187)</f>
        <v>0</v>
      </c>
      <c r="J188" s="23">
        <f>SUM([1]Inicio:Final!P187)</f>
        <v>110000</v>
      </c>
      <c r="K188" s="23">
        <f>SUM([1]Inicio:Final!Q187)</f>
        <v>5001216</v>
      </c>
      <c r="L188" s="23">
        <f>SUM([1]Inicio:Final!R187)</f>
        <v>413341</v>
      </c>
      <c r="M188" s="23">
        <f>SUM([1]Inicio:Final!S187)</f>
        <v>8971399</v>
      </c>
      <c r="N188" s="23">
        <f>SUM([1]Inicio:Final!V187)</f>
        <v>8515712</v>
      </c>
      <c r="O188" s="26">
        <f>SUM([1]Inicio:Final!W187)</f>
        <v>25861807.948999997</v>
      </c>
    </row>
    <row r="189" spans="1:15" ht="15.75" hidden="1" thickBot="1" x14ac:dyDescent="0.3">
      <c r="B189" s="22" t="s">
        <v>27</v>
      </c>
      <c r="C189" s="46">
        <f>SUM([1]Inicio:Final!E188)</f>
        <v>9335</v>
      </c>
      <c r="D189" s="23">
        <f>SUM([1]Inicio:Final!G188)</f>
        <v>1362910</v>
      </c>
      <c r="E189" s="46">
        <f>SUM([1]Inicio:Final!J188)</f>
        <v>2202</v>
      </c>
      <c r="F189" s="23">
        <f>SUM([1]Inicio:Final!L188)</f>
        <v>1268718</v>
      </c>
      <c r="G189" s="23">
        <f>SUM([1]Inicio:Final!M188)</f>
        <v>238784</v>
      </c>
      <c r="H189" s="23">
        <f>SUM([1]Inicio:Final!N188)</f>
        <v>444235</v>
      </c>
      <c r="I189" s="23">
        <f>SUM([1]Inicio:Final!O188)</f>
        <v>29516</v>
      </c>
      <c r="J189" s="23">
        <f>SUM([1]Inicio:Final!P188)</f>
        <v>100000</v>
      </c>
      <c r="K189" s="23">
        <f>SUM([1]Inicio:Final!Q188)</f>
        <v>5001216</v>
      </c>
      <c r="L189" s="23">
        <f>SUM([1]Inicio:Final!R188)</f>
        <v>323604</v>
      </c>
      <c r="M189" s="23">
        <f>SUM([1]Inicio:Final!S188)</f>
        <v>8768983</v>
      </c>
      <c r="N189" s="23">
        <f>SUM([1]Inicio:Final!V188)</f>
        <v>8088735</v>
      </c>
      <c r="O189" s="26">
        <f>SUM([1]Inicio:Final!W188)</f>
        <v>26542055.948999997</v>
      </c>
    </row>
    <row r="190" spans="1:15" ht="15.75" hidden="1" thickBot="1" x14ac:dyDescent="0.3">
      <c r="B190" s="22" t="s">
        <v>28</v>
      </c>
      <c r="C190" s="46">
        <f>SUM([1]Inicio:Final!E189)</f>
        <v>6800</v>
      </c>
      <c r="D190" s="23">
        <f>SUM([1]Inicio:Final!G189)</f>
        <v>992800</v>
      </c>
      <c r="E190" s="46">
        <f>SUM([1]Inicio:Final!J189)</f>
        <v>2007</v>
      </c>
      <c r="F190" s="23">
        <f>SUM([1]Inicio:Final!L189)</f>
        <v>1534113</v>
      </c>
      <c r="G190" s="23">
        <f>SUM([1]Inicio:Final!M189)</f>
        <v>238784</v>
      </c>
      <c r="H190" s="23">
        <f>SUM([1]Inicio:Final!N189)</f>
        <v>444950</v>
      </c>
      <c r="I190" s="23">
        <f>SUM([1]Inicio:Final!O189)</f>
        <v>0</v>
      </c>
      <c r="J190" s="23">
        <f>SUM([1]Inicio:Final!P189)</f>
        <v>100000</v>
      </c>
      <c r="K190" s="23">
        <f>SUM([1]Inicio:Final!Q189)</f>
        <v>5001216</v>
      </c>
      <c r="L190" s="23">
        <f>SUM([1]Inicio:Final!R189)</f>
        <v>540090</v>
      </c>
      <c r="M190" s="23">
        <f>SUM([1]Inicio:Final!S189)</f>
        <v>8851953</v>
      </c>
      <c r="N190" s="23">
        <f>SUM([1]Inicio:Final!V189)</f>
        <v>8926794</v>
      </c>
      <c r="O190" s="26">
        <f>SUM([1]Inicio:Final!W189)</f>
        <v>26467214.948999997</v>
      </c>
    </row>
    <row r="191" spans="1:15" ht="15.75" hidden="1" thickBot="1" x14ac:dyDescent="0.3">
      <c r="B191" s="22" t="s">
        <v>29</v>
      </c>
      <c r="C191" s="46">
        <f>SUM([1]Inicio:Final!E190)</f>
        <v>6826</v>
      </c>
      <c r="D191" s="23">
        <f>SUM([1]Inicio:Final!G190)</f>
        <v>996596</v>
      </c>
      <c r="E191" s="46">
        <f>SUM([1]Inicio:Final!J190)</f>
        <v>1464</v>
      </c>
      <c r="F191" s="23">
        <f>SUM([1]Inicio:Final!L190)</f>
        <v>818376</v>
      </c>
      <c r="G191" s="23">
        <f>SUM([1]Inicio:Final!M190)</f>
        <v>238784</v>
      </c>
      <c r="H191" s="23">
        <f>SUM([1]Inicio:Final!N190)</f>
        <v>437454</v>
      </c>
      <c r="I191" s="23">
        <f>SUM([1]Inicio:Final!O190)</f>
        <v>0</v>
      </c>
      <c r="J191" s="23">
        <f>SUM([1]Inicio:Final!P190)</f>
        <v>100000</v>
      </c>
      <c r="K191" s="23">
        <f>SUM([1]Inicio:Final!Q190)</f>
        <v>5001216</v>
      </c>
      <c r="L191" s="23">
        <f>SUM([1]Inicio:Final!R190)</f>
        <v>487413</v>
      </c>
      <c r="M191" s="23">
        <f>SUM([1]Inicio:Final!S190)</f>
        <v>8079839</v>
      </c>
      <c r="N191" s="23">
        <f>SUM([1]Inicio:Final!V190)</f>
        <v>7364665</v>
      </c>
      <c r="O191" s="26">
        <f>SUM([1]Inicio:Final!W190)</f>
        <v>27182388.948999997</v>
      </c>
    </row>
    <row r="192" spans="1:15" ht="15.75" hidden="1" thickBot="1" x14ac:dyDescent="0.3">
      <c r="B192" s="22" t="s">
        <v>30</v>
      </c>
      <c r="C192" s="46">
        <f>SUM([1]Inicio:Final!E191)</f>
        <v>8172</v>
      </c>
      <c r="D192" s="23">
        <f>SUM([1]Inicio:Final!G191)</f>
        <v>1193112</v>
      </c>
      <c r="E192" s="46">
        <f>SUM([1]Inicio:Final!J191)</f>
        <v>1524</v>
      </c>
      <c r="F192" s="23">
        <f>SUM([1]Inicio:Final!L191)</f>
        <v>851916</v>
      </c>
      <c r="G192" s="23">
        <f>SUM([1]Inicio:Final!M191)</f>
        <v>238784</v>
      </c>
      <c r="H192" s="23">
        <f>SUM([1]Inicio:Final!N191)</f>
        <v>438642</v>
      </c>
      <c r="I192" s="23">
        <f>SUM([1]Inicio:Final!O191)</f>
        <v>0</v>
      </c>
      <c r="J192" s="23">
        <f>SUM([1]Inicio:Final!P191)</f>
        <v>100000</v>
      </c>
      <c r="K192" s="23">
        <f>SUM([1]Inicio:Final!Q191)</f>
        <v>5001216</v>
      </c>
      <c r="L192" s="23">
        <f>SUM([1]Inicio:Final!R191)</f>
        <v>434544</v>
      </c>
      <c r="M192" s="23">
        <f>SUM([1]Inicio:Final!S191)</f>
        <v>8258214</v>
      </c>
      <c r="N192" s="23">
        <f>SUM([1]Inicio:Final!V191)</f>
        <v>8177349</v>
      </c>
      <c r="O192" s="26">
        <f>SUM([1]Inicio:Final!W191)</f>
        <v>27263253.948999997</v>
      </c>
    </row>
    <row r="193" spans="1:15" ht="15.75" hidden="1" thickBot="1" x14ac:dyDescent="0.3">
      <c r="B193" s="22" t="s">
        <v>31</v>
      </c>
      <c r="C193" s="46">
        <f>SUM([1]Inicio:Final!E192)</f>
        <v>5198</v>
      </c>
      <c r="D193" s="23">
        <f>SUM([1]Inicio:Final!G192)</f>
        <v>758908</v>
      </c>
      <c r="E193" s="46">
        <f>SUM([1]Inicio:Final!J192)</f>
        <v>552</v>
      </c>
      <c r="F193" s="23">
        <f>SUM([1]Inicio:Final!L192)</f>
        <v>334128</v>
      </c>
      <c r="G193" s="23">
        <f>SUM([1]Inicio:Final!M192)</f>
        <v>238784</v>
      </c>
      <c r="H193" s="23">
        <f>SUM([1]Inicio:Final!N192)</f>
        <v>439992</v>
      </c>
      <c r="I193" s="23">
        <f>SUM([1]Inicio:Final!O192)</f>
        <v>0</v>
      </c>
      <c r="J193" s="23">
        <f>SUM([1]Inicio:Final!P192)</f>
        <v>82667</v>
      </c>
      <c r="K193" s="23">
        <f>SUM([1]Inicio:Final!Q192)</f>
        <v>5001216</v>
      </c>
      <c r="L193" s="23">
        <f>SUM([1]Inicio:Final!R192)</f>
        <v>435240</v>
      </c>
      <c r="M193" s="23">
        <f>SUM([1]Inicio:Final!S192)</f>
        <v>7290935</v>
      </c>
      <c r="N193" s="23">
        <f>SUM([1]Inicio:Final!V192)</f>
        <v>7639058</v>
      </c>
      <c r="O193" s="26">
        <f>SUM([1]Inicio:Final!W192)</f>
        <v>26915130.948999997</v>
      </c>
    </row>
    <row r="194" spans="1:15" ht="15.75" hidden="1" thickBot="1" x14ac:dyDescent="0.3">
      <c r="B194" s="22" t="s">
        <v>32</v>
      </c>
      <c r="C194" s="46">
        <f>SUM([1]Inicio:Final!E193)</f>
        <v>6430</v>
      </c>
      <c r="D194" s="23">
        <f>SUM([1]Inicio:Final!G193)</f>
        <v>938780</v>
      </c>
      <c r="E194" s="46">
        <f>SUM([1]Inicio:Final!J193)</f>
        <v>412</v>
      </c>
      <c r="F194" s="23">
        <f>SUM([1]Inicio:Final!L193)</f>
        <v>230308</v>
      </c>
      <c r="G194" s="23">
        <f>SUM([1]Inicio:Final!M193)</f>
        <v>238784</v>
      </c>
      <c r="H194" s="23">
        <f>SUM([1]Inicio:Final!N193)</f>
        <v>440694</v>
      </c>
      <c r="I194" s="23">
        <f>SUM([1]Inicio:Final!O193)</f>
        <v>0</v>
      </c>
      <c r="J194" s="23">
        <f>SUM([1]Inicio:Final!P193)</f>
        <v>20000</v>
      </c>
      <c r="K194" s="23">
        <f>SUM([1]Inicio:Final!Q193)</f>
        <v>5001216</v>
      </c>
      <c r="L194" s="23">
        <f>SUM([1]Inicio:Final!R193)</f>
        <v>382025</v>
      </c>
      <c r="M194" s="23">
        <f>SUM([1]Inicio:Final!S193)</f>
        <v>7251807</v>
      </c>
      <c r="N194" s="23">
        <f>SUM([1]Inicio:Final!V193)</f>
        <v>6083029</v>
      </c>
      <c r="O194" s="26">
        <f>SUM([1]Inicio:Final!W193)</f>
        <v>28083908.948999997</v>
      </c>
    </row>
    <row r="195" spans="1:15" ht="15.75" hidden="1" thickBot="1" x14ac:dyDescent="0.3">
      <c r="B195" s="22" t="s">
        <v>33</v>
      </c>
      <c r="C195" s="46">
        <f>SUM([1]Inicio:Final!E194)</f>
        <v>6833</v>
      </c>
      <c r="D195" s="23">
        <f>SUM([1]Inicio:Final!G194)</f>
        <v>997618</v>
      </c>
      <c r="E195" s="46">
        <f>SUM([1]Inicio:Final!J194)</f>
        <v>473</v>
      </c>
      <c r="F195" s="23">
        <f>SUM([1]Inicio:Final!L194)</f>
        <v>264407</v>
      </c>
      <c r="G195" s="23">
        <f>SUM([1]Inicio:Final!M194)</f>
        <v>238784</v>
      </c>
      <c r="H195" s="23">
        <f>SUM([1]Inicio:Final!N194)</f>
        <v>442044</v>
      </c>
      <c r="I195" s="23">
        <f>SUM([1]Inicio:Final!O194)</f>
        <v>0</v>
      </c>
      <c r="J195" s="23">
        <f>SUM([1]Inicio:Final!P194)</f>
        <v>10000</v>
      </c>
      <c r="K195" s="23">
        <f>SUM([1]Inicio:Final!Q194)</f>
        <v>5001216</v>
      </c>
      <c r="L195" s="23">
        <f>SUM([1]Inicio:Final!R194)</f>
        <v>383005</v>
      </c>
      <c r="M195" s="23">
        <f>SUM([1]Inicio:Final!S194)</f>
        <v>7337074</v>
      </c>
      <c r="N195" s="23">
        <f>SUM([1]Inicio:Final!V194)</f>
        <v>9739012</v>
      </c>
      <c r="O195" s="26">
        <f>SUM([1]Inicio:Final!W194)</f>
        <v>25681970.949000001</v>
      </c>
    </row>
    <row r="196" spans="1:15" ht="15.75" hidden="1" thickBot="1" x14ac:dyDescent="0.3">
      <c r="B196" s="22" t="s">
        <v>34</v>
      </c>
      <c r="C196" s="46">
        <f>SUM([1]Inicio:Final!E195)</f>
        <v>6404</v>
      </c>
      <c r="D196" s="23">
        <f>SUM([1]Inicio:Final!G195)</f>
        <v>934984</v>
      </c>
      <c r="E196" s="46">
        <f>SUM([1]Inicio:Final!J195)</f>
        <v>777</v>
      </c>
      <c r="F196" s="23">
        <f>SUM([1]Inicio:Final!L195)</f>
        <v>457023</v>
      </c>
      <c r="G196" s="23">
        <f>SUM([1]Inicio:Final!M195)</f>
        <v>238784</v>
      </c>
      <c r="H196" s="23">
        <f>SUM([1]Inicio:Final!N195)</f>
        <v>443178</v>
      </c>
      <c r="I196" s="23">
        <f>SUM([1]Inicio:Final!O195)</f>
        <v>0</v>
      </c>
      <c r="J196" s="23">
        <f>SUM([1]Inicio:Final!P195)</f>
        <v>10000</v>
      </c>
      <c r="K196" s="23">
        <f>SUM([1]Inicio:Final!Q195)</f>
        <v>5001216</v>
      </c>
      <c r="L196" s="23">
        <f>SUM([1]Inicio:Final!R195)</f>
        <v>329184</v>
      </c>
      <c r="M196" s="23">
        <f>SUM([1]Inicio:Final!S195)</f>
        <v>7414369</v>
      </c>
      <c r="N196" s="23">
        <f>SUM([1]Inicio:Final!V195)</f>
        <v>6441719</v>
      </c>
      <c r="O196" s="26">
        <f>SUM([1]Inicio:Final!W195)</f>
        <v>26654620.948999997</v>
      </c>
    </row>
    <row r="197" spans="1:15" ht="15.75" hidden="1" thickBot="1" x14ac:dyDescent="0.3">
      <c r="B197" s="22" t="s">
        <v>35</v>
      </c>
      <c r="C197" s="46">
        <f>SUM([1]Inicio:Final!E196)</f>
        <v>7060</v>
      </c>
      <c r="D197" s="23">
        <f>SUM([1]Inicio:Final!G196)</f>
        <v>1030760</v>
      </c>
      <c r="E197" s="46">
        <f>SUM([1]Inicio:Final!J196)</f>
        <v>1247</v>
      </c>
      <c r="F197" s="23">
        <f>SUM([1]Inicio:Final!L196)</f>
        <v>736673</v>
      </c>
      <c r="G197" s="23">
        <f>SUM([1]Inicio:Final!M196)</f>
        <v>238784</v>
      </c>
      <c r="H197" s="23">
        <f>SUM([1]Inicio:Final!N196)</f>
        <v>444420</v>
      </c>
      <c r="I197" s="23">
        <f>SUM([1]Inicio:Final!O196)</f>
        <v>0</v>
      </c>
      <c r="J197" s="23">
        <f>SUM([1]Inicio:Final!P196)</f>
        <v>10000</v>
      </c>
      <c r="K197" s="23">
        <f>SUM([1]Inicio:Final!Q196)</f>
        <v>5001216</v>
      </c>
      <c r="L197" s="23">
        <f>SUM([1]Inicio:Final!R196)</f>
        <v>440528</v>
      </c>
      <c r="M197" s="23">
        <f>SUM([1]Inicio:Final!S196)</f>
        <v>7902381</v>
      </c>
      <c r="N197" s="23">
        <f>SUM([1]Inicio:Final!V196)</f>
        <v>7292514</v>
      </c>
      <c r="O197" s="26">
        <f>SUM([1]Inicio:Final!W196)</f>
        <v>27264487.948999997</v>
      </c>
    </row>
    <row r="198" spans="1:15" ht="15.75" hidden="1" thickBot="1" x14ac:dyDescent="0.3">
      <c r="B198" s="22" t="s">
        <v>36</v>
      </c>
      <c r="C198" s="46">
        <f>SUM([1]Inicio:Final!E197)</f>
        <v>7990</v>
      </c>
      <c r="D198" s="23">
        <f>SUM([1]Inicio:Final!G197)</f>
        <v>1166540</v>
      </c>
      <c r="E198" s="46">
        <f>SUM([1]Inicio:Final!J197)</f>
        <v>1844</v>
      </c>
      <c r="F198" s="23">
        <f>SUM([1]Inicio:Final!L197)</f>
        <v>1116836</v>
      </c>
      <c r="G198" s="23">
        <f>SUM([1]Inicio:Final!M197)</f>
        <v>238784</v>
      </c>
      <c r="H198" s="23">
        <f>SUM([1]Inicio:Final!N197)</f>
        <v>446040</v>
      </c>
      <c r="I198" s="23">
        <f>SUM([1]Inicio:Final!O197)</f>
        <v>152320</v>
      </c>
      <c r="J198" s="23">
        <f>SUM([1]Inicio:Final!P197)</f>
        <v>10000</v>
      </c>
      <c r="K198" s="23">
        <f>SUM([1]Inicio:Final!Q197)</f>
        <v>5001216</v>
      </c>
      <c r="L198" s="23">
        <f>SUM([1]Inicio:Final!R197)</f>
        <v>661584</v>
      </c>
      <c r="M198" s="23">
        <f>SUM([1]Inicio:Final!S197)</f>
        <v>8774280</v>
      </c>
      <c r="N198" s="23">
        <f>SUM([1]Inicio:Final!V197)</f>
        <v>11101622</v>
      </c>
      <c r="O198" s="26">
        <f>SUM([1]Inicio:Final!W197)</f>
        <v>24937145.949000001</v>
      </c>
    </row>
    <row r="199" spans="1:15" ht="15.75" hidden="1" thickBot="1" x14ac:dyDescent="0.3">
      <c r="B199" s="22" t="s">
        <v>37</v>
      </c>
      <c r="C199" s="46">
        <f>SUM([1]Inicio:Final!E198)</f>
        <v>6851</v>
      </c>
      <c r="D199" s="23">
        <f>SUM([1]Inicio:Final!G198)</f>
        <v>1000597</v>
      </c>
      <c r="E199" s="46">
        <f>SUM([1]Inicio:Final!J198)</f>
        <v>1609</v>
      </c>
      <c r="F199" s="23">
        <f>SUM([1]Inicio:Final!L198)</f>
        <v>899431</v>
      </c>
      <c r="G199" s="23">
        <f>SUM([1]Inicio:Final!M198)</f>
        <v>238784</v>
      </c>
      <c r="H199" s="23">
        <f>SUM([1]Inicio:Final!N198)</f>
        <v>446580</v>
      </c>
      <c r="I199" s="23">
        <f>SUM([1]Inicio:Final!O198)</f>
        <v>115000</v>
      </c>
      <c r="J199" s="23">
        <f>SUM([1]Inicio:Final!P198)</f>
        <v>10000</v>
      </c>
      <c r="K199" s="23">
        <f>SUM([1]Inicio:Final!Q198)</f>
        <v>5001216</v>
      </c>
      <c r="L199" s="23">
        <f>SUM([1]Inicio:Final!R198)</f>
        <v>1129683</v>
      </c>
      <c r="M199" s="23">
        <f>SUM([1]Inicio:Final!S198)</f>
        <v>8786199</v>
      </c>
      <c r="N199" s="23">
        <f>SUM([1]Inicio:Final!V198)</f>
        <v>9581100</v>
      </c>
      <c r="O199" s="26">
        <f>SUM([1]Inicio:Final!W198)</f>
        <v>24142244.949000001</v>
      </c>
    </row>
    <row r="200" spans="1:15" ht="15.75" thickBot="1" x14ac:dyDescent="0.3">
      <c r="A200">
        <v>2019</v>
      </c>
      <c r="B200" s="22" t="s">
        <v>38</v>
      </c>
      <c r="C200" s="46">
        <f>SUM([1]Inicio:Final!E199)</f>
        <v>8202</v>
      </c>
      <c r="D200" s="23">
        <f>SUM([1]Inicio:Final!G199)</f>
        <v>1197492</v>
      </c>
      <c r="E200" s="46">
        <f>SUM([1]Inicio:Final!J199)</f>
        <v>2074</v>
      </c>
      <c r="F200" s="23">
        <f>SUM([1]Inicio:Final!L199)</f>
        <v>1189246</v>
      </c>
      <c r="G200" s="23">
        <f>SUM([1]Inicio:Final!M199)</f>
        <v>244992</v>
      </c>
      <c r="H200" s="23">
        <f>SUM([1]Inicio:Final!N199)</f>
        <v>446256</v>
      </c>
      <c r="I200" s="23">
        <f>SUM([1]Inicio:Final!O199)</f>
        <v>57500</v>
      </c>
      <c r="J200" s="23">
        <f>SUM([1]Inicio:Final!P199)</f>
        <v>10000</v>
      </c>
      <c r="K200" s="23">
        <f>SUM([1]Inicio:Final!Q199)</f>
        <v>5131264</v>
      </c>
      <c r="L200" s="23">
        <f>SUM([1]Inicio:Final!R199)</f>
        <v>606012</v>
      </c>
      <c r="M200" s="23">
        <f>SUM([1]Inicio:Final!S199)</f>
        <v>8827670</v>
      </c>
      <c r="N200" s="23">
        <f>SUM([1]Inicio:Final!V199)</f>
        <v>7515547</v>
      </c>
      <c r="O200" s="26">
        <f>SUM([1]Inicio:Final!W199)</f>
        <v>25454367.949000001</v>
      </c>
    </row>
    <row r="201" spans="1:15" ht="15.75" thickBot="1" x14ac:dyDescent="0.3">
      <c r="B201" s="22" t="s">
        <v>27</v>
      </c>
      <c r="C201" s="46">
        <f>SUM([1]Inicio:Final!E200)</f>
        <v>8940</v>
      </c>
      <c r="D201" s="23">
        <f>SUM([1]Inicio:Final!G200)</f>
        <v>1305240</v>
      </c>
      <c r="E201" s="46">
        <f>SUM([1]Inicio:Final!J200)</f>
        <v>1946</v>
      </c>
      <c r="F201" s="23">
        <f>SUM([1]Inicio:Final!L200)</f>
        <v>1095734</v>
      </c>
      <c r="G201" s="23">
        <f>SUM([1]Inicio:Final!M200)</f>
        <v>244992</v>
      </c>
      <c r="H201" s="23">
        <f>SUM([1]Inicio:Final!N200)</f>
        <v>446418</v>
      </c>
      <c r="I201" s="23">
        <f>SUM([1]Inicio:Final!O200)</f>
        <v>57500</v>
      </c>
      <c r="J201" s="23">
        <f>SUM([1]Inicio:Final!P200)</f>
        <v>10000</v>
      </c>
      <c r="K201" s="23">
        <f>SUM([1]Inicio:Final!Q200)</f>
        <v>5131264</v>
      </c>
      <c r="L201" s="23">
        <f>SUM([1]Inicio:Final!R200)</f>
        <v>496026</v>
      </c>
      <c r="M201" s="23">
        <f>SUM([1]Inicio:Final!S200)</f>
        <v>8787174</v>
      </c>
      <c r="N201" s="23">
        <f>SUM([1]Inicio:Final!V200)</f>
        <v>9330951</v>
      </c>
      <c r="O201" s="26">
        <f>SUM([1]Inicio:Final!W200)</f>
        <v>24910590.949000001</v>
      </c>
    </row>
    <row r="202" spans="1:15" ht="15.75" thickBot="1" x14ac:dyDescent="0.3">
      <c r="B202" s="22" t="s">
        <v>28</v>
      </c>
      <c r="C202" s="46">
        <f>SUM([1]Inicio:Final!E201)</f>
        <v>8291</v>
      </c>
      <c r="D202" s="23">
        <f>SUM([1]Inicio:Final!G201)</f>
        <v>1210486</v>
      </c>
      <c r="E202" s="46">
        <f>SUM([1]Inicio:Final!J201)</f>
        <v>1723</v>
      </c>
      <c r="F202" s="23">
        <f>SUM([1]Inicio:Final!L201)</f>
        <v>963157</v>
      </c>
      <c r="G202" s="23">
        <f>SUM([1]Inicio:Final!M201)</f>
        <v>244992</v>
      </c>
      <c r="H202" s="23">
        <f>SUM([1]Inicio:Final!N201)</f>
        <v>446580</v>
      </c>
      <c r="I202" s="23">
        <f>SUM([1]Inicio:Final!O201)</f>
        <v>0</v>
      </c>
      <c r="J202" s="23">
        <f>SUM([1]Inicio:Final!P201)</f>
        <v>10000</v>
      </c>
      <c r="K202" s="23">
        <f>SUM([1]Inicio:Final!Q201)</f>
        <v>5131264</v>
      </c>
      <c r="L202" s="23">
        <f>SUM([1]Inicio:Final!R201)</f>
        <v>551320</v>
      </c>
      <c r="M202" s="23">
        <f>SUM([1]Inicio:Final!S201)</f>
        <v>8557799</v>
      </c>
      <c r="N202" s="23">
        <f>SUM([1]Inicio:Final!V201)</f>
        <v>7631890</v>
      </c>
      <c r="O202" s="26">
        <f>SUM([1]Inicio:Final!W201)</f>
        <v>25836499.949000001</v>
      </c>
    </row>
    <row r="203" spans="1:15" ht="15.75" thickBot="1" x14ac:dyDescent="0.3">
      <c r="B203" s="22" t="s">
        <v>29</v>
      </c>
      <c r="C203" s="46">
        <f>SUM([1]Inicio:Final!E202)</f>
        <v>6941</v>
      </c>
      <c r="D203" s="23">
        <f>SUM([1]Inicio:Final!G202)</f>
        <v>1013386</v>
      </c>
      <c r="E203" s="46">
        <f>SUM([1]Inicio:Final!J202)</f>
        <v>2240</v>
      </c>
      <c r="F203" s="23">
        <f>SUM([1]Inicio:Final!L202)</f>
        <v>924985</v>
      </c>
      <c r="G203" s="23">
        <f>SUM([1]Inicio:Final!M202)</f>
        <v>244992</v>
      </c>
      <c r="H203" s="23">
        <f>SUM([1]Inicio:Final!N202)</f>
        <v>448146</v>
      </c>
      <c r="I203" s="23">
        <f>SUM([1]Inicio:Final!O202)</f>
        <v>0</v>
      </c>
      <c r="J203" s="23">
        <f>SUM([1]Inicio:Final!P202)</f>
        <v>10000</v>
      </c>
      <c r="K203" s="23">
        <f>SUM([1]Inicio:Final!Q202)</f>
        <v>5131264</v>
      </c>
      <c r="L203" s="23">
        <f>SUM([1]Inicio:Final!R202)</f>
        <v>387268</v>
      </c>
      <c r="M203" s="23">
        <f>SUM([1]Inicio:Final!S202)</f>
        <v>8160041</v>
      </c>
      <c r="N203" s="23">
        <f>SUM([1]Inicio:Final!V202)</f>
        <v>8361809</v>
      </c>
      <c r="O203" s="26">
        <f>SUM([1]Inicio:Final!W202)</f>
        <v>25634731.949000001</v>
      </c>
    </row>
    <row r="204" spans="1:15" ht="15.75" thickBot="1" x14ac:dyDescent="0.3">
      <c r="B204" s="22" t="s">
        <v>30</v>
      </c>
      <c r="C204" s="46">
        <f>SUM([1]Inicio:Final!E203)</f>
        <v>7185</v>
      </c>
      <c r="D204" s="23">
        <f>SUM([1]Inicio:Final!G203)</f>
        <v>1049010</v>
      </c>
      <c r="E204" s="46">
        <f>SUM([1]Inicio:Final!J203)</f>
        <v>1268</v>
      </c>
      <c r="F204" s="23">
        <f>SUM([1]Inicio:Final!L203)</f>
        <v>729332</v>
      </c>
      <c r="G204" s="23">
        <f>SUM([1]Inicio:Final!M203)</f>
        <v>244992</v>
      </c>
      <c r="H204" s="23">
        <f>SUM([1]Inicio:Final!N203)</f>
        <v>449766</v>
      </c>
      <c r="I204" s="23">
        <f>SUM([1]Inicio:Final!O203)</f>
        <v>112778</v>
      </c>
      <c r="J204" s="23">
        <f>SUM([1]Inicio:Final!P203)</f>
        <v>10000</v>
      </c>
      <c r="K204" s="23">
        <f>SUM([1]Inicio:Final!Q203)</f>
        <v>5131264</v>
      </c>
      <c r="L204" s="23">
        <f>SUM([1]Inicio:Final!R203)</f>
        <v>0</v>
      </c>
      <c r="M204" s="23">
        <f>SUM([1]Inicio:Final!S203)</f>
        <v>7727142</v>
      </c>
      <c r="N204" s="23">
        <f>SUM([1]Inicio:Final!V203)</f>
        <v>941704</v>
      </c>
      <c r="O204" s="26">
        <f>SUM([1]Inicio:Final!W203)</f>
        <v>32420169.948999997</v>
      </c>
    </row>
    <row r="205" spans="1:15" ht="15.75" thickBot="1" x14ac:dyDescent="0.3">
      <c r="B205" s="22" t="s">
        <v>31</v>
      </c>
      <c r="C205" s="46">
        <f>SUM([1]Inicio:Final!E204)</f>
        <v>-1041684</v>
      </c>
      <c r="D205" s="23">
        <f>SUM([1]Inicio:Final!G204)</f>
        <v>-152085864</v>
      </c>
      <c r="E205" s="46">
        <f>SUM([1]Inicio:Final!J204)</f>
        <v>-184683</v>
      </c>
      <c r="F205" s="23">
        <f>SUM([1]Inicio:Final!L204)</f>
        <v>-103237797</v>
      </c>
      <c r="G205" s="23">
        <f>SUM([1]Inicio:Final!M204)</f>
        <v>244992</v>
      </c>
      <c r="H205" s="23">
        <f>SUM([1]Inicio:Final!N204)</f>
        <v>0</v>
      </c>
      <c r="I205" s="23">
        <f>SUM([1]Inicio:Final!O204)</f>
        <v>112778</v>
      </c>
      <c r="J205" s="23">
        <f>SUM([1]Inicio:Final!P204)</f>
        <v>10000</v>
      </c>
      <c r="K205" s="23">
        <f>SUM([1]Inicio:Final!Q204)</f>
        <v>5131264</v>
      </c>
      <c r="L205" s="23">
        <f>SUM([1]Inicio:Final!R204)</f>
        <v>0</v>
      </c>
      <c r="M205" s="23">
        <f>SUM([1]Inicio:Final!S204)</f>
        <v>-249824627</v>
      </c>
      <c r="N205" s="23">
        <f>SUM([1]Inicio:Final!V204)</f>
        <v>0</v>
      </c>
      <c r="O205" s="26">
        <f>SUM([1]Inicio:Final!W204)</f>
        <v>-217404457.051</v>
      </c>
    </row>
    <row r="206" spans="1:15" ht="15.75" thickBot="1" x14ac:dyDescent="0.3">
      <c r="B206" s="22" t="s">
        <v>32</v>
      </c>
      <c r="C206" s="46">
        <f>SUM([1]Inicio:Final!E205)</f>
        <v>0</v>
      </c>
      <c r="D206" s="23">
        <f>SUM([1]Inicio:Final!G205)</f>
        <v>0</v>
      </c>
      <c r="E206" s="46">
        <f>SUM([1]Inicio:Final!J205)</f>
        <v>0</v>
      </c>
      <c r="F206" s="23">
        <f>SUM([1]Inicio:Final!L205)</f>
        <v>0</v>
      </c>
      <c r="G206" s="23">
        <f>SUM([1]Inicio:Final!M205)</f>
        <v>244992</v>
      </c>
      <c r="H206" s="23">
        <f>SUM([1]Inicio:Final!N205)</f>
        <v>0</v>
      </c>
      <c r="I206" s="23">
        <f>SUM([1]Inicio:Final!O205)</f>
        <v>112779</v>
      </c>
      <c r="J206" s="23">
        <f>SUM([1]Inicio:Final!P205)</f>
        <v>10000</v>
      </c>
      <c r="K206" s="23">
        <f>SUM([1]Inicio:Final!Q205)</f>
        <v>5131264</v>
      </c>
      <c r="L206" s="23">
        <f>SUM([1]Inicio:Final!R205)</f>
        <v>0</v>
      </c>
      <c r="M206" s="23">
        <f>SUM([1]Inicio:Final!S205)</f>
        <v>5499035</v>
      </c>
      <c r="N206" s="23">
        <f>SUM([1]Inicio:Final!V205)</f>
        <v>0</v>
      </c>
      <c r="O206" s="26">
        <f>SUM([1]Inicio:Final!W205)</f>
        <v>-211905422.051</v>
      </c>
    </row>
    <row r="207" spans="1:15" ht="15.75" thickBot="1" x14ac:dyDescent="0.3">
      <c r="B207" s="22" t="s">
        <v>33</v>
      </c>
      <c r="C207" s="46">
        <f>SUM([1]Inicio:Final!E206)</f>
        <v>0</v>
      </c>
      <c r="D207" s="23">
        <f>SUM([1]Inicio:Final!G206)</f>
        <v>0</v>
      </c>
      <c r="E207" s="46">
        <f>SUM([1]Inicio:Final!J206)</f>
        <v>0</v>
      </c>
      <c r="F207" s="23">
        <f>SUM([1]Inicio:Final!L206)</f>
        <v>0</v>
      </c>
      <c r="G207" s="23">
        <f>SUM([1]Inicio:Final!M206)</f>
        <v>244992</v>
      </c>
      <c r="H207" s="23">
        <f>SUM([1]Inicio:Final!N206)</f>
        <v>0</v>
      </c>
      <c r="I207" s="23">
        <f>SUM([1]Inicio:Final!O206)</f>
        <v>0</v>
      </c>
      <c r="J207" s="23">
        <f>SUM([1]Inicio:Final!P206)</f>
        <v>10000</v>
      </c>
      <c r="K207" s="23">
        <f>SUM([1]Inicio:Final!Q206)</f>
        <v>5131264</v>
      </c>
      <c r="L207" s="23">
        <f>SUM([1]Inicio:Final!R206)</f>
        <v>0</v>
      </c>
      <c r="M207" s="23">
        <f>SUM([1]Inicio:Final!S206)</f>
        <v>5386256</v>
      </c>
      <c r="N207" s="23">
        <f>SUM([1]Inicio:Final!V206)</f>
        <v>0</v>
      </c>
      <c r="O207" s="26">
        <f>SUM([1]Inicio:Final!W206)</f>
        <v>-206519166.051</v>
      </c>
    </row>
    <row r="208" spans="1:15" ht="15.75" thickBot="1" x14ac:dyDescent="0.3">
      <c r="B208" s="22" t="s">
        <v>34</v>
      </c>
      <c r="C208" s="46">
        <f>SUM([1]Inicio:Final!E207)</f>
        <v>0</v>
      </c>
      <c r="D208" s="23">
        <f>SUM([1]Inicio:Final!G207)</f>
        <v>0</v>
      </c>
      <c r="E208" s="46">
        <f>SUM([1]Inicio:Final!J207)</f>
        <v>0</v>
      </c>
      <c r="F208" s="23">
        <f>SUM([1]Inicio:Final!L207)</f>
        <v>0</v>
      </c>
      <c r="G208" s="23">
        <f>SUM([1]Inicio:Final!M207)</f>
        <v>244992</v>
      </c>
      <c r="H208" s="23">
        <f>SUM([1]Inicio:Final!N207)</f>
        <v>0</v>
      </c>
      <c r="I208" s="23">
        <f>SUM([1]Inicio:Final!O207)</f>
        <v>0</v>
      </c>
      <c r="J208" s="23">
        <f>SUM([1]Inicio:Final!P207)</f>
        <v>10000</v>
      </c>
      <c r="K208" s="23">
        <f>SUM([1]Inicio:Final!Q207)</f>
        <v>5131264</v>
      </c>
      <c r="L208" s="23">
        <f>SUM([1]Inicio:Final!R207)</f>
        <v>0</v>
      </c>
      <c r="M208" s="23">
        <f>SUM([1]Inicio:Final!S207)</f>
        <v>5386256</v>
      </c>
      <c r="N208" s="23">
        <f>SUM([1]Inicio:Final!V207)</f>
        <v>0</v>
      </c>
      <c r="O208" s="26">
        <f>SUM([1]Inicio:Final!W207)</f>
        <v>-201132910.051</v>
      </c>
    </row>
    <row r="209" spans="2:15" ht="15.75" thickBot="1" x14ac:dyDescent="0.3">
      <c r="B209" s="22" t="s">
        <v>35</v>
      </c>
      <c r="C209" s="46">
        <f>SUM([1]Inicio:Final!E208)</f>
        <v>0</v>
      </c>
      <c r="D209" s="23">
        <f>SUM([1]Inicio:Final!G208)</f>
        <v>0</v>
      </c>
      <c r="E209" s="46">
        <f>SUM([1]Inicio:Final!J208)</f>
        <v>0</v>
      </c>
      <c r="F209" s="23">
        <f>SUM([1]Inicio:Final!L208)</f>
        <v>0</v>
      </c>
      <c r="G209" s="23">
        <f>SUM([1]Inicio:Final!M208)</f>
        <v>244992</v>
      </c>
      <c r="H209" s="23">
        <f>SUM([1]Inicio:Final!N208)</f>
        <v>0</v>
      </c>
      <c r="I209" s="23">
        <f>SUM([1]Inicio:Final!O208)</f>
        <v>0</v>
      </c>
      <c r="J209" s="23">
        <f>SUM([1]Inicio:Final!P208)</f>
        <v>10000</v>
      </c>
      <c r="K209" s="23">
        <f>SUM([1]Inicio:Final!Q208)</f>
        <v>5131264</v>
      </c>
      <c r="L209" s="23">
        <f>SUM([1]Inicio:Final!R208)</f>
        <v>0</v>
      </c>
      <c r="M209" s="23">
        <f>SUM([1]Inicio:Final!S208)</f>
        <v>5386256</v>
      </c>
      <c r="N209" s="23">
        <f>SUM([1]Inicio:Final!V208)</f>
        <v>0</v>
      </c>
      <c r="O209" s="26">
        <f>SUM([1]Inicio:Final!W208)</f>
        <v>-195746654.051</v>
      </c>
    </row>
    <row r="210" spans="2:15" ht="15.75" thickBot="1" x14ac:dyDescent="0.3">
      <c r="B210" s="22" t="s">
        <v>36</v>
      </c>
      <c r="C210" s="46">
        <f>SUM([1]Inicio:Final!E209)</f>
        <v>0</v>
      </c>
      <c r="D210" s="23">
        <f>SUM([1]Inicio:Final!G209)</f>
        <v>0</v>
      </c>
      <c r="E210" s="46">
        <f>SUM([1]Inicio:Final!J209)</f>
        <v>0</v>
      </c>
      <c r="F210" s="23">
        <f>SUM([1]Inicio:Final!L209)</f>
        <v>0</v>
      </c>
      <c r="G210" s="23">
        <f>SUM([1]Inicio:Final!M209)</f>
        <v>244992</v>
      </c>
      <c r="H210" s="23">
        <f>SUM([1]Inicio:Final!N209)</f>
        <v>0</v>
      </c>
      <c r="I210" s="23">
        <f>SUM([1]Inicio:Final!O209)</f>
        <v>0</v>
      </c>
      <c r="J210" s="23">
        <f>SUM([1]Inicio:Final!P209)</f>
        <v>10000</v>
      </c>
      <c r="K210" s="23">
        <f>SUM([1]Inicio:Final!Q209)</f>
        <v>5131264</v>
      </c>
      <c r="L210" s="23">
        <f>SUM([1]Inicio:Final!R209)</f>
        <v>0</v>
      </c>
      <c r="M210" s="23">
        <f>SUM([1]Inicio:Final!S209)</f>
        <v>5386256</v>
      </c>
      <c r="N210" s="23">
        <f>SUM([1]Inicio:Final!V209)</f>
        <v>0</v>
      </c>
      <c r="O210" s="26">
        <f>SUM([1]Inicio:Final!W209)</f>
        <v>-190360398.051</v>
      </c>
    </row>
    <row r="211" spans="2:15" ht="15.75" thickBot="1" x14ac:dyDescent="0.3">
      <c r="B211" s="22" t="s">
        <v>37</v>
      </c>
      <c r="C211" s="46">
        <f>SUM([1]Inicio:Final!E210)</f>
        <v>0</v>
      </c>
      <c r="D211" s="23">
        <f>SUM([1]Inicio:Final!G210)</f>
        <v>0</v>
      </c>
      <c r="E211" s="46">
        <f>SUM([1]Inicio:Final!J210)</f>
        <v>0</v>
      </c>
      <c r="F211" s="23">
        <f>SUM([1]Inicio:Final!L210)</f>
        <v>0</v>
      </c>
      <c r="G211" s="23">
        <f>SUM([1]Inicio:Final!M210)</f>
        <v>244992</v>
      </c>
      <c r="H211" s="23">
        <f>SUM([1]Inicio:Final!N210)</f>
        <v>0</v>
      </c>
      <c r="I211" s="23">
        <f>SUM([1]Inicio:Final!O210)</f>
        <v>0</v>
      </c>
      <c r="J211" s="23">
        <f>SUM([1]Inicio:Final!P210)</f>
        <v>10000</v>
      </c>
      <c r="K211" s="23">
        <f>SUM([1]Inicio:Final!Q210)</f>
        <v>5131264</v>
      </c>
      <c r="L211" s="23">
        <f>SUM([1]Inicio:Final!R210)</f>
        <v>0</v>
      </c>
      <c r="M211" s="23">
        <f>SUM([1]Inicio:Final!S210)</f>
        <v>5386256</v>
      </c>
      <c r="N211" s="23">
        <f>SUM([1]Inicio:Final!V210)</f>
        <v>0</v>
      </c>
      <c r="O211" s="26">
        <f>SUM([1]Inicio:Final!W210)</f>
        <v>-184974142.051</v>
      </c>
    </row>
    <row r="213" spans="2:15" ht="15" customHeight="1" x14ac:dyDescent="0.25"/>
    <row r="214" spans="2:15" ht="17.25" hidden="1" customHeight="1" thickBot="1" x14ac:dyDescent="0.3">
      <c r="B214" s="76" t="s">
        <v>62</v>
      </c>
      <c r="C214" s="77"/>
      <c r="D214" s="78"/>
    </row>
    <row r="215" spans="2:15" ht="14.25" hidden="1" customHeight="1" x14ac:dyDescent="0.25">
      <c r="B215" s="40" t="s">
        <v>25</v>
      </c>
      <c r="C215" s="40" t="s">
        <v>9</v>
      </c>
      <c r="D215" s="79" t="s">
        <v>49</v>
      </c>
    </row>
    <row r="216" spans="2:15" ht="15.75" hidden="1" thickBot="1" x14ac:dyDescent="0.3">
      <c r="B216" s="41"/>
      <c r="C216" s="41"/>
      <c r="D216" s="80"/>
    </row>
    <row r="217" spans="2:15" ht="15.75" hidden="1" thickBot="1" x14ac:dyDescent="0.3">
      <c r="B217" s="37" t="s">
        <v>50</v>
      </c>
      <c r="C217" s="38">
        <f>[1]Resumen!$C$241</f>
        <v>7290935</v>
      </c>
      <c r="D217" s="38">
        <f>[1]Resumen!$D$241</f>
        <v>7639058</v>
      </c>
    </row>
    <row r="218" spans="2:15" ht="15.75" hidden="1" thickBot="1" x14ac:dyDescent="0.3">
      <c r="B218" s="35" t="s">
        <v>51</v>
      </c>
      <c r="C218" s="38">
        <f>[1]Resumen!$C$242</f>
        <v>7251807</v>
      </c>
      <c r="D218" s="38">
        <f>[1]Resumen!$D$242</f>
        <v>6083029</v>
      </c>
    </row>
    <row r="219" spans="2:15" ht="15.75" hidden="1" thickBot="1" x14ac:dyDescent="0.3">
      <c r="B219" s="35" t="s">
        <v>52</v>
      </c>
      <c r="C219" s="38">
        <f>[1]Resumen!$C$243</f>
        <v>7337074</v>
      </c>
      <c r="D219" s="38">
        <f>[1]Resumen!$D$243</f>
        <v>9739012</v>
      </c>
    </row>
    <row r="220" spans="2:15" ht="15.75" hidden="1" thickBot="1" x14ac:dyDescent="0.3">
      <c r="B220" s="35" t="s">
        <v>53</v>
      </c>
      <c r="C220" s="38">
        <f>[1]Resumen!$C$244</f>
        <v>7414369</v>
      </c>
      <c r="D220" s="38">
        <f>[1]Resumen!$D$244</f>
        <v>6441719</v>
      </c>
    </row>
    <row r="221" spans="2:15" ht="15.75" hidden="1" thickBot="1" x14ac:dyDescent="0.3">
      <c r="B221" s="35" t="s">
        <v>54</v>
      </c>
      <c r="C221" s="38">
        <f>[1]Resumen!$C$245</f>
        <v>7902381</v>
      </c>
      <c r="D221" s="38">
        <f>[1]Resumen!$D$245</f>
        <v>7292514</v>
      </c>
    </row>
    <row r="222" spans="2:15" ht="15.75" hidden="1" thickBot="1" x14ac:dyDescent="0.3">
      <c r="B222" s="35" t="s">
        <v>55</v>
      </c>
      <c r="C222" s="38">
        <f>[1]Resumen!$C$246</f>
        <v>8774280</v>
      </c>
      <c r="D222" s="38">
        <f>[1]Resumen!$D$246</f>
        <v>11101622</v>
      </c>
    </row>
    <row r="223" spans="2:15" ht="15.75" hidden="1" thickBot="1" x14ac:dyDescent="0.3">
      <c r="B223" s="35" t="s">
        <v>56</v>
      </c>
      <c r="C223" s="38">
        <f>[1]Resumen!$C$247</f>
        <v>8786199</v>
      </c>
      <c r="D223" s="38">
        <f>[1]Resumen!$D$247</f>
        <v>9581100</v>
      </c>
    </row>
    <row r="224" spans="2:15" ht="15.75" hidden="1" thickBot="1" x14ac:dyDescent="0.3">
      <c r="B224" s="35" t="s">
        <v>57</v>
      </c>
      <c r="C224" s="38">
        <f>[1]Resumen!$C$248</f>
        <v>0</v>
      </c>
      <c r="D224" s="38">
        <f>[1]Resumen!$D$248</f>
        <v>0</v>
      </c>
    </row>
    <row r="225" spans="2:4" ht="15.75" hidden="1" thickBot="1" x14ac:dyDescent="0.3">
      <c r="B225" s="35" t="s">
        <v>58</v>
      </c>
      <c r="C225" s="38">
        <f>[1]Resumen!$C$249</f>
        <v>0</v>
      </c>
      <c r="D225" s="38">
        <f>[1]Resumen!$D$249</f>
        <v>0</v>
      </c>
    </row>
    <row r="226" spans="2:4" ht="15.75" hidden="1" thickBot="1" x14ac:dyDescent="0.3">
      <c r="B226" s="35" t="s">
        <v>59</v>
      </c>
      <c r="C226" s="38">
        <f>[1]Resumen!$C$250</f>
        <v>0</v>
      </c>
      <c r="D226" s="38">
        <f>[1]Resumen!$D$2450</f>
        <v>0</v>
      </c>
    </row>
    <row r="227" spans="2:4" ht="15.75" hidden="1" thickBot="1" x14ac:dyDescent="0.3">
      <c r="B227" s="35" t="s">
        <v>60</v>
      </c>
      <c r="C227" s="38">
        <f>[1]Resumen!$C$251</f>
        <v>0</v>
      </c>
      <c r="D227" s="38">
        <f>[1]Resumen!$D$251</f>
        <v>0</v>
      </c>
    </row>
    <row r="228" spans="2:4" ht="15.75" hidden="1" thickBot="1" x14ac:dyDescent="0.3">
      <c r="B228" s="35" t="s">
        <v>61</v>
      </c>
      <c r="C228" s="38">
        <f>[1]Resumen!$C$252</f>
        <v>0</v>
      </c>
      <c r="D228" s="38">
        <f>[1]Resumen!$D$252</f>
        <v>0</v>
      </c>
    </row>
    <row r="229" spans="2:4" hidden="1" x14ac:dyDescent="0.25"/>
    <row r="230" spans="2:4" hidden="1" x14ac:dyDescent="0.25"/>
    <row r="231" spans="2:4" hidden="1" x14ac:dyDescent="0.25"/>
    <row r="232" spans="2:4" hidden="1" x14ac:dyDescent="0.25"/>
    <row r="233" spans="2:4" hidden="1" x14ac:dyDescent="0.25"/>
    <row r="234" spans="2:4" hidden="1" x14ac:dyDescent="0.25"/>
    <row r="235" spans="2:4" hidden="1" x14ac:dyDescent="0.25"/>
    <row r="236" spans="2:4" hidden="1" x14ac:dyDescent="0.25"/>
    <row r="237" spans="2:4" hidden="1" x14ac:dyDescent="0.25"/>
    <row r="238" spans="2:4" hidden="1" x14ac:dyDescent="0.25"/>
    <row r="239" spans="2:4" hidden="1" x14ac:dyDescent="0.25"/>
    <row r="261" spans="3:3" x14ac:dyDescent="0.25">
      <c r="C261" s="39"/>
    </row>
    <row r="262" spans="3:3" x14ac:dyDescent="0.25">
      <c r="C262" s="39"/>
    </row>
    <row r="263" spans="3:3" x14ac:dyDescent="0.25">
      <c r="C263" s="39"/>
    </row>
    <row r="264" spans="3:3" x14ac:dyDescent="0.25">
      <c r="C264" s="39"/>
    </row>
    <row r="265" spans="3:3" x14ac:dyDescent="0.25">
      <c r="C265" s="39"/>
    </row>
    <row r="266" spans="3:3" x14ac:dyDescent="0.25">
      <c r="C266" s="39"/>
    </row>
    <row r="267" spans="3:3" x14ac:dyDescent="0.25">
      <c r="C267" s="39"/>
    </row>
    <row r="268" spans="3:3" x14ac:dyDescent="0.25">
      <c r="C268" s="39"/>
    </row>
    <row r="269" spans="3:3" x14ac:dyDescent="0.25">
      <c r="C269" s="39"/>
    </row>
    <row r="270" spans="3:3" x14ac:dyDescent="0.25">
      <c r="C270" s="39"/>
    </row>
  </sheetData>
  <mergeCells count="2">
    <mergeCell ref="B214:D214"/>
    <mergeCell ref="D215:D216"/>
  </mergeCells>
  <conditionalFormatting sqref="O8:O175">
    <cfRule type="cellIs" dxfId="17" priority="3" stopIfTrue="1" operator="lessThan">
      <formula>-0.999999</formula>
    </cfRule>
    <cfRule type="cellIs" dxfId="16" priority="4" stopIfTrue="1" operator="greaterThan">
      <formula>0.9999999</formula>
    </cfRule>
  </conditionalFormatting>
  <conditionalFormatting sqref="O176:O211">
    <cfRule type="cellIs" dxfId="15" priority="1" stopIfTrue="1" operator="lessThan">
      <formula>-0.999999</formula>
    </cfRule>
    <cfRule type="cellIs" dxfId="14" priority="2" stopIfTrue="1" operator="greaterThan">
      <formula>0.9999999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230"/>
  <sheetViews>
    <sheetView workbookViewId="0">
      <selection activeCell="C204" sqref="C204"/>
    </sheetView>
  </sheetViews>
  <sheetFormatPr baseColWidth="10" defaultRowHeight="15" x14ac:dyDescent="0.25"/>
  <cols>
    <col min="4" max="4" width="13.140625" customWidth="1"/>
    <col min="6" max="6" width="14.140625" customWidth="1"/>
    <col min="7" max="7" width="12.7109375" customWidth="1"/>
    <col min="11" max="11" width="13.5703125" customWidth="1"/>
    <col min="13" max="15" width="14.140625" customWidth="1"/>
  </cols>
  <sheetData>
    <row r="1" spans="1:17" x14ac:dyDescent="0.25">
      <c r="D1" s="1"/>
      <c r="E1" s="1"/>
      <c r="F1" s="1"/>
      <c r="G1" s="2"/>
      <c r="H1" s="3"/>
      <c r="I1" s="3"/>
      <c r="J1" s="3"/>
      <c r="K1" s="3"/>
      <c r="L1" s="2"/>
      <c r="M1" s="2"/>
      <c r="N1" s="2"/>
      <c r="O1" s="2"/>
      <c r="P1" s="2"/>
      <c r="Q1" s="2"/>
    </row>
    <row r="2" spans="1:17" ht="18.75" x14ac:dyDescent="0.3">
      <c r="B2" s="4" t="s">
        <v>0</v>
      </c>
      <c r="C2" s="4"/>
      <c r="G2" s="2"/>
      <c r="H2" s="3"/>
      <c r="I2" s="3"/>
      <c r="J2" s="3"/>
      <c r="L2" s="2"/>
      <c r="M2" s="2"/>
      <c r="N2" s="2"/>
      <c r="O2" s="2"/>
      <c r="P2" s="2"/>
      <c r="Q2" s="2"/>
    </row>
    <row r="3" spans="1:17" ht="18.75" x14ac:dyDescent="0.3">
      <c r="B3" s="81" t="s">
        <v>41</v>
      </c>
      <c r="C3" s="81"/>
      <c r="D3" s="4" t="s">
        <v>42</v>
      </c>
      <c r="G3" s="2"/>
      <c r="H3" s="3"/>
      <c r="I3" s="3"/>
      <c r="J3" s="3"/>
      <c r="K3" s="3"/>
      <c r="L3" s="2"/>
      <c r="M3" s="2"/>
      <c r="N3" s="2"/>
      <c r="O3" s="2"/>
      <c r="P3" s="2"/>
      <c r="Q3" s="2"/>
    </row>
    <row r="4" spans="1:17" ht="19.5" thickBot="1" x14ac:dyDescent="0.35">
      <c r="B4" s="4"/>
      <c r="C4" s="4"/>
      <c r="D4" s="5"/>
      <c r="E4" s="5"/>
      <c r="F4" s="5"/>
      <c r="G4" s="2"/>
      <c r="H4" s="3"/>
      <c r="I4" s="3"/>
      <c r="J4" s="3"/>
      <c r="K4" s="3"/>
      <c r="L4" s="2"/>
      <c r="M4" s="2"/>
      <c r="N4" s="2"/>
      <c r="O4" s="2"/>
      <c r="P4" s="2"/>
      <c r="Q4" s="2"/>
    </row>
    <row r="5" spans="1:17" ht="15.75" thickBot="1" x14ac:dyDescent="0.3">
      <c r="B5" s="6"/>
      <c r="C5" s="71" t="s">
        <v>3</v>
      </c>
      <c r="D5" s="82"/>
      <c r="E5" s="7" t="s">
        <v>4</v>
      </c>
      <c r="F5" s="8"/>
      <c r="G5" s="83" t="s">
        <v>5</v>
      </c>
      <c r="H5" s="69"/>
      <c r="I5" s="69"/>
      <c r="J5" s="69"/>
      <c r="K5" s="70"/>
      <c r="L5" s="68" t="s">
        <v>6</v>
      </c>
      <c r="M5" s="69"/>
      <c r="N5" s="69"/>
      <c r="O5" s="70"/>
      <c r="P5" s="33"/>
      <c r="Q5" s="33"/>
    </row>
    <row r="6" spans="1:17" x14ac:dyDescent="0.25">
      <c r="B6" s="9" t="s">
        <v>7</v>
      </c>
      <c r="C6" s="9" t="s">
        <v>8</v>
      </c>
      <c r="D6" s="9" t="s">
        <v>9</v>
      </c>
      <c r="E6" s="9" t="s">
        <v>8</v>
      </c>
      <c r="F6" s="9" t="s">
        <v>9</v>
      </c>
      <c r="G6" s="10" t="s">
        <v>10</v>
      </c>
      <c r="H6" s="9" t="s">
        <v>11</v>
      </c>
      <c r="I6" s="11" t="s">
        <v>12</v>
      </c>
      <c r="J6" s="12" t="s">
        <v>13</v>
      </c>
      <c r="K6" s="10" t="s">
        <v>14</v>
      </c>
      <c r="L6" s="13" t="s">
        <v>15</v>
      </c>
      <c r="M6" s="10" t="s">
        <v>9</v>
      </c>
      <c r="N6" s="10"/>
      <c r="O6" s="14" t="s">
        <v>16</v>
      </c>
    </row>
    <row r="7" spans="1:17" ht="15.75" thickBot="1" x14ac:dyDescent="0.3">
      <c r="B7" s="15" t="s">
        <v>17</v>
      </c>
      <c r="C7" s="15" t="s">
        <v>18</v>
      </c>
      <c r="D7" s="15" t="s">
        <v>19</v>
      </c>
      <c r="E7" s="15" t="s">
        <v>20</v>
      </c>
      <c r="F7" s="15" t="s">
        <v>21</v>
      </c>
      <c r="G7" s="16" t="s">
        <v>22</v>
      </c>
      <c r="H7" s="15" t="s">
        <v>23</v>
      </c>
      <c r="I7" s="17"/>
      <c r="J7" s="17"/>
      <c r="K7" s="18" t="s">
        <v>24</v>
      </c>
      <c r="L7" s="19"/>
      <c r="M7" s="16" t="s">
        <v>25</v>
      </c>
      <c r="N7" s="18" t="s">
        <v>26</v>
      </c>
      <c r="O7" s="20" t="s">
        <v>25</v>
      </c>
    </row>
    <row r="8" spans="1:17" ht="15.75" hidden="1" thickBot="1" x14ac:dyDescent="0.3">
      <c r="A8" s="21">
        <v>2003</v>
      </c>
      <c r="B8" s="22"/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5">
        <v>394141.60000000003</v>
      </c>
    </row>
    <row r="9" spans="1:17" ht="15.75" hidden="1" thickBot="1" x14ac:dyDescent="0.3">
      <c r="A9" s="21"/>
      <c r="B9" s="22" t="s">
        <v>27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6">
        <v>472969.92000000004</v>
      </c>
    </row>
    <row r="10" spans="1:17" ht="15.75" hidden="1" thickBot="1" x14ac:dyDescent="0.3">
      <c r="A10" s="21"/>
      <c r="B10" s="22" t="s">
        <v>28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6">
        <v>551798.24</v>
      </c>
    </row>
    <row r="11" spans="1:17" ht="15.75" hidden="1" thickBot="1" x14ac:dyDescent="0.3">
      <c r="A11" s="21"/>
      <c r="B11" s="22" t="s">
        <v>29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6">
        <v>630626.55999999994</v>
      </c>
    </row>
    <row r="12" spans="1:17" ht="15.75" hidden="1" thickBot="1" x14ac:dyDescent="0.3">
      <c r="A12" s="21"/>
      <c r="B12" s="22" t="s">
        <v>30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78000</v>
      </c>
      <c r="L12" s="23">
        <v>0</v>
      </c>
      <c r="M12" s="23">
        <v>78000</v>
      </c>
      <c r="N12" s="23">
        <v>0</v>
      </c>
      <c r="O12" s="26">
        <v>709454.87999999989</v>
      </c>
    </row>
    <row r="13" spans="1:17" ht="15.75" hidden="1" thickBot="1" x14ac:dyDescent="0.3">
      <c r="A13" s="21"/>
      <c r="B13" s="22" t="s">
        <v>31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78000</v>
      </c>
      <c r="L13" s="23">
        <v>0</v>
      </c>
      <c r="M13" s="23">
        <v>1131000</v>
      </c>
      <c r="N13" s="23">
        <v>79518</v>
      </c>
      <c r="O13" s="26">
        <v>788283.19999999984</v>
      </c>
    </row>
    <row r="14" spans="1:17" ht="15.75" hidden="1" thickBot="1" x14ac:dyDescent="0.3">
      <c r="A14" s="21"/>
      <c r="B14" s="22" t="s">
        <v>32</v>
      </c>
      <c r="C14" s="23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1326000</v>
      </c>
      <c r="L14" s="23">
        <v>0</v>
      </c>
      <c r="M14" s="23">
        <v>2067000</v>
      </c>
      <c r="N14" s="23">
        <v>0</v>
      </c>
      <c r="O14" s="26">
        <v>906111.51999999979</v>
      </c>
    </row>
    <row r="15" spans="1:17" ht="15.75" hidden="1" thickBot="1" x14ac:dyDescent="0.3">
      <c r="A15" s="21"/>
      <c r="B15" s="22" t="s">
        <v>33</v>
      </c>
      <c r="C15" s="23">
        <v>6120.2000000000007</v>
      </c>
      <c r="D15" s="23">
        <v>385572.60000000003</v>
      </c>
      <c r="E15" s="23">
        <v>3750.9459999999999</v>
      </c>
      <c r="F15" s="23">
        <v>1125283.8</v>
      </c>
      <c r="G15" s="23">
        <v>0</v>
      </c>
      <c r="H15" s="23">
        <v>0</v>
      </c>
      <c r="I15" s="23">
        <v>0</v>
      </c>
      <c r="J15" s="23">
        <v>0</v>
      </c>
      <c r="K15" s="23">
        <v>1326000</v>
      </c>
      <c r="L15" s="23">
        <v>0</v>
      </c>
      <c r="M15" s="23">
        <v>3577856.4000000004</v>
      </c>
      <c r="N15" s="23">
        <v>0</v>
      </c>
      <c r="O15" s="26">
        <v>1023939.8399999997</v>
      </c>
    </row>
    <row r="16" spans="1:17" ht="15.75" hidden="1" thickBot="1" x14ac:dyDescent="0.3">
      <c r="A16" s="21"/>
      <c r="B16" s="22" t="s">
        <v>34</v>
      </c>
      <c r="C16" s="23">
        <v>0</v>
      </c>
      <c r="D16" s="23">
        <v>0</v>
      </c>
      <c r="E16" s="23">
        <v>1.3590000000000018</v>
      </c>
      <c r="F16" s="23">
        <v>407.7000000000005</v>
      </c>
      <c r="G16" s="23">
        <v>0</v>
      </c>
      <c r="H16" s="23">
        <v>0</v>
      </c>
      <c r="I16" s="23">
        <v>0</v>
      </c>
      <c r="J16" s="23">
        <v>0</v>
      </c>
      <c r="K16" s="23">
        <v>1326000</v>
      </c>
      <c r="L16" s="23">
        <v>0</v>
      </c>
      <c r="M16" s="23">
        <v>2067407.7</v>
      </c>
      <c r="N16" s="23">
        <v>0</v>
      </c>
      <c r="O16" s="26">
        <v>1141768.1599999997</v>
      </c>
    </row>
    <row r="17" spans="1:15" ht="15.75" hidden="1" thickBot="1" x14ac:dyDescent="0.3">
      <c r="A17" s="21"/>
      <c r="B17" s="22" t="s">
        <v>35</v>
      </c>
      <c r="C17" s="23">
        <v>27453.600000000002</v>
      </c>
      <c r="D17" s="23">
        <v>1729576.8</v>
      </c>
      <c r="E17" s="23">
        <v>13882.565999999999</v>
      </c>
      <c r="F17" s="23">
        <v>4164769.8000000003</v>
      </c>
      <c r="G17" s="23">
        <v>0</v>
      </c>
      <c r="H17" s="23">
        <v>0</v>
      </c>
      <c r="I17" s="23">
        <v>0</v>
      </c>
      <c r="J17" s="23">
        <v>0</v>
      </c>
      <c r="K17" s="23">
        <v>1326000</v>
      </c>
      <c r="L17" s="23">
        <v>0</v>
      </c>
      <c r="M17" s="23">
        <v>7961346.5999999987</v>
      </c>
      <c r="N17" s="23">
        <v>0</v>
      </c>
      <c r="O17" s="26">
        <v>1259596.4799999997</v>
      </c>
    </row>
    <row r="18" spans="1:15" ht="15.75" hidden="1" thickBot="1" x14ac:dyDescent="0.3">
      <c r="A18" s="21"/>
      <c r="B18" s="22" t="s">
        <v>36</v>
      </c>
      <c r="C18" s="23">
        <v>2340.9000000000005</v>
      </c>
      <c r="D18" s="23">
        <v>147476.70000000001</v>
      </c>
      <c r="E18" s="23">
        <v>1355.7759999999989</v>
      </c>
      <c r="F18" s="23">
        <v>406732.7999999997</v>
      </c>
      <c r="G18" s="23">
        <v>0</v>
      </c>
      <c r="H18" s="23">
        <v>0</v>
      </c>
      <c r="I18" s="23">
        <v>0</v>
      </c>
      <c r="J18" s="23">
        <v>0</v>
      </c>
      <c r="K18" s="23">
        <v>1326000</v>
      </c>
      <c r="L18" s="23">
        <v>0</v>
      </c>
      <c r="M18" s="23">
        <v>2621209.5</v>
      </c>
      <c r="N18" s="23">
        <v>0</v>
      </c>
      <c r="O18" s="26">
        <v>1377424.7999999998</v>
      </c>
    </row>
    <row r="19" spans="1:15" ht="15.75" hidden="1" thickBot="1" x14ac:dyDescent="0.3">
      <c r="A19" s="21"/>
      <c r="B19" s="22" t="s">
        <v>37</v>
      </c>
      <c r="C19" s="23">
        <v>5159.0999999999995</v>
      </c>
      <c r="D19" s="23">
        <v>325023.30000000005</v>
      </c>
      <c r="E19" s="23">
        <v>3170.933</v>
      </c>
      <c r="F19" s="23">
        <v>951279.90000000014</v>
      </c>
      <c r="G19" s="23">
        <v>0</v>
      </c>
      <c r="H19" s="23">
        <v>0</v>
      </c>
      <c r="I19" s="23">
        <v>0</v>
      </c>
      <c r="J19" s="23">
        <v>0</v>
      </c>
      <c r="K19" s="23">
        <v>1326000</v>
      </c>
      <c r="L19" s="23">
        <v>0</v>
      </c>
      <c r="M19" s="23">
        <v>3343303.1999999997</v>
      </c>
      <c r="N19" s="23">
        <v>0</v>
      </c>
      <c r="O19" s="26">
        <v>1573253.1199999999</v>
      </c>
    </row>
    <row r="20" spans="1:15" ht="15.75" hidden="1" thickBot="1" x14ac:dyDescent="0.3">
      <c r="A20" s="21">
        <v>2004</v>
      </c>
      <c r="B20" s="22" t="s">
        <v>38</v>
      </c>
      <c r="C20" s="23">
        <v>2563.2999999999997</v>
      </c>
      <c r="D20" s="23">
        <v>161487.89999999997</v>
      </c>
      <c r="E20" s="23">
        <v>1873.0900000000001</v>
      </c>
      <c r="F20" s="23">
        <v>561927</v>
      </c>
      <c r="G20" s="23">
        <v>0</v>
      </c>
      <c r="H20" s="23">
        <v>0</v>
      </c>
      <c r="I20" s="23">
        <v>0</v>
      </c>
      <c r="J20" s="23">
        <v>0</v>
      </c>
      <c r="K20" s="23">
        <v>1326000</v>
      </c>
      <c r="L20" s="23">
        <v>0</v>
      </c>
      <c r="M20" s="23">
        <v>3037614.8999999994</v>
      </c>
      <c r="N20" s="23">
        <v>0</v>
      </c>
      <c r="O20" s="26">
        <v>1769081.44</v>
      </c>
    </row>
    <row r="21" spans="1:15" ht="15.75" hidden="1" thickBot="1" x14ac:dyDescent="0.3">
      <c r="A21" s="21"/>
      <c r="B21" s="22" t="s">
        <v>27</v>
      </c>
      <c r="C21" s="23">
        <v>3820.5000000000018</v>
      </c>
      <c r="D21" s="23">
        <v>240691.50000000009</v>
      </c>
      <c r="E21" s="23">
        <v>3965.3100000000004</v>
      </c>
      <c r="F21" s="23">
        <v>1217067</v>
      </c>
      <c r="G21" s="23">
        <v>0</v>
      </c>
      <c r="H21" s="23">
        <v>0</v>
      </c>
      <c r="I21" s="23">
        <v>0</v>
      </c>
      <c r="J21" s="23">
        <v>0</v>
      </c>
      <c r="K21" s="23">
        <v>1326000</v>
      </c>
      <c r="L21" s="23">
        <v>0</v>
      </c>
      <c r="M21" s="23">
        <v>3530158.5</v>
      </c>
      <c r="N21" s="23">
        <v>39000</v>
      </c>
      <c r="O21" s="26">
        <v>1925909.76</v>
      </c>
    </row>
    <row r="22" spans="1:15" ht="15.75" hidden="1" thickBot="1" x14ac:dyDescent="0.3">
      <c r="A22" s="21"/>
      <c r="B22" s="22" t="s">
        <v>28</v>
      </c>
      <c r="C22" s="23">
        <v>4241.7999999999975</v>
      </c>
      <c r="D22" s="23">
        <v>267233.39999999979</v>
      </c>
      <c r="E22" s="23">
        <v>1839.0900000000001</v>
      </c>
      <c r="F22" s="23">
        <v>554895.00000000012</v>
      </c>
      <c r="G22" s="23">
        <v>0</v>
      </c>
      <c r="H22" s="23">
        <v>0</v>
      </c>
      <c r="I22" s="23">
        <v>0</v>
      </c>
      <c r="J22" s="23">
        <v>0</v>
      </c>
      <c r="K22" s="23">
        <v>1326000</v>
      </c>
      <c r="L22" s="23">
        <v>0</v>
      </c>
      <c r="M22" s="23">
        <v>2889128.4</v>
      </c>
      <c r="N22" s="23">
        <v>0</v>
      </c>
      <c r="O22" s="26">
        <v>2201205.98</v>
      </c>
    </row>
    <row r="23" spans="1:15" ht="15.75" hidden="1" thickBot="1" x14ac:dyDescent="0.3">
      <c r="A23" s="21"/>
      <c r="B23" s="22" t="s">
        <v>29</v>
      </c>
      <c r="C23" s="23">
        <v>2856.4000000000019</v>
      </c>
      <c r="D23" s="23">
        <v>179953.20000000013</v>
      </c>
      <c r="E23" s="23">
        <v>690.50999999999931</v>
      </c>
      <c r="F23" s="23">
        <v>248583.59999999974</v>
      </c>
      <c r="G23" s="23">
        <v>0</v>
      </c>
      <c r="H23" s="23">
        <v>0</v>
      </c>
      <c r="I23" s="23">
        <v>0</v>
      </c>
      <c r="J23" s="23">
        <v>0</v>
      </c>
      <c r="K23" s="23">
        <v>1326000</v>
      </c>
      <c r="L23" s="23">
        <v>0</v>
      </c>
      <c r="M23" s="23">
        <v>2495536.8000000003</v>
      </c>
      <c r="N23" s="23">
        <v>0</v>
      </c>
      <c r="O23" s="26">
        <v>2514884.8000000003</v>
      </c>
    </row>
    <row r="24" spans="1:15" ht="15.75" hidden="1" thickBot="1" x14ac:dyDescent="0.3">
      <c r="A24" s="21"/>
      <c r="B24" s="22" t="s">
        <v>30</v>
      </c>
      <c r="C24" s="23">
        <v>2942.5999999999981</v>
      </c>
      <c r="D24" s="23">
        <v>185383.79999999987</v>
      </c>
      <c r="E24" s="23">
        <v>618.50000000000011</v>
      </c>
      <c r="F24" s="23">
        <v>222660.00000000003</v>
      </c>
      <c r="G24" s="23">
        <v>0</v>
      </c>
      <c r="H24" s="23">
        <v>0</v>
      </c>
      <c r="I24" s="23">
        <v>0</v>
      </c>
      <c r="J24" s="23">
        <v>0</v>
      </c>
      <c r="K24" s="23">
        <v>2067000</v>
      </c>
      <c r="L24" s="23">
        <v>33872</v>
      </c>
      <c r="M24" s="23">
        <v>2475043.7999999998</v>
      </c>
      <c r="N24" s="23">
        <v>0</v>
      </c>
      <c r="O24" s="26">
        <v>3306864.3200000003</v>
      </c>
    </row>
    <row r="25" spans="1:15" ht="15.75" hidden="1" thickBot="1" x14ac:dyDescent="0.3">
      <c r="A25" s="21"/>
      <c r="B25" s="22" t="s">
        <v>31</v>
      </c>
      <c r="C25" s="23">
        <v>2709.5000000000009</v>
      </c>
      <c r="D25" s="23">
        <v>170698.50000000006</v>
      </c>
      <c r="E25" s="23">
        <v>401.70000000000056</v>
      </c>
      <c r="F25" s="23">
        <v>144612.0000000002</v>
      </c>
      <c r="G25" s="23">
        <v>0</v>
      </c>
      <c r="H25" s="23">
        <v>0</v>
      </c>
      <c r="I25" s="23">
        <v>0</v>
      </c>
      <c r="J25" s="23">
        <v>0</v>
      </c>
      <c r="K25" s="23">
        <v>2067000</v>
      </c>
      <c r="L25" s="23">
        <v>34030</v>
      </c>
      <c r="M25" s="23">
        <v>2382310.5000000009</v>
      </c>
      <c r="N25" s="23">
        <v>378000</v>
      </c>
      <c r="O25" s="26">
        <v>3878975.54</v>
      </c>
    </row>
    <row r="26" spans="1:15" ht="15.75" hidden="1" thickBot="1" x14ac:dyDescent="0.3">
      <c r="A26" s="21"/>
      <c r="B26" s="22" t="s">
        <v>32</v>
      </c>
      <c r="C26" s="23">
        <v>3505.2999999999984</v>
      </c>
      <c r="D26" s="23">
        <v>220833.89999999991</v>
      </c>
      <c r="E26" s="23">
        <v>338.50000000000011</v>
      </c>
      <c r="F26" s="23">
        <v>121860.00000000004</v>
      </c>
      <c r="G26" s="23">
        <v>0</v>
      </c>
      <c r="H26" s="23">
        <v>0</v>
      </c>
      <c r="I26" s="23">
        <v>0</v>
      </c>
      <c r="J26" s="23">
        <v>0</v>
      </c>
      <c r="K26" s="23">
        <v>2067000</v>
      </c>
      <c r="L26" s="23">
        <v>34178</v>
      </c>
      <c r="M26" s="23">
        <v>2409693.9</v>
      </c>
      <c r="N26" s="23">
        <v>585000</v>
      </c>
      <c r="O26" s="26">
        <v>4971361.8600000003</v>
      </c>
    </row>
    <row r="27" spans="1:15" ht="15.75" hidden="1" thickBot="1" x14ac:dyDescent="0.3">
      <c r="A27" s="21"/>
      <c r="B27" s="22" t="s">
        <v>33</v>
      </c>
      <c r="C27" s="23">
        <v>3102.1000000000022</v>
      </c>
      <c r="D27" s="23">
        <v>195432.30000000013</v>
      </c>
      <c r="E27" s="23">
        <v>412.49999999999955</v>
      </c>
      <c r="F27" s="23">
        <v>148499.99999999983</v>
      </c>
      <c r="G27" s="23">
        <v>0</v>
      </c>
      <c r="H27" s="23">
        <v>0</v>
      </c>
      <c r="I27" s="23">
        <v>0</v>
      </c>
      <c r="J27" s="23">
        <v>0</v>
      </c>
      <c r="K27" s="23">
        <v>2067000</v>
      </c>
      <c r="L27" s="23">
        <v>34266</v>
      </c>
      <c r="M27" s="23">
        <v>2410932.3000000003</v>
      </c>
      <c r="N27" s="23">
        <v>1440118</v>
      </c>
      <c r="O27" s="26">
        <v>5738906.9800000014</v>
      </c>
    </row>
    <row r="28" spans="1:15" ht="15.75" hidden="1" thickBot="1" x14ac:dyDescent="0.3">
      <c r="A28" s="21"/>
      <c r="B28" s="22" t="s">
        <v>34</v>
      </c>
      <c r="C28" s="23">
        <v>3402.9</v>
      </c>
      <c r="D28" s="23">
        <v>214382.7</v>
      </c>
      <c r="E28" s="23">
        <v>918.89999999999986</v>
      </c>
      <c r="F28" s="23">
        <v>330803.99999999994</v>
      </c>
      <c r="G28" s="23">
        <v>0</v>
      </c>
      <c r="H28" s="23">
        <v>0</v>
      </c>
      <c r="I28" s="23">
        <v>0</v>
      </c>
      <c r="J28" s="23">
        <v>0</v>
      </c>
      <c r="K28" s="23">
        <v>2067000</v>
      </c>
      <c r="L28" s="23">
        <v>34382</v>
      </c>
      <c r="M28" s="23">
        <v>2612186.6999999997</v>
      </c>
      <c r="N28" s="23">
        <v>1967881</v>
      </c>
      <c r="O28" s="26">
        <v>6237258.4000000004</v>
      </c>
    </row>
    <row r="29" spans="1:15" ht="15.75" hidden="1" thickBot="1" x14ac:dyDescent="0.3">
      <c r="A29" s="21"/>
      <c r="B29" s="22" t="s">
        <v>35</v>
      </c>
      <c r="C29" s="23">
        <v>2757.8999999999996</v>
      </c>
      <c r="D29" s="23">
        <v>173747.69999999998</v>
      </c>
      <c r="E29" s="23">
        <v>1223</v>
      </c>
      <c r="F29" s="23">
        <v>440280</v>
      </c>
      <c r="G29" s="23">
        <v>0</v>
      </c>
      <c r="H29" s="23">
        <v>0</v>
      </c>
      <c r="I29" s="23">
        <v>0</v>
      </c>
      <c r="J29" s="23">
        <v>0</v>
      </c>
      <c r="K29" s="23">
        <v>2067000</v>
      </c>
      <c r="L29" s="23">
        <v>68894</v>
      </c>
      <c r="M29" s="23">
        <v>2681027.7000000007</v>
      </c>
      <c r="N29" s="23">
        <v>2877043</v>
      </c>
      <c r="O29" s="26">
        <v>6255044.4200000009</v>
      </c>
    </row>
    <row r="30" spans="1:15" ht="15.75" hidden="1" thickBot="1" x14ac:dyDescent="0.3">
      <c r="A30" s="21"/>
      <c r="B30" s="22" t="s">
        <v>36</v>
      </c>
      <c r="C30" s="23">
        <v>3506.8</v>
      </c>
      <c r="D30" s="23">
        <v>220928.39999999994</v>
      </c>
      <c r="E30" s="23">
        <v>1586.7000000000007</v>
      </c>
      <c r="F30" s="23">
        <v>571212.00000000023</v>
      </c>
      <c r="G30" s="23">
        <v>0</v>
      </c>
      <c r="H30" s="23">
        <v>0</v>
      </c>
      <c r="I30" s="23">
        <v>0</v>
      </c>
      <c r="J30" s="23">
        <v>0</v>
      </c>
      <c r="K30" s="23">
        <v>2106000</v>
      </c>
      <c r="L30" s="23">
        <v>69060</v>
      </c>
      <c r="M30" s="23">
        <v>2898140.4</v>
      </c>
      <c r="N30" s="23">
        <v>2237157</v>
      </c>
      <c r="O30" s="26">
        <v>7031129.1400000006</v>
      </c>
    </row>
    <row r="31" spans="1:15" ht="15.75" hidden="1" thickBot="1" x14ac:dyDescent="0.3">
      <c r="A31" s="21"/>
      <c r="B31" s="22" t="s">
        <v>37</v>
      </c>
      <c r="C31" s="23">
        <v>2803.6000000000004</v>
      </c>
      <c r="D31" s="23">
        <v>176626.80000000002</v>
      </c>
      <c r="E31" s="23">
        <v>1606.3999999999996</v>
      </c>
      <c r="F31" s="23">
        <v>578304</v>
      </c>
      <c r="G31" s="23">
        <v>0</v>
      </c>
      <c r="H31" s="23">
        <v>0</v>
      </c>
      <c r="I31" s="23">
        <v>0</v>
      </c>
      <c r="J31" s="23">
        <v>0</v>
      </c>
      <c r="K31" s="23">
        <v>2106000</v>
      </c>
      <c r="L31" s="23">
        <v>69268</v>
      </c>
      <c r="M31" s="23">
        <v>2860930.8</v>
      </c>
      <c r="N31" s="23">
        <v>2512020</v>
      </c>
      <c r="O31" s="26">
        <v>7254047.2599999998</v>
      </c>
    </row>
    <row r="32" spans="1:15" ht="15.75" hidden="1" thickBot="1" x14ac:dyDescent="0.3">
      <c r="A32" s="21">
        <v>2005</v>
      </c>
      <c r="B32" s="22" t="s">
        <v>38</v>
      </c>
      <c r="C32" s="23">
        <v>7712.2999999999993</v>
      </c>
      <c r="D32" s="23">
        <v>485874.9</v>
      </c>
      <c r="E32" s="23">
        <v>2949.1000000000004</v>
      </c>
      <c r="F32" s="23">
        <v>1061676</v>
      </c>
      <c r="G32" s="23">
        <v>0</v>
      </c>
      <c r="H32" s="23">
        <v>0</v>
      </c>
      <c r="I32" s="23">
        <v>0</v>
      </c>
      <c r="J32" s="23">
        <v>0</v>
      </c>
      <c r="K32" s="23">
        <v>2106000</v>
      </c>
      <c r="L32" s="23">
        <v>69132</v>
      </c>
      <c r="M32" s="23">
        <v>4667550.8999999994</v>
      </c>
      <c r="N32" s="23">
        <v>1645290</v>
      </c>
      <c r="O32" s="26">
        <v>10070181.48</v>
      </c>
    </row>
    <row r="33" spans="1:15" ht="15.75" hidden="1" thickBot="1" x14ac:dyDescent="0.3">
      <c r="A33" s="21"/>
      <c r="B33" s="22" t="s">
        <v>27</v>
      </c>
      <c r="C33" s="23">
        <v>5422</v>
      </c>
      <c r="D33" s="23">
        <v>341586</v>
      </c>
      <c r="E33" s="23">
        <v>2664.1000000000004</v>
      </c>
      <c r="F33" s="23">
        <v>959076</v>
      </c>
      <c r="G33" s="23">
        <v>4000</v>
      </c>
      <c r="H33" s="23">
        <v>0</v>
      </c>
      <c r="I33" s="23">
        <v>234000</v>
      </c>
      <c r="J33" s="23">
        <v>52000</v>
      </c>
      <c r="K33" s="23">
        <v>2067000</v>
      </c>
      <c r="L33" s="23">
        <v>68910</v>
      </c>
      <c r="M33" s="23">
        <v>3423662</v>
      </c>
      <c r="N33" s="23">
        <v>2651289</v>
      </c>
      <c r="O33" s="26">
        <v>11108403.800000001</v>
      </c>
    </row>
    <row r="34" spans="1:15" ht="15.75" hidden="1" thickBot="1" x14ac:dyDescent="0.3">
      <c r="A34" s="21"/>
      <c r="B34" s="22" t="s">
        <v>28</v>
      </c>
      <c r="C34" s="23">
        <v>4325</v>
      </c>
      <c r="D34" s="23">
        <v>272475</v>
      </c>
      <c r="E34" s="23">
        <v>2112.2999999999997</v>
      </c>
      <c r="F34" s="23">
        <v>760427.99999999988</v>
      </c>
      <c r="G34" s="23">
        <v>4000</v>
      </c>
      <c r="H34" s="23">
        <v>0</v>
      </c>
      <c r="I34" s="23">
        <v>0</v>
      </c>
      <c r="J34" s="23">
        <v>52000</v>
      </c>
      <c r="K34" s="23">
        <v>2106000</v>
      </c>
      <c r="L34" s="23">
        <v>68796</v>
      </c>
      <c r="M34" s="23">
        <v>3194903</v>
      </c>
      <c r="N34" s="23">
        <v>3965741</v>
      </c>
      <c r="O34" s="26">
        <v>10390568.120000001</v>
      </c>
    </row>
    <row r="35" spans="1:15" ht="15.75" hidden="1" thickBot="1" x14ac:dyDescent="0.3">
      <c r="A35" s="21"/>
      <c r="B35" s="22" t="s">
        <v>29</v>
      </c>
      <c r="C35" s="23">
        <v>4912.8999999999996</v>
      </c>
      <c r="D35" s="23">
        <v>309512.7</v>
      </c>
      <c r="E35" s="23">
        <v>1621.9</v>
      </c>
      <c r="F35" s="23">
        <v>583884</v>
      </c>
      <c r="G35" s="23">
        <v>4000</v>
      </c>
      <c r="H35" s="23">
        <v>0</v>
      </c>
      <c r="I35" s="23">
        <v>0</v>
      </c>
      <c r="J35" s="23">
        <v>52000</v>
      </c>
      <c r="K35" s="23">
        <v>2106000</v>
      </c>
      <c r="L35" s="23">
        <v>69064</v>
      </c>
      <c r="M35" s="23">
        <v>3075396.7</v>
      </c>
      <c r="N35" s="23">
        <v>2657531</v>
      </c>
      <c r="O35" s="26">
        <v>10670317.140000001</v>
      </c>
    </row>
    <row r="36" spans="1:15" ht="15.75" hidden="1" thickBot="1" x14ac:dyDescent="0.3">
      <c r="A36" s="21"/>
      <c r="B36" s="22" t="s">
        <v>30</v>
      </c>
      <c r="C36" s="23">
        <v>4707.2</v>
      </c>
      <c r="D36" s="23">
        <v>296553.59999999998</v>
      </c>
      <c r="E36" s="23">
        <v>729.05</v>
      </c>
      <c r="F36" s="23">
        <v>262458</v>
      </c>
      <c r="G36" s="23">
        <v>4000</v>
      </c>
      <c r="H36" s="23">
        <v>0</v>
      </c>
      <c r="I36" s="23">
        <v>0</v>
      </c>
      <c r="J36" s="23">
        <v>152000</v>
      </c>
      <c r="K36" s="23">
        <v>2106000</v>
      </c>
      <c r="L36" s="23">
        <v>69630</v>
      </c>
      <c r="M36" s="23">
        <v>2741011.6</v>
      </c>
      <c r="N36" s="23">
        <v>2780228</v>
      </c>
      <c r="O36" s="26">
        <v>10672227.060000001</v>
      </c>
    </row>
    <row r="37" spans="1:15" ht="15.75" hidden="1" thickBot="1" x14ac:dyDescent="0.3">
      <c r="A37" s="21"/>
      <c r="B37" s="22" t="s">
        <v>31</v>
      </c>
      <c r="C37" s="23">
        <v>4815.6000000000004</v>
      </c>
      <c r="D37" s="23">
        <v>303382.80000000005</v>
      </c>
      <c r="E37" s="23">
        <v>424.21</v>
      </c>
      <c r="F37" s="23">
        <v>152715.59999999998</v>
      </c>
      <c r="G37" s="23">
        <v>4000</v>
      </c>
      <c r="H37" s="23">
        <v>0</v>
      </c>
      <c r="I37" s="23">
        <v>0</v>
      </c>
      <c r="J37" s="23">
        <v>148000</v>
      </c>
      <c r="K37" s="23">
        <v>2106000</v>
      </c>
      <c r="L37" s="23">
        <v>69958</v>
      </c>
      <c r="M37" s="23">
        <v>2634098.3999999994</v>
      </c>
      <c r="N37" s="23">
        <v>1927223</v>
      </c>
      <c r="O37" s="26">
        <v>11438513.979999999</v>
      </c>
    </row>
    <row r="38" spans="1:15" ht="15.75" hidden="1" thickBot="1" x14ac:dyDescent="0.3">
      <c r="A38" s="21"/>
      <c r="B38" s="22" t="s">
        <v>32</v>
      </c>
      <c r="C38" s="23">
        <v>4351</v>
      </c>
      <c r="D38" s="23">
        <v>274113</v>
      </c>
      <c r="E38" s="23">
        <v>457.24000000000132</v>
      </c>
      <c r="F38" s="23">
        <v>164606.40000000049</v>
      </c>
      <c r="G38" s="23">
        <v>4000</v>
      </c>
      <c r="H38" s="23">
        <v>0</v>
      </c>
      <c r="I38" s="23">
        <v>0</v>
      </c>
      <c r="J38" s="23">
        <v>148000</v>
      </c>
      <c r="K38" s="23">
        <v>2106000</v>
      </c>
      <c r="L38" s="23">
        <v>70218</v>
      </c>
      <c r="M38" s="23">
        <v>2616719.4000000004</v>
      </c>
      <c r="N38" s="23">
        <v>1738428</v>
      </c>
      <c r="O38" s="26">
        <v>12228039.300000001</v>
      </c>
    </row>
    <row r="39" spans="1:15" ht="15.75" hidden="1" thickBot="1" x14ac:dyDescent="0.3">
      <c r="A39" s="21"/>
      <c r="B39" s="22" t="s">
        <v>33</v>
      </c>
      <c r="C39" s="23">
        <v>4403.7000000000007</v>
      </c>
      <c r="D39" s="23">
        <v>277433.10000000009</v>
      </c>
      <c r="E39" s="23">
        <v>490.59999999999906</v>
      </c>
      <c r="F39" s="23">
        <v>176615.99999999965</v>
      </c>
      <c r="G39" s="23">
        <v>4000</v>
      </c>
      <c r="H39" s="23">
        <v>0</v>
      </c>
      <c r="I39" s="23">
        <v>0</v>
      </c>
      <c r="J39" s="23">
        <v>148000</v>
      </c>
      <c r="K39" s="23">
        <v>2106000</v>
      </c>
      <c r="L39" s="23">
        <v>70600</v>
      </c>
      <c r="M39" s="23">
        <v>2632049.0999999996</v>
      </c>
      <c r="N39" s="23">
        <v>4177637</v>
      </c>
      <c r="O39" s="26">
        <v>10599814.92</v>
      </c>
    </row>
    <row r="40" spans="1:15" ht="15.75" hidden="1" thickBot="1" x14ac:dyDescent="0.3">
      <c r="A40" s="21"/>
      <c r="B40" s="22" t="s">
        <v>34</v>
      </c>
      <c r="C40" s="23">
        <v>4124.7999999999984</v>
      </c>
      <c r="D40" s="23">
        <v>259862.39999999991</v>
      </c>
      <c r="E40" s="23">
        <v>593.89999999999964</v>
      </c>
      <c r="F40" s="23">
        <v>213803.99999999988</v>
      </c>
      <c r="G40" s="23">
        <v>4000</v>
      </c>
      <c r="H40" s="23">
        <v>0</v>
      </c>
      <c r="I40" s="23">
        <v>0</v>
      </c>
      <c r="J40" s="23">
        <v>148000</v>
      </c>
      <c r="K40" s="23">
        <v>2093000</v>
      </c>
      <c r="L40" s="23">
        <v>70870</v>
      </c>
      <c r="M40" s="23">
        <v>2638666.4</v>
      </c>
      <c r="N40" s="23">
        <v>1481816</v>
      </c>
      <c r="O40" s="26">
        <v>11195800.639999999</v>
      </c>
    </row>
    <row r="41" spans="1:15" ht="15.75" hidden="1" thickBot="1" x14ac:dyDescent="0.3">
      <c r="A41" s="21"/>
      <c r="B41" s="22" t="s">
        <v>35</v>
      </c>
      <c r="C41" s="23">
        <v>5611</v>
      </c>
      <c r="D41" s="23">
        <v>353493</v>
      </c>
      <c r="E41" s="23">
        <v>965</v>
      </c>
      <c r="F41" s="23">
        <v>347400</v>
      </c>
      <c r="G41" s="23">
        <v>4000</v>
      </c>
      <c r="H41" s="23">
        <v>0</v>
      </c>
      <c r="I41" s="23">
        <v>0</v>
      </c>
      <c r="J41" s="23">
        <v>144000</v>
      </c>
      <c r="K41" s="23">
        <v>2145000</v>
      </c>
      <c r="L41" s="23">
        <v>71436</v>
      </c>
      <c r="M41" s="23">
        <v>2952893</v>
      </c>
      <c r="N41" s="23">
        <v>2030873</v>
      </c>
      <c r="O41" s="26">
        <v>12325406.959999999</v>
      </c>
    </row>
    <row r="42" spans="1:15" ht="15.75" hidden="1" thickBot="1" x14ac:dyDescent="0.3">
      <c r="A42" s="21"/>
      <c r="B42" s="22" t="s">
        <v>36</v>
      </c>
      <c r="C42" s="23">
        <v>3674</v>
      </c>
      <c r="D42" s="23">
        <v>231462</v>
      </c>
      <c r="E42" s="23">
        <v>1833</v>
      </c>
      <c r="F42" s="23">
        <v>659880</v>
      </c>
      <c r="G42" s="23">
        <v>4000</v>
      </c>
      <c r="H42" s="23">
        <v>0</v>
      </c>
      <c r="I42" s="23">
        <v>0</v>
      </c>
      <c r="J42" s="23">
        <v>144000</v>
      </c>
      <c r="K42" s="23">
        <v>2184000</v>
      </c>
      <c r="L42" s="23">
        <v>71894</v>
      </c>
      <c r="M42" s="23">
        <v>3143342</v>
      </c>
      <c r="N42" s="23">
        <v>1750681</v>
      </c>
      <c r="O42" s="26">
        <v>13712498.979999997</v>
      </c>
    </row>
    <row r="43" spans="1:15" ht="15.75" hidden="1" thickBot="1" x14ac:dyDescent="0.3">
      <c r="A43" s="21"/>
      <c r="B43" s="22" t="s">
        <v>37</v>
      </c>
      <c r="C43" s="23">
        <v>30751</v>
      </c>
      <c r="D43" s="23">
        <v>1937313</v>
      </c>
      <c r="E43" s="23">
        <v>2005</v>
      </c>
      <c r="F43" s="23">
        <v>721800</v>
      </c>
      <c r="G43" s="23">
        <v>4000</v>
      </c>
      <c r="H43" s="23">
        <v>0</v>
      </c>
      <c r="I43" s="23">
        <v>0</v>
      </c>
      <c r="J43" s="23">
        <v>144000</v>
      </c>
      <c r="K43" s="23">
        <v>2184000</v>
      </c>
      <c r="L43" s="23">
        <v>71900</v>
      </c>
      <c r="M43" s="23">
        <v>4911113</v>
      </c>
      <c r="N43" s="23">
        <v>3136538</v>
      </c>
      <c r="O43" s="26">
        <v>13451382.299999997</v>
      </c>
    </row>
    <row r="44" spans="1:15" ht="15.75" hidden="1" thickBot="1" x14ac:dyDescent="0.3">
      <c r="A44" s="21">
        <v>2006</v>
      </c>
      <c r="B44" s="22" t="s">
        <v>38</v>
      </c>
      <c r="C44" s="23">
        <v>9378</v>
      </c>
      <c r="D44" s="23">
        <v>590814</v>
      </c>
      <c r="E44" s="23">
        <v>3796</v>
      </c>
      <c r="F44" s="23">
        <v>1366560</v>
      </c>
      <c r="G44" s="23">
        <v>4000</v>
      </c>
      <c r="H44" s="23">
        <v>0</v>
      </c>
      <c r="I44" s="23">
        <v>0</v>
      </c>
      <c r="J44" s="23">
        <v>144000</v>
      </c>
      <c r="K44" s="23">
        <v>2145000</v>
      </c>
      <c r="L44" s="23">
        <v>71704</v>
      </c>
      <c r="M44" s="23">
        <v>4170374</v>
      </c>
      <c r="N44" s="23">
        <v>2766617</v>
      </c>
      <c r="O44" s="26">
        <v>15069148.619999997</v>
      </c>
    </row>
    <row r="45" spans="1:15" ht="15.75" hidden="1" thickBot="1" x14ac:dyDescent="0.3">
      <c r="A45" s="21"/>
      <c r="B45" s="22" t="s">
        <v>27</v>
      </c>
      <c r="C45" s="23">
        <v>6987</v>
      </c>
      <c r="D45" s="23">
        <v>440181</v>
      </c>
      <c r="E45" s="23">
        <v>3022</v>
      </c>
      <c r="F45" s="23">
        <v>1087920</v>
      </c>
      <c r="G45" s="23">
        <v>4000</v>
      </c>
      <c r="H45" s="23">
        <v>0</v>
      </c>
      <c r="I45" s="23">
        <v>0</v>
      </c>
      <c r="J45" s="23">
        <v>144000</v>
      </c>
      <c r="K45" s="23">
        <v>2145000</v>
      </c>
      <c r="L45" s="23">
        <v>71690</v>
      </c>
      <c r="M45" s="23">
        <v>3741101</v>
      </c>
      <c r="N45" s="23">
        <v>2313262</v>
      </c>
      <c r="O45" s="26">
        <v>17038381.939999998</v>
      </c>
    </row>
    <row r="46" spans="1:15" ht="15.75" hidden="1" thickBot="1" x14ac:dyDescent="0.3">
      <c r="A46" s="21"/>
      <c r="B46" s="22" t="s">
        <v>28</v>
      </c>
      <c r="C46" s="23">
        <v>4059</v>
      </c>
      <c r="D46" s="23">
        <v>255717</v>
      </c>
      <c r="E46" s="23">
        <v>2413</v>
      </c>
      <c r="F46" s="23">
        <v>868680</v>
      </c>
      <c r="G46" s="23">
        <v>4000</v>
      </c>
      <c r="H46" s="23">
        <v>0</v>
      </c>
      <c r="I46" s="23">
        <v>0</v>
      </c>
      <c r="J46" s="23">
        <v>144000</v>
      </c>
      <c r="K46" s="23">
        <v>2184000</v>
      </c>
      <c r="L46" s="23">
        <v>71662</v>
      </c>
      <c r="M46" s="23">
        <v>3376397</v>
      </c>
      <c r="N46" s="23">
        <v>4257898</v>
      </c>
      <c r="O46" s="26">
        <v>16042480.259999998</v>
      </c>
    </row>
    <row r="47" spans="1:15" ht="15.75" hidden="1" thickBot="1" x14ac:dyDescent="0.3">
      <c r="A47" s="21"/>
      <c r="B47" s="22" t="s">
        <v>29</v>
      </c>
      <c r="C47" s="23">
        <v>4574</v>
      </c>
      <c r="D47" s="23">
        <v>288162</v>
      </c>
      <c r="E47" s="23">
        <v>2520</v>
      </c>
      <c r="F47" s="23">
        <v>907200</v>
      </c>
      <c r="G47" s="23">
        <v>4000</v>
      </c>
      <c r="H47" s="23">
        <v>0</v>
      </c>
      <c r="I47" s="23">
        <v>0</v>
      </c>
      <c r="J47" s="23">
        <v>144000</v>
      </c>
      <c r="K47" s="23">
        <v>2184000</v>
      </c>
      <c r="L47" s="23">
        <v>71942</v>
      </c>
      <c r="M47" s="23">
        <v>3447362</v>
      </c>
      <c r="N47" s="23">
        <v>2712800</v>
      </c>
      <c r="O47" s="26">
        <v>16715466.579999996</v>
      </c>
    </row>
    <row r="48" spans="1:15" ht="15.75" hidden="1" thickBot="1" x14ac:dyDescent="0.3">
      <c r="A48" s="21"/>
      <c r="B48" s="22" t="s">
        <v>30</v>
      </c>
      <c r="C48" s="23">
        <v>4903</v>
      </c>
      <c r="D48" s="23">
        <v>308889</v>
      </c>
      <c r="E48" s="23">
        <v>1666</v>
      </c>
      <c r="F48" s="23">
        <v>599760</v>
      </c>
      <c r="G48" s="23">
        <v>4000</v>
      </c>
      <c r="H48" s="23">
        <v>0</v>
      </c>
      <c r="I48" s="23">
        <v>0</v>
      </c>
      <c r="J48" s="23">
        <v>144000</v>
      </c>
      <c r="K48" s="23">
        <v>2184000</v>
      </c>
      <c r="L48" s="23">
        <v>72378</v>
      </c>
      <c r="M48" s="23">
        <v>3160649</v>
      </c>
      <c r="N48" s="23">
        <v>2404904</v>
      </c>
      <c r="O48" s="26">
        <v>17334743.899999999</v>
      </c>
    </row>
    <row r="49" spans="1:15" ht="15.75" hidden="1" thickBot="1" x14ac:dyDescent="0.3">
      <c r="A49" s="21"/>
      <c r="B49" s="22" t="s">
        <v>31</v>
      </c>
      <c r="C49" s="23">
        <v>4849</v>
      </c>
      <c r="D49" s="23">
        <v>305487</v>
      </c>
      <c r="E49" s="23">
        <v>509</v>
      </c>
      <c r="F49" s="23">
        <v>183240</v>
      </c>
      <c r="G49" s="23">
        <v>4000</v>
      </c>
      <c r="H49" s="23">
        <v>0</v>
      </c>
      <c r="I49" s="23">
        <v>0</v>
      </c>
      <c r="J49" s="23">
        <v>144000</v>
      </c>
      <c r="K49" s="23">
        <v>2184000</v>
      </c>
      <c r="L49" s="23">
        <v>72606</v>
      </c>
      <c r="M49" s="23">
        <v>2740727</v>
      </c>
      <c r="N49" s="23">
        <v>3621557</v>
      </c>
      <c r="O49" s="26">
        <v>16367874.219999997</v>
      </c>
    </row>
    <row r="50" spans="1:15" ht="15.75" hidden="1" thickBot="1" x14ac:dyDescent="0.3">
      <c r="A50" s="21"/>
      <c r="B50" s="22" t="s">
        <v>32</v>
      </c>
      <c r="C50" s="23">
        <v>3158</v>
      </c>
      <c r="D50" s="23">
        <v>198954</v>
      </c>
      <c r="E50" s="23">
        <v>275</v>
      </c>
      <c r="F50" s="23">
        <v>99000</v>
      </c>
      <c r="G50" s="23">
        <v>4000</v>
      </c>
      <c r="H50" s="23">
        <v>0</v>
      </c>
      <c r="I50" s="23">
        <v>0</v>
      </c>
      <c r="J50" s="23">
        <v>144000</v>
      </c>
      <c r="K50" s="23">
        <v>2184000</v>
      </c>
      <c r="L50" s="23">
        <v>72958</v>
      </c>
      <c r="M50" s="23">
        <v>2549954</v>
      </c>
      <c r="N50" s="23">
        <v>3043733</v>
      </c>
      <c r="O50" s="26">
        <v>15505901.539999995</v>
      </c>
    </row>
    <row r="51" spans="1:15" ht="15.75" hidden="1" thickBot="1" x14ac:dyDescent="0.3">
      <c r="A51" s="21"/>
      <c r="B51" s="22" t="s">
        <v>33</v>
      </c>
      <c r="C51" s="23">
        <v>4032</v>
      </c>
      <c r="D51" s="23">
        <v>254016</v>
      </c>
      <c r="E51" s="23">
        <v>386</v>
      </c>
      <c r="F51" s="23">
        <v>138960</v>
      </c>
      <c r="G51" s="23">
        <v>4000</v>
      </c>
      <c r="H51" s="23">
        <v>0</v>
      </c>
      <c r="I51" s="23">
        <v>0</v>
      </c>
      <c r="J51" s="23">
        <v>144000</v>
      </c>
      <c r="K51" s="23">
        <v>2184000</v>
      </c>
      <c r="L51" s="23">
        <v>73344</v>
      </c>
      <c r="M51" s="23">
        <v>2644976</v>
      </c>
      <c r="N51" s="23">
        <v>1747785</v>
      </c>
      <c r="O51" s="26">
        <v>16097134.539999995</v>
      </c>
    </row>
    <row r="52" spans="1:15" ht="15.75" hidden="1" thickBot="1" x14ac:dyDescent="0.3">
      <c r="A52" s="21"/>
      <c r="B52" s="22" t="s">
        <v>34</v>
      </c>
      <c r="C52" s="23">
        <v>5495</v>
      </c>
      <c r="D52" s="23">
        <v>346185</v>
      </c>
      <c r="E52" s="23">
        <v>930</v>
      </c>
      <c r="F52" s="23">
        <v>334800</v>
      </c>
      <c r="G52" s="23">
        <v>4000</v>
      </c>
      <c r="H52" s="23">
        <v>0</v>
      </c>
      <c r="I52" s="23">
        <v>0</v>
      </c>
      <c r="J52" s="23">
        <v>144000</v>
      </c>
      <c r="K52" s="23">
        <v>2184000</v>
      </c>
      <c r="L52" s="23">
        <v>73604</v>
      </c>
      <c r="M52" s="23">
        <v>2932985</v>
      </c>
      <c r="N52" s="23">
        <v>4979603</v>
      </c>
      <c r="O52" s="26">
        <v>13879578.539999997</v>
      </c>
    </row>
    <row r="53" spans="1:15" ht="15.75" hidden="1" thickBot="1" x14ac:dyDescent="0.3">
      <c r="A53" s="21"/>
      <c r="B53" s="22" t="s">
        <v>35</v>
      </c>
      <c r="C53" s="23">
        <v>5276</v>
      </c>
      <c r="D53" s="23">
        <v>332388</v>
      </c>
      <c r="E53" s="23">
        <v>2151</v>
      </c>
      <c r="F53" s="23">
        <v>774360</v>
      </c>
      <c r="G53" s="23">
        <v>4000</v>
      </c>
      <c r="H53" s="23">
        <v>0</v>
      </c>
      <c r="I53" s="23">
        <v>0</v>
      </c>
      <c r="J53" s="23">
        <v>144000</v>
      </c>
      <c r="K53" s="23">
        <v>2184000</v>
      </c>
      <c r="L53" s="23">
        <v>73670</v>
      </c>
      <c r="M53" s="23">
        <v>3358748</v>
      </c>
      <c r="N53" s="23">
        <v>2109495</v>
      </c>
      <c r="O53" s="26">
        <v>14186815.539999997</v>
      </c>
    </row>
    <row r="54" spans="1:15" ht="15.75" hidden="1" thickBot="1" x14ac:dyDescent="0.3">
      <c r="A54" s="21"/>
      <c r="B54" s="22" t="s">
        <v>36</v>
      </c>
      <c r="C54" s="23">
        <v>5130</v>
      </c>
      <c r="D54" s="23">
        <v>323190</v>
      </c>
      <c r="E54" s="23">
        <v>3484</v>
      </c>
      <c r="F54" s="23">
        <v>1254240</v>
      </c>
      <c r="G54" s="23">
        <v>4000</v>
      </c>
      <c r="H54" s="23">
        <v>0</v>
      </c>
      <c r="I54" s="23">
        <v>0</v>
      </c>
      <c r="J54" s="23">
        <v>144000</v>
      </c>
      <c r="K54" s="23">
        <v>2184000</v>
      </c>
      <c r="L54" s="23">
        <v>73516</v>
      </c>
      <c r="M54" s="23">
        <v>3829430</v>
      </c>
      <c r="N54" s="23">
        <v>1837786</v>
      </c>
      <c r="O54" s="26">
        <v>16057686.539999995</v>
      </c>
    </row>
    <row r="55" spans="1:15" ht="15.75" hidden="1" thickBot="1" x14ac:dyDescent="0.3">
      <c r="A55" s="21"/>
      <c r="B55" s="22" t="s">
        <v>37</v>
      </c>
      <c r="C55" s="23">
        <v>3053</v>
      </c>
      <c r="D55" s="23">
        <v>192339</v>
      </c>
      <c r="E55" s="23">
        <v>1914</v>
      </c>
      <c r="F55" s="23">
        <v>689040</v>
      </c>
      <c r="G55" s="23">
        <v>4000</v>
      </c>
      <c r="H55" s="23">
        <v>0</v>
      </c>
      <c r="I55" s="23">
        <v>0</v>
      </c>
      <c r="J55" s="23">
        <v>144000</v>
      </c>
      <c r="K55" s="23">
        <v>2191000</v>
      </c>
      <c r="L55" s="23">
        <v>73346</v>
      </c>
      <c r="M55" s="23">
        <v>3336379</v>
      </c>
      <c r="N55" s="23">
        <v>3092983</v>
      </c>
      <c r="O55" s="26">
        <v>16056914.539999999</v>
      </c>
    </row>
    <row r="56" spans="1:15" ht="15.75" hidden="1" thickBot="1" x14ac:dyDescent="0.3">
      <c r="A56" s="21">
        <v>2007</v>
      </c>
      <c r="B56" s="22" t="s">
        <v>38</v>
      </c>
      <c r="C56" s="23">
        <v>8910</v>
      </c>
      <c r="D56" s="23">
        <v>561330</v>
      </c>
      <c r="E56" s="23">
        <v>3867</v>
      </c>
      <c r="F56" s="23">
        <v>1392120</v>
      </c>
      <c r="G56" s="23">
        <v>4000</v>
      </c>
      <c r="H56" s="23">
        <v>0</v>
      </c>
      <c r="I56" s="23">
        <v>0</v>
      </c>
      <c r="J56" s="23">
        <v>144000</v>
      </c>
      <c r="K56" s="23">
        <v>2615000</v>
      </c>
      <c r="L56" s="23">
        <v>73354</v>
      </c>
      <c r="M56" s="23">
        <v>4636450</v>
      </c>
      <c r="N56" s="23">
        <v>5819569</v>
      </c>
      <c r="O56" s="26">
        <v>17025441.539999999</v>
      </c>
    </row>
    <row r="57" spans="1:15" ht="15.75" hidden="1" thickBot="1" x14ac:dyDescent="0.3">
      <c r="A57" s="21"/>
      <c r="B57" s="22" t="s">
        <v>27</v>
      </c>
      <c r="C57" s="23">
        <v>7475</v>
      </c>
      <c r="D57" s="23">
        <v>470925</v>
      </c>
      <c r="E57" s="23">
        <v>3268</v>
      </c>
      <c r="F57" s="23">
        <v>1176480</v>
      </c>
      <c r="G57" s="23">
        <v>4000</v>
      </c>
      <c r="H57" s="23">
        <v>0</v>
      </c>
      <c r="I57" s="23">
        <v>0</v>
      </c>
      <c r="J57" s="23">
        <v>144000</v>
      </c>
      <c r="K57" s="23">
        <v>2615000</v>
      </c>
      <c r="L57" s="23">
        <v>73526</v>
      </c>
      <c r="M57" s="23">
        <v>4330405</v>
      </c>
      <c r="N57" s="23">
        <v>2470539</v>
      </c>
      <c r="O57" s="26">
        <v>18442992.539999995</v>
      </c>
    </row>
    <row r="58" spans="1:15" ht="15.75" hidden="1" thickBot="1" x14ac:dyDescent="0.3">
      <c r="A58" s="21"/>
      <c r="B58" s="22" t="s">
        <v>28</v>
      </c>
      <c r="C58" s="23">
        <v>4532</v>
      </c>
      <c r="D58" s="23">
        <v>285516</v>
      </c>
      <c r="E58" s="23">
        <v>2051</v>
      </c>
      <c r="F58" s="23">
        <v>738360</v>
      </c>
      <c r="G58" s="23">
        <v>4000</v>
      </c>
      <c r="H58" s="23">
        <v>0</v>
      </c>
      <c r="I58" s="23">
        <v>0</v>
      </c>
      <c r="J58" s="23">
        <v>144000</v>
      </c>
      <c r="K58" s="23">
        <v>2576000</v>
      </c>
      <c r="L58" s="23">
        <v>73492</v>
      </c>
      <c r="M58" s="23">
        <v>3667876</v>
      </c>
      <c r="N58" s="23">
        <v>5565324</v>
      </c>
      <c r="O58" s="26">
        <v>16419669.539999997</v>
      </c>
    </row>
    <row r="59" spans="1:15" ht="15.75" hidden="1" thickBot="1" x14ac:dyDescent="0.3">
      <c r="A59" s="21"/>
      <c r="B59" s="22" t="s">
        <v>29</v>
      </c>
      <c r="C59" s="23">
        <v>5264</v>
      </c>
      <c r="D59" s="23">
        <v>331632</v>
      </c>
      <c r="E59" s="23">
        <v>2002</v>
      </c>
      <c r="F59" s="23">
        <v>720720</v>
      </c>
      <c r="G59" s="23">
        <v>4000</v>
      </c>
      <c r="H59" s="23">
        <v>0</v>
      </c>
      <c r="I59" s="23">
        <v>0</v>
      </c>
      <c r="J59" s="23">
        <v>144000</v>
      </c>
      <c r="K59" s="23">
        <v>2622000</v>
      </c>
      <c r="L59" s="23">
        <v>73654</v>
      </c>
      <c r="M59" s="23">
        <v>3742352</v>
      </c>
      <c r="N59" s="23">
        <v>3937025</v>
      </c>
      <c r="O59" s="26">
        <v>14751745.5</v>
      </c>
    </row>
    <row r="60" spans="1:15" ht="15.75" hidden="1" thickBot="1" x14ac:dyDescent="0.3">
      <c r="A60" s="21"/>
      <c r="B60" s="22" t="s">
        <v>30</v>
      </c>
      <c r="C60" s="23">
        <v>4197</v>
      </c>
      <c r="D60" s="23">
        <v>264411</v>
      </c>
      <c r="E60" s="23">
        <v>909</v>
      </c>
      <c r="F60" s="23">
        <v>327600</v>
      </c>
      <c r="G60" s="23">
        <v>4000</v>
      </c>
      <c r="H60" s="23">
        <v>0</v>
      </c>
      <c r="I60" s="23">
        <v>0</v>
      </c>
      <c r="J60" s="23">
        <v>144000</v>
      </c>
      <c r="K60" s="23">
        <v>2622000</v>
      </c>
      <c r="L60" s="23">
        <v>74056</v>
      </c>
      <c r="M60" s="23">
        <v>3282011</v>
      </c>
      <c r="N60" s="23">
        <v>3575065</v>
      </c>
      <c r="O60" s="26">
        <v>14262019.5</v>
      </c>
    </row>
    <row r="61" spans="1:15" ht="15.75" hidden="1" thickBot="1" x14ac:dyDescent="0.3">
      <c r="A61" s="21"/>
      <c r="B61" s="22" t="s">
        <v>31</v>
      </c>
      <c r="C61" s="23">
        <v>3887</v>
      </c>
      <c r="D61" s="23">
        <v>244881</v>
      </c>
      <c r="E61" s="23">
        <v>289</v>
      </c>
      <c r="F61" s="23">
        <v>104040</v>
      </c>
      <c r="G61" s="23">
        <v>4000</v>
      </c>
      <c r="H61" s="23">
        <v>0</v>
      </c>
      <c r="I61" s="23">
        <v>0</v>
      </c>
      <c r="J61" s="23">
        <v>144000</v>
      </c>
      <c r="K61" s="23">
        <v>2622000</v>
      </c>
      <c r="L61" s="23">
        <v>74496</v>
      </c>
      <c r="M61" s="23">
        <v>3038921</v>
      </c>
      <c r="N61" s="23">
        <v>2574046</v>
      </c>
      <c r="O61" s="26">
        <v>14301336.82</v>
      </c>
    </row>
    <row r="62" spans="1:15" ht="15.75" hidden="1" thickBot="1" x14ac:dyDescent="0.3">
      <c r="A62" s="21"/>
      <c r="B62" s="22" t="s">
        <v>32</v>
      </c>
      <c r="C62" s="23">
        <v>3912</v>
      </c>
      <c r="D62" s="23">
        <v>246456</v>
      </c>
      <c r="E62" s="23">
        <v>311</v>
      </c>
      <c r="F62" s="23">
        <v>111960</v>
      </c>
      <c r="G62" s="23">
        <v>4000</v>
      </c>
      <c r="H62" s="23">
        <v>0</v>
      </c>
      <c r="I62" s="23">
        <v>0</v>
      </c>
      <c r="J62" s="23">
        <v>144000</v>
      </c>
      <c r="K62" s="23">
        <v>2622000</v>
      </c>
      <c r="L62" s="23">
        <v>75106</v>
      </c>
      <c r="M62" s="23">
        <v>3074416</v>
      </c>
      <c r="N62" s="23">
        <v>3291693</v>
      </c>
      <c r="O62" s="26">
        <v>14100785.140000001</v>
      </c>
    </row>
    <row r="63" spans="1:15" ht="15.75" hidden="1" thickBot="1" x14ac:dyDescent="0.3">
      <c r="A63" s="21"/>
      <c r="B63" s="22" t="s">
        <v>33</v>
      </c>
      <c r="C63" s="23">
        <v>3266</v>
      </c>
      <c r="D63" s="23">
        <v>205806</v>
      </c>
      <c r="E63" s="23">
        <v>251</v>
      </c>
      <c r="F63" s="23">
        <v>90360</v>
      </c>
      <c r="G63" s="23">
        <v>4000</v>
      </c>
      <c r="H63" s="23">
        <v>0</v>
      </c>
      <c r="I63" s="23">
        <v>0</v>
      </c>
      <c r="J63" s="23">
        <v>44000</v>
      </c>
      <c r="K63" s="23">
        <v>2668000</v>
      </c>
      <c r="L63" s="23">
        <v>75890</v>
      </c>
      <c r="M63" s="23">
        <v>3012166</v>
      </c>
      <c r="N63" s="23">
        <v>4230829</v>
      </c>
      <c r="O63" s="26">
        <v>12763343.459999999</v>
      </c>
    </row>
    <row r="64" spans="1:15" ht="15.75" hidden="1" thickBot="1" x14ac:dyDescent="0.3">
      <c r="A64" s="21"/>
      <c r="B64" s="22" t="s">
        <v>34</v>
      </c>
      <c r="C64" s="23">
        <v>4290</v>
      </c>
      <c r="D64" s="23">
        <v>270270</v>
      </c>
      <c r="E64" s="23">
        <v>947</v>
      </c>
      <c r="F64" s="23">
        <v>340920</v>
      </c>
      <c r="G64" s="23">
        <v>4000</v>
      </c>
      <c r="H64" s="23">
        <v>0</v>
      </c>
      <c r="I64" s="23">
        <v>0</v>
      </c>
      <c r="J64" s="23">
        <v>44000</v>
      </c>
      <c r="K64" s="23">
        <v>2668000</v>
      </c>
      <c r="L64" s="23">
        <v>76716</v>
      </c>
      <c r="M64" s="23">
        <v>3327190</v>
      </c>
      <c r="N64" s="23">
        <v>5397799</v>
      </c>
      <c r="O64" s="26">
        <v>11212412.779999999</v>
      </c>
    </row>
    <row r="65" spans="1:15" ht="15.75" hidden="1" thickBot="1" x14ac:dyDescent="0.3">
      <c r="A65" s="21"/>
      <c r="B65" s="22" t="s">
        <v>35</v>
      </c>
      <c r="C65" s="23">
        <v>3802</v>
      </c>
      <c r="D65" s="23">
        <v>296854</v>
      </c>
      <c r="E65" s="23">
        <v>1866</v>
      </c>
      <c r="F65" s="23">
        <v>671760</v>
      </c>
      <c r="G65" s="23">
        <v>4000</v>
      </c>
      <c r="H65" s="23">
        <v>0</v>
      </c>
      <c r="I65" s="23">
        <v>0</v>
      </c>
      <c r="J65" s="23">
        <v>44000</v>
      </c>
      <c r="K65" s="23">
        <v>2668000</v>
      </c>
      <c r="L65" s="23">
        <v>126082</v>
      </c>
      <c r="M65" s="23">
        <v>3684614</v>
      </c>
      <c r="N65" s="23">
        <v>2886533</v>
      </c>
      <c r="O65" s="26">
        <v>12089165.1</v>
      </c>
    </row>
    <row r="66" spans="1:15" ht="15.75" hidden="1" thickBot="1" x14ac:dyDescent="0.3">
      <c r="A66" s="21"/>
      <c r="B66" s="22" t="s">
        <v>36</v>
      </c>
      <c r="C66" s="23">
        <v>6022</v>
      </c>
      <c r="D66" s="23">
        <v>470826</v>
      </c>
      <c r="E66" s="23">
        <v>3260</v>
      </c>
      <c r="F66" s="23">
        <v>1173600</v>
      </c>
      <c r="G66" s="23">
        <v>4000</v>
      </c>
      <c r="H66" s="23">
        <v>0</v>
      </c>
      <c r="I66" s="23">
        <v>0</v>
      </c>
      <c r="J66" s="23">
        <v>48000</v>
      </c>
      <c r="K66" s="23">
        <v>2668000</v>
      </c>
      <c r="L66" s="23">
        <v>165000</v>
      </c>
      <c r="M66" s="23">
        <v>4364426</v>
      </c>
      <c r="N66" s="23">
        <v>2645481</v>
      </c>
      <c r="O66" s="26">
        <v>13686665.42</v>
      </c>
    </row>
    <row r="67" spans="1:15" ht="15.75" hidden="1" thickBot="1" x14ac:dyDescent="0.3">
      <c r="A67" s="21"/>
      <c r="B67" s="22" t="s">
        <v>37</v>
      </c>
      <c r="C67" s="23">
        <v>4098</v>
      </c>
      <c r="D67" s="23">
        <v>319878</v>
      </c>
      <c r="E67" s="23">
        <v>2505</v>
      </c>
      <c r="F67" s="23">
        <v>901800</v>
      </c>
      <c r="G67" s="23">
        <v>4000</v>
      </c>
      <c r="H67" s="23">
        <v>0</v>
      </c>
      <c r="I67" s="23">
        <v>0</v>
      </c>
      <c r="J67" s="23">
        <v>48000</v>
      </c>
      <c r="K67" s="23">
        <v>2668000</v>
      </c>
      <c r="L67" s="23">
        <v>193669</v>
      </c>
      <c r="M67" s="23">
        <v>3941678</v>
      </c>
      <c r="N67" s="23">
        <v>2940678</v>
      </c>
      <c r="O67" s="26">
        <v>14753928.74</v>
      </c>
    </row>
    <row r="68" spans="1:15" ht="15.75" hidden="1" thickBot="1" x14ac:dyDescent="0.3">
      <c r="A68" s="21">
        <v>2008</v>
      </c>
      <c r="B68" s="22" t="s">
        <v>38</v>
      </c>
      <c r="C68" s="23">
        <v>10017</v>
      </c>
      <c r="D68" s="23">
        <v>876879</v>
      </c>
      <c r="E68" s="23">
        <v>5769</v>
      </c>
      <c r="F68" s="23">
        <v>2076840</v>
      </c>
      <c r="G68" s="23">
        <v>4000</v>
      </c>
      <c r="H68" s="23">
        <v>0</v>
      </c>
      <c r="I68" s="23">
        <v>0</v>
      </c>
      <c r="J68" s="23">
        <v>48000</v>
      </c>
      <c r="K68" s="23">
        <v>2760000</v>
      </c>
      <c r="L68" s="23">
        <v>200530</v>
      </c>
      <c r="M68" s="23">
        <v>5765719</v>
      </c>
      <c r="N68" s="23">
        <v>5014803</v>
      </c>
      <c r="O68" s="26">
        <v>15538344.059999999</v>
      </c>
    </row>
    <row r="69" spans="1:15" ht="15.75" hidden="1" thickBot="1" x14ac:dyDescent="0.3">
      <c r="A69" s="21"/>
      <c r="B69" s="22" t="s">
        <v>27</v>
      </c>
      <c r="C69" s="23">
        <v>4879</v>
      </c>
      <c r="D69" s="23">
        <v>434426</v>
      </c>
      <c r="E69" s="23">
        <v>2333</v>
      </c>
      <c r="F69" s="23">
        <v>839880</v>
      </c>
      <c r="G69" s="23">
        <v>4000</v>
      </c>
      <c r="H69" s="23">
        <v>0</v>
      </c>
      <c r="I69" s="23">
        <v>0</v>
      </c>
      <c r="J69" s="23">
        <v>48000</v>
      </c>
      <c r="K69" s="23">
        <v>2760000</v>
      </c>
      <c r="L69" s="23">
        <v>183400</v>
      </c>
      <c r="M69" s="23">
        <v>4086306</v>
      </c>
      <c r="N69" s="23">
        <v>3403278</v>
      </c>
      <c r="O69" s="26">
        <v>16362208.380000001</v>
      </c>
    </row>
    <row r="70" spans="1:15" ht="15.75" hidden="1" thickBot="1" x14ac:dyDescent="0.3">
      <c r="A70" s="21"/>
      <c r="B70" s="22" t="s">
        <v>28</v>
      </c>
      <c r="C70" s="23">
        <v>5016</v>
      </c>
      <c r="D70" s="23">
        <v>554145</v>
      </c>
      <c r="E70" s="23">
        <v>2323</v>
      </c>
      <c r="F70" s="23">
        <v>836280</v>
      </c>
      <c r="G70" s="23">
        <v>4000</v>
      </c>
      <c r="H70" s="23">
        <v>0</v>
      </c>
      <c r="I70" s="23">
        <v>0</v>
      </c>
      <c r="J70" s="23">
        <v>48000</v>
      </c>
      <c r="K70" s="23">
        <v>2760000</v>
      </c>
      <c r="L70" s="23">
        <v>192991</v>
      </c>
      <c r="M70" s="23">
        <v>4202425</v>
      </c>
      <c r="N70" s="23">
        <v>4963782</v>
      </c>
      <c r="O70" s="26">
        <v>15476913.699999999</v>
      </c>
    </row>
    <row r="71" spans="1:15" ht="15.75" hidden="1" thickBot="1" x14ac:dyDescent="0.3">
      <c r="A71" s="21"/>
      <c r="B71" s="22" t="s">
        <v>29</v>
      </c>
      <c r="C71" s="23">
        <v>6296</v>
      </c>
      <c r="D71" s="23">
        <v>776542</v>
      </c>
      <c r="E71" s="23">
        <v>2746</v>
      </c>
      <c r="F71" s="23">
        <v>988560</v>
      </c>
      <c r="G71" s="23">
        <v>4000</v>
      </c>
      <c r="H71" s="23">
        <v>0</v>
      </c>
      <c r="I71" s="23">
        <v>0</v>
      </c>
      <c r="J71" s="23">
        <v>48000</v>
      </c>
      <c r="K71" s="23">
        <v>2760000</v>
      </c>
      <c r="L71" s="23">
        <v>202551</v>
      </c>
      <c r="M71" s="23">
        <v>4577102</v>
      </c>
      <c r="N71" s="23">
        <v>4799319</v>
      </c>
      <c r="O71" s="26">
        <v>14796152.699999999</v>
      </c>
    </row>
    <row r="72" spans="1:15" ht="15.75" hidden="1" thickBot="1" x14ac:dyDescent="0.3">
      <c r="A72" s="21"/>
      <c r="B72" s="22" t="s">
        <v>30</v>
      </c>
      <c r="C72" s="23">
        <v>3996</v>
      </c>
      <c r="D72" s="23">
        <v>401476</v>
      </c>
      <c r="E72" s="23">
        <v>564</v>
      </c>
      <c r="F72" s="23">
        <v>203040</v>
      </c>
      <c r="G72" s="23">
        <v>4000</v>
      </c>
      <c r="H72" s="23">
        <v>0</v>
      </c>
      <c r="I72" s="23">
        <v>0</v>
      </c>
      <c r="J72" s="23">
        <v>48000</v>
      </c>
      <c r="K72" s="23">
        <v>2760000</v>
      </c>
      <c r="L72" s="23">
        <v>180386</v>
      </c>
      <c r="M72" s="23">
        <v>3416516</v>
      </c>
      <c r="N72" s="23">
        <v>3799080</v>
      </c>
      <c r="O72" s="26">
        <v>14634800.699999999</v>
      </c>
    </row>
    <row r="73" spans="1:15" ht="15.75" hidden="1" thickBot="1" x14ac:dyDescent="0.3">
      <c r="A73" s="21"/>
      <c r="B73" s="22" t="s">
        <v>31</v>
      </c>
      <c r="C73" s="23">
        <v>3834</v>
      </c>
      <c r="D73" s="23">
        <v>398571</v>
      </c>
      <c r="E73" s="23">
        <v>331</v>
      </c>
      <c r="F73" s="23">
        <v>119160</v>
      </c>
      <c r="G73" s="23">
        <v>4000</v>
      </c>
      <c r="H73" s="23">
        <v>0</v>
      </c>
      <c r="I73" s="23">
        <v>0</v>
      </c>
      <c r="J73" s="23">
        <v>48000</v>
      </c>
      <c r="K73" s="23">
        <v>2760000</v>
      </c>
      <c r="L73" s="23">
        <v>186683</v>
      </c>
      <c r="M73" s="23">
        <v>3329731</v>
      </c>
      <c r="N73" s="23">
        <v>2687276</v>
      </c>
      <c r="O73" s="26">
        <v>14805372.699999999</v>
      </c>
    </row>
    <row r="74" spans="1:15" ht="15.75" hidden="1" thickBot="1" x14ac:dyDescent="0.3">
      <c r="A74" s="21"/>
      <c r="B74" s="22" t="s">
        <v>32</v>
      </c>
      <c r="C74" s="23">
        <v>4640</v>
      </c>
      <c r="D74" s="23">
        <v>519208</v>
      </c>
      <c r="E74" s="23">
        <v>252</v>
      </c>
      <c r="F74" s="23">
        <v>90720</v>
      </c>
      <c r="G74" s="23">
        <v>0</v>
      </c>
      <c r="H74" s="23">
        <v>0</v>
      </c>
      <c r="I74" s="23">
        <v>0</v>
      </c>
      <c r="J74" s="23">
        <v>48000</v>
      </c>
      <c r="K74" s="23">
        <v>2760000</v>
      </c>
      <c r="L74" s="23">
        <v>203406</v>
      </c>
      <c r="M74" s="23">
        <v>3417928</v>
      </c>
      <c r="N74" s="23">
        <v>3155641</v>
      </c>
      <c r="O74" s="26">
        <v>15158272.699999999</v>
      </c>
    </row>
    <row r="75" spans="1:15" ht="15.75" hidden="1" thickBot="1" x14ac:dyDescent="0.3">
      <c r="A75" s="21"/>
      <c r="B75" s="22" t="s">
        <v>33</v>
      </c>
      <c r="C75" s="23">
        <v>3569</v>
      </c>
      <c r="D75" s="23">
        <v>384078</v>
      </c>
      <c r="E75" s="23">
        <v>428</v>
      </c>
      <c r="F75" s="23">
        <v>154080</v>
      </c>
      <c r="G75" s="23">
        <v>0</v>
      </c>
      <c r="H75" s="23">
        <v>0</v>
      </c>
      <c r="I75" s="23">
        <v>0</v>
      </c>
      <c r="J75" s="23">
        <v>48000</v>
      </c>
      <c r="K75" s="23">
        <v>2760000</v>
      </c>
      <c r="L75" s="23">
        <v>222192</v>
      </c>
      <c r="M75" s="23">
        <v>3346158</v>
      </c>
      <c r="N75" s="23">
        <v>2320017</v>
      </c>
      <c r="O75" s="26">
        <v>16263653.699999999</v>
      </c>
    </row>
    <row r="76" spans="1:15" ht="15.75" hidden="1" thickBot="1" x14ac:dyDescent="0.3">
      <c r="A76" s="21"/>
      <c r="B76" s="22" t="s">
        <v>34</v>
      </c>
      <c r="C76" s="23">
        <v>4260</v>
      </c>
      <c r="D76" s="23">
        <v>469191</v>
      </c>
      <c r="E76" s="23">
        <v>782</v>
      </c>
      <c r="F76" s="23">
        <v>281520</v>
      </c>
      <c r="G76" s="23">
        <v>0</v>
      </c>
      <c r="H76" s="23">
        <v>0</v>
      </c>
      <c r="I76" s="23">
        <v>0</v>
      </c>
      <c r="J76" s="23">
        <v>48000</v>
      </c>
      <c r="K76" s="23">
        <v>2760000</v>
      </c>
      <c r="L76" s="23">
        <v>220682</v>
      </c>
      <c r="M76" s="23">
        <v>3558711</v>
      </c>
      <c r="N76" s="23">
        <v>3077075</v>
      </c>
      <c r="O76" s="26">
        <v>16787000.699999999</v>
      </c>
    </row>
    <row r="77" spans="1:15" ht="15.75" hidden="1" thickBot="1" x14ac:dyDescent="0.3">
      <c r="A77" s="21"/>
      <c r="B77" s="22" t="s">
        <v>35</v>
      </c>
      <c r="C77" s="23">
        <v>5016</v>
      </c>
      <c r="D77" s="23">
        <v>629252</v>
      </c>
      <c r="E77" s="23">
        <v>2409</v>
      </c>
      <c r="F77" s="23">
        <v>867240</v>
      </c>
      <c r="G77" s="23">
        <v>0</v>
      </c>
      <c r="H77" s="23">
        <v>0</v>
      </c>
      <c r="I77" s="23">
        <v>0</v>
      </c>
      <c r="J77" s="23">
        <v>48000</v>
      </c>
      <c r="K77" s="23">
        <v>2760000</v>
      </c>
      <c r="L77" s="23">
        <v>372525</v>
      </c>
      <c r="M77" s="23">
        <v>4304492</v>
      </c>
      <c r="N77" s="23">
        <v>3736840</v>
      </c>
      <c r="O77" s="26">
        <v>17574712.699999999</v>
      </c>
    </row>
    <row r="78" spans="1:15" ht="15.75" hidden="1" thickBot="1" x14ac:dyDescent="0.3">
      <c r="A78" s="21"/>
      <c r="B78" s="22" t="s">
        <v>36</v>
      </c>
      <c r="C78" s="23">
        <v>4255</v>
      </c>
      <c r="D78" s="23">
        <v>506342</v>
      </c>
      <c r="E78" s="23">
        <v>2545</v>
      </c>
      <c r="F78" s="23">
        <v>916200</v>
      </c>
      <c r="G78" s="23">
        <v>0</v>
      </c>
      <c r="H78" s="23">
        <v>0</v>
      </c>
      <c r="I78" s="23">
        <v>0</v>
      </c>
      <c r="J78" s="23">
        <v>48000</v>
      </c>
      <c r="K78" s="23">
        <v>2760000</v>
      </c>
      <c r="L78" s="23">
        <v>382240</v>
      </c>
      <c r="M78" s="23">
        <v>4230542</v>
      </c>
      <c r="N78" s="23">
        <v>3795800</v>
      </c>
      <c r="O78" s="26">
        <v>18233910.719999999</v>
      </c>
    </row>
    <row r="79" spans="1:15" ht="15.75" hidden="1" thickBot="1" x14ac:dyDescent="0.3">
      <c r="A79" s="21"/>
      <c r="B79" s="22" t="s">
        <v>37</v>
      </c>
      <c r="C79" s="23">
        <v>7685</v>
      </c>
      <c r="D79" s="23">
        <v>899923</v>
      </c>
      <c r="E79" s="23">
        <v>3693</v>
      </c>
      <c r="F79" s="23">
        <v>1340280</v>
      </c>
      <c r="G79" s="23">
        <v>0</v>
      </c>
      <c r="H79" s="23">
        <v>0</v>
      </c>
      <c r="I79" s="23">
        <v>0</v>
      </c>
      <c r="J79" s="23">
        <v>48000</v>
      </c>
      <c r="K79" s="23">
        <v>2760000</v>
      </c>
      <c r="L79" s="23">
        <v>432991.67000000004</v>
      </c>
      <c r="M79" s="23">
        <v>5048203</v>
      </c>
      <c r="N79" s="23">
        <v>4987049.6900000004</v>
      </c>
      <c r="O79" s="26">
        <v>18816449.579999998</v>
      </c>
    </row>
    <row r="80" spans="1:15" ht="15.75" hidden="1" thickBot="1" x14ac:dyDescent="0.3">
      <c r="A80" s="21">
        <v>2009</v>
      </c>
      <c r="B80" s="22" t="s">
        <v>38</v>
      </c>
      <c r="C80" s="23">
        <v>7464</v>
      </c>
      <c r="D80" s="23">
        <v>926528</v>
      </c>
      <c r="E80" s="23">
        <v>3439</v>
      </c>
      <c r="F80" s="23">
        <v>1238040</v>
      </c>
      <c r="G80" s="23">
        <v>0</v>
      </c>
      <c r="H80" s="23">
        <v>0</v>
      </c>
      <c r="I80" s="23">
        <v>0</v>
      </c>
      <c r="J80" s="23">
        <v>48000</v>
      </c>
      <c r="K80" s="23">
        <v>2760000</v>
      </c>
      <c r="L80" s="23">
        <v>543775.57000000007</v>
      </c>
      <c r="M80" s="23">
        <v>5014568</v>
      </c>
      <c r="N80" s="23">
        <v>4479096</v>
      </c>
      <c r="O80" s="26">
        <v>18445106.93</v>
      </c>
    </row>
    <row r="81" spans="1:15" ht="15.75" hidden="1" thickBot="1" x14ac:dyDescent="0.3">
      <c r="A81" s="21"/>
      <c r="B81" s="22" t="s">
        <v>27</v>
      </c>
      <c r="C81" s="23">
        <v>8538</v>
      </c>
      <c r="D81" s="23">
        <v>1111030</v>
      </c>
      <c r="E81" s="23">
        <v>3280</v>
      </c>
      <c r="F81" s="23">
        <v>1528560</v>
      </c>
      <c r="G81" s="23">
        <v>0</v>
      </c>
      <c r="H81" s="23">
        <v>0</v>
      </c>
      <c r="I81" s="23">
        <v>12000</v>
      </c>
      <c r="J81" s="23">
        <v>48000</v>
      </c>
      <c r="K81" s="23">
        <v>2760000</v>
      </c>
      <c r="L81" s="23">
        <v>550832</v>
      </c>
      <c r="M81" s="23">
        <v>5447590</v>
      </c>
      <c r="N81" s="23">
        <v>4016209</v>
      </c>
      <c r="O81" s="26">
        <v>20240992.519999996</v>
      </c>
    </row>
    <row r="82" spans="1:15" ht="15.75" hidden="1" thickBot="1" x14ac:dyDescent="0.3">
      <c r="A82" s="21"/>
      <c r="B82" s="22" t="s">
        <v>28</v>
      </c>
      <c r="C82" s="23">
        <v>7456</v>
      </c>
      <c r="D82" s="23">
        <v>970160</v>
      </c>
      <c r="E82" s="23">
        <v>3428</v>
      </c>
      <c r="F82" s="23">
        <v>1595520</v>
      </c>
      <c r="G82" s="23">
        <v>0</v>
      </c>
      <c r="H82" s="23">
        <v>0</v>
      </c>
      <c r="I82" s="23">
        <v>0</v>
      </c>
      <c r="J82" s="23">
        <v>44000</v>
      </c>
      <c r="K82" s="23">
        <v>2760000</v>
      </c>
      <c r="L82" s="23">
        <v>502180</v>
      </c>
      <c r="M82" s="23">
        <v>5369680</v>
      </c>
      <c r="N82" s="23">
        <v>5326798</v>
      </c>
      <c r="O82" s="26">
        <v>20604896.519999996</v>
      </c>
    </row>
    <row r="83" spans="1:15" ht="15.75" hidden="1" thickBot="1" x14ac:dyDescent="0.3">
      <c r="A83" s="21"/>
      <c r="B83" s="22" t="s">
        <v>29</v>
      </c>
      <c r="C83" s="23">
        <v>5077</v>
      </c>
      <c r="D83" s="23">
        <v>713918</v>
      </c>
      <c r="E83" s="23">
        <v>2238</v>
      </c>
      <c r="F83" s="23">
        <v>884520</v>
      </c>
      <c r="G83" s="23">
        <v>0</v>
      </c>
      <c r="H83" s="23">
        <v>0</v>
      </c>
      <c r="I83" s="23">
        <v>0</v>
      </c>
      <c r="J83" s="23">
        <v>48000</v>
      </c>
      <c r="K83" s="23">
        <v>2760000</v>
      </c>
      <c r="L83" s="23">
        <v>579844</v>
      </c>
      <c r="M83" s="23">
        <v>4410438</v>
      </c>
      <c r="N83" s="23">
        <v>5660345.9589999998</v>
      </c>
      <c r="O83" s="26">
        <v>19565182.500999995</v>
      </c>
    </row>
    <row r="84" spans="1:15" ht="15.75" hidden="1" thickBot="1" x14ac:dyDescent="0.3">
      <c r="A84" s="21"/>
      <c r="B84" s="22" t="s">
        <v>30</v>
      </c>
      <c r="C84" s="23">
        <v>4491</v>
      </c>
      <c r="D84" s="23">
        <v>655674</v>
      </c>
      <c r="E84" s="23">
        <v>1073</v>
      </c>
      <c r="F84" s="23">
        <v>386280</v>
      </c>
      <c r="G84" s="23">
        <v>0</v>
      </c>
      <c r="H84" s="23">
        <v>0</v>
      </c>
      <c r="I84" s="23">
        <v>0</v>
      </c>
      <c r="J84" s="23">
        <v>60000</v>
      </c>
      <c r="K84" s="23">
        <v>2760000</v>
      </c>
      <c r="L84" s="23">
        <v>466105</v>
      </c>
      <c r="M84" s="23">
        <v>3861954</v>
      </c>
      <c r="N84" s="23">
        <v>2924305</v>
      </c>
      <c r="O84" s="26">
        <v>21061718.500999995</v>
      </c>
    </row>
    <row r="85" spans="1:15" ht="15.75" hidden="1" thickBot="1" x14ac:dyDescent="0.3">
      <c r="A85" s="21"/>
      <c r="B85" s="22" t="s">
        <v>31</v>
      </c>
      <c r="C85" s="23">
        <v>5934</v>
      </c>
      <c r="D85" s="23">
        <v>866364</v>
      </c>
      <c r="E85" s="23">
        <v>737</v>
      </c>
      <c r="F85" s="23">
        <v>265320</v>
      </c>
      <c r="G85" s="23">
        <v>0</v>
      </c>
      <c r="H85" s="23">
        <v>0</v>
      </c>
      <c r="I85" s="23">
        <v>0</v>
      </c>
      <c r="J85" s="23">
        <v>60000</v>
      </c>
      <c r="K85" s="23">
        <v>2770000</v>
      </c>
      <c r="L85" s="23">
        <v>491222</v>
      </c>
      <c r="M85" s="23">
        <v>3986698</v>
      </c>
      <c r="N85" s="23">
        <v>4312775</v>
      </c>
      <c r="O85" s="26">
        <v>20720071.500999995</v>
      </c>
    </row>
    <row r="86" spans="1:15" ht="15.75" hidden="1" thickBot="1" x14ac:dyDescent="0.3">
      <c r="A86" s="21"/>
      <c r="B86" s="22" t="s">
        <v>32</v>
      </c>
      <c r="C86" s="23">
        <v>4864</v>
      </c>
      <c r="D86" s="23">
        <v>710144</v>
      </c>
      <c r="E86" s="23">
        <v>347</v>
      </c>
      <c r="F86" s="23">
        <v>124920</v>
      </c>
      <c r="G86" s="23">
        <v>0</v>
      </c>
      <c r="H86" s="23">
        <v>0</v>
      </c>
      <c r="I86" s="23">
        <v>12000</v>
      </c>
      <c r="J86" s="23">
        <v>68000</v>
      </c>
      <c r="K86" s="23">
        <v>2760000</v>
      </c>
      <c r="L86" s="23">
        <v>482501</v>
      </c>
      <c r="M86" s="23">
        <v>3959064</v>
      </c>
      <c r="N86" s="23">
        <v>3753933</v>
      </c>
      <c r="O86" s="26">
        <v>24293910.500999995</v>
      </c>
    </row>
    <row r="87" spans="1:15" ht="15.75" hidden="1" thickBot="1" x14ac:dyDescent="0.3">
      <c r="A87" s="21"/>
      <c r="B87" s="22" t="s">
        <v>33</v>
      </c>
      <c r="C87" s="23">
        <v>4673</v>
      </c>
      <c r="D87" s="23">
        <v>682258</v>
      </c>
      <c r="E87" s="23">
        <v>-5498</v>
      </c>
      <c r="F87" s="23">
        <v>-1979280</v>
      </c>
      <c r="G87" s="23">
        <v>0</v>
      </c>
      <c r="H87" s="23">
        <v>0</v>
      </c>
      <c r="I87" s="23">
        <v>0</v>
      </c>
      <c r="J87" s="23">
        <v>60000</v>
      </c>
      <c r="K87" s="23">
        <v>3330000</v>
      </c>
      <c r="L87" s="23">
        <v>478089</v>
      </c>
      <c r="M87" s="23">
        <v>1792978</v>
      </c>
      <c r="N87" s="23">
        <v>3488931</v>
      </c>
      <c r="O87" s="26">
        <v>24847428.500999995</v>
      </c>
    </row>
    <row r="88" spans="1:15" ht="15.75" hidden="1" thickBot="1" x14ac:dyDescent="0.3">
      <c r="A88" s="21"/>
      <c r="B88" s="22" t="s">
        <v>34</v>
      </c>
      <c r="C88" s="23">
        <v>6746</v>
      </c>
      <c r="D88" s="23">
        <v>984916</v>
      </c>
      <c r="E88" s="23">
        <v>838</v>
      </c>
      <c r="F88" s="23">
        <v>328860</v>
      </c>
      <c r="G88" s="23">
        <v>0</v>
      </c>
      <c r="H88" s="23">
        <v>0</v>
      </c>
      <c r="I88" s="23">
        <v>0</v>
      </c>
      <c r="J88" s="23">
        <v>48000</v>
      </c>
      <c r="K88" s="23">
        <v>2770000</v>
      </c>
      <c r="L88" s="23">
        <v>521582</v>
      </c>
      <c r="M88" s="23">
        <v>4131776</v>
      </c>
      <c r="N88" s="23">
        <v>2974471</v>
      </c>
      <c r="O88" s="26">
        <v>26394853.500999995</v>
      </c>
    </row>
    <row r="89" spans="1:15" ht="15.75" hidden="1" thickBot="1" x14ac:dyDescent="0.3">
      <c r="A89" s="21"/>
      <c r="B89" s="22" t="s">
        <v>35</v>
      </c>
      <c r="C89" s="23">
        <v>5633</v>
      </c>
      <c r="D89" s="23">
        <v>835801</v>
      </c>
      <c r="E89" s="23">
        <v>1965</v>
      </c>
      <c r="F89" s="23">
        <v>755280</v>
      </c>
      <c r="G89" s="23">
        <v>0</v>
      </c>
      <c r="H89" s="23">
        <v>0</v>
      </c>
      <c r="I89" s="23">
        <v>0</v>
      </c>
      <c r="J89" s="23">
        <v>52000</v>
      </c>
      <c r="K89" s="23">
        <v>2770000</v>
      </c>
      <c r="L89" s="23">
        <v>485840</v>
      </c>
      <c r="M89" s="23">
        <v>4413081</v>
      </c>
      <c r="N89" s="23">
        <v>4126239</v>
      </c>
      <c r="O89" s="26">
        <v>26903661.500999995</v>
      </c>
    </row>
    <row r="90" spans="1:15" ht="15.75" hidden="1" thickBot="1" x14ac:dyDescent="0.3">
      <c r="A90" s="21"/>
      <c r="B90" s="22" t="s">
        <v>36</v>
      </c>
      <c r="C90" s="23">
        <v>5894</v>
      </c>
      <c r="D90" s="23">
        <v>860524</v>
      </c>
      <c r="E90" s="23">
        <v>2587</v>
      </c>
      <c r="F90" s="23">
        <v>1028160</v>
      </c>
      <c r="G90" s="23">
        <v>0</v>
      </c>
      <c r="H90" s="23">
        <v>0</v>
      </c>
      <c r="I90" s="23">
        <v>0</v>
      </c>
      <c r="J90" s="23">
        <v>56000</v>
      </c>
      <c r="K90" s="23">
        <v>2769000</v>
      </c>
      <c r="L90" s="23">
        <v>711597</v>
      </c>
      <c r="M90" s="23">
        <v>4730078</v>
      </c>
      <c r="N90" s="23">
        <v>4350499</v>
      </c>
      <c r="O90" s="26">
        <v>27808982.300999995</v>
      </c>
    </row>
    <row r="91" spans="1:15" ht="15.75" hidden="1" thickBot="1" x14ac:dyDescent="0.3">
      <c r="A91" s="21"/>
      <c r="B91" s="22" t="s">
        <v>37</v>
      </c>
      <c r="C91" s="23">
        <v>7627</v>
      </c>
      <c r="D91" s="23">
        <v>1113542</v>
      </c>
      <c r="E91" s="23">
        <v>4520</v>
      </c>
      <c r="F91" s="23">
        <v>2010060</v>
      </c>
      <c r="G91" s="23">
        <v>0</v>
      </c>
      <c r="H91" s="23">
        <v>0</v>
      </c>
      <c r="I91" s="23">
        <v>0</v>
      </c>
      <c r="J91" s="23">
        <v>56000</v>
      </c>
      <c r="K91" s="23">
        <v>2769000</v>
      </c>
      <c r="L91" s="23">
        <v>597725</v>
      </c>
      <c r="M91" s="23">
        <v>5948602</v>
      </c>
      <c r="N91" s="23">
        <v>5232496</v>
      </c>
      <c r="O91" s="26">
        <v>29015585.441</v>
      </c>
    </row>
    <row r="92" spans="1:15" ht="15.75" hidden="1" thickBot="1" x14ac:dyDescent="0.3">
      <c r="A92">
        <v>2010</v>
      </c>
      <c r="B92" s="22" t="s">
        <v>38</v>
      </c>
      <c r="C92" s="23">
        <v>7460</v>
      </c>
      <c r="D92" s="23">
        <v>1089160</v>
      </c>
      <c r="E92" s="23">
        <v>4168</v>
      </c>
      <c r="F92" s="23">
        <v>1536120</v>
      </c>
      <c r="G92" s="23">
        <v>0</v>
      </c>
      <c r="H92" s="23">
        <v>0</v>
      </c>
      <c r="I92" s="23">
        <v>100000</v>
      </c>
      <c r="J92" s="23">
        <v>56000</v>
      </c>
      <c r="K92" s="23">
        <v>3282000</v>
      </c>
      <c r="L92" s="23">
        <v>720214</v>
      </c>
      <c r="M92" s="23">
        <v>6263280</v>
      </c>
      <c r="N92" s="23">
        <v>5914765</v>
      </c>
      <c r="O92" s="26">
        <v>30330428.419</v>
      </c>
    </row>
    <row r="93" spans="1:15" ht="15.75" hidden="1" thickBot="1" x14ac:dyDescent="0.3">
      <c r="B93" s="22" t="s">
        <v>27</v>
      </c>
      <c r="C93" s="23">
        <v>7992</v>
      </c>
      <c r="D93" s="23">
        <v>1166832</v>
      </c>
      <c r="E93" s="23">
        <v>4026</v>
      </c>
      <c r="F93" s="23">
        <v>1455300</v>
      </c>
      <c r="G93" s="23">
        <v>0</v>
      </c>
      <c r="H93" s="23">
        <v>0</v>
      </c>
      <c r="I93" s="23">
        <v>50000</v>
      </c>
      <c r="J93" s="23">
        <v>56000</v>
      </c>
      <c r="K93" s="23">
        <v>3291000</v>
      </c>
      <c r="L93" s="23">
        <v>772937</v>
      </c>
      <c r="M93" s="23">
        <v>6269132</v>
      </c>
      <c r="N93" s="23">
        <v>5484245</v>
      </c>
      <c r="O93" s="26">
        <v>32670116.519000001</v>
      </c>
    </row>
    <row r="94" spans="1:15" ht="15.75" hidden="1" thickBot="1" x14ac:dyDescent="0.3">
      <c r="B94" s="22" t="s">
        <v>28</v>
      </c>
      <c r="C94" s="23">
        <v>5489</v>
      </c>
      <c r="D94" s="23">
        <v>801394</v>
      </c>
      <c r="E94" s="23">
        <v>2992</v>
      </c>
      <c r="F94" s="23">
        <v>1003500</v>
      </c>
      <c r="G94" s="23">
        <v>0</v>
      </c>
      <c r="H94" s="23">
        <v>0</v>
      </c>
      <c r="I94" s="23">
        <v>50000</v>
      </c>
      <c r="J94" s="23">
        <v>56000</v>
      </c>
      <c r="K94" s="23">
        <v>3300000</v>
      </c>
      <c r="L94" s="23">
        <v>712631</v>
      </c>
      <c r="M94" s="23">
        <v>5460894</v>
      </c>
      <c r="N94" s="23">
        <v>5543533</v>
      </c>
      <c r="O94" s="26">
        <v>33400352.519000001</v>
      </c>
    </row>
    <row r="95" spans="1:15" ht="15.75" hidden="1" thickBot="1" x14ac:dyDescent="0.3">
      <c r="B95" s="22" t="s">
        <v>29</v>
      </c>
      <c r="C95" s="23">
        <v>5305</v>
      </c>
      <c r="D95" s="23">
        <v>774530</v>
      </c>
      <c r="E95" s="23">
        <v>2184</v>
      </c>
      <c r="F95" s="23">
        <v>842580</v>
      </c>
      <c r="G95" s="23">
        <v>0</v>
      </c>
      <c r="H95" s="23">
        <v>0</v>
      </c>
      <c r="I95" s="23">
        <v>50000</v>
      </c>
      <c r="J95" s="23">
        <v>52000</v>
      </c>
      <c r="K95" s="23">
        <v>3300000</v>
      </c>
      <c r="L95" s="23">
        <v>550344</v>
      </c>
      <c r="M95" s="23">
        <v>5269110</v>
      </c>
      <c r="N95" s="23">
        <v>4814396</v>
      </c>
      <c r="O95" s="26">
        <v>34492920.749000005</v>
      </c>
    </row>
    <row r="96" spans="1:15" ht="15.75" hidden="1" thickBot="1" x14ac:dyDescent="0.3">
      <c r="B96" s="22" t="s">
        <v>30</v>
      </c>
      <c r="C96" s="23">
        <v>4314</v>
      </c>
      <c r="D96" s="23">
        <v>629844</v>
      </c>
      <c r="E96" s="23">
        <v>1061</v>
      </c>
      <c r="F96" s="23">
        <v>407160</v>
      </c>
      <c r="G96" s="23">
        <v>0</v>
      </c>
      <c r="H96" s="23">
        <v>0</v>
      </c>
      <c r="I96" s="23">
        <v>50000</v>
      </c>
      <c r="J96" s="23">
        <v>56000</v>
      </c>
      <c r="K96" s="23">
        <v>3300000</v>
      </c>
      <c r="L96" s="23">
        <v>766929</v>
      </c>
      <c r="M96" s="23">
        <v>4693004</v>
      </c>
      <c r="N96" s="23">
        <v>4859355</v>
      </c>
      <c r="O96" s="26">
        <v>35496044.749000005</v>
      </c>
    </row>
    <row r="97" spans="1:15" ht="15.75" hidden="1" thickBot="1" x14ac:dyDescent="0.3">
      <c r="B97" s="22" t="s">
        <v>31</v>
      </c>
      <c r="C97" s="23">
        <v>4446</v>
      </c>
      <c r="D97" s="23">
        <v>649116</v>
      </c>
      <c r="E97" s="23">
        <v>488</v>
      </c>
      <c r="F97" s="23">
        <v>175320</v>
      </c>
      <c r="G97" s="23">
        <v>0</v>
      </c>
      <c r="H97" s="23">
        <v>0</v>
      </c>
      <c r="I97" s="23">
        <v>0</v>
      </c>
      <c r="J97" s="23">
        <v>56000</v>
      </c>
      <c r="K97" s="23">
        <v>3300000</v>
      </c>
      <c r="L97" s="23">
        <v>508848</v>
      </c>
      <c r="M97" s="23">
        <v>4180436</v>
      </c>
      <c r="N97" s="23">
        <v>3361324</v>
      </c>
      <c r="O97" s="26">
        <v>36803486.149000004</v>
      </c>
    </row>
    <row r="98" spans="1:15" ht="15.75" hidden="1" thickBot="1" x14ac:dyDescent="0.3">
      <c r="A98" s="21"/>
      <c r="B98" s="22" t="s">
        <v>32</v>
      </c>
      <c r="C98" s="23">
        <v>5420</v>
      </c>
      <c r="D98" s="23">
        <v>791320</v>
      </c>
      <c r="E98" s="23">
        <v>356</v>
      </c>
      <c r="F98" s="23">
        <v>128160</v>
      </c>
      <c r="G98" s="23">
        <v>0</v>
      </c>
      <c r="H98" s="23">
        <v>0</v>
      </c>
      <c r="I98" s="23">
        <v>59000</v>
      </c>
      <c r="J98" s="23">
        <v>144246</v>
      </c>
      <c r="K98" s="23">
        <v>3555574.3</v>
      </c>
      <c r="L98" s="23">
        <v>834870.3</v>
      </c>
      <c r="M98" s="23">
        <v>5130284</v>
      </c>
      <c r="N98" s="23">
        <v>4429905</v>
      </c>
      <c r="O98" s="26">
        <v>32271683.149</v>
      </c>
    </row>
    <row r="99" spans="1:15" ht="15.75" hidden="1" thickBot="1" x14ac:dyDescent="0.3">
      <c r="A99" s="21"/>
      <c r="B99" s="22" t="s">
        <v>33</v>
      </c>
      <c r="C99" s="23">
        <v>4572</v>
      </c>
      <c r="D99" s="23">
        <v>667512</v>
      </c>
      <c r="E99" s="23">
        <v>402</v>
      </c>
      <c r="F99" s="23">
        <v>144720</v>
      </c>
      <c r="G99" s="23">
        <v>0</v>
      </c>
      <c r="H99" s="23">
        <v>55000</v>
      </c>
      <c r="I99" s="23">
        <v>40500</v>
      </c>
      <c r="J99" s="23">
        <v>189174</v>
      </c>
      <c r="K99" s="23">
        <v>3555874.3</v>
      </c>
      <c r="L99" s="23">
        <v>657136.30000000005</v>
      </c>
      <c r="M99" s="23">
        <v>4791646</v>
      </c>
      <c r="N99" s="23">
        <v>11376347</v>
      </c>
      <c r="O99" s="26">
        <v>25771552.148999996</v>
      </c>
    </row>
    <row r="100" spans="1:15" ht="15.75" hidden="1" thickBot="1" x14ac:dyDescent="0.3">
      <c r="A100" s="21"/>
      <c r="B100" s="22" t="s">
        <v>34</v>
      </c>
      <c r="C100" s="23">
        <v>7319</v>
      </c>
      <c r="D100" s="23">
        <v>1068574</v>
      </c>
      <c r="E100" s="23">
        <v>1344</v>
      </c>
      <c r="F100" s="23">
        <v>500400</v>
      </c>
      <c r="G100" s="23">
        <v>0</v>
      </c>
      <c r="H100" s="23">
        <v>0</v>
      </c>
      <c r="I100" s="23">
        <v>44000</v>
      </c>
      <c r="J100" s="23">
        <v>197334</v>
      </c>
      <c r="K100" s="23">
        <v>3594474.3</v>
      </c>
      <c r="L100" s="23">
        <v>678513.3</v>
      </c>
      <c r="M100" s="23">
        <v>5409580</v>
      </c>
      <c r="N100" s="23">
        <v>3993155</v>
      </c>
      <c r="O100" s="26">
        <v>27363030.149</v>
      </c>
    </row>
    <row r="101" spans="1:15" ht="15.75" hidden="1" thickBot="1" x14ac:dyDescent="0.3">
      <c r="A101" s="21"/>
      <c r="B101" s="22" t="s">
        <v>35</v>
      </c>
      <c r="C101" s="23">
        <v>-7747</v>
      </c>
      <c r="D101" s="23">
        <v>-1131062</v>
      </c>
      <c r="E101" s="23">
        <v>-1713</v>
      </c>
      <c r="F101" s="23">
        <v>-532440</v>
      </c>
      <c r="G101" s="23">
        <v>0</v>
      </c>
      <c r="H101" s="23">
        <v>0</v>
      </c>
      <c r="I101" s="23">
        <v>4000</v>
      </c>
      <c r="J101" s="23">
        <v>-3219270</v>
      </c>
      <c r="K101" s="23">
        <v>3647562.3</v>
      </c>
      <c r="L101" s="23">
        <v>-2697303.7</v>
      </c>
      <c r="M101" s="23">
        <v>5595172</v>
      </c>
      <c r="N101" s="23">
        <v>5942619</v>
      </c>
      <c r="O101" s="26">
        <v>23756911.149</v>
      </c>
    </row>
    <row r="102" spans="1:15" ht="15.75" hidden="1" thickBot="1" x14ac:dyDescent="0.3">
      <c r="A102" s="21"/>
      <c r="B102" s="22" t="s">
        <v>36</v>
      </c>
      <c r="C102" s="23">
        <v>18993</v>
      </c>
      <c r="D102" s="23">
        <v>2772978</v>
      </c>
      <c r="E102" s="23">
        <v>7354</v>
      </c>
      <c r="F102" s="23">
        <v>2932920</v>
      </c>
      <c r="G102" s="23">
        <v>0</v>
      </c>
      <c r="H102" s="23">
        <v>0</v>
      </c>
      <c r="I102" s="23">
        <v>4000</v>
      </c>
      <c r="J102" s="23">
        <v>3528626</v>
      </c>
      <c r="K102" s="23">
        <v>240768.29999999981</v>
      </c>
      <c r="L102" s="23">
        <v>633155.29999999981</v>
      </c>
      <c r="M102" s="23">
        <v>6178366</v>
      </c>
      <c r="N102" s="23">
        <v>6220404</v>
      </c>
      <c r="O102" s="26">
        <v>27188946.148999996</v>
      </c>
    </row>
    <row r="103" spans="1:15" ht="15.75" hidden="1" thickBot="1" x14ac:dyDescent="0.3">
      <c r="A103" s="21"/>
      <c r="B103" s="22" t="s">
        <v>37</v>
      </c>
      <c r="C103" s="23">
        <v>5508</v>
      </c>
      <c r="D103" s="23">
        <v>804168</v>
      </c>
      <c r="E103" s="23">
        <v>4427</v>
      </c>
      <c r="F103" s="23">
        <v>2093400</v>
      </c>
      <c r="G103" s="23">
        <v>0</v>
      </c>
      <c r="H103" s="23">
        <v>0</v>
      </c>
      <c r="I103" s="23">
        <v>4000</v>
      </c>
      <c r="J103" s="23">
        <v>234248</v>
      </c>
      <c r="K103" s="23">
        <v>3437704.3</v>
      </c>
      <c r="L103" s="23">
        <v>462179.29999999981</v>
      </c>
      <c r="M103" s="23">
        <v>6621847</v>
      </c>
      <c r="N103" s="23">
        <v>6707733</v>
      </c>
      <c r="O103" s="26">
        <v>27282466.148999996</v>
      </c>
    </row>
    <row r="104" spans="1:15" ht="15.75" hidden="1" thickBot="1" x14ac:dyDescent="0.3">
      <c r="A104" s="21">
        <v>2011</v>
      </c>
      <c r="B104" s="22" t="s">
        <v>38</v>
      </c>
      <c r="C104" s="23">
        <v>17002</v>
      </c>
      <c r="D104" s="23">
        <v>2482292</v>
      </c>
      <c r="E104" s="23">
        <v>7591</v>
      </c>
      <c r="F104" s="23">
        <v>3335400</v>
      </c>
      <c r="G104" s="23">
        <v>29649</v>
      </c>
      <c r="H104" s="23">
        <v>0</v>
      </c>
      <c r="I104" s="23">
        <v>4000</v>
      </c>
      <c r="J104" s="23">
        <v>60000</v>
      </c>
      <c r="K104" s="23">
        <v>3625600</v>
      </c>
      <c r="L104" s="23">
        <v>263500</v>
      </c>
      <c r="M104" s="23">
        <v>9796441</v>
      </c>
      <c r="N104" s="23">
        <v>5633265</v>
      </c>
      <c r="O104" s="26">
        <v>31492466.148999996</v>
      </c>
    </row>
    <row r="105" spans="1:15" ht="15.75" hidden="1" thickBot="1" x14ac:dyDescent="0.3">
      <c r="A105" s="21"/>
      <c r="B105" s="22" t="s">
        <v>27</v>
      </c>
      <c r="C105" s="23">
        <v>6726</v>
      </c>
      <c r="D105" s="23">
        <v>981996</v>
      </c>
      <c r="E105" s="23">
        <v>4755</v>
      </c>
      <c r="F105" s="23">
        <v>2343510</v>
      </c>
      <c r="G105" s="23">
        <v>0</v>
      </c>
      <c r="H105" s="23">
        <v>0</v>
      </c>
      <c r="I105" s="23">
        <v>4000</v>
      </c>
      <c r="J105" s="23">
        <v>60000</v>
      </c>
      <c r="K105" s="23">
        <v>3625600</v>
      </c>
      <c r="L105" s="23">
        <v>273216</v>
      </c>
      <c r="M105" s="23">
        <v>7284322</v>
      </c>
      <c r="N105" s="23">
        <v>6358866</v>
      </c>
      <c r="O105" s="26">
        <v>29926484.149</v>
      </c>
    </row>
    <row r="106" spans="1:15" ht="15.75" hidden="1" thickBot="1" x14ac:dyDescent="0.3">
      <c r="A106" s="21"/>
      <c r="B106" s="22" t="s">
        <v>28</v>
      </c>
      <c r="C106" s="23">
        <v>5952</v>
      </c>
      <c r="D106" s="23">
        <v>868992</v>
      </c>
      <c r="E106" s="23">
        <v>3558</v>
      </c>
      <c r="F106" s="23">
        <v>1519200</v>
      </c>
      <c r="G106" s="23">
        <v>0</v>
      </c>
      <c r="H106" s="23">
        <v>0</v>
      </c>
      <c r="I106" s="23">
        <v>4000</v>
      </c>
      <c r="J106" s="23">
        <v>56000</v>
      </c>
      <c r="K106" s="23">
        <v>3625600</v>
      </c>
      <c r="L106" s="23">
        <v>316099</v>
      </c>
      <c r="M106" s="23">
        <v>6345729</v>
      </c>
      <c r="N106" s="23">
        <v>5544421</v>
      </c>
      <c r="O106" s="26">
        <v>30682398.149</v>
      </c>
    </row>
    <row r="107" spans="1:15" ht="15.75" hidden="1" thickBot="1" x14ac:dyDescent="0.3">
      <c r="A107" s="21"/>
      <c r="B107" s="22" t="s">
        <v>29</v>
      </c>
      <c r="C107" s="23">
        <v>6297</v>
      </c>
      <c r="D107" s="23">
        <v>919362</v>
      </c>
      <c r="E107" s="23">
        <v>2882</v>
      </c>
      <c r="F107" s="23">
        <v>1186740</v>
      </c>
      <c r="G107" s="23">
        <v>0</v>
      </c>
      <c r="H107" s="23">
        <v>0</v>
      </c>
      <c r="I107" s="23">
        <v>4000</v>
      </c>
      <c r="J107" s="23">
        <v>56000</v>
      </c>
      <c r="K107" s="23">
        <v>3625600</v>
      </c>
      <c r="L107" s="23">
        <v>271868</v>
      </c>
      <c r="M107" s="23">
        <v>6059570</v>
      </c>
      <c r="N107" s="23">
        <v>8409508</v>
      </c>
      <c r="O107" s="26">
        <v>28276472.148999996</v>
      </c>
    </row>
    <row r="108" spans="1:15" ht="15.75" hidden="1" thickBot="1" x14ac:dyDescent="0.3">
      <c r="A108" s="21"/>
      <c r="B108" s="22" t="s">
        <v>30</v>
      </c>
      <c r="C108" s="23">
        <v>4069</v>
      </c>
      <c r="D108" s="23">
        <v>594074</v>
      </c>
      <c r="E108" s="23">
        <v>1146</v>
      </c>
      <c r="F108" s="23">
        <v>450720</v>
      </c>
      <c r="G108" s="23">
        <v>0</v>
      </c>
      <c r="H108" s="23">
        <v>0</v>
      </c>
      <c r="I108" s="23">
        <v>4000</v>
      </c>
      <c r="J108" s="23">
        <v>56000</v>
      </c>
      <c r="K108" s="23">
        <v>3625600</v>
      </c>
      <c r="L108" s="23">
        <v>274218</v>
      </c>
      <c r="M108" s="23">
        <v>5000612</v>
      </c>
      <c r="N108" s="23">
        <v>4432575</v>
      </c>
      <c r="O108" s="26">
        <v>28998053.148999996</v>
      </c>
    </row>
    <row r="109" spans="1:15" ht="15.75" hidden="1" thickBot="1" x14ac:dyDescent="0.3">
      <c r="A109" s="21"/>
      <c r="B109" s="22" t="s">
        <v>31</v>
      </c>
      <c r="C109" s="23">
        <v>3984</v>
      </c>
      <c r="D109" s="23">
        <v>581664</v>
      </c>
      <c r="E109" s="23">
        <v>868</v>
      </c>
      <c r="F109" s="23">
        <v>312480</v>
      </c>
      <c r="G109" s="23">
        <v>0</v>
      </c>
      <c r="H109" s="23">
        <v>0</v>
      </c>
      <c r="I109" s="23">
        <v>4000</v>
      </c>
      <c r="J109" s="23">
        <v>56000</v>
      </c>
      <c r="K109" s="23">
        <v>3625600</v>
      </c>
      <c r="L109" s="23">
        <v>334785</v>
      </c>
      <c r="M109" s="23">
        <v>4910529</v>
      </c>
      <c r="N109" s="23">
        <v>3373824</v>
      </c>
      <c r="O109" s="26">
        <v>30538758.148999996</v>
      </c>
    </row>
    <row r="110" spans="1:15" ht="15.75" hidden="1" thickBot="1" x14ac:dyDescent="0.3">
      <c r="A110" s="21"/>
      <c r="B110" s="22" t="s">
        <v>32</v>
      </c>
      <c r="C110" s="23">
        <v>4922</v>
      </c>
      <c r="D110" s="23">
        <v>718612</v>
      </c>
      <c r="E110" s="23">
        <v>511</v>
      </c>
      <c r="F110" s="23">
        <v>183960</v>
      </c>
      <c r="G110" s="23">
        <v>0</v>
      </c>
      <c r="H110" s="23">
        <v>0</v>
      </c>
      <c r="I110" s="23">
        <v>8000</v>
      </c>
      <c r="J110" s="23">
        <v>68000</v>
      </c>
      <c r="K110" s="23">
        <v>3625600</v>
      </c>
      <c r="L110" s="23">
        <v>307258</v>
      </c>
      <c r="M110" s="23">
        <v>4903430</v>
      </c>
      <c r="N110" s="23">
        <v>4734936</v>
      </c>
      <c r="O110" s="26">
        <v>30657580.148999996</v>
      </c>
    </row>
    <row r="111" spans="1:15" ht="15.75" hidden="1" thickBot="1" x14ac:dyDescent="0.3">
      <c r="A111" s="21"/>
      <c r="B111" s="22" t="s">
        <v>33</v>
      </c>
      <c r="C111" s="23">
        <v>4109</v>
      </c>
      <c r="D111" s="23">
        <v>599914</v>
      </c>
      <c r="E111" s="23">
        <v>458</v>
      </c>
      <c r="F111" s="23">
        <v>164880</v>
      </c>
      <c r="G111" s="23">
        <v>0</v>
      </c>
      <c r="H111" s="23">
        <v>0</v>
      </c>
      <c r="I111" s="23">
        <v>8000</v>
      </c>
      <c r="J111" s="23">
        <v>68000</v>
      </c>
      <c r="K111" s="23">
        <v>3625600</v>
      </c>
      <c r="L111" s="23">
        <v>350956</v>
      </c>
      <c r="M111" s="23">
        <v>4809350</v>
      </c>
      <c r="N111" s="23">
        <v>3390323</v>
      </c>
      <c r="O111" s="26">
        <v>32146279.148999996</v>
      </c>
    </row>
    <row r="112" spans="1:15" ht="15.75" hidden="1" thickBot="1" x14ac:dyDescent="0.3">
      <c r="A112" s="21"/>
      <c r="B112" s="22" t="s">
        <v>34</v>
      </c>
      <c r="C112" s="23">
        <v>5121</v>
      </c>
      <c r="D112" s="23">
        <v>747666</v>
      </c>
      <c r="E112" s="23">
        <v>1082</v>
      </c>
      <c r="F112" s="23">
        <v>389520</v>
      </c>
      <c r="G112" s="23">
        <v>0</v>
      </c>
      <c r="H112" s="23">
        <v>0</v>
      </c>
      <c r="I112" s="23">
        <v>8000</v>
      </c>
      <c r="J112" s="23">
        <v>68000</v>
      </c>
      <c r="K112" s="23">
        <v>3625600</v>
      </c>
      <c r="L112" s="23">
        <v>360293</v>
      </c>
      <c r="M112" s="23">
        <v>5191079</v>
      </c>
      <c r="N112" s="23">
        <v>4384746</v>
      </c>
      <c r="O112" s="26">
        <v>32964612.148999996</v>
      </c>
    </row>
    <row r="113" spans="1:15" ht="15.75" hidden="1" thickBot="1" x14ac:dyDescent="0.3">
      <c r="A113" s="21"/>
      <c r="B113" s="22" t="s">
        <v>35</v>
      </c>
      <c r="C113" s="23">
        <v>5120</v>
      </c>
      <c r="D113" s="23">
        <v>747520</v>
      </c>
      <c r="E113" s="23">
        <v>2020</v>
      </c>
      <c r="F113" s="23">
        <v>747360</v>
      </c>
      <c r="G113" s="23">
        <v>0</v>
      </c>
      <c r="H113" s="23">
        <v>0</v>
      </c>
      <c r="I113" s="23">
        <v>8000</v>
      </c>
      <c r="J113" s="23">
        <v>68000</v>
      </c>
      <c r="K113" s="23">
        <v>3625600</v>
      </c>
      <c r="L113" s="23">
        <v>309473</v>
      </c>
      <c r="M113" s="23">
        <v>5497953</v>
      </c>
      <c r="N113" s="23">
        <v>4615660</v>
      </c>
      <c r="O113" s="26">
        <v>33858905.148999996</v>
      </c>
    </row>
    <row r="114" spans="1:15" ht="15.75" hidden="1" thickBot="1" x14ac:dyDescent="0.3">
      <c r="A114" s="21"/>
      <c r="B114" s="22" t="s">
        <v>36</v>
      </c>
      <c r="C114" s="23">
        <v>6171</v>
      </c>
      <c r="D114" s="23">
        <v>900966</v>
      </c>
      <c r="E114" s="23">
        <v>2973</v>
      </c>
      <c r="F114" s="23">
        <v>1358820</v>
      </c>
      <c r="G114" s="23">
        <v>0</v>
      </c>
      <c r="H114" s="23">
        <v>0</v>
      </c>
      <c r="I114" s="23">
        <v>8000</v>
      </c>
      <c r="J114" s="23">
        <v>68000</v>
      </c>
      <c r="K114" s="23">
        <v>3627809</v>
      </c>
      <c r="L114" s="23">
        <v>324404</v>
      </c>
      <c r="M114" s="23">
        <v>6266582</v>
      </c>
      <c r="N114" s="23">
        <v>6591078</v>
      </c>
      <c r="O114" s="26">
        <v>33503030.148999996</v>
      </c>
    </row>
    <row r="115" spans="1:15" ht="15.75" hidden="1" thickBot="1" x14ac:dyDescent="0.3">
      <c r="A115" s="21"/>
      <c r="B115" s="22" t="s">
        <v>37</v>
      </c>
      <c r="C115" s="23">
        <v>7386</v>
      </c>
      <c r="D115" s="23">
        <v>1078356</v>
      </c>
      <c r="E115" s="23">
        <v>4734</v>
      </c>
      <c r="F115" s="23">
        <v>2310840</v>
      </c>
      <c r="G115" s="23">
        <v>0</v>
      </c>
      <c r="H115" s="23">
        <v>0</v>
      </c>
      <c r="I115" s="23">
        <v>8000</v>
      </c>
      <c r="J115" s="23">
        <v>68000</v>
      </c>
      <c r="K115" s="23">
        <v>3627809</v>
      </c>
      <c r="L115" s="23">
        <v>388941</v>
      </c>
      <c r="M115" s="23">
        <v>7473946</v>
      </c>
      <c r="N115" s="23">
        <v>7333028</v>
      </c>
      <c r="O115" s="26">
        <v>33712744.148999996</v>
      </c>
    </row>
    <row r="116" spans="1:15" ht="15.75" hidden="1" thickBot="1" x14ac:dyDescent="0.3">
      <c r="A116" s="21">
        <v>2012</v>
      </c>
      <c r="B116" s="22" t="s">
        <v>38</v>
      </c>
      <c r="C116" s="23">
        <v>8492</v>
      </c>
      <c r="D116" s="23">
        <v>1239832</v>
      </c>
      <c r="E116" s="23">
        <v>5008</v>
      </c>
      <c r="F116" s="23">
        <v>2416680</v>
      </c>
      <c r="G116" s="23">
        <v>0</v>
      </c>
      <c r="H116" s="23">
        <v>0</v>
      </c>
      <c r="I116" s="23">
        <v>33466</v>
      </c>
      <c r="J116" s="23">
        <v>131665</v>
      </c>
      <c r="K116" s="23">
        <v>3766976</v>
      </c>
      <c r="L116" s="23">
        <v>369910</v>
      </c>
      <c r="M116" s="23">
        <v>7950529</v>
      </c>
      <c r="N116" s="23">
        <v>6052319</v>
      </c>
      <c r="O116" s="26">
        <v>35622954.148999996</v>
      </c>
    </row>
    <row r="117" spans="1:15" ht="15.75" hidden="1" thickBot="1" x14ac:dyDescent="0.3">
      <c r="A117" s="21"/>
      <c r="B117" s="22" t="s">
        <v>27</v>
      </c>
      <c r="C117" s="23">
        <v>7794</v>
      </c>
      <c r="D117" s="23">
        <v>1137924</v>
      </c>
      <c r="E117" s="23">
        <v>4307</v>
      </c>
      <c r="F117" s="23">
        <v>1917720</v>
      </c>
      <c r="G117" s="23">
        <v>0</v>
      </c>
      <c r="H117" s="23">
        <v>0</v>
      </c>
      <c r="I117" s="23">
        <v>8000</v>
      </c>
      <c r="J117" s="23">
        <v>68000</v>
      </c>
      <c r="K117" s="23">
        <v>3766976</v>
      </c>
      <c r="L117" s="23">
        <v>385246</v>
      </c>
      <c r="M117" s="23">
        <v>7251413</v>
      </c>
      <c r="N117" s="23">
        <v>6048894</v>
      </c>
      <c r="O117" s="26">
        <v>36874659.149000004</v>
      </c>
    </row>
    <row r="118" spans="1:15" ht="15.75" hidden="1" thickBot="1" x14ac:dyDescent="0.3">
      <c r="A118" s="21"/>
      <c r="B118" s="22" t="s">
        <v>28</v>
      </c>
      <c r="C118" s="23">
        <v>7614</v>
      </c>
      <c r="D118" s="23">
        <v>1111644</v>
      </c>
      <c r="E118" s="23">
        <v>4078</v>
      </c>
      <c r="F118" s="23">
        <v>1768500</v>
      </c>
      <c r="G118" s="23">
        <v>0</v>
      </c>
      <c r="H118" s="23">
        <v>0</v>
      </c>
      <c r="I118" s="23">
        <v>8000</v>
      </c>
      <c r="J118" s="23">
        <v>68000</v>
      </c>
      <c r="K118" s="23">
        <v>3766976</v>
      </c>
      <c r="L118" s="23">
        <v>392731</v>
      </c>
      <c r="M118" s="23">
        <v>7107851</v>
      </c>
      <c r="N118" s="23">
        <v>6495359</v>
      </c>
      <c r="O118" s="26">
        <v>37499151.149000004</v>
      </c>
    </row>
    <row r="119" spans="1:15" ht="15.75" hidden="1" thickBot="1" x14ac:dyDescent="0.3">
      <c r="A119" s="21"/>
      <c r="B119" s="22" t="s">
        <v>29</v>
      </c>
      <c r="C119" s="23">
        <v>5931</v>
      </c>
      <c r="D119" s="23">
        <v>865926</v>
      </c>
      <c r="E119" s="23">
        <v>2770</v>
      </c>
      <c r="F119" s="23">
        <v>1060560</v>
      </c>
      <c r="G119" s="23">
        <v>0</v>
      </c>
      <c r="H119" s="23">
        <v>0</v>
      </c>
      <c r="I119" s="23">
        <v>71432</v>
      </c>
      <c r="J119" s="23">
        <v>68000</v>
      </c>
      <c r="K119" s="23">
        <v>3766976</v>
      </c>
      <c r="L119" s="23">
        <v>372044</v>
      </c>
      <c r="M119" s="23">
        <v>6165888</v>
      </c>
      <c r="N119" s="23">
        <v>5314576</v>
      </c>
      <c r="O119" s="26">
        <v>38334654.149000004</v>
      </c>
    </row>
    <row r="120" spans="1:15" ht="15.75" hidden="1" thickBot="1" x14ac:dyDescent="0.3">
      <c r="A120" s="21"/>
      <c r="B120" s="22" t="s">
        <v>30</v>
      </c>
      <c r="C120" s="23">
        <v>7483</v>
      </c>
      <c r="D120" s="23">
        <v>1092518</v>
      </c>
      <c r="E120" s="23">
        <v>2826</v>
      </c>
      <c r="F120" s="23">
        <v>1362240</v>
      </c>
      <c r="G120" s="23">
        <v>0</v>
      </c>
      <c r="H120" s="23">
        <v>0</v>
      </c>
      <c r="I120" s="23">
        <v>188000</v>
      </c>
      <c r="J120" s="23">
        <v>68000</v>
      </c>
      <c r="K120" s="23">
        <v>3766976</v>
      </c>
      <c r="L120" s="23">
        <v>379256</v>
      </c>
      <c r="M120" s="23">
        <v>6728990</v>
      </c>
      <c r="N120" s="23">
        <v>6052094</v>
      </c>
      <c r="O120" s="26">
        <v>39282409.149000004</v>
      </c>
    </row>
    <row r="121" spans="1:15" ht="15.75" hidden="1" thickBot="1" x14ac:dyDescent="0.3">
      <c r="A121" s="21"/>
      <c r="B121" s="22" t="s">
        <v>31</v>
      </c>
      <c r="C121" s="23">
        <v>2175</v>
      </c>
      <c r="D121" s="23">
        <v>707662</v>
      </c>
      <c r="E121" s="23">
        <v>427</v>
      </c>
      <c r="F121" s="23">
        <v>153720</v>
      </c>
      <c r="G121" s="23">
        <v>0</v>
      </c>
      <c r="H121" s="23">
        <v>0</v>
      </c>
      <c r="I121" s="23">
        <v>88000</v>
      </c>
      <c r="J121" s="23">
        <v>72000</v>
      </c>
      <c r="K121" s="23">
        <v>3766976</v>
      </c>
      <c r="L121" s="23">
        <v>353852</v>
      </c>
      <c r="M121" s="23">
        <v>5114595</v>
      </c>
      <c r="N121" s="23">
        <v>6144996</v>
      </c>
      <c r="O121" s="26">
        <v>38224764.148999996</v>
      </c>
    </row>
    <row r="122" spans="1:15" ht="15.75" hidden="1" thickBot="1" x14ac:dyDescent="0.3">
      <c r="A122" s="21"/>
      <c r="B122" s="22" t="s">
        <v>32</v>
      </c>
      <c r="C122" s="23">
        <v>7614</v>
      </c>
      <c r="D122" s="23">
        <v>721532</v>
      </c>
      <c r="E122" s="23">
        <v>504</v>
      </c>
      <c r="F122" s="23">
        <v>181440</v>
      </c>
      <c r="G122" s="23">
        <v>0</v>
      </c>
      <c r="H122" s="23">
        <v>63432</v>
      </c>
      <c r="I122" s="23">
        <v>67432</v>
      </c>
      <c r="J122" s="23">
        <v>76000</v>
      </c>
      <c r="K122" s="23">
        <v>3766976</v>
      </c>
      <c r="L122" s="23">
        <v>389043</v>
      </c>
      <c r="M122" s="23">
        <v>5198423</v>
      </c>
      <c r="N122" s="23">
        <v>4975041</v>
      </c>
      <c r="O122" s="26">
        <v>38531294.148999996</v>
      </c>
    </row>
    <row r="123" spans="1:15" ht="15.75" hidden="1" thickBot="1" x14ac:dyDescent="0.3">
      <c r="A123" s="21"/>
      <c r="B123" s="22" t="s">
        <v>33</v>
      </c>
      <c r="C123" s="23">
        <v>4973</v>
      </c>
      <c r="D123" s="23">
        <v>726058</v>
      </c>
      <c r="E123" s="23">
        <v>578</v>
      </c>
      <c r="F123" s="23">
        <v>208080</v>
      </c>
      <c r="G123" s="23">
        <v>0</v>
      </c>
      <c r="H123" s="23">
        <v>0</v>
      </c>
      <c r="I123" s="23">
        <v>0</v>
      </c>
      <c r="J123" s="23">
        <v>215000</v>
      </c>
      <c r="K123" s="23">
        <v>3766976</v>
      </c>
      <c r="L123" s="23">
        <v>352914</v>
      </c>
      <c r="M123" s="23">
        <v>5269028</v>
      </c>
      <c r="N123" s="23">
        <v>4378318</v>
      </c>
      <c r="O123" s="26">
        <v>39469147.148999996</v>
      </c>
    </row>
    <row r="124" spans="1:15" ht="15.75" hidden="1" thickBot="1" x14ac:dyDescent="0.3">
      <c r="A124" s="21"/>
      <c r="B124" s="22" t="s">
        <v>34</v>
      </c>
      <c r="C124" s="23">
        <v>5709</v>
      </c>
      <c r="D124" s="23">
        <v>833514</v>
      </c>
      <c r="E124" s="23">
        <v>1371</v>
      </c>
      <c r="F124" s="23">
        <v>493560</v>
      </c>
      <c r="G124" s="23">
        <v>0</v>
      </c>
      <c r="H124" s="23">
        <v>0</v>
      </c>
      <c r="I124" s="23">
        <v>0</v>
      </c>
      <c r="J124" s="23">
        <v>225000</v>
      </c>
      <c r="K124" s="23">
        <v>3766976</v>
      </c>
      <c r="L124" s="23">
        <v>391993</v>
      </c>
      <c r="M124" s="23">
        <v>5694182</v>
      </c>
      <c r="N124" s="23">
        <v>5507917</v>
      </c>
      <c r="O124" s="26">
        <v>39672273.148999996</v>
      </c>
    </row>
    <row r="125" spans="1:15" ht="15.75" hidden="1" thickBot="1" x14ac:dyDescent="0.3">
      <c r="A125" s="21"/>
      <c r="B125" s="22" t="s">
        <v>35</v>
      </c>
      <c r="C125" s="23">
        <v>2682</v>
      </c>
      <c r="D125" s="23">
        <v>781684</v>
      </c>
      <c r="E125" s="23">
        <v>1753</v>
      </c>
      <c r="F125" s="23">
        <v>634320</v>
      </c>
      <c r="G125" s="23">
        <v>0</v>
      </c>
      <c r="H125" s="23">
        <v>0</v>
      </c>
      <c r="I125" s="23">
        <v>0</v>
      </c>
      <c r="J125" s="23">
        <v>215000</v>
      </c>
      <c r="K125" s="23">
        <v>3766976</v>
      </c>
      <c r="L125" s="23">
        <v>318262</v>
      </c>
      <c r="M125" s="23">
        <v>5716242</v>
      </c>
      <c r="N125" s="23">
        <v>4826808</v>
      </c>
      <c r="O125" s="26">
        <v>40499940.148999996</v>
      </c>
    </row>
    <row r="126" spans="1:15" ht="15.75" hidden="1" thickBot="1" x14ac:dyDescent="0.3">
      <c r="A126" s="21"/>
      <c r="B126" s="22" t="s">
        <v>36</v>
      </c>
      <c r="C126" s="23">
        <v>5653</v>
      </c>
      <c r="D126" s="23">
        <v>825338</v>
      </c>
      <c r="E126" s="23">
        <v>4242</v>
      </c>
      <c r="F126" s="23">
        <v>2157120</v>
      </c>
      <c r="G126" s="23">
        <v>0</v>
      </c>
      <c r="H126" s="23">
        <v>0</v>
      </c>
      <c r="I126" s="23">
        <v>139912</v>
      </c>
      <c r="J126" s="23">
        <v>215000</v>
      </c>
      <c r="K126" s="23">
        <v>3767851</v>
      </c>
      <c r="L126" s="23">
        <v>563946</v>
      </c>
      <c r="M126" s="23">
        <v>7583028</v>
      </c>
      <c r="N126" s="23">
        <v>5602386</v>
      </c>
      <c r="O126" s="26">
        <v>42654525.848999999</v>
      </c>
    </row>
    <row r="127" spans="1:15" ht="15.75" hidden="1" thickBot="1" x14ac:dyDescent="0.3">
      <c r="A127" s="21"/>
      <c r="B127" s="22" t="s">
        <v>37</v>
      </c>
      <c r="C127" s="23">
        <v>6048</v>
      </c>
      <c r="D127" s="23">
        <v>883008</v>
      </c>
      <c r="E127" s="23">
        <v>4091</v>
      </c>
      <c r="F127" s="23">
        <v>1530720</v>
      </c>
      <c r="G127" s="23">
        <v>0</v>
      </c>
      <c r="H127" s="23">
        <v>0</v>
      </c>
      <c r="I127" s="23">
        <v>12288</v>
      </c>
      <c r="J127" s="23">
        <v>215000</v>
      </c>
      <c r="K127" s="23">
        <v>3767851</v>
      </c>
      <c r="L127" s="23">
        <v>335890</v>
      </c>
      <c r="M127" s="23">
        <v>6744757</v>
      </c>
      <c r="N127" s="23">
        <v>7408239</v>
      </c>
      <c r="O127" s="26">
        <v>41932184.949000001</v>
      </c>
    </row>
    <row r="128" spans="1:15" ht="15.75" hidden="1" thickBot="1" x14ac:dyDescent="0.3">
      <c r="A128" s="21">
        <v>2013</v>
      </c>
      <c r="B128" s="22" t="s">
        <v>38</v>
      </c>
      <c r="C128" s="23">
        <v>9146</v>
      </c>
      <c r="D128" s="23">
        <v>1337944</v>
      </c>
      <c r="E128" s="23">
        <v>5393</v>
      </c>
      <c r="F128" s="23">
        <v>2593440</v>
      </c>
      <c r="G128" s="23">
        <v>0</v>
      </c>
      <c r="H128" s="23">
        <v>0</v>
      </c>
      <c r="I128" s="23">
        <v>0</v>
      </c>
      <c r="J128" s="23">
        <v>215000</v>
      </c>
      <c r="K128" s="23">
        <v>3822976</v>
      </c>
      <c r="L128" s="23">
        <v>494722</v>
      </c>
      <c r="M128" s="23">
        <v>8392469</v>
      </c>
      <c r="N128" s="23">
        <v>7329047</v>
      </c>
      <c r="O128" s="26">
        <v>43004448.949000001</v>
      </c>
    </row>
    <row r="129" spans="1:15" ht="15.75" hidden="1" thickBot="1" x14ac:dyDescent="0.3">
      <c r="A129" s="21"/>
      <c r="B129" s="22" t="s">
        <v>27</v>
      </c>
      <c r="C129" s="23">
        <v>8749</v>
      </c>
      <c r="D129" s="23">
        <v>1277354</v>
      </c>
      <c r="E129" s="23">
        <v>4485</v>
      </c>
      <c r="F129" s="23">
        <v>1911780</v>
      </c>
      <c r="G129" s="23">
        <v>0</v>
      </c>
      <c r="H129" s="23">
        <v>565248</v>
      </c>
      <c r="I129" s="23">
        <v>147456</v>
      </c>
      <c r="J129" s="23">
        <v>205000</v>
      </c>
      <c r="K129" s="23">
        <v>3822976</v>
      </c>
      <c r="L129" s="23">
        <v>414314</v>
      </c>
      <c r="M129" s="23">
        <v>8153023</v>
      </c>
      <c r="N129" s="23">
        <v>6931446</v>
      </c>
      <c r="O129" s="26">
        <v>44639772.949000001</v>
      </c>
    </row>
    <row r="130" spans="1:15" ht="15.75" hidden="1" thickBot="1" x14ac:dyDescent="0.3">
      <c r="A130" s="21"/>
      <c r="B130" s="22" t="s">
        <v>28</v>
      </c>
      <c r="C130" s="23">
        <v>6973</v>
      </c>
      <c r="D130" s="23">
        <v>1018058</v>
      </c>
      <c r="E130" s="23">
        <v>3992</v>
      </c>
      <c r="F130" s="23">
        <v>1842840</v>
      </c>
      <c r="G130" s="23">
        <v>0</v>
      </c>
      <c r="H130" s="23">
        <v>0</v>
      </c>
      <c r="I130" s="23">
        <v>0</v>
      </c>
      <c r="J130" s="23">
        <v>205000</v>
      </c>
      <c r="K130" s="23">
        <v>3822976</v>
      </c>
      <c r="L130" s="23">
        <v>538235</v>
      </c>
      <c r="M130" s="23">
        <v>7427109</v>
      </c>
      <c r="N130" s="23">
        <v>7492844</v>
      </c>
      <c r="O130" s="26">
        <v>44514305.949000001</v>
      </c>
    </row>
    <row r="131" spans="1:15" ht="15.75" hidden="1" thickBot="1" x14ac:dyDescent="0.3">
      <c r="A131" s="21"/>
      <c r="B131" s="22" t="s">
        <v>29</v>
      </c>
      <c r="C131" s="23">
        <v>6518</v>
      </c>
      <c r="D131" s="23">
        <v>951628</v>
      </c>
      <c r="E131" s="23">
        <v>3161</v>
      </c>
      <c r="F131" s="23">
        <v>1312200</v>
      </c>
      <c r="G131" s="23">
        <v>0</v>
      </c>
      <c r="H131" s="23">
        <v>0</v>
      </c>
      <c r="I131" s="23">
        <v>0</v>
      </c>
      <c r="J131" s="23">
        <v>210000</v>
      </c>
      <c r="K131" s="23">
        <v>3822976</v>
      </c>
      <c r="L131" s="23">
        <v>408063</v>
      </c>
      <c r="M131" s="23">
        <v>6704867</v>
      </c>
      <c r="N131" s="23">
        <v>4791475</v>
      </c>
      <c r="O131" s="26">
        <v>46434208.949000001</v>
      </c>
    </row>
    <row r="132" spans="1:15" ht="15.75" hidden="1" thickBot="1" x14ac:dyDescent="0.3">
      <c r="A132" s="21"/>
      <c r="B132" s="22" t="s">
        <v>30</v>
      </c>
      <c r="C132" s="23">
        <v>7072</v>
      </c>
      <c r="D132" s="23">
        <v>1037038</v>
      </c>
      <c r="E132" s="23">
        <v>1534</v>
      </c>
      <c r="F132" s="23">
        <v>560880</v>
      </c>
      <c r="G132" s="23">
        <v>0</v>
      </c>
      <c r="H132" s="23">
        <v>0</v>
      </c>
      <c r="I132" s="23">
        <v>0</v>
      </c>
      <c r="J132" s="23">
        <v>200000</v>
      </c>
      <c r="K132" s="23">
        <v>3822976</v>
      </c>
      <c r="L132" s="23">
        <v>584900</v>
      </c>
      <c r="M132" s="23">
        <v>6145782</v>
      </c>
      <c r="N132" s="23">
        <v>5262651</v>
      </c>
      <c r="O132" s="26">
        <v>47282443.949000001</v>
      </c>
    </row>
    <row r="133" spans="1:15" ht="15.75" hidden="1" thickBot="1" x14ac:dyDescent="0.3">
      <c r="A133" s="21"/>
      <c r="B133" s="22" t="s">
        <v>31</v>
      </c>
      <c r="C133" s="23">
        <v>5600</v>
      </c>
      <c r="D133" s="23">
        <v>817600</v>
      </c>
      <c r="E133" s="23">
        <v>424</v>
      </c>
      <c r="F133" s="23">
        <v>152640</v>
      </c>
      <c r="G133" s="23">
        <v>0</v>
      </c>
      <c r="H133" s="23">
        <v>0</v>
      </c>
      <c r="I133" s="23">
        <v>0</v>
      </c>
      <c r="J133" s="23">
        <v>200000</v>
      </c>
      <c r="K133" s="23">
        <v>3822976</v>
      </c>
      <c r="L133" s="23">
        <v>501473</v>
      </c>
      <c r="M133" s="23">
        <v>5494689</v>
      </c>
      <c r="N133" s="23">
        <v>21617885</v>
      </c>
      <c r="O133" s="26">
        <v>31086086.948999997</v>
      </c>
    </row>
    <row r="134" spans="1:15" ht="15.75" hidden="1" thickBot="1" x14ac:dyDescent="0.3">
      <c r="A134" s="21"/>
      <c r="B134" s="22" t="s">
        <v>32</v>
      </c>
      <c r="C134" s="23">
        <v>5498</v>
      </c>
      <c r="D134" s="23">
        <v>827090</v>
      </c>
      <c r="E134" s="23">
        <v>410</v>
      </c>
      <c r="F134" s="23">
        <v>147600</v>
      </c>
      <c r="G134" s="23">
        <v>0</v>
      </c>
      <c r="H134" s="23">
        <v>0</v>
      </c>
      <c r="I134" s="23">
        <v>0</v>
      </c>
      <c r="J134" s="23">
        <v>200000</v>
      </c>
      <c r="K134" s="23">
        <v>3822976</v>
      </c>
      <c r="L134" s="23">
        <v>304811</v>
      </c>
      <c r="M134" s="23">
        <v>5302477</v>
      </c>
      <c r="N134" s="23">
        <v>3916008</v>
      </c>
      <c r="O134" s="26">
        <v>32383495.948999997</v>
      </c>
    </row>
    <row r="135" spans="1:15" ht="15.75" hidden="1" thickBot="1" x14ac:dyDescent="0.3">
      <c r="A135" s="21"/>
      <c r="B135" s="22" t="s">
        <v>33</v>
      </c>
      <c r="C135" s="23">
        <v>5364</v>
      </c>
      <c r="D135" s="23">
        <v>783144</v>
      </c>
      <c r="E135" s="23">
        <v>730</v>
      </c>
      <c r="F135" s="23">
        <v>262800</v>
      </c>
      <c r="G135" s="23">
        <v>15075</v>
      </c>
      <c r="H135" s="23">
        <v>0</v>
      </c>
      <c r="I135" s="23">
        <v>149960</v>
      </c>
      <c r="J135" s="23">
        <v>200000</v>
      </c>
      <c r="K135" s="23">
        <v>3822976</v>
      </c>
      <c r="L135" s="23">
        <v>509504</v>
      </c>
      <c r="M135" s="23">
        <v>5743459</v>
      </c>
      <c r="N135" s="23">
        <v>5023601</v>
      </c>
      <c r="O135" s="26">
        <v>33043626.948999997</v>
      </c>
    </row>
    <row r="136" spans="1:15" ht="15.75" hidden="1" thickBot="1" x14ac:dyDescent="0.3">
      <c r="A136" s="21"/>
      <c r="B136" s="22" t="s">
        <v>34</v>
      </c>
      <c r="C136" s="23">
        <v>6448</v>
      </c>
      <c r="D136" s="23">
        <v>941408</v>
      </c>
      <c r="E136" s="23">
        <v>1158</v>
      </c>
      <c r="F136" s="23">
        <v>416880</v>
      </c>
      <c r="G136" s="23">
        <v>0</v>
      </c>
      <c r="H136" s="23">
        <v>0</v>
      </c>
      <c r="I136" s="23">
        <v>54470</v>
      </c>
      <c r="J136" s="23">
        <v>200000</v>
      </c>
      <c r="K136" s="23">
        <v>3822976</v>
      </c>
      <c r="L136" s="23">
        <v>250230</v>
      </c>
      <c r="M136" s="23">
        <v>5685964</v>
      </c>
      <c r="N136" s="23">
        <v>13933234</v>
      </c>
      <c r="O136" s="26">
        <v>20830944.949000001</v>
      </c>
    </row>
    <row r="137" spans="1:15" ht="15.75" hidden="1" thickBot="1" x14ac:dyDescent="0.3">
      <c r="A137" s="21"/>
      <c r="B137" s="22" t="s">
        <v>35</v>
      </c>
      <c r="C137" s="23">
        <v>6526</v>
      </c>
      <c r="D137" s="23">
        <v>952796</v>
      </c>
      <c r="E137" s="23">
        <v>3290</v>
      </c>
      <c r="F137" s="23">
        <v>1292220</v>
      </c>
      <c r="G137" s="23">
        <v>0</v>
      </c>
      <c r="H137" s="23">
        <v>49330</v>
      </c>
      <c r="I137" s="23">
        <v>12570</v>
      </c>
      <c r="J137" s="23">
        <v>202500</v>
      </c>
      <c r="K137" s="23">
        <v>3822976</v>
      </c>
      <c r="L137" s="23">
        <v>356065</v>
      </c>
      <c r="M137" s="23">
        <v>6659127</v>
      </c>
      <c r="N137" s="23">
        <v>5844237</v>
      </c>
      <c r="O137" s="26">
        <v>21615439.948999997</v>
      </c>
    </row>
    <row r="138" spans="1:15" ht="15.75" hidden="1" thickBot="1" x14ac:dyDescent="0.3">
      <c r="A138" s="21"/>
      <c r="B138" s="22" t="s">
        <v>36</v>
      </c>
      <c r="C138" s="23">
        <v>6543</v>
      </c>
      <c r="D138" s="23">
        <v>955278</v>
      </c>
      <c r="E138" s="23">
        <v>3448</v>
      </c>
      <c r="F138" s="23">
        <v>1463580</v>
      </c>
      <c r="G138" s="23">
        <v>0</v>
      </c>
      <c r="H138" s="23">
        <v>5000</v>
      </c>
      <c r="I138" s="23">
        <v>0</v>
      </c>
      <c r="J138" s="23">
        <v>205000</v>
      </c>
      <c r="K138" s="23">
        <v>3824778</v>
      </c>
      <c r="L138" s="23">
        <v>270397</v>
      </c>
      <c r="M138" s="23">
        <v>6724033</v>
      </c>
      <c r="N138" s="23">
        <v>5817575</v>
      </c>
      <c r="O138" s="26">
        <v>22445805.948999997</v>
      </c>
    </row>
    <row r="139" spans="1:15" ht="15.75" hidden="1" thickBot="1" x14ac:dyDescent="0.3">
      <c r="A139" s="21"/>
      <c r="B139" s="22" t="s">
        <v>37</v>
      </c>
      <c r="C139" s="23">
        <v>6434</v>
      </c>
      <c r="D139" s="23">
        <v>939364</v>
      </c>
      <c r="E139" s="23">
        <v>5478</v>
      </c>
      <c r="F139" s="23">
        <v>2814120</v>
      </c>
      <c r="G139" s="23">
        <v>0</v>
      </c>
      <c r="H139" s="23">
        <v>1085000</v>
      </c>
      <c r="I139" s="23">
        <v>202154</v>
      </c>
      <c r="J139" s="23">
        <v>205000</v>
      </c>
      <c r="K139" s="23">
        <v>3824778</v>
      </c>
      <c r="L139" s="23">
        <v>312434</v>
      </c>
      <c r="M139" s="23">
        <v>9102850</v>
      </c>
      <c r="N139" s="23">
        <v>9368385</v>
      </c>
      <c r="O139" s="26">
        <v>22640329.948999997</v>
      </c>
    </row>
    <row r="140" spans="1:15" ht="15.75" hidden="1" thickBot="1" x14ac:dyDescent="0.3">
      <c r="A140" s="21">
        <v>2014</v>
      </c>
      <c r="B140" s="22" t="s">
        <v>38</v>
      </c>
      <c r="C140" s="23">
        <v>8117</v>
      </c>
      <c r="D140" s="23">
        <v>1185082</v>
      </c>
      <c r="E140" s="23">
        <v>4651</v>
      </c>
      <c r="F140" s="23">
        <v>3411000</v>
      </c>
      <c r="G140" s="23">
        <v>0</v>
      </c>
      <c r="H140" s="23">
        <v>275000</v>
      </c>
      <c r="I140" s="23">
        <v>135869</v>
      </c>
      <c r="J140" s="23">
        <v>205000</v>
      </c>
      <c r="K140" s="23">
        <v>3938304</v>
      </c>
      <c r="L140" s="23">
        <v>305430</v>
      </c>
      <c r="M140" s="23">
        <v>9372960</v>
      </c>
      <c r="N140" s="23">
        <v>8711441</v>
      </c>
      <c r="O140" s="26">
        <v>23401114.948999997</v>
      </c>
    </row>
    <row r="141" spans="1:15" ht="15.75" hidden="1" thickBot="1" x14ac:dyDescent="0.3">
      <c r="A141" s="21"/>
      <c r="B141" s="22" t="s">
        <v>27</v>
      </c>
      <c r="C141" s="23">
        <v>8288</v>
      </c>
      <c r="D141" s="23">
        <v>1210048</v>
      </c>
      <c r="E141" s="23">
        <v>3296</v>
      </c>
      <c r="F141" s="23">
        <v>1652400</v>
      </c>
      <c r="G141" s="23">
        <v>0</v>
      </c>
      <c r="H141" s="23">
        <v>275000</v>
      </c>
      <c r="I141" s="23">
        <v>16541</v>
      </c>
      <c r="J141" s="23">
        <v>205000</v>
      </c>
      <c r="K141" s="23">
        <v>3938304</v>
      </c>
      <c r="L141" s="23">
        <v>296470</v>
      </c>
      <c r="M141" s="23">
        <v>7507222</v>
      </c>
      <c r="N141" s="23">
        <v>7145729</v>
      </c>
      <c r="O141" s="26">
        <v>23775926.948999997</v>
      </c>
    </row>
    <row r="142" spans="1:15" ht="15.75" hidden="1" thickBot="1" x14ac:dyDescent="0.3">
      <c r="A142" s="21"/>
      <c r="B142" s="22" t="s">
        <v>28</v>
      </c>
      <c r="C142" s="23">
        <v>6918</v>
      </c>
      <c r="D142" s="23">
        <v>1010028</v>
      </c>
      <c r="E142" s="23">
        <v>3047</v>
      </c>
      <c r="F142" s="23">
        <v>1568160</v>
      </c>
      <c r="G142" s="23">
        <v>0</v>
      </c>
      <c r="H142" s="23">
        <v>275000</v>
      </c>
      <c r="I142" s="23">
        <v>16541</v>
      </c>
      <c r="J142" s="23">
        <v>210000</v>
      </c>
      <c r="K142" s="23">
        <v>3938304</v>
      </c>
      <c r="L142" s="23">
        <v>312042</v>
      </c>
      <c r="M142" s="23">
        <v>7260075</v>
      </c>
      <c r="N142" s="23">
        <v>15817157</v>
      </c>
      <c r="O142" s="26">
        <v>15370446.949000001</v>
      </c>
    </row>
    <row r="143" spans="1:15" ht="15.75" hidden="1" thickBot="1" x14ac:dyDescent="0.3">
      <c r="A143" s="21"/>
      <c r="B143" s="22" t="s">
        <v>29</v>
      </c>
      <c r="C143" s="23">
        <v>6615</v>
      </c>
      <c r="D143" s="23">
        <v>965790</v>
      </c>
      <c r="E143" s="23">
        <v>2838</v>
      </c>
      <c r="F143" s="23">
        <v>1148940</v>
      </c>
      <c r="G143" s="23">
        <v>0</v>
      </c>
      <c r="H143" s="23">
        <v>275000</v>
      </c>
      <c r="I143" s="23">
        <v>0</v>
      </c>
      <c r="J143" s="23">
        <v>205000</v>
      </c>
      <c r="K143" s="23">
        <v>3938304</v>
      </c>
      <c r="L143" s="23">
        <v>313152</v>
      </c>
      <c r="M143" s="23">
        <v>6776186</v>
      </c>
      <c r="N143" s="23">
        <v>5357483</v>
      </c>
      <c r="O143" s="26">
        <v>16859149.949000001</v>
      </c>
    </row>
    <row r="144" spans="1:15" ht="15.75" hidden="1" thickBot="1" x14ac:dyDescent="0.3">
      <c r="A144" s="21"/>
      <c r="B144" s="22" t="s">
        <v>30</v>
      </c>
      <c r="C144" s="23">
        <v>5748</v>
      </c>
      <c r="D144" s="23">
        <v>839208</v>
      </c>
      <c r="E144" s="23">
        <v>1329</v>
      </c>
      <c r="F144" s="23">
        <v>512640</v>
      </c>
      <c r="G144" s="23">
        <v>0</v>
      </c>
      <c r="H144" s="23">
        <v>280000</v>
      </c>
      <c r="I144" s="23">
        <v>55000</v>
      </c>
      <c r="J144" s="23">
        <v>205000</v>
      </c>
      <c r="K144" s="23">
        <v>3938304</v>
      </c>
      <c r="L144" s="23">
        <v>317176</v>
      </c>
      <c r="M144" s="23">
        <v>6133328</v>
      </c>
      <c r="N144" s="23">
        <v>6446294</v>
      </c>
      <c r="O144" s="26">
        <v>16631183.949000001</v>
      </c>
    </row>
    <row r="145" spans="1:15" ht="15.75" hidden="1" thickBot="1" x14ac:dyDescent="0.3">
      <c r="A145" s="21"/>
      <c r="B145" s="22" t="s">
        <v>31</v>
      </c>
      <c r="C145" s="23">
        <v>4679</v>
      </c>
      <c r="D145" s="23">
        <v>683134</v>
      </c>
      <c r="E145" s="23">
        <v>579</v>
      </c>
      <c r="F145" s="23">
        <v>208440</v>
      </c>
      <c r="G145" s="23">
        <v>0</v>
      </c>
      <c r="H145" s="23">
        <v>285000</v>
      </c>
      <c r="I145" s="23">
        <v>0</v>
      </c>
      <c r="J145" s="23">
        <v>225000</v>
      </c>
      <c r="K145" s="23">
        <v>3938304</v>
      </c>
      <c r="L145" s="23">
        <v>302603</v>
      </c>
      <c r="M145" s="23">
        <v>5572481</v>
      </c>
      <c r="N145" s="23">
        <v>4729958</v>
      </c>
      <c r="O145" s="26">
        <v>14463332.949000001</v>
      </c>
    </row>
    <row r="146" spans="1:15" ht="15.75" hidden="1" thickBot="1" x14ac:dyDescent="0.3">
      <c r="A146" s="21"/>
      <c r="B146" s="22" t="s">
        <v>32</v>
      </c>
      <c r="C146" s="23">
        <v>5954</v>
      </c>
      <c r="D146" s="23">
        <v>869284</v>
      </c>
      <c r="E146" s="23">
        <v>464</v>
      </c>
      <c r="F146" s="23">
        <v>167040</v>
      </c>
      <c r="G146" s="23">
        <v>0</v>
      </c>
      <c r="H146" s="23">
        <v>275000</v>
      </c>
      <c r="I146" s="23">
        <v>0</v>
      </c>
      <c r="J146" s="23">
        <v>225000</v>
      </c>
      <c r="K146" s="23">
        <v>3938304</v>
      </c>
      <c r="L146" s="23">
        <v>254186</v>
      </c>
      <c r="M146" s="23">
        <v>5658814</v>
      </c>
      <c r="N146" s="23">
        <v>6883770</v>
      </c>
      <c r="O146" s="26">
        <v>13308376.949000001</v>
      </c>
    </row>
    <row r="147" spans="1:15" ht="15.75" hidden="1" thickBot="1" x14ac:dyDescent="0.3">
      <c r="A147" s="21"/>
      <c r="B147" s="22" t="s">
        <v>33</v>
      </c>
      <c r="C147" s="23">
        <v>4792</v>
      </c>
      <c r="D147" s="23">
        <v>699632</v>
      </c>
      <c r="E147" s="23">
        <v>489</v>
      </c>
      <c r="F147" s="23">
        <v>176040</v>
      </c>
      <c r="G147" s="23">
        <v>0</v>
      </c>
      <c r="H147" s="23">
        <v>275000</v>
      </c>
      <c r="I147" s="23">
        <v>0</v>
      </c>
      <c r="J147" s="23">
        <v>215000</v>
      </c>
      <c r="K147" s="23">
        <v>3938304</v>
      </c>
      <c r="L147" s="23">
        <v>332731</v>
      </c>
      <c r="M147" s="23">
        <v>5508716</v>
      </c>
      <c r="N147" s="23">
        <v>5347416</v>
      </c>
      <c r="O147" s="26">
        <v>13597667.949000001</v>
      </c>
    </row>
    <row r="148" spans="1:15" ht="15.75" hidden="1" thickBot="1" x14ac:dyDescent="0.3">
      <c r="A148" s="21"/>
      <c r="B148" s="22" t="s">
        <v>34</v>
      </c>
      <c r="C148" s="23">
        <v>6051</v>
      </c>
      <c r="D148" s="23">
        <v>883446</v>
      </c>
      <c r="E148" s="23">
        <v>734</v>
      </c>
      <c r="F148" s="23">
        <v>264240</v>
      </c>
      <c r="G148" s="23">
        <v>0</v>
      </c>
      <c r="H148" s="23">
        <v>275000</v>
      </c>
      <c r="I148" s="23">
        <v>0</v>
      </c>
      <c r="J148" s="23">
        <v>215000</v>
      </c>
      <c r="K148" s="23">
        <v>3938304</v>
      </c>
      <c r="L148" s="23">
        <v>288185</v>
      </c>
      <c r="M148" s="23">
        <v>5794175</v>
      </c>
      <c r="N148" s="23">
        <v>13207210</v>
      </c>
      <c r="O148" s="26">
        <v>6254632.949000001</v>
      </c>
    </row>
    <row r="149" spans="1:15" ht="15.75" hidden="1" thickBot="1" x14ac:dyDescent="0.3">
      <c r="A149" s="21"/>
      <c r="B149" s="22" t="s">
        <v>35</v>
      </c>
      <c r="C149" s="23">
        <v>6354</v>
      </c>
      <c r="D149" s="23">
        <v>927684</v>
      </c>
      <c r="E149" s="23">
        <v>1667</v>
      </c>
      <c r="F149" s="23">
        <v>615780</v>
      </c>
      <c r="G149" s="23">
        <v>0</v>
      </c>
      <c r="H149" s="23">
        <v>277000</v>
      </c>
      <c r="I149" s="23">
        <v>0</v>
      </c>
      <c r="J149" s="23">
        <v>215000</v>
      </c>
      <c r="K149" s="23">
        <v>3938304</v>
      </c>
      <c r="L149" s="23">
        <v>437886</v>
      </c>
      <c r="M149" s="23">
        <v>6293000</v>
      </c>
      <c r="N149" s="23">
        <v>5977611</v>
      </c>
      <c r="O149" s="26">
        <v>6688675.949000001</v>
      </c>
    </row>
    <row r="150" spans="1:15" ht="15.75" hidden="1" thickBot="1" x14ac:dyDescent="0.3">
      <c r="A150" s="21"/>
      <c r="B150" s="22" t="s">
        <v>36</v>
      </c>
      <c r="C150" s="23">
        <v>7256</v>
      </c>
      <c r="D150" s="23">
        <v>1059376</v>
      </c>
      <c r="E150" s="23">
        <v>3534</v>
      </c>
      <c r="F150" s="23">
        <v>1959480</v>
      </c>
      <c r="G150" s="23">
        <v>0</v>
      </c>
      <c r="H150" s="23">
        <v>277000</v>
      </c>
      <c r="I150" s="23">
        <v>37311</v>
      </c>
      <c r="J150" s="23">
        <v>215000</v>
      </c>
      <c r="K150" s="23">
        <v>3941163</v>
      </c>
      <c r="L150" s="23">
        <v>392856</v>
      </c>
      <c r="M150" s="23">
        <v>7763079</v>
      </c>
      <c r="N150" s="23">
        <v>7480459</v>
      </c>
      <c r="O150" s="26">
        <v>7090602.949000001</v>
      </c>
    </row>
    <row r="151" spans="1:15" ht="15.75" hidden="1" thickBot="1" x14ac:dyDescent="0.3">
      <c r="A151" s="21"/>
      <c r="B151" s="22" t="s">
        <v>37</v>
      </c>
      <c r="C151" s="23">
        <v>-1357</v>
      </c>
      <c r="D151" s="23">
        <v>1045360</v>
      </c>
      <c r="E151" s="23">
        <v>3132</v>
      </c>
      <c r="F151" s="23">
        <v>1371240</v>
      </c>
      <c r="G151" s="23">
        <v>0</v>
      </c>
      <c r="H151" s="23">
        <v>385000</v>
      </c>
      <c r="I151" s="23">
        <v>0</v>
      </c>
      <c r="J151" s="23">
        <v>210000</v>
      </c>
      <c r="K151" s="23">
        <v>3941163</v>
      </c>
      <c r="L151" s="23">
        <v>394032</v>
      </c>
      <c r="M151" s="23">
        <v>7248795</v>
      </c>
      <c r="N151" s="23">
        <v>7461119</v>
      </c>
      <c r="O151" s="26">
        <v>6976078.949000001</v>
      </c>
    </row>
    <row r="152" spans="1:15" ht="15.75" hidden="1" thickBot="1" x14ac:dyDescent="0.3">
      <c r="A152" s="21">
        <v>2015</v>
      </c>
      <c r="B152" s="22" t="s">
        <v>38</v>
      </c>
      <c r="C152" s="23">
        <v>8587</v>
      </c>
      <c r="D152" s="23">
        <v>1253702</v>
      </c>
      <c r="E152" s="23">
        <v>4029</v>
      </c>
      <c r="F152" s="23">
        <v>2370600</v>
      </c>
      <c r="G152" s="23">
        <v>0</v>
      </c>
      <c r="H152" s="23">
        <v>389959</v>
      </c>
      <c r="I152" s="23">
        <v>0</v>
      </c>
      <c r="J152" s="23">
        <v>202500</v>
      </c>
      <c r="K152" s="23">
        <v>4121280</v>
      </c>
      <c r="L152" s="23">
        <v>313798</v>
      </c>
      <c r="M152" s="23">
        <v>8553839</v>
      </c>
      <c r="N152" s="23">
        <v>8208134</v>
      </c>
      <c r="O152" s="26">
        <v>7419783.949000001</v>
      </c>
    </row>
    <row r="153" spans="1:15" ht="15.75" hidden="1" thickBot="1" x14ac:dyDescent="0.3">
      <c r="A153" s="21"/>
      <c r="B153" s="22" t="s">
        <v>27</v>
      </c>
      <c r="C153" s="23">
        <v>9077</v>
      </c>
      <c r="D153" s="23">
        <v>1325242</v>
      </c>
      <c r="E153" s="23">
        <v>4189</v>
      </c>
      <c r="F153" s="23">
        <v>2499120</v>
      </c>
      <c r="G153" s="23">
        <v>0</v>
      </c>
      <c r="H153" s="23">
        <v>389959</v>
      </c>
      <c r="I153" s="23">
        <v>0</v>
      </c>
      <c r="J153" s="23">
        <v>190000</v>
      </c>
      <c r="K153" s="23">
        <v>4121280</v>
      </c>
      <c r="L153" s="23">
        <v>392720</v>
      </c>
      <c r="M153" s="23">
        <v>8771231</v>
      </c>
      <c r="N153" s="23">
        <v>7547219</v>
      </c>
      <c r="O153" s="26">
        <v>8790885.949000001</v>
      </c>
    </row>
    <row r="154" spans="1:15" ht="15.75" hidden="1" thickBot="1" x14ac:dyDescent="0.3">
      <c r="A154" s="21"/>
      <c r="B154" s="22" t="s">
        <v>28</v>
      </c>
      <c r="C154" s="23">
        <v>7289</v>
      </c>
      <c r="D154" s="23">
        <v>1064194</v>
      </c>
      <c r="E154" s="23">
        <v>3167</v>
      </c>
      <c r="F154" s="23">
        <v>1496700</v>
      </c>
      <c r="G154" s="23">
        <v>0</v>
      </c>
      <c r="H154" s="23">
        <v>551126</v>
      </c>
      <c r="I154" s="23">
        <v>7438</v>
      </c>
      <c r="J154" s="23">
        <v>190000</v>
      </c>
      <c r="K154" s="23">
        <v>4123759</v>
      </c>
      <c r="L154" s="23">
        <v>443214</v>
      </c>
      <c r="M154" s="23">
        <v>7672157</v>
      </c>
      <c r="N154" s="23">
        <v>6678476</v>
      </c>
      <c r="O154" s="26">
        <v>9988840.949000001</v>
      </c>
    </row>
    <row r="155" spans="1:15" ht="15.75" hidden="1" thickBot="1" x14ac:dyDescent="0.3">
      <c r="A155" s="21"/>
      <c r="B155" s="22" t="s">
        <v>29</v>
      </c>
      <c r="C155" s="23">
        <v>7232</v>
      </c>
      <c r="D155" s="23">
        <v>1055872</v>
      </c>
      <c r="E155" s="23">
        <v>2687</v>
      </c>
      <c r="F155" s="23">
        <v>1102320</v>
      </c>
      <c r="G155" s="23">
        <v>0</v>
      </c>
      <c r="H155" s="23">
        <v>551126</v>
      </c>
      <c r="I155" s="23">
        <v>7438</v>
      </c>
      <c r="J155" s="23">
        <v>190000</v>
      </c>
      <c r="K155" s="23">
        <v>4123759</v>
      </c>
      <c r="L155" s="23">
        <v>445581</v>
      </c>
      <c r="M155" s="23">
        <v>7271559</v>
      </c>
      <c r="N155" s="23">
        <v>7635899</v>
      </c>
      <c r="O155" s="26">
        <v>9829037.949000001</v>
      </c>
    </row>
    <row r="156" spans="1:15" ht="15.75" hidden="1" thickBot="1" x14ac:dyDescent="0.3">
      <c r="A156" s="21"/>
      <c r="B156" s="22" t="s">
        <v>30</v>
      </c>
      <c r="C156" s="23">
        <v>6634</v>
      </c>
      <c r="D156" s="23">
        <v>968564</v>
      </c>
      <c r="E156" s="23">
        <v>2346</v>
      </c>
      <c r="F156" s="23">
        <v>853290</v>
      </c>
      <c r="G156" s="23">
        <v>0</v>
      </c>
      <c r="H156" s="23">
        <v>551126</v>
      </c>
      <c r="I156" s="23">
        <v>7438</v>
      </c>
      <c r="J156" s="23">
        <v>180000</v>
      </c>
      <c r="K156" s="23">
        <v>4123759</v>
      </c>
      <c r="L156" s="23">
        <v>448290</v>
      </c>
      <c r="M156" s="23">
        <v>6977439</v>
      </c>
      <c r="N156" s="23">
        <v>5857035</v>
      </c>
      <c r="O156" s="26">
        <v>11104469.949000001</v>
      </c>
    </row>
    <row r="157" spans="1:15" ht="15.75" hidden="1" thickBot="1" x14ac:dyDescent="0.3">
      <c r="A157" s="21"/>
      <c r="B157" s="22" t="s">
        <v>31</v>
      </c>
      <c r="C157" s="23">
        <v>6046</v>
      </c>
      <c r="D157" s="23">
        <v>883884</v>
      </c>
      <c r="E157" s="23">
        <v>975</v>
      </c>
      <c r="F157" s="23">
        <v>501030</v>
      </c>
      <c r="G157" s="23">
        <v>0</v>
      </c>
      <c r="H157" s="23">
        <v>551126</v>
      </c>
      <c r="I157" s="23">
        <v>7438</v>
      </c>
      <c r="J157" s="23">
        <v>180000</v>
      </c>
      <c r="K157" s="23">
        <v>4123759</v>
      </c>
      <c r="L157" s="23">
        <v>449694</v>
      </c>
      <c r="M157" s="23">
        <v>6491937</v>
      </c>
      <c r="N157" s="23">
        <v>7228844</v>
      </c>
      <c r="O157" s="26">
        <v>10572556.949000001</v>
      </c>
    </row>
    <row r="158" spans="1:15" ht="15.75" hidden="1" thickBot="1" x14ac:dyDescent="0.3">
      <c r="A158" s="21"/>
      <c r="B158" s="22" t="s">
        <v>32</v>
      </c>
      <c r="C158" s="23">
        <v>6738</v>
      </c>
      <c r="D158" s="23">
        <v>983748</v>
      </c>
      <c r="E158" s="23">
        <v>773</v>
      </c>
      <c r="F158" s="23">
        <v>423270</v>
      </c>
      <c r="G158" s="23">
        <v>0</v>
      </c>
      <c r="H158" s="23">
        <v>551126</v>
      </c>
      <c r="I158" s="23">
        <v>7438</v>
      </c>
      <c r="J158" s="23">
        <v>180000</v>
      </c>
      <c r="K158" s="23">
        <v>4123759</v>
      </c>
      <c r="L158" s="23">
        <v>551903</v>
      </c>
      <c r="M158" s="23">
        <v>6616043</v>
      </c>
      <c r="N158" s="23">
        <v>5435792</v>
      </c>
      <c r="O158" s="26">
        <v>11958008.949000001</v>
      </c>
    </row>
    <row r="159" spans="1:15" ht="15.75" hidden="1" thickBot="1" x14ac:dyDescent="0.3">
      <c r="A159" s="21"/>
      <c r="B159" s="22" t="s">
        <v>33</v>
      </c>
      <c r="C159" s="23">
        <v>5725</v>
      </c>
      <c r="D159" s="23">
        <v>835850</v>
      </c>
      <c r="E159" s="23">
        <v>560</v>
      </c>
      <c r="F159" s="23">
        <v>353430</v>
      </c>
      <c r="G159" s="23">
        <v>0</v>
      </c>
      <c r="H159" s="23">
        <v>551126</v>
      </c>
      <c r="I159" s="23">
        <v>7438</v>
      </c>
      <c r="J159" s="23">
        <v>180000</v>
      </c>
      <c r="K159" s="23">
        <v>4123759</v>
      </c>
      <c r="L159" s="23">
        <v>539880</v>
      </c>
      <c r="M159" s="23">
        <v>6400455</v>
      </c>
      <c r="N159" s="23">
        <v>5758528</v>
      </c>
      <c r="O159" s="26">
        <v>12790963.949000001</v>
      </c>
    </row>
    <row r="160" spans="1:15" ht="15.75" hidden="1" thickBot="1" x14ac:dyDescent="0.3">
      <c r="A160" s="21"/>
      <c r="B160" s="22" t="s">
        <v>34</v>
      </c>
      <c r="C160" s="23">
        <v>6837</v>
      </c>
      <c r="D160" s="23">
        <v>998202</v>
      </c>
      <c r="E160" s="23">
        <v>871</v>
      </c>
      <c r="F160" s="23">
        <v>313560</v>
      </c>
      <c r="G160" s="23">
        <v>0</v>
      </c>
      <c r="H160" s="23">
        <v>551126</v>
      </c>
      <c r="I160" s="23">
        <v>7438</v>
      </c>
      <c r="J160" s="23">
        <v>180000</v>
      </c>
      <c r="K160" s="23">
        <v>4123759</v>
      </c>
      <c r="L160" s="23">
        <v>710010</v>
      </c>
      <c r="M160" s="23">
        <v>6729067</v>
      </c>
      <c r="N160" s="23">
        <v>6260141</v>
      </c>
      <c r="O160" s="26">
        <v>13414917.949000001</v>
      </c>
    </row>
    <row r="161" spans="1:15" ht="15.75" hidden="1" thickBot="1" x14ac:dyDescent="0.3">
      <c r="A161" s="21"/>
      <c r="B161" s="22" t="s">
        <v>35</v>
      </c>
      <c r="C161" s="23">
        <v>7458</v>
      </c>
      <c r="D161" s="23">
        <v>1088868</v>
      </c>
      <c r="E161" s="23">
        <v>855</v>
      </c>
      <c r="F161" s="23">
        <v>308340</v>
      </c>
      <c r="G161" s="23">
        <v>0</v>
      </c>
      <c r="H161" s="23">
        <v>550832</v>
      </c>
      <c r="I161" s="23">
        <v>7438</v>
      </c>
      <c r="J161" s="23">
        <v>180000</v>
      </c>
      <c r="K161" s="23">
        <v>4123759</v>
      </c>
      <c r="L161" s="23">
        <v>458820</v>
      </c>
      <c r="M161" s="23">
        <v>6563029</v>
      </c>
      <c r="N161" s="23">
        <v>6130853</v>
      </c>
      <c r="O161" s="26">
        <v>14002121.949000001</v>
      </c>
    </row>
    <row r="162" spans="1:15" ht="15.75" hidden="1" thickBot="1" x14ac:dyDescent="0.3">
      <c r="A162" s="21"/>
      <c r="B162" s="22" t="s">
        <v>36</v>
      </c>
      <c r="C162" s="23">
        <v>7431</v>
      </c>
      <c r="D162" s="23">
        <v>1084926</v>
      </c>
      <c r="E162" s="23">
        <v>2079</v>
      </c>
      <c r="F162" s="23">
        <v>807480</v>
      </c>
      <c r="G162" s="23">
        <v>0</v>
      </c>
      <c r="H162" s="23">
        <v>550832</v>
      </c>
      <c r="I162" s="23">
        <v>7438</v>
      </c>
      <c r="J162" s="23">
        <v>180000</v>
      </c>
      <c r="K162" s="23">
        <v>4133759</v>
      </c>
      <c r="L162" s="23">
        <v>409576</v>
      </c>
      <c r="M162" s="23">
        <v>7018983</v>
      </c>
      <c r="N162" s="23">
        <v>6958478</v>
      </c>
      <c r="O162" s="26">
        <v>14217654.949000001</v>
      </c>
    </row>
    <row r="163" spans="1:15" ht="15.75" hidden="1" thickBot="1" x14ac:dyDescent="0.3">
      <c r="A163" s="21"/>
      <c r="B163" s="22" t="s">
        <v>37</v>
      </c>
      <c r="C163" s="23">
        <v>10305</v>
      </c>
      <c r="D163" s="23">
        <v>1504530</v>
      </c>
      <c r="E163" s="23">
        <v>3256</v>
      </c>
      <c r="F163" s="23">
        <v>1351980</v>
      </c>
      <c r="G163" s="23">
        <v>0</v>
      </c>
      <c r="H163" s="23">
        <v>543610</v>
      </c>
      <c r="I163" s="23">
        <v>6998</v>
      </c>
      <c r="J163" s="23">
        <v>178333</v>
      </c>
      <c r="K163" s="23">
        <v>4133613</v>
      </c>
      <c r="L163" s="23">
        <v>358806</v>
      </c>
      <c r="M163" s="23">
        <v>7923890</v>
      </c>
      <c r="N163" s="23">
        <v>9576457</v>
      </c>
      <c r="O163" s="26">
        <v>12719067.949000001</v>
      </c>
    </row>
    <row r="164" spans="1:15" ht="15.75" hidden="1" thickBot="1" x14ac:dyDescent="0.3">
      <c r="A164" s="21">
        <v>2016</v>
      </c>
      <c r="B164" s="22" t="s">
        <v>38</v>
      </c>
      <c r="C164" s="23">
        <v>7953</v>
      </c>
      <c r="D164" s="23">
        <v>1160408</v>
      </c>
      <c r="E164" s="23">
        <v>2640</v>
      </c>
      <c r="F164" s="23">
        <v>979560</v>
      </c>
      <c r="G164" s="23">
        <v>0</v>
      </c>
      <c r="H164" s="23">
        <v>543610</v>
      </c>
      <c r="I164" s="23">
        <v>6998</v>
      </c>
      <c r="J164" s="23">
        <v>170000</v>
      </c>
      <c r="K164" s="23">
        <v>4763613</v>
      </c>
      <c r="L164" s="23">
        <v>358806</v>
      </c>
      <c r="M164" s="23">
        <v>7777757</v>
      </c>
      <c r="N164" s="23">
        <v>6747830</v>
      </c>
      <c r="O164" s="26">
        <v>13954232.949000001</v>
      </c>
    </row>
    <row r="165" spans="1:15" ht="15.75" hidden="1" thickBot="1" x14ac:dyDescent="0.3">
      <c r="A165" s="21"/>
      <c r="B165" s="22" t="s">
        <v>27</v>
      </c>
      <c r="C165" s="23">
        <v>8972</v>
      </c>
      <c r="D165" s="23">
        <v>1309912</v>
      </c>
      <c r="E165" s="23">
        <v>2766</v>
      </c>
      <c r="F165" s="23">
        <v>1044720</v>
      </c>
      <c r="G165" s="23">
        <v>0</v>
      </c>
      <c r="H165" s="23">
        <v>543654</v>
      </c>
      <c r="I165" s="23">
        <v>6998</v>
      </c>
      <c r="J165" s="23">
        <v>170000</v>
      </c>
      <c r="K165" s="23">
        <v>4763613</v>
      </c>
      <c r="L165" s="23">
        <v>308610</v>
      </c>
      <c r="M165" s="23">
        <v>7942092</v>
      </c>
      <c r="N165" s="23">
        <v>7599503</v>
      </c>
      <c r="O165" s="26">
        <v>14502236.949000001</v>
      </c>
    </row>
    <row r="166" spans="1:15" ht="15.75" hidden="1" thickBot="1" x14ac:dyDescent="0.3">
      <c r="A166" s="21"/>
      <c r="B166" s="22" t="s">
        <v>28</v>
      </c>
      <c r="C166" s="23">
        <v>8063</v>
      </c>
      <c r="D166" s="23">
        <v>1177198</v>
      </c>
      <c r="E166" s="23">
        <v>2911</v>
      </c>
      <c r="F166" s="23">
        <v>1704420</v>
      </c>
      <c r="G166" s="23">
        <v>0</v>
      </c>
      <c r="H166" s="23">
        <v>543654</v>
      </c>
      <c r="I166" s="23">
        <v>6998</v>
      </c>
      <c r="J166" s="23">
        <v>170000</v>
      </c>
      <c r="K166" s="23">
        <v>4763613</v>
      </c>
      <c r="L166" s="23">
        <v>258120</v>
      </c>
      <c r="M166" s="23">
        <v>8470023</v>
      </c>
      <c r="N166" s="23">
        <v>6744022</v>
      </c>
      <c r="O166" s="26">
        <v>16382217.948999999</v>
      </c>
    </row>
    <row r="167" spans="1:15" ht="15.75" hidden="1" thickBot="1" x14ac:dyDescent="0.3">
      <c r="A167" s="21"/>
      <c r="B167" s="22" t="s">
        <v>29</v>
      </c>
      <c r="C167" s="23">
        <v>8053</v>
      </c>
      <c r="D167" s="23">
        <v>1183330</v>
      </c>
      <c r="E167" s="23">
        <v>1331</v>
      </c>
      <c r="F167" s="23">
        <v>496260</v>
      </c>
      <c r="G167" s="23">
        <v>0</v>
      </c>
      <c r="H167" s="23">
        <v>545106</v>
      </c>
      <c r="I167" s="23">
        <v>7064</v>
      </c>
      <c r="J167" s="23">
        <v>160000</v>
      </c>
      <c r="K167" s="23">
        <v>4763635</v>
      </c>
      <c r="L167" s="23">
        <v>155442</v>
      </c>
      <c r="M167" s="23">
        <v>7156329</v>
      </c>
      <c r="N167" s="23">
        <v>8391574</v>
      </c>
      <c r="O167" s="26">
        <v>15301480.949000001</v>
      </c>
    </row>
    <row r="168" spans="1:15" ht="15.75" hidden="1" thickBot="1" x14ac:dyDescent="0.3">
      <c r="A168" s="21"/>
      <c r="B168" s="22" t="s">
        <v>30</v>
      </c>
      <c r="C168" s="23">
        <v>5685</v>
      </c>
      <c r="D168" s="23">
        <v>830010</v>
      </c>
      <c r="E168" s="23">
        <v>498</v>
      </c>
      <c r="F168" s="23">
        <v>179280</v>
      </c>
      <c r="G168" s="23">
        <v>0</v>
      </c>
      <c r="H168" s="23">
        <v>544712</v>
      </c>
      <c r="I168" s="23">
        <v>7064</v>
      </c>
      <c r="J168" s="23">
        <v>160000</v>
      </c>
      <c r="K168" s="23">
        <v>4763635</v>
      </c>
      <c r="L168" s="23">
        <v>207944</v>
      </c>
      <c r="M168" s="23">
        <v>6538137</v>
      </c>
      <c r="N168" s="23">
        <v>7009464</v>
      </c>
      <c r="O168" s="26">
        <v>14984661.949000001</v>
      </c>
    </row>
    <row r="169" spans="1:15" ht="15.75" hidden="1" thickBot="1" x14ac:dyDescent="0.3">
      <c r="A169" s="21"/>
      <c r="B169" s="22" t="s">
        <v>31</v>
      </c>
      <c r="C169" s="23">
        <v>7386</v>
      </c>
      <c r="D169" s="23">
        <v>1188099</v>
      </c>
      <c r="E169" s="23">
        <v>357</v>
      </c>
      <c r="F169" s="23">
        <v>128520</v>
      </c>
      <c r="G169" s="23">
        <v>0</v>
      </c>
      <c r="H169" s="23">
        <v>544082</v>
      </c>
      <c r="I169" s="23">
        <v>7064</v>
      </c>
      <c r="J169" s="23">
        <v>160000</v>
      </c>
      <c r="K169" s="23">
        <v>4763635</v>
      </c>
      <c r="L169" s="23">
        <v>260520</v>
      </c>
      <c r="M169" s="23">
        <v>6897412</v>
      </c>
      <c r="N169" s="23">
        <v>6889823</v>
      </c>
      <c r="O169" s="26">
        <v>15146758.949000001</v>
      </c>
    </row>
    <row r="170" spans="1:15" ht="15.75" hidden="1" thickBot="1" x14ac:dyDescent="0.3">
      <c r="A170" s="21"/>
      <c r="B170" s="22" t="s">
        <v>32</v>
      </c>
      <c r="C170" s="23">
        <v>6120</v>
      </c>
      <c r="D170" s="23">
        <v>893520</v>
      </c>
      <c r="E170" s="23">
        <v>374</v>
      </c>
      <c r="F170" s="23">
        <v>134640</v>
      </c>
      <c r="G170" s="23">
        <v>0</v>
      </c>
      <c r="H170" s="23">
        <v>527395</v>
      </c>
      <c r="I170" s="23">
        <v>6473</v>
      </c>
      <c r="J170" s="23">
        <v>160000</v>
      </c>
      <c r="K170" s="23">
        <v>4763438</v>
      </c>
      <c r="L170" s="23">
        <v>313698</v>
      </c>
      <c r="M170" s="23">
        <v>6649384</v>
      </c>
      <c r="N170" s="23">
        <v>5740022</v>
      </c>
      <c r="O170" s="26">
        <v>16205900.949000001</v>
      </c>
    </row>
    <row r="171" spans="1:15" ht="15.75" hidden="1" thickBot="1" x14ac:dyDescent="0.3">
      <c r="A171" s="21"/>
      <c r="B171" s="22" t="s">
        <v>33</v>
      </c>
      <c r="C171" s="23">
        <v>5957</v>
      </c>
      <c r="D171" s="23">
        <v>869722</v>
      </c>
      <c r="E171" s="23">
        <v>509</v>
      </c>
      <c r="F171" s="23">
        <v>205020</v>
      </c>
      <c r="G171" s="23">
        <v>0</v>
      </c>
      <c r="H171" s="23">
        <v>527395</v>
      </c>
      <c r="I171" s="23">
        <v>6473</v>
      </c>
      <c r="J171" s="23">
        <v>160000</v>
      </c>
      <c r="K171" s="23">
        <v>4763438</v>
      </c>
      <c r="L171" s="23">
        <v>262090</v>
      </c>
      <c r="M171" s="23">
        <v>6644358</v>
      </c>
      <c r="N171" s="23">
        <v>6106103</v>
      </c>
      <c r="O171" s="26">
        <v>16893935.949000001</v>
      </c>
    </row>
    <row r="172" spans="1:15" ht="15.75" hidden="1" thickBot="1" x14ac:dyDescent="0.3">
      <c r="A172" s="21"/>
      <c r="B172" s="22" t="s">
        <v>34</v>
      </c>
      <c r="C172" s="23">
        <v>6884</v>
      </c>
      <c r="D172" s="23">
        <v>1005064</v>
      </c>
      <c r="E172" s="23">
        <v>1252</v>
      </c>
      <c r="F172" s="23">
        <v>451920</v>
      </c>
      <c r="G172" s="23">
        <v>0</v>
      </c>
      <c r="H172" s="23">
        <v>385000</v>
      </c>
      <c r="I172" s="23">
        <v>0</v>
      </c>
      <c r="J172" s="23">
        <v>160000</v>
      </c>
      <c r="K172" s="23">
        <v>4761280</v>
      </c>
      <c r="L172" s="23">
        <v>314688</v>
      </c>
      <c r="M172" s="23">
        <v>6986952</v>
      </c>
      <c r="N172" s="23">
        <v>6420192</v>
      </c>
      <c r="O172" s="26">
        <v>17551695.949000001</v>
      </c>
    </row>
    <row r="173" spans="1:15" ht="15.75" hidden="1" thickBot="1" x14ac:dyDescent="0.3">
      <c r="A173" s="21"/>
      <c r="B173" s="22" t="s">
        <v>35</v>
      </c>
      <c r="C173" s="23">
        <v>5814</v>
      </c>
      <c r="D173" s="23">
        <v>848844</v>
      </c>
      <c r="E173" s="23">
        <v>1485</v>
      </c>
      <c r="F173" s="23">
        <v>541260</v>
      </c>
      <c r="G173" s="23">
        <v>0</v>
      </c>
      <c r="H173" s="23">
        <v>385000</v>
      </c>
      <c r="I173" s="23">
        <v>0</v>
      </c>
      <c r="J173" s="23">
        <v>160000</v>
      </c>
      <c r="K173" s="23">
        <v>4761280</v>
      </c>
      <c r="L173" s="23">
        <v>262615</v>
      </c>
      <c r="M173" s="23">
        <v>6867999</v>
      </c>
      <c r="N173" s="23">
        <v>7093788</v>
      </c>
      <c r="O173" s="26">
        <v>17416906.949000001</v>
      </c>
    </row>
    <row r="174" spans="1:15" ht="15.75" hidden="1" thickBot="1" x14ac:dyDescent="0.3">
      <c r="A174" s="21"/>
      <c r="B174" s="22" t="s">
        <v>36</v>
      </c>
      <c r="C174" s="23">
        <v>6511</v>
      </c>
      <c r="D174" s="23">
        <v>968418</v>
      </c>
      <c r="E174" s="23">
        <v>2576</v>
      </c>
      <c r="F174" s="23">
        <v>1114494</v>
      </c>
      <c r="G174" s="23">
        <v>3731</v>
      </c>
      <c r="H174" s="23">
        <v>385000</v>
      </c>
      <c r="I174" s="23">
        <v>0</v>
      </c>
      <c r="J174" s="23">
        <v>160000</v>
      </c>
      <c r="K174" s="23">
        <v>4763295</v>
      </c>
      <c r="L174" s="23">
        <v>157881</v>
      </c>
      <c r="M174" s="23">
        <v>7461819</v>
      </c>
      <c r="N174" s="23">
        <v>9029611</v>
      </c>
      <c r="O174" s="26">
        <v>15940114.949000001</v>
      </c>
    </row>
    <row r="175" spans="1:15" ht="15.75" hidden="1" thickBot="1" x14ac:dyDescent="0.3">
      <c r="A175" s="21"/>
      <c r="B175" s="22" t="s">
        <v>37</v>
      </c>
      <c r="C175" s="23">
        <v>8295</v>
      </c>
      <c r="D175" s="23">
        <v>1211070</v>
      </c>
      <c r="E175" s="23">
        <v>3040</v>
      </c>
      <c r="F175" s="23">
        <v>1228353</v>
      </c>
      <c r="G175" s="23">
        <v>3731</v>
      </c>
      <c r="H175" s="23">
        <v>385000</v>
      </c>
      <c r="I175" s="23">
        <v>0</v>
      </c>
      <c r="J175" s="23">
        <v>160000</v>
      </c>
      <c r="K175" s="23">
        <v>4763295</v>
      </c>
      <c r="L175" s="23">
        <v>158088</v>
      </c>
      <c r="M175" s="23">
        <v>7818537</v>
      </c>
      <c r="N175" s="23">
        <v>8005284</v>
      </c>
      <c r="O175" s="26">
        <v>15844367.949000001</v>
      </c>
    </row>
    <row r="176" spans="1:15" ht="15.75" hidden="1" thickBot="1" x14ac:dyDescent="0.3">
      <c r="A176" s="21">
        <v>2017</v>
      </c>
      <c r="B176" s="22" t="s">
        <v>38</v>
      </c>
      <c r="C176" s="57">
        <f>SUM([2]inicio:final!E175)</f>
        <v>10014</v>
      </c>
      <c r="D176" s="23">
        <f>SUM([2]inicio:final!G175)</f>
        <v>1462044</v>
      </c>
      <c r="E176" s="57">
        <f>SUM([2]inicio:final!J175)</f>
        <v>3616</v>
      </c>
      <c r="F176" s="23">
        <f>SUM([2]inicio:final!L175)</f>
        <v>2081104</v>
      </c>
      <c r="G176" s="23">
        <f>SUM([2]inicio:final!M175)</f>
        <v>212667</v>
      </c>
      <c r="H176" s="23">
        <f>SUM([2]inicio:final!N175)</f>
        <v>371000</v>
      </c>
      <c r="I176" s="23">
        <f>SUM([2]inicio:final!O175)</f>
        <v>0</v>
      </c>
      <c r="J176" s="23">
        <f>SUM([2]inicio:final!P175)</f>
        <v>80000</v>
      </c>
      <c r="K176" s="23">
        <f>SUM([2]inicio:final!Q175)</f>
        <v>4353355</v>
      </c>
      <c r="L176" s="23">
        <f>SUM([2]inicio:final!R175)</f>
        <v>210544</v>
      </c>
      <c r="M176" s="23">
        <f>SUM([2]inicio:final!S175)</f>
        <v>8770714</v>
      </c>
      <c r="N176" s="23">
        <f>SUM([2]inicio:final!V175)</f>
        <v>8460247</v>
      </c>
      <c r="O176" s="26">
        <f>SUM([2]inicio:final!W175)</f>
        <v>4902395.9400000013</v>
      </c>
    </row>
    <row r="177" spans="1:15" ht="15.75" hidden="1" thickBot="1" x14ac:dyDescent="0.3">
      <c r="A177" s="21"/>
      <c r="B177" s="22" t="s">
        <v>27</v>
      </c>
      <c r="C177" s="57">
        <f>SUM([2]inicio:final!E176)</f>
        <v>9614</v>
      </c>
      <c r="D177" s="23">
        <f>SUM([2]inicio:final!G176)</f>
        <v>1403644</v>
      </c>
      <c r="E177" s="57">
        <f>SUM([2]inicio:final!J176)</f>
        <v>2771</v>
      </c>
      <c r="F177" s="23">
        <f>SUM([2]inicio:final!L176)</f>
        <v>1591109</v>
      </c>
      <c r="G177" s="23">
        <f>SUM([2]inicio:final!M176)</f>
        <v>212667</v>
      </c>
      <c r="H177" s="23">
        <f>SUM([2]inicio:final!N176)</f>
        <v>371000</v>
      </c>
      <c r="I177" s="23">
        <f>SUM([2]inicio:final!O176)</f>
        <v>0</v>
      </c>
      <c r="J177" s="23">
        <f>SUM([2]inicio:final!P176)</f>
        <v>80000</v>
      </c>
      <c r="K177" s="23">
        <f>SUM([2]inicio:final!Q176)</f>
        <v>4355370</v>
      </c>
      <c r="L177" s="23">
        <f>SUM([2]inicio:final!R176)</f>
        <v>105568</v>
      </c>
      <c r="M177" s="23">
        <f>SUM([2]inicio:final!S176)</f>
        <v>8119358</v>
      </c>
      <c r="N177" s="23">
        <f>SUM([2]inicio:final!V176)</f>
        <v>7489722</v>
      </c>
      <c r="O177" s="26">
        <f>SUM([2]inicio:final!W176)</f>
        <v>5532031.9400000013</v>
      </c>
    </row>
    <row r="178" spans="1:15" ht="15.75" hidden="1" thickBot="1" x14ac:dyDescent="0.3">
      <c r="A178" s="21"/>
      <c r="B178" s="22" t="s">
        <v>28</v>
      </c>
      <c r="C178" s="57">
        <f>SUM([2]inicio:final!E177)</f>
        <v>10528</v>
      </c>
      <c r="D178" s="23">
        <f>SUM([2]inicio:final!G177)</f>
        <v>1537088</v>
      </c>
      <c r="E178" s="57">
        <f>SUM([2]inicio:final!J177)</f>
        <v>2640</v>
      </c>
      <c r="F178" s="23">
        <f>SUM([2]inicio:final!L177)</f>
        <v>1486020</v>
      </c>
      <c r="G178" s="23">
        <f>SUM([2]inicio:final!M177)</f>
        <v>212667</v>
      </c>
      <c r="H178" s="23">
        <f>SUM([2]inicio:final!N177)</f>
        <v>371000</v>
      </c>
      <c r="I178" s="23">
        <f>SUM([2]inicio:final!O177)</f>
        <v>0</v>
      </c>
      <c r="J178" s="23">
        <f>SUM([2]inicio:final!P177)</f>
        <v>80000</v>
      </c>
      <c r="K178" s="23">
        <f>SUM([2]inicio:final!Q177)</f>
        <v>4355370</v>
      </c>
      <c r="L178" s="23">
        <f>SUM([2]inicio:final!R177)</f>
        <v>291166</v>
      </c>
      <c r="M178" s="23">
        <f>SUM([2]inicio:final!S177)</f>
        <v>8333311</v>
      </c>
      <c r="N178" s="23">
        <f>SUM([2]inicio:final!V177)</f>
        <v>8722930</v>
      </c>
      <c r="O178" s="26">
        <f>SUM([2]inicio:final!W177)</f>
        <v>5142412.9400000013</v>
      </c>
    </row>
    <row r="179" spans="1:15" ht="15.75" hidden="1" thickBot="1" x14ac:dyDescent="0.3">
      <c r="A179" s="21"/>
      <c r="B179" s="22" t="s">
        <v>29</v>
      </c>
      <c r="C179" s="57">
        <f>SUM([2]inicio:final!E178)</f>
        <v>7214</v>
      </c>
      <c r="D179" s="23">
        <f>SUM([2]inicio:final!G178)</f>
        <v>1053244</v>
      </c>
      <c r="E179" s="57">
        <f>SUM([2]inicio:final!J178)</f>
        <v>1503</v>
      </c>
      <c r="F179" s="23">
        <f>SUM([2]inicio:final!L178)</f>
        <v>840177</v>
      </c>
      <c r="G179" s="23">
        <f>SUM([2]inicio:final!M178)</f>
        <v>212667</v>
      </c>
      <c r="H179" s="23">
        <f>SUM([2]inicio:final!N178)</f>
        <v>371000</v>
      </c>
      <c r="I179" s="23">
        <f>SUM([2]inicio:final!O178)</f>
        <v>0</v>
      </c>
      <c r="J179" s="23">
        <f>SUM([2]inicio:final!P178)</f>
        <v>80000</v>
      </c>
      <c r="K179" s="23">
        <f>SUM([2]inicio:final!Q178)</f>
        <v>4355370</v>
      </c>
      <c r="L179" s="23">
        <f>SUM([2]inicio:final!R178)</f>
        <v>212492</v>
      </c>
      <c r="M179" s="23">
        <f>SUM([2]inicio:final!S178)</f>
        <v>7124950</v>
      </c>
      <c r="N179" s="23">
        <f>SUM([2]inicio:final!V178)</f>
        <v>5649390</v>
      </c>
      <c r="O179" s="26">
        <f>SUM([2]inicio:final!W178)</f>
        <v>6617972.9400000013</v>
      </c>
    </row>
    <row r="180" spans="1:15" ht="15.75" hidden="1" thickBot="1" x14ac:dyDescent="0.3">
      <c r="A180" s="21"/>
      <c r="B180" s="22" t="s">
        <v>30</v>
      </c>
      <c r="C180" s="57">
        <f>SUM([2]inicio:final!E179)</f>
        <v>6414</v>
      </c>
      <c r="D180" s="23">
        <f>SUM([2]inicio:final!G179)</f>
        <v>936444</v>
      </c>
      <c r="E180" s="57">
        <f>SUM([2]inicio:final!J179)</f>
        <v>615</v>
      </c>
      <c r="F180" s="23">
        <f>SUM([2]inicio:final!L179)</f>
        <v>343785</v>
      </c>
      <c r="G180" s="23">
        <f>SUM([2]inicio:final!M179)</f>
        <v>212667</v>
      </c>
      <c r="H180" s="23">
        <f>SUM([2]inicio:final!N179)</f>
        <v>371000</v>
      </c>
      <c r="I180" s="23">
        <f>SUM([2]inicio:final!O179)</f>
        <v>0</v>
      </c>
      <c r="J180" s="23">
        <f>SUM([2]inicio:final!P179)</f>
        <v>80000</v>
      </c>
      <c r="K180" s="23">
        <f>SUM([2]inicio:final!Q179)</f>
        <v>4355370</v>
      </c>
      <c r="L180" s="23">
        <f>SUM([2]inicio:final!R179)</f>
        <v>213048</v>
      </c>
      <c r="M180" s="23">
        <f>SUM([2]inicio:final!S179)</f>
        <v>6512314</v>
      </c>
      <c r="N180" s="23">
        <f>SUM([2]inicio:final!V179)</f>
        <v>7536918</v>
      </c>
      <c r="O180" s="26">
        <f>SUM([2]inicio:final!W179)</f>
        <v>5593368.9400000013</v>
      </c>
    </row>
    <row r="181" spans="1:15" ht="15.75" hidden="1" thickBot="1" x14ac:dyDescent="0.3">
      <c r="A181" s="21"/>
      <c r="B181" s="22" t="s">
        <v>31</v>
      </c>
      <c r="C181" s="57">
        <f>SUM([2]inicio:final!E180)</f>
        <v>6901</v>
      </c>
      <c r="D181" s="23">
        <f>SUM([2]inicio:final!G180)</f>
        <v>1007546</v>
      </c>
      <c r="E181" s="57">
        <f>SUM([2]inicio:final!J180)</f>
        <v>401</v>
      </c>
      <c r="F181" s="23">
        <f>SUM([2]inicio:final!L180)</f>
        <v>229199</v>
      </c>
      <c r="G181" s="23">
        <f>SUM([2]inicio:final!M180)</f>
        <v>212667</v>
      </c>
      <c r="H181" s="23">
        <f>SUM([2]inicio:final!N180)</f>
        <v>371000</v>
      </c>
      <c r="I181" s="23">
        <f>SUM([2]inicio:final!O180)</f>
        <v>0</v>
      </c>
      <c r="J181" s="23">
        <f>SUM([2]inicio:final!P180)</f>
        <v>80000</v>
      </c>
      <c r="K181" s="23">
        <f>SUM([2]inicio:final!Q180)</f>
        <v>4355370</v>
      </c>
      <c r="L181" s="23">
        <f>SUM([2]inicio:final!R180)</f>
        <v>266650</v>
      </c>
      <c r="M181" s="23">
        <f>SUM([2]inicio:final!S180)</f>
        <v>6522432</v>
      </c>
      <c r="N181" s="23">
        <f>SUM([2]inicio:final!V180)</f>
        <v>4774932</v>
      </c>
      <c r="O181" s="26">
        <f>SUM([2]inicio:final!W180)</f>
        <v>7340868.9400000013</v>
      </c>
    </row>
    <row r="182" spans="1:15" ht="15.75" hidden="1" thickBot="1" x14ac:dyDescent="0.3">
      <c r="A182" s="21"/>
      <c r="B182" s="22" t="s">
        <v>32</v>
      </c>
      <c r="C182" s="57">
        <f>SUM([2]inicio:final!E181)</f>
        <v>5491</v>
      </c>
      <c r="D182" s="23">
        <f>SUM([2]inicio:final!G181)</f>
        <v>801686</v>
      </c>
      <c r="E182" s="57">
        <f>SUM([2]inicio:final!J181)</f>
        <v>251</v>
      </c>
      <c r="F182" s="23">
        <f>SUM([2]inicio:final!L181)</f>
        <v>140309</v>
      </c>
      <c r="G182" s="23">
        <f>SUM([2]inicio:final!M181)</f>
        <v>212667</v>
      </c>
      <c r="H182" s="23">
        <f>SUM([2]inicio:final!N181)</f>
        <v>371000</v>
      </c>
      <c r="I182" s="23">
        <f>SUM([2]inicio:final!O181)</f>
        <v>0</v>
      </c>
      <c r="J182" s="23">
        <f>SUM([2]inicio:final!P181)</f>
        <v>80000</v>
      </c>
      <c r="K182" s="23">
        <f>SUM([2]inicio:final!Q181)</f>
        <v>4355370</v>
      </c>
      <c r="L182" s="23">
        <f>SUM([2]inicio:final!R181)</f>
        <v>212780</v>
      </c>
      <c r="M182" s="23">
        <f>SUM([2]inicio:final!S181)</f>
        <v>6173812</v>
      </c>
      <c r="N182" s="23">
        <f>SUM([2]inicio:final!V181)</f>
        <v>7351370</v>
      </c>
      <c r="O182" s="26">
        <f>SUM([2]inicio:final!W181)</f>
        <v>6163310.9399999995</v>
      </c>
    </row>
    <row r="183" spans="1:15" ht="15.75" hidden="1" thickBot="1" x14ac:dyDescent="0.3">
      <c r="A183" s="21"/>
      <c r="B183" s="22" t="s">
        <v>33</v>
      </c>
      <c r="C183" s="57">
        <f>SUM([2]inicio:final!E182)</f>
        <v>6421</v>
      </c>
      <c r="D183" s="23">
        <f>SUM([2]inicio:final!G182)</f>
        <v>937466</v>
      </c>
      <c r="E183" s="57">
        <f>SUM([2]inicio:final!J182)</f>
        <v>270</v>
      </c>
      <c r="F183" s="23">
        <f>SUM([2]inicio:final!L182)</f>
        <v>150930</v>
      </c>
      <c r="G183" s="23">
        <f>SUM([2]inicio:final!M182)</f>
        <v>212667</v>
      </c>
      <c r="H183" s="23">
        <f>SUM([2]inicio:final!N182)</f>
        <v>422993</v>
      </c>
      <c r="I183" s="23">
        <f>SUM([2]inicio:final!O182)</f>
        <v>0</v>
      </c>
      <c r="J183" s="23">
        <f>SUM([2]inicio:final!P182)</f>
        <v>80000</v>
      </c>
      <c r="K183" s="23">
        <f>SUM([2]inicio:final!Q182)</f>
        <v>4355370</v>
      </c>
      <c r="L183" s="23">
        <f>SUM([2]inicio:final!R182)</f>
        <v>159624</v>
      </c>
      <c r="M183" s="23">
        <f>SUM([2]inicio:final!S182)</f>
        <v>6319050</v>
      </c>
      <c r="N183" s="23">
        <f>SUM([2]inicio:final!V182)</f>
        <v>5789476</v>
      </c>
      <c r="O183" s="26">
        <f>SUM([2]inicio:final!W182)</f>
        <v>6692884.9400000013</v>
      </c>
    </row>
    <row r="184" spans="1:15" ht="15.75" hidden="1" thickBot="1" x14ac:dyDescent="0.3">
      <c r="B184" s="22" t="s">
        <v>34</v>
      </c>
      <c r="C184" s="57">
        <f>SUM([2]inicio:final!E183)</f>
        <v>7212</v>
      </c>
      <c r="D184" s="23">
        <f>SUM([2]inicio:final!G183)</f>
        <v>1052952</v>
      </c>
      <c r="E184" s="57">
        <f>SUM([2]inicio:final!J183)</f>
        <v>665</v>
      </c>
      <c r="F184" s="23">
        <f>SUM([2]inicio:final!L183)</f>
        <v>371735</v>
      </c>
      <c r="G184" s="23">
        <f>SUM([2]inicio:final!M183)</f>
        <v>212667</v>
      </c>
      <c r="H184" s="23">
        <f>SUM([2]inicio:final!N183)</f>
        <v>423841</v>
      </c>
      <c r="I184" s="23">
        <f>SUM([2]inicio:final!O183)</f>
        <v>0</v>
      </c>
      <c r="J184" s="23">
        <f>SUM([2]inicio:final!P183)</f>
        <v>80000</v>
      </c>
      <c r="K184" s="23">
        <f>SUM([2]inicio:final!Q183)</f>
        <v>4355370</v>
      </c>
      <c r="L184" s="23">
        <f>SUM([2]inicio:final!R183)</f>
        <v>373198</v>
      </c>
      <c r="M184" s="23">
        <f>SUM([2]inicio:final!S183)</f>
        <v>6869763</v>
      </c>
      <c r="N184" s="23">
        <f>SUM([2]inicio:final!V183)</f>
        <v>6629258</v>
      </c>
      <c r="O184" s="26">
        <f>SUM([2]inicio:final!W183)</f>
        <v>6933389.9399999995</v>
      </c>
    </row>
    <row r="185" spans="1:15" ht="15.75" hidden="1" thickBot="1" x14ac:dyDescent="0.3">
      <c r="B185" s="22" t="s">
        <v>35</v>
      </c>
      <c r="C185" s="57">
        <f>SUM([2]inicio:final!E184)</f>
        <v>6155</v>
      </c>
      <c r="D185" s="23">
        <f>SUM([2]inicio:final!G184)</f>
        <v>898630</v>
      </c>
      <c r="E185" s="57">
        <f>SUM([2]inicio:final!J184)</f>
        <v>1206</v>
      </c>
      <c r="F185" s="23">
        <f>SUM([2]inicio:final!L184)</f>
        <v>738954</v>
      </c>
      <c r="G185" s="23">
        <f>SUM([2]inicio:final!M184)</f>
        <v>212667</v>
      </c>
      <c r="H185" s="23">
        <f>SUM([2]inicio:final!N184)</f>
        <v>423470</v>
      </c>
      <c r="I185" s="23">
        <f>SUM([2]inicio:final!O184)</f>
        <v>0</v>
      </c>
      <c r="J185" s="23">
        <f>SUM([2]inicio:final!P184)</f>
        <v>80000</v>
      </c>
      <c r="K185" s="23">
        <f>SUM([2]inicio:final!Q184)</f>
        <v>4355370</v>
      </c>
      <c r="L185" s="23">
        <f>SUM([2]inicio:final!R184)</f>
        <v>479430</v>
      </c>
      <c r="M185" s="23">
        <f>SUM([2]inicio:final!S184)</f>
        <v>7188521</v>
      </c>
      <c r="N185" s="23">
        <f>SUM([2]inicio:final!V184)</f>
        <v>6702020</v>
      </c>
      <c r="O185" s="26">
        <f>SUM([2]inicio:final!W184)</f>
        <v>7419890.9399999995</v>
      </c>
    </row>
    <row r="186" spans="1:15" ht="15.75" hidden="1" thickBot="1" x14ac:dyDescent="0.3">
      <c r="B186" s="22" t="s">
        <v>36</v>
      </c>
      <c r="C186" s="57">
        <f>SUM([2]inicio:final!E185)</f>
        <v>7973</v>
      </c>
      <c r="D186" s="23">
        <f>SUM([2]inicio:final!G185)</f>
        <v>1164058</v>
      </c>
      <c r="E186" s="57">
        <f>SUM([2]inicio:final!J185)</f>
        <v>2145</v>
      </c>
      <c r="F186" s="23">
        <f>SUM([2]inicio:final!L185)</f>
        <v>1216155</v>
      </c>
      <c r="G186" s="23">
        <f>SUM([2]inicio:final!M185)</f>
        <v>212667</v>
      </c>
      <c r="H186" s="23">
        <f>SUM([2]inicio:final!N185)</f>
        <v>425007</v>
      </c>
      <c r="I186" s="23">
        <f>SUM([2]inicio:final!O185)</f>
        <v>0</v>
      </c>
      <c r="J186" s="23">
        <f>SUM([2]inicio:final!P185)</f>
        <v>70000</v>
      </c>
      <c r="K186" s="23">
        <f>SUM([2]inicio:final!Q185)</f>
        <v>4355370</v>
      </c>
      <c r="L186" s="23">
        <f>SUM([2]inicio:final!R185)</f>
        <v>374234</v>
      </c>
      <c r="M186" s="23">
        <f>SUM([2]inicio:final!S185)</f>
        <v>7817491</v>
      </c>
      <c r="N186" s="23">
        <f>SUM([2]inicio:final!V185)</f>
        <v>5871101</v>
      </c>
      <c r="O186" s="26">
        <f>SUM([2]inicio:final!W185)</f>
        <v>9366280.9399999995</v>
      </c>
    </row>
    <row r="187" spans="1:15" ht="15.75" hidden="1" thickBot="1" x14ac:dyDescent="0.3">
      <c r="B187" s="22" t="s">
        <v>37</v>
      </c>
      <c r="C187" s="57">
        <f>SUM([2]inicio:final!E186)</f>
        <v>7730</v>
      </c>
      <c r="D187" s="23">
        <f>SUM([2]inicio:final!G186)</f>
        <v>1128580</v>
      </c>
      <c r="E187" s="57">
        <f>SUM([2]inicio:final!J186)</f>
        <v>2716</v>
      </c>
      <c r="F187" s="23">
        <f>SUM([2]inicio:final!L186)</f>
        <v>1564864</v>
      </c>
      <c r="G187" s="23">
        <f>SUM([2]inicio:final!M186)</f>
        <v>212667</v>
      </c>
      <c r="H187" s="23">
        <f>SUM([2]inicio:final!N186)</f>
        <v>426067</v>
      </c>
      <c r="I187" s="23">
        <f>SUM([2]inicio:final!O186)</f>
        <v>0</v>
      </c>
      <c r="J187" s="23">
        <f>SUM([2]inicio:final!P186)</f>
        <v>70000</v>
      </c>
      <c r="K187" s="23">
        <f>SUM([2]inicio:final!Q186)</f>
        <v>4355370</v>
      </c>
      <c r="L187" s="23">
        <f>SUM([2]inicio:final!R186)</f>
        <v>268250</v>
      </c>
      <c r="M187" s="23">
        <f>SUM([2]inicio:final!S186)</f>
        <v>8025798</v>
      </c>
      <c r="N187" s="23">
        <f>SUM([2]inicio:final!V186)</f>
        <v>8412207</v>
      </c>
      <c r="O187" s="26">
        <f>SUM([2]inicio:final!W186)</f>
        <v>8979871.9399999995</v>
      </c>
    </row>
    <row r="188" spans="1:15" ht="15.75" hidden="1" thickBot="1" x14ac:dyDescent="0.3">
      <c r="A188">
        <v>2018</v>
      </c>
      <c r="B188" s="22" t="s">
        <v>38</v>
      </c>
      <c r="C188" s="57">
        <f>SUM([2]inicio:final!E187)</f>
        <v>9445</v>
      </c>
      <c r="D188" s="23">
        <f>SUM([2]inicio:final!G187)</f>
        <v>1378970</v>
      </c>
      <c r="E188" s="57">
        <f>SUM([2]inicio:final!J187)</f>
        <v>2904</v>
      </c>
      <c r="F188" s="23">
        <f>SUM([2]inicio:final!L187)</f>
        <v>1648716</v>
      </c>
      <c r="G188" s="23">
        <f>SUM([2]inicio:final!M187)</f>
        <v>212667</v>
      </c>
      <c r="H188" s="23">
        <f>SUM([2]inicio:final!N187)</f>
        <v>426491</v>
      </c>
      <c r="I188" s="23">
        <f>SUM([2]inicio:final!O187)</f>
        <v>122464</v>
      </c>
      <c r="J188" s="23">
        <f>SUM([2]inicio:final!P187)</f>
        <v>60000</v>
      </c>
      <c r="K188" s="23">
        <f>SUM([2]inicio:final!Q187)</f>
        <v>4454208</v>
      </c>
      <c r="L188" s="23">
        <f>SUM([2]inicio:final!R187)</f>
        <v>376929</v>
      </c>
      <c r="M188" s="23">
        <f>SUM([2]inicio:final!S187)</f>
        <v>8680445</v>
      </c>
      <c r="N188" s="23">
        <f>SUM([2]inicio:final!V187)</f>
        <v>7934808</v>
      </c>
      <c r="O188" s="26">
        <f>SUM([2]inicio:final!W187)</f>
        <v>9725508.9399999995</v>
      </c>
    </row>
    <row r="189" spans="1:15" ht="15.75" hidden="1" thickBot="1" x14ac:dyDescent="0.3">
      <c r="B189" s="22" t="s">
        <v>27</v>
      </c>
      <c r="C189" s="57">
        <f>SUM([2]inicio:final!E188)</f>
        <v>10544</v>
      </c>
      <c r="D189" s="23">
        <f>SUM([2]inicio:final!G188)</f>
        <v>1539424</v>
      </c>
      <c r="E189" s="57">
        <f>SUM([2]inicio:final!J188)</f>
        <v>2687</v>
      </c>
      <c r="F189" s="23">
        <f>SUM([2]inicio:final!L188)</f>
        <v>1507973</v>
      </c>
      <c r="G189" s="23">
        <f>SUM([2]inicio:final!M188)</f>
        <v>212667</v>
      </c>
      <c r="H189" s="23">
        <f>SUM([2]inicio:final!N188)</f>
        <v>428081</v>
      </c>
      <c r="I189" s="23">
        <f>SUM([2]inicio:final!O188)</f>
        <v>0</v>
      </c>
      <c r="J189" s="23">
        <f>SUM([2]inicio:final!P188)</f>
        <v>50000</v>
      </c>
      <c r="K189" s="23">
        <f>SUM([2]inicio:final!Q188)</f>
        <v>4454208</v>
      </c>
      <c r="L189" s="23">
        <f>SUM([2]inicio:final!R188)</f>
        <v>279670</v>
      </c>
      <c r="M189" s="23">
        <f>SUM([2]inicio:final!S188)</f>
        <v>8472023</v>
      </c>
      <c r="N189" s="23">
        <f>SUM([2]inicio:final!V188)</f>
        <v>8356031</v>
      </c>
      <c r="O189" s="26">
        <f>SUM([2]inicio:final!W188)</f>
        <v>9841500.9399999995</v>
      </c>
    </row>
    <row r="190" spans="1:15" ht="15.75" hidden="1" thickBot="1" x14ac:dyDescent="0.3">
      <c r="B190" s="22" t="s">
        <v>28</v>
      </c>
      <c r="C190" s="57">
        <f>SUM([2]inicio:final!E189)</f>
        <v>7545</v>
      </c>
      <c r="D190" s="23">
        <f>SUM([2]inicio:final!G189)</f>
        <v>1101570</v>
      </c>
      <c r="E190" s="57">
        <f>SUM([2]inicio:final!J189)</f>
        <v>1967</v>
      </c>
      <c r="F190" s="23">
        <f>SUM([2]inicio:final!L189)</f>
        <v>1102073</v>
      </c>
      <c r="G190" s="23">
        <f>SUM([2]inicio:final!M189)</f>
        <v>212667</v>
      </c>
      <c r="H190" s="23">
        <f>SUM([2]inicio:final!N189)</f>
        <v>428770</v>
      </c>
      <c r="I190" s="23">
        <f>SUM([2]inicio:final!O189)</f>
        <v>0</v>
      </c>
      <c r="J190" s="23">
        <f>SUM([2]inicio:final!P189)</f>
        <v>50000</v>
      </c>
      <c r="K190" s="23">
        <f>SUM([2]inicio:final!Q189)</f>
        <v>4454208</v>
      </c>
      <c r="L190" s="23">
        <f>SUM([2]inicio:final!R189)</f>
        <v>216036</v>
      </c>
      <c r="M190" s="23">
        <f>SUM([2]inicio:final!S189)</f>
        <v>7565324</v>
      </c>
      <c r="N190" s="23">
        <f>SUM([2]inicio:final!V189)</f>
        <v>7324748</v>
      </c>
      <c r="O190" s="26">
        <f>SUM([2]inicio:final!W189)</f>
        <v>10082076.939999999</v>
      </c>
    </row>
    <row r="191" spans="1:15" ht="15.75" hidden="1" thickBot="1" x14ac:dyDescent="0.3">
      <c r="B191" s="22" t="s">
        <v>29</v>
      </c>
      <c r="C191" s="57">
        <f>SUM([2]inicio:final!E190)</f>
        <v>7716</v>
      </c>
      <c r="D191" s="23">
        <f>SUM([2]inicio:final!G190)</f>
        <v>1126536</v>
      </c>
      <c r="E191" s="57">
        <f>SUM([2]inicio:final!J190)</f>
        <v>1918</v>
      </c>
      <c r="F191" s="23">
        <f>SUM([2]inicio:final!L190)</f>
        <v>1072522</v>
      </c>
      <c r="G191" s="23">
        <f>SUM([2]inicio:final!M190)</f>
        <v>212667</v>
      </c>
      <c r="H191" s="23">
        <f>SUM([2]inicio:final!N190)</f>
        <v>429353</v>
      </c>
      <c r="I191" s="23">
        <f>SUM([2]inicio:final!O190)</f>
        <v>0</v>
      </c>
      <c r="J191" s="23">
        <f>SUM([2]inicio:final!P190)</f>
        <v>50000</v>
      </c>
      <c r="K191" s="23">
        <f>SUM([2]inicio:final!Q190)</f>
        <v>4454208</v>
      </c>
      <c r="L191" s="23">
        <f>SUM([2]inicio:final!R190)</f>
        <v>216628</v>
      </c>
      <c r="M191" s="23">
        <f>SUM([2]inicio:final!S190)</f>
        <v>7561914</v>
      </c>
      <c r="N191" s="23">
        <f>SUM([2]inicio:final!V190)</f>
        <v>6858476</v>
      </c>
      <c r="O191" s="26">
        <f>SUM([2]inicio:final!W190)</f>
        <v>10785514.939999999</v>
      </c>
    </row>
    <row r="192" spans="1:15" ht="15.75" hidden="1" thickBot="1" x14ac:dyDescent="0.3">
      <c r="B192" s="22" t="s">
        <v>30</v>
      </c>
      <c r="C192" s="57">
        <f>SUM([2]inicio:final!E191)</f>
        <v>7247</v>
      </c>
      <c r="D192" s="23">
        <f>SUM([2]inicio:final!G191)</f>
        <v>1058062</v>
      </c>
      <c r="E192" s="57">
        <f>SUM([2]inicio:final!J191)</f>
        <v>1425</v>
      </c>
      <c r="F192" s="23">
        <f>SUM([2]inicio:final!L191)</f>
        <v>800715</v>
      </c>
      <c r="G192" s="23">
        <f>SUM([2]inicio:final!M191)</f>
        <v>212667</v>
      </c>
      <c r="H192" s="23">
        <f>SUM([2]inicio:final!N191)</f>
        <v>430519</v>
      </c>
      <c r="I192" s="23">
        <f>SUM([2]inicio:final!O191)</f>
        <v>0</v>
      </c>
      <c r="J192" s="23">
        <f>SUM([2]inicio:final!P191)</f>
        <v>50000</v>
      </c>
      <c r="K192" s="23">
        <f>SUM([2]inicio:final!Q191)</f>
        <v>4454208</v>
      </c>
      <c r="L192" s="23">
        <f>SUM([2]inicio:final!R191)</f>
        <v>325908</v>
      </c>
      <c r="M192" s="23">
        <f>SUM([2]inicio:final!S191)</f>
        <v>7332079</v>
      </c>
      <c r="N192" s="23">
        <f>SUM([2]inicio:final!V191)</f>
        <v>7367461</v>
      </c>
      <c r="O192" s="26">
        <f>SUM([2]inicio:final!W191)</f>
        <v>10750132.939999999</v>
      </c>
    </row>
    <row r="193" spans="1:15" ht="15.75" hidden="1" thickBot="1" x14ac:dyDescent="0.3">
      <c r="B193" s="22" t="s">
        <v>31</v>
      </c>
      <c r="C193" s="57">
        <f>SUM([2]inicio:final!E192)</f>
        <v>7153</v>
      </c>
      <c r="D193" s="23">
        <f>SUM([2]inicio:final!G192)</f>
        <v>1044338</v>
      </c>
      <c r="E193" s="57">
        <f>SUM([2]inicio:final!J192)</f>
        <v>474</v>
      </c>
      <c r="F193" s="23">
        <f>SUM([2]inicio:final!L192)</f>
        <v>271085</v>
      </c>
      <c r="G193" s="23">
        <f>SUM([2]inicio:final!M192)</f>
        <v>212667</v>
      </c>
      <c r="H193" s="23">
        <f>SUM([2]inicio:final!N192)</f>
        <v>431844</v>
      </c>
      <c r="I193" s="23">
        <f>SUM([2]inicio:final!O192)</f>
        <v>0</v>
      </c>
      <c r="J193" s="23">
        <f>SUM([2]inicio:final!P192)</f>
        <v>13000</v>
      </c>
      <c r="K193" s="23">
        <f>SUM([2]inicio:final!Q192)</f>
        <v>4454208</v>
      </c>
      <c r="L193" s="23">
        <f>SUM([2]inicio:final!R192)</f>
        <v>326430</v>
      </c>
      <c r="M193" s="23">
        <f>SUM([2]inicio:final!S192)</f>
        <v>6753572</v>
      </c>
      <c r="N193" s="23">
        <f>SUM([2]inicio:final!V192)</f>
        <v>5614144</v>
      </c>
      <c r="O193" s="26">
        <f>SUM([2]inicio:final!W192)</f>
        <v>11889560.939999999</v>
      </c>
    </row>
    <row r="194" spans="1:15" ht="15.75" hidden="1" thickBot="1" x14ac:dyDescent="0.3">
      <c r="B194" s="22" t="s">
        <v>32</v>
      </c>
      <c r="C194" s="57">
        <f>SUM([2]inicio:final!E193)</f>
        <v>7333</v>
      </c>
      <c r="D194" s="23">
        <f>SUM([2]inicio:final!G193)</f>
        <v>1070618</v>
      </c>
      <c r="E194" s="57">
        <f>SUM([2]inicio:final!J193)</f>
        <v>213</v>
      </c>
      <c r="F194" s="23">
        <f>SUM([2]inicio:final!L193)</f>
        <v>119067</v>
      </c>
      <c r="G194" s="23">
        <f>SUM([2]inicio:final!M193)</f>
        <v>212667</v>
      </c>
      <c r="H194" s="23">
        <f>SUM([2]inicio:final!N193)</f>
        <v>432533</v>
      </c>
      <c r="I194" s="23">
        <f>SUM([2]inicio:final!O193)</f>
        <v>0</v>
      </c>
      <c r="J194" s="23">
        <f>SUM([2]inicio:final!P193)</f>
        <v>0</v>
      </c>
      <c r="K194" s="23">
        <f>SUM([2]inicio:final!Q193)</f>
        <v>4454208</v>
      </c>
      <c r="L194" s="23">
        <f>SUM([2]inicio:final!R193)</f>
        <v>327450</v>
      </c>
      <c r="M194" s="23">
        <f>SUM([2]inicio:final!S193)</f>
        <v>6616543</v>
      </c>
      <c r="N194" s="23">
        <f>SUM([2]inicio:final!V193)</f>
        <v>5576991</v>
      </c>
      <c r="O194" s="26">
        <f>SUM([2]inicio:final!W193)</f>
        <v>12929112.939999999</v>
      </c>
    </row>
    <row r="195" spans="1:15" ht="15.75" hidden="1" thickBot="1" x14ac:dyDescent="0.3">
      <c r="B195" s="22" t="s">
        <v>33</v>
      </c>
      <c r="C195" s="57">
        <f>SUM([2]inicio:final!E194)</f>
        <v>7564</v>
      </c>
      <c r="D195" s="23">
        <f>SUM([2]inicio:final!G194)</f>
        <v>1104344</v>
      </c>
      <c r="E195" s="57">
        <f>SUM([2]inicio:final!J194)</f>
        <v>317</v>
      </c>
      <c r="F195" s="23">
        <f>SUM([2]inicio:final!L194)</f>
        <v>177203</v>
      </c>
      <c r="G195" s="23">
        <f>SUM([2]inicio:final!M194)</f>
        <v>212667</v>
      </c>
      <c r="H195" s="23">
        <f>SUM([2]inicio:final!N194)</f>
        <v>433858</v>
      </c>
      <c r="I195" s="23">
        <f>SUM([2]inicio:final!O194)</f>
        <v>0</v>
      </c>
      <c r="J195" s="23">
        <f>SUM([2]inicio:final!P194)</f>
        <v>0</v>
      </c>
      <c r="K195" s="23">
        <f>SUM([2]inicio:final!Q194)</f>
        <v>4454208</v>
      </c>
      <c r="L195" s="23">
        <f>SUM([2]inicio:final!R194)</f>
        <v>218860</v>
      </c>
      <c r="M195" s="23">
        <f>SUM([2]inicio:final!S194)</f>
        <v>6601140</v>
      </c>
      <c r="N195" s="23">
        <f>SUM([2]inicio:final!V194)</f>
        <v>6907680</v>
      </c>
      <c r="O195" s="26">
        <f>SUM([2]inicio:final!W194)</f>
        <v>12622572.939999999</v>
      </c>
    </row>
    <row r="196" spans="1:15" ht="15.75" hidden="1" thickBot="1" x14ac:dyDescent="0.3">
      <c r="B196" s="22" t="s">
        <v>34</v>
      </c>
      <c r="C196" s="57">
        <f>SUM([2]inicio:final!E195)</f>
        <v>7391</v>
      </c>
      <c r="D196" s="23">
        <f>SUM([2]inicio:final!G195)</f>
        <v>1079086</v>
      </c>
      <c r="E196" s="57">
        <f>SUM([2]inicio:final!J195)</f>
        <v>791</v>
      </c>
      <c r="F196" s="23">
        <f>SUM([2]inicio:final!L195)</f>
        <v>442168</v>
      </c>
      <c r="G196" s="23">
        <f>SUM([2]inicio:final!M195)</f>
        <v>212667</v>
      </c>
      <c r="H196" s="23">
        <f>SUM([2]inicio:final!N195)</f>
        <v>434971</v>
      </c>
      <c r="I196" s="23">
        <f>SUM([2]inicio:final!O195)</f>
        <v>0</v>
      </c>
      <c r="J196" s="23">
        <f>SUM([2]inicio:final!P195)</f>
        <v>0</v>
      </c>
      <c r="K196" s="23">
        <f>SUM([2]inicio:final!Q195)</f>
        <v>4454208</v>
      </c>
      <c r="L196" s="23">
        <f>SUM([2]inicio:final!R195)</f>
        <v>274320</v>
      </c>
      <c r="M196" s="23">
        <f>SUM([2]inicio:final!S195)</f>
        <v>6897420</v>
      </c>
      <c r="N196" s="23">
        <f>SUM([2]inicio:final!V195)</f>
        <v>5545317</v>
      </c>
      <c r="O196" s="26">
        <f>SUM([2]inicio:final!W195)</f>
        <v>13974675.939999999</v>
      </c>
    </row>
    <row r="197" spans="1:15" ht="15.75" hidden="1" thickBot="1" x14ac:dyDescent="0.3">
      <c r="B197" s="22" t="s">
        <v>35</v>
      </c>
      <c r="C197" s="57">
        <f>SUM([2]inicio:final!E196)</f>
        <v>6865</v>
      </c>
      <c r="D197" s="23">
        <f>SUM([2]inicio:final!G196)</f>
        <v>1002290</v>
      </c>
      <c r="E197" s="57">
        <f>SUM([2]inicio:final!J196)</f>
        <v>1081</v>
      </c>
      <c r="F197" s="23">
        <f>SUM([2]inicio:final!L196)</f>
        <v>604279</v>
      </c>
      <c r="G197" s="23">
        <f>SUM([2]inicio:final!M196)</f>
        <v>212667</v>
      </c>
      <c r="H197" s="23">
        <f>SUM([2]inicio:final!N196)</f>
        <v>436190</v>
      </c>
      <c r="I197" s="23">
        <f>SUM([2]inicio:final!O196)</f>
        <v>0</v>
      </c>
      <c r="J197" s="23">
        <f>SUM([2]inicio:final!P196)</f>
        <v>0</v>
      </c>
      <c r="K197" s="23">
        <f>SUM([2]inicio:final!Q196)</f>
        <v>4454208</v>
      </c>
      <c r="L197" s="23">
        <f>SUM([2]inicio:final!R196)</f>
        <v>275330</v>
      </c>
      <c r="M197" s="23">
        <f>SUM([2]inicio:final!S196)</f>
        <v>6984964</v>
      </c>
      <c r="N197" s="23">
        <f>SUM([2]inicio:final!V196)</f>
        <v>7445340</v>
      </c>
      <c r="O197" s="26">
        <f>SUM([2]inicio:final!W196)</f>
        <v>13514299.939999999</v>
      </c>
    </row>
    <row r="198" spans="1:15" ht="15.75" hidden="1" thickBot="1" x14ac:dyDescent="0.3">
      <c r="B198" s="22" t="s">
        <v>36</v>
      </c>
      <c r="C198" s="57">
        <f>SUM([2]inicio:final!E197)</f>
        <v>8161</v>
      </c>
      <c r="D198" s="23">
        <f>SUM([2]inicio:final!G197)</f>
        <v>1191506</v>
      </c>
      <c r="E198" s="57">
        <f>SUM([2]inicio:final!J197)</f>
        <v>1931</v>
      </c>
      <c r="F198" s="23">
        <f>SUM([2]inicio:final!L197)</f>
        <v>1099949</v>
      </c>
      <c r="G198" s="23">
        <f>SUM([2]inicio:final!M197)</f>
        <v>212667</v>
      </c>
      <c r="H198" s="23">
        <f>SUM([2]inicio:final!N197)</f>
        <v>437780</v>
      </c>
      <c r="I198" s="23">
        <f>SUM([2]inicio:final!O197)</f>
        <v>95200</v>
      </c>
      <c r="J198" s="23">
        <f>SUM([2]inicio:final!P197)</f>
        <v>0</v>
      </c>
      <c r="K198" s="23">
        <f>SUM([2]inicio:final!Q197)</f>
        <v>4454208</v>
      </c>
      <c r="L198" s="23">
        <f>SUM([2]inicio:final!R197)</f>
        <v>330792</v>
      </c>
      <c r="M198" s="23">
        <f>SUM([2]inicio:final!S197)</f>
        <v>7822102</v>
      </c>
      <c r="N198" s="23">
        <f>SUM([2]inicio:final!V197)</f>
        <v>6460217</v>
      </c>
      <c r="O198" s="26">
        <f>SUM([2]inicio:final!W197)</f>
        <v>14876184.939999999</v>
      </c>
    </row>
    <row r="199" spans="1:15" ht="15.75" hidden="1" thickBot="1" x14ac:dyDescent="0.3">
      <c r="B199" s="22" t="s">
        <v>37</v>
      </c>
      <c r="C199" s="57">
        <f>SUM([2]inicio:final!E198)</f>
        <v>9454</v>
      </c>
      <c r="D199" s="23">
        <f>SUM([2]inicio:final!G198)</f>
        <v>1380284</v>
      </c>
      <c r="E199" s="57">
        <f>SUM([2]inicio:final!J198)</f>
        <v>2322</v>
      </c>
      <c r="F199" s="23">
        <f>SUM([2]inicio:final!L198)</f>
        <v>1299978</v>
      </c>
      <c r="G199" s="23">
        <f>SUM([2]inicio:final!M198)</f>
        <v>212667</v>
      </c>
      <c r="H199" s="23">
        <f>SUM([2]inicio:final!N198)</f>
        <v>438310</v>
      </c>
      <c r="I199" s="23">
        <f>SUM([2]inicio:final!O198)</f>
        <v>0</v>
      </c>
      <c r="J199" s="23">
        <f>SUM([2]inicio:final!P198)</f>
        <v>0</v>
      </c>
      <c r="K199" s="23">
        <f>SUM([2]inicio:final!Q198)</f>
        <v>4454208</v>
      </c>
      <c r="L199" s="23">
        <f>SUM([2]inicio:final!R198)</f>
        <v>606210</v>
      </c>
      <c r="M199" s="23">
        <f>SUM([2]inicio:final!S198)</f>
        <v>8391657</v>
      </c>
      <c r="N199" s="23">
        <f>SUM([2]inicio:final!V198)</f>
        <v>8006457</v>
      </c>
      <c r="O199" s="26">
        <f>SUM([2]inicio:final!W198)</f>
        <v>15261384.939999999</v>
      </c>
    </row>
    <row r="200" spans="1:15" ht="15.75" thickBot="1" x14ac:dyDescent="0.3">
      <c r="A200">
        <v>2019</v>
      </c>
      <c r="B200" s="22" t="s">
        <v>38</v>
      </c>
      <c r="C200" s="57">
        <f>SUM([2]inicio:final!E199)</f>
        <v>10185</v>
      </c>
      <c r="D200" s="23">
        <f>SUM([2]inicio:final!G199)</f>
        <v>1487010</v>
      </c>
      <c r="E200" s="57">
        <f>SUM([2]inicio:final!J199)</f>
        <v>2493</v>
      </c>
      <c r="F200" s="23">
        <f>SUM([2]inicio:final!L199)</f>
        <v>1393587</v>
      </c>
      <c r="G200" s="23">
        <f>SUM([2]inicio:final!M199)</f>
        <v>218196</v>
      </c>
      <c r="H200" s="23">
        <f>SUM([2]inicio:final!N199)</f>
        <v>437992</v>
      </c>
      <c r="I200" s="23">
        <f>SUM([2]inicio:final!O199)</f>
        <v>0</v>
      </c>
      <c r="J200" s="23">
        <f>SUM([2]inicio:final!P199)</f>
        <v>0</v>
      </c>
      <c r="K200" s="23">
        <f>SUM([2]inicio:final!Q199)</f>
        <v>4570032</v>
      </c>
      <c r="L200" s="23">
        <f>SUM([2]inicio:final!R199)</f>
        <v>716198</v>
      </c>
      <c r="M200" s="23">
        <f>SUM([2]inicio:final!S199)</f>
        <v>8823015</v>
      </c>
      <c r="N200" s="23">
        <f>SUM([2]inicio:final!V199)</f>
        <v>7670104</v>
      </c>
      <c r="O200" s="26">
        <f>SUM([2]inicio:final!W199)</f>
        <v>16414295.939999999</v>
      </c>
    </row>
    <row r="201" spans="1:15" ht="15" customHeight="1" thickBot="1" x14ac:dyDescent="0.3">
      <c r="B201" s="22" t="s">
        <v>27</v>
      </c>
      <c r="C201" s="57">
        <f>SUM([2]inicio:final!E200)</f>
        <v>10989</v>
      </c>
      <c r="D201" s="23">
        <f>SUM([2]inicio:final!G200)</f>
        <v>1604394</v>
      </c>
      <c r="E201" s="57">
        <f>SUM([2]inicio:final!J200)</f>
        <v>2250</v>
      </c>
      <c r="F201" s="23">
        <f>SUM([2]inicio:final!L200)</f>
        <v>1259190</v>
      </c>
      <c r="G201" s="23">
        <f>SUM([2]inicio:final!M200)</f>
        <v>218196</v>
      </c>
      <c r="H201" s="23">
        <f>SUM([2]inicio:final!N200)</f>
        <v>438151</v>
      </c>
      <c r="I201" s="23">
        <f>SUM([2]inicio:final!O200)</f>
        <v>0</v>
      </c>
      <c r="J201" s="23">
        <f>SUM([2]inicio:final!P200)</f>
        <v>0</v>
      </c>
      <c r="K201" s="23">
        <f>SUM([2]inicio:final!Q200)</f>
        <v>4570032</v>
      </c>
      <c r="L201" s="23">
        <f>SUM([2]inicio:final!R200)</f>
        <v>330684</v>
      </c>
      <c r="M201" s="23">
        <f>SUM([2]inicio:final!S200)</f>
        <v>8420647</v>
      </c>
      <c r="N201" s="23">
        <f>SUM([2]inicio:final!V200)</f>
        <v>9111126</v>
      </c>
      <c r="O201" s="26">
        <f>SUM([2]inicio:final!W200)</f>
        <v>12696116.939999999</v>
      </c>
    </row>
    <row r="202" spans="1:15" ht="15" customHeight="1" thickBot="1" x14ac:dyDescent="0.3">
      <c r="B202" s="22" t="s">
        <v>28</v>
      </c>
      <c r="C202" s="57">
        <f>SUM([2]inicio:final!E201)</f>
        <v>9615</v>
      </c>
      <c r="D202" s="23">
        <f>SUM([2]inicio:final!G201)</f>
        <v>1403790</v>
      </c>
      <c r="E202" s="57">
        <f>SUM([2]inicio:final!J201)</f>
        <v>2087</v>
      </c>
      <c r="F202" s="23">
        <f>SUM([2]inicio:final!L201)</f>
        <v>1341233</v>
      </c>
      <c r="G202" s="23">
        <f>SUM([2]inicio:final!M201)</f>
        <v>217084.6451612903</v>
      </c>
      <c r="H202" s="23">
        <f>SUM([2]inicio:final!N201)</f>
        <v>435909.03225806449</v>
      </c>
      <c r="I202" s="23">
        <f>SUM([2]inicio:final!O201)</f>
        <v>0</v>
      </c>
      <c r="J202" s="23">
        <f>SUM([2]inicio:final!P201)</f>
        <v>0</v>
      </c>
      <c r="K202" s="23">
        <f>SUM([2]inicio:final!Q201)</f>
        <v>4546755.0967741935</v>
      </c>
      <c r="L202" s="23">
        <f>SUM([2]inicio:final!R201)</f>
        <v>578873</v>
      </c>
      <c r="M202" s="23">
        <f>SUM([2]inicio:final!S201)</f>
        <v>8523644.7741935477</v>
      </c>
      <c r="N202" s="23">
        <f>SUM([2]inicio:final!V201)</f>
        <v>7011596</v>
      </c>
      <c r="O202" s="26">
        <f>SUM([2]inicio:final!W201)</f>
        <v>14208165.714193549</v>
      </c>
    </row>
    <row r="203" spans="1:15" ht="15" customHeight="1" thickBot="1" x14ac:dyDescent="0.3">
      <c r="B203" s="22" t="s">
        <v>29</v>
      </c>
      <c r="C203" s="57">
        <f>SUM([2]inicio:final!E202)</f>
        <v>9453</v>
      </c>
      <c r="D203" s="23">
        <f>SUM([2]inicio:final!G202)</f>
        <v>1380138</v>
      </c>
      <c r="E203" s="57">
        <f>SUM([2]inicio:final!J202)</f>
        <v>1797</v>
      </c>
      <c r="F203" s="23">
        <f>SUM([2]inicio:final!L202)</f>
        <v>1026123</v>
      </c>
      <c r="G203" s="23">
        <f>SUM([2]inicio:final!M202)</f>
        <v>218196</v>
      </c>
      <c r="H203" s="23">
        <f>SUM([2]inicio:final!N202)</f>
        <v>439847</v>
      </c>
      <c r="I203" s="23">
        <f>SUM([2]inicio:final!O202)</f>
        <v>0</v>
      </c>
      <c r="J203" s="23">
        <f>SUM([2]inicio:final!P202)</f>
        <v>0</v>
      </c>
      <c r="K203" s="23">
        <f>SUM([2]inicio:final!Q202)</f>
        <v>4570032</v>
      </c>
      <c r="L203" s="23">
        <f>SUM([2]inicio:final!R202)</f>
        <v>110648</v>
      </c>
      <c r="M203" s="23">
        <f>SUM([2]inicio:final!S202)</f>
        <v>7744984</v>
      </c>
      <c r="N203" s="23">
        <f>SUM([2]inicio:final!V202)</f>
        <v>6930744</v>
      </c>
      <c r="O203" s="26">
        <f>SUM([2]inicio:final!W202)</f>
        <v>15022405.714193549</v>
      </c>
    </row>
    <row r="204" spans="1:15" ht="15" customHeight="1" thickBot="1" x14ac:dyDescent="0.3">
      <c r="B204" s="22" t="s">
        <v>30</v>
      </c>
      <c r="C204" s="57">
        <f>SUM([2]inicio:final!E203)</f>
        <v>9848</v>
      </c>
      <c r="D204" s="23">
        <f>SUM([2]inicio:final!G203)</f>
        <v>1437808</v>
      </c>
      <c r="E204" s="57">
        <f>SUM([2]inicio:final!J203)</f>
        <v>1331</v>
      </c>
      <c r="F204" s="23">
        <f>SUM([2]inicio:final!L203)</f>
        <v>744029</v>
      </c>
      <c r="G204" s="23">
        <f>SUM([2]inicio:final!M203)</f>
        <v>218196</v>
      </c>
      <c r="H204" s="23">
        <f>SUM([2]inicio:final!N203)</f>
        <v>441437</v>
      </c>
      <c r="I204" s="23">
        <f>SUM([2]inicio:final!O203)</f>
        <v>0</v>
      </c>
      <c r="J204" s="23">
        <f>SUM([2]inicio:final!P203)</f>
        <v>0</v>
      </c>
      <c r="K204" s="23">
        <f>SUM([2]inicio:final!Q203)</f>
        <v>4570032</v>
      </c>
      <c r="L204" s="23">
        <f>SUM([2]inicio:final!R203)</f>
        <v>0</v>
      </c>
      <c r="M204" s="23">
        <f>SUM([2]inicio:final!S203)</f>
        <v>7411502</v>
      </c>
      <c r="N204" s="23">
        <f>SUM([2]inicio:final!V203)</f>
        <v>1973321</v>
      </c>
      <c r="O204" s="26">
        <f>SUM([2]inicio:final!W203)</f>
        <v>20460586.714193549</v>
      </c>
    </row>
    <row r="205" spans="1:15" ht="15" customHeight="1" thickBot="1" x14ac:dyDescent="0.3">
      <c r="B205" s="22" t="s">
        <v>31</v>
      </c>
      <c r="C205" s="57">
        <f>SUM([2]inicio:final!E204)</f>
        <v>-1065770</v>
      </c>
      <c r="D205" s="23">
        <f>SUM([2]inicio:final!G204)</f>
        <v>-155602420</v>
      </c>
      <c r="E205" s="57">
        <f>SUM([2]inicio:final!J204)</f>
        <v>-245868</v>
      </c>
      <c r="F205" s="23">
        <f>SUM([2]inicio:final!L204)</f>
        <v>-137440212</v>
      </c>
      <c r="G205" s="23">
        <f>SUM([2]inicio:final!M204)</f>
        <v>218196</v>
      </c>
      <c r="H205" s="23">
        <f>SUM([2]inicio:final!N204)</f>
        <v>0</v>
      </c>
      <c r="I205" s="23">
        <f>SUM([2]inicio:final!O204)</f>
        <v>0</v>
      </c>
      <c r="J205" s="23">
        <f>SUM([2]inicio:final!P204)</f>
        <v>0</v>
      </c>
      <c r="K205" s="23">
        <f>SUM([2]inicio:final!Q204)</f>
        <v>4570032</v>
      </c>
      <c r="L205" s="23">
        <f>SUM([2]inicio:final!R204)</f>
        <v>0</v>
      </c>
      <c r="M205" s="23">
        <f>SUM([2]inicio:final!S204)</f>
        <v>-288254404</v>
      </c>
      <c r="N205" s="23">
        <f>SUM([2]inicio:final!V204)</f>
        <v>0</v>
      </c>
      <c r="O205" s="26">
        <f>SUM([2]inicio:final!W204)</f>
        <v>-267793817.28580645</v>
      </c>
    </row>
    <row r="206" spans="1:15" ht="15" customHeight="1" thickBot="1" x14ac:dyDescent="0.3">
      <c r="B206" s="22" t="s">
        <v>32</v>
      </c>
      <c r="C206" s="57">
        <f>SUM([2]inicio:final!E205)</f>
        <v>0</v>
      </c>
      <c r="D206" s="23">
        <f>SUM([2]inicio:final!G205)</f>
        <v>0</v>
      </c>
      <c r="E206" s="57">
        <f>SUM([2]inicio:final!J205)</f>
        <v>-1</v>
      </c>
      <c r="F206" s="23">
        <f>SUM([2]inicio:final!L205)</f>
        <v>-559</v>
      </c>
      <c r="G206" s="23">
        <f>SUM([2]inicio:final!M205)</f>
        <v>218196</v>
      </c>
      <c r="H206" s="23">
        <f>SUM([2]inicio:final!N205)</f>
        <v>0</v>
      </c>
      <c r="I206" s="23">
        <f>SUM([2]inicio:final!O205)</f>
        <v>0</v>
      </c>
      <c r="J206" s="23">
        <f>SUM([2]inicio:final!P205)</f>
        <v>0</v>
      </c>
      <c r="K206" s="23">
        <f>SUM([2]inicio:final!Q205)</f>
        <v>4570032</v>
      </c>
      <c r="L206" s="23">
        <f>SUM([2]inicio:final!R205)</f>
        <v>0</v>
      </c>
      <c r="M206" s="23">
        <f>SUM([2]inicio:final!S205)</f>
        <v>4787669</v>
      </c>
      <c r="N206" s="23">
        <f>SUM([2]inicio:final!V205)</f>
        <v>0</v>
      </c>
      <c r="O206" s="26">
        <f>SUM([2]inicio:final!W205)</f>
        <v>-263006148.28580645</v>
      </c>
    </row>
    <row r="207" spans="1:15" ht="15" customHeight="1" thickBot="1" x14ac:dyDescent="0.3">
      <c r="B207" s="22" t="s">
        <v>33</v>
      </c>
      <c r="C207" s="57">
        <f>SUM([2]inicio:final!E206)</f>
        <v>0</v>
      </c>
      <c r="D207" s="23">
        <f>SUM([2]inicio:final!G206)</f>
        <v>0</v>
      </c>
      <c r="E207" s="57">
        <f>SUM([2]inicio:final!J206)</f>
        <v>-1</v>
      </c>
      <c r="F207" s="23">
        <f>SUM([2]inicio:final!L206)</f>
        <v>-559</v>
      </c>
      <c r="G207" s="23">
        <f>SUM([2]inicio:final!M206)</f>
        <v>218196</v>
      </c>
      <c r="H207" s="23">
        <f>SUM([2]inicio:final!N206)</f>
        <v>0</v>
      </c>
      <c r="I207" s="23">
        <f>SUM([2]inicio:final!O206)</f>
        <v>0</v>
      </c>
      <c r="J207" s="23">
        <f>SUM([2]inicio:final!P206)</f>
        <v>0</v>
      </c>
      <c r="K207" s="23">
        <f>SUM([2]inicio:final!Q206)</f>
        <v>4570032</v>
      </c>
      <c r="L207" s="23">
        <f>SUM([2]inicio:final!R206)</f>
        <v>0</v>
      </c>
      <c r="M207" s="23">
        <f>SUM([2]inicio:final!S206)</f>
        <v>4787669</v>
      </c>
      <c r="N207" s="23">
        <f>SUM([2]inicio:final!V206)</f>
        <v>0</v>
      </c>
      <c r="O207" s="26">
        <f>SUM([2]inicio:final!W206)</f>
        <v>-258218479.28580645</v>
      </c>
    </row>
    <row r="208" spans="1:15" ht="15" customHeight="1" thickBot="1" x14ac:dyDescent="0.3">
      <c r="B208" s="22" t="s">
        <v>34</v>
      </c>
      <c r="C208" s="57">
        <f>SUM([2]inicio:final!E207)</f>
        <v>0</v>
      </c>
      <c r="D208" s="23">
        <f>SUM([2]inicio:final!G207)</f>
        <v>0</v>
      </c>
      <c r="E208" s="57">
        <f>SUM([2]inicio:final!J207)</f>
        <v>-1</v>
      </c>
      <c r="F208" s="23">
        <f>SUM([2]inicio:final!L207)</f>
        <v>-559</v>
      </c>
      <c r="G208" s="23">
        <f>SUM([2]inicio:final!M207)</f>
        <v>218196</v>
      </c>
      <c r="H208" s="23">
        <f>SUM([2]inicio:final!N207)</f>
        <v>0</v>
      </c>
      <c r="I208" s="23">
        <f>SUM([2]inicio:final!O207)</f>
        <v>0</v>
      </c>
      <c r="J208" s="23">
        <f>SUM([2]inicio:final!P207)</f>
        <v>0</v>
      </c>
      <c r="K208" s="23">
        <f>SUM([2]inicio:final!Q207)</f>
        <v>4570032</v>
      </c>
      <c r="L208" s="23">
        <f>SUM([2]inicio:final!R207)</f>
        <v>0</v>
      </c>
      <c r="M208" s="23">
        <f>SUM([2]inicio:final!S207)</f>
        <v>4787669</v>
      </c>
      <c r="N208" s="23">
        <f>SUM([2]inicio:final!V207)</f>
        <v>0</v>
      </c>
      <c r="O208" s="26">
        <f>SUM([2]inicio:final!W207)</f>
        <v>-253430810.28580645</v>
      </c>
    </row>
    <row r="209" spans="2:15" ht="15" customHeight="1" thickBot="1" x14ac:dyDescent="0.3">
      <c r="B209" s="22" t="s">
        <v>35</v>
      </c>
      <c r="C209" s="57">
        <f>SUM([2]inicio:final!E208)</f>
        <v>0</v>
      </c>
      <c r="D209" s="23">
        <f>SUM([2]inicio:final!G208)</f>
        <v>0</v>
      </c>
      <c r="E209" s="57">
        <f>SUM([2]inicio:final!J208)</f>
        <v>-1</v>
      </c>
      <c r="F209" s="23">
        <f>SUM([2]inicio:final!L208)</f>
        <v>-559</v>
      </c>
      <c r="G209" s="23">
        <f>SUM([2]inicio:final!M208)</f>
        <v>218196</v>
      </c>
      <c r="H209" s="23">
        <f>SUM([2]inicio:final!N208)</f>
        <v>0</v>
      </c>
      <c r="I209" s="23">
        <f>SUM([2]inicio:final!O208)</f>
        <v>0</v>
      </c>
      <c r="J209" s="23">
        <f>SUM([2]inicio:final!P208)</f>
        <v>0</v>
      </c>
      <c r="K209" s="23">
        <f>SUM([2]inicio:final!Q208)</f>
        <v>4570032</v>
      </c>
      <c r="L209" s="23">
        <f>SUM([2]inicio:final!R208)</f>
        <v>0</v>
      </c>
      <c r="M209" s="23">
        <f>SUM([2]inicio:final!S208)</f>
        <v>4787669</v>
      </c>
      <c r="N209" s="23">
        <f>SUM([2]inicio:final!V208)</f>
        <v>0</v>
      </c>
      <c r="O209" s="26">
        <f>SUM([2]inicio:final!W208)</f>
        <v>-248643141.28580645</v>
      </c>
    </row>
    <row r="210" spans="2:15" ht="15" customHeight="1" thickBot="1" x14ac:dyDescent="0.3">
      <c r="B210" s="22" t="s">
        <v>36</v>
      </c>
      <c r="C210" s="57">
        <f>SUM([2]inicio:final!E209)</f>
        <v>0</v>
      </c>
      <c r="D210" s="23">
        <f>SUM([2]inicio:final!G209)</f>
        <v>0</v>
      </c>
      <c r="E210" s="57">
        <f>SUM([2]inicio:final!J209)</f>
        <v>-1</v>
      </c>
      <c r="F210" s="23">
        <f>SUM([2]inicio:final!L209)</f>
        <v>-559</v>
      </c>
      <c r="G210" s="23">
        <f>SUM([2]inicio:final!M209)</f>
        <v>218196</v>
      </c>
      <c r="H210" s="23">
        <f>SUM([2]inicio:final!N209)</f>
        <v>0</v>
      </c>
      <c r="I210" s="23">
        <f>SUM([2]inicio:final!O209)</f>
        <v>0</v>
      </c>
      <c r="J210" s="23">
        <f>SUM([2]inicio:final!P209)</f>
        <v>0</v>
      </c>
      <c r="K210" s="23">
        <f>SUM([2]inicio:final!Q209)</f>
        <v>4570032</v>
      </c>
      <c r="L210" s="23">
        <f>SUM([2]inicio:final!R209)</f>
        <v>0</v>
      </c>
      <c r="M210" s="23">
        <f>SUM([2]inicio:final!S209)</f>
        <v>4787669</v>
      </c>
      <c r="N210" s="23">
        <f>SUM([2]inicio:final!V209)</f>
        <v>0</v>
      </c>
      <c r="O210" s="26">
        <f>SUM([2]inicio:final!W209)</f>
        <v>-243855472.28580645</v>
      </c>
    </row>
    <row r="211" spans="2:15" ht="15" customHeight="1" thickBot="1" x14ac:dyDescent="0.3">
      <c r="B211" s="22" t="s">
        <v>37</v>
      </c>
      <c r="C211" s="57">
        <f>SUM([2]inicio:final!E210)</f>
        <v>0</v>
      </c>
      <c r="D211" s="23">
        <f>SUM([2]inicio:final!G210)</f>
        <v>0</v>
      </c>
      <c r="E211" s="57">
        <f>SUM([2]inicio:final!J210)</f>
        <v>-1</v>
      </c>
      <c r="F211" s="23">
        <f>SUM([2]inicio:final!L210)</f>
        <v>-559</v>
      </c>
      <c r="G211" s="23">
        <f>SUM([2]inicio:final!M210)</f>
        <v>218196</v>
      </c>
      <c r="H211" s="23">
        <f>SUM([2]inicio:final!N210)</f>
        <v>0</v>
      </c>
      <c r="I211" s="23">
        <f>SUM([2]inicio:final!O210)</f>
        <v>0</v>
      </c>
      <c r="J211" s="23">
        <f>SUM([2]inicio:final!P210)</f>
        <v>0</v>
      </c>
      <c r="K211" s="23">
        <f>SUM([2]inicio:final!Q210)</f>
        <v>4570032</v>
      </c>
      <c r="L211" s="23">
        <f>SUM([2]inicio:final!R210)</f>
        <v>0</v>
      </c>
      <c r="M211" s="23">
        <f>SUM([2]inicio:final!S210)</f>
        <v>4787669</v>
      </c>
      <c r="N211" s="23">
        <f>SUM([2]inicio:final!V210)</f>
        <v>0</v>
      </c>
      <c r="O211" s="26">
        <f>SUM([2]inicio:final!W210)</f>
        <v>-239067803.28580645</v>
      </c>
    </row>
    <row r="212" spans="2:15" ht="15.75" hidden="1" customHeight="1" thickBot="1" x14ac:dyDescent="0.3">
      <c r="B212" s="76" t="s">
        <v>62</v>
      </c>
      <c r="C212" s="77"/>
      <c r="D212" s="78"/>
      <c r="E212" s="42"/>
    </row>
    <row r="213" spans="2:15" ht="16.5" hidden="1" customHeight="1" x14ac:dyDescent="0.25">
      <c r="B213" s="84" t="s">
        <v>25</v>
      </c>
      <c r="C213" s="84" t="s">
        <v>9</v>
      </c>
      <c r="D213" s="86" t="s">
        <v>49</v>
      </c>
      <c r="E213" s="42"/>
    </row>
    <row r="214" spans="2:15" ht="15.75" hidden="1" thickBot="1" x14ac:dyDescent="0.3">
      <c r="B214" s="85"/>
      <c r="C214" s="85"/>
      <c r="D214" s="87"/>
      <c r="E214" s="42"/>
    </row>
    <row r="215" spans="2:15" ht="15.75" hidden="1" thickBot="1" x14ac:dyDescent="0.3">
      <c r="B215" s="43" t="s">
        <v>50</v>
      </c>
      <c r="C215" s="44">
        <f>[2]Resumen!$C$245</f>
        <v>6601140</v>
      </c>
      <c r="D215" s="44">
        <f>[2]Resumen!$D$245</f>
        <v>6907680</v>
      </c>
      <c r="E215" s="42"/>
    </row>
    <row r="216" spans="2:15" ht="15.75" hidden="1" thickBot="1" x14ac:dyDescent="0.3">
      <c r="B216" s="45" t="s">
        <v>51</v>
      </c>
      <c r="C216" s="44">
        <f>[2]Resumen!$C$246</f>
        <v>6897420</v>
      </c>
      <c r="D216" s="44">
        <f>[2]Resumen!$D$246</f>
        <v>5545317</v>
      </c>
      <c r="E216" s="42"/>
    </row>
    <row r="217" spans="2:15" ht="15.75" hidden="1" thickBot="1" x14ac:dyDescent="0.3">
      <c r="B217" s="45" t="s">
        <v>52</v>
      </c>
      <c r="C217" s="44">
        <f>[2]Resumen!$C$247</f>
        <v>6984964</v>
      </c>
      <c r="D217" s="44">
        <f>[2]Resumen!$D$247</f>
        <v>7445340</v>
      </c>
      <c r="E217" s="42"/>
    </row>
    <row r="218" spans="2:15" ht="15.75" hidden="1" thickBot="1" x14ac:dyDescent="0.3">
      <c r="B218" s="45" t="s">
        <v>53</v>
      </c>
      <c r="C218" s="44">
        <f>[2]Resumen!$C$248</f>
        <v>7822102</v>
      </c>
      <c r="D218" s="44">
        <f>[2]Resumen!$D$248</f>
        <v>6460217</v>
      </c>
      <c r="E218" s="42"/>
    </row>
    <row r="219" spans="2:15" ht="15.75" hidden="1" thickBot="1" x14ac:dyDescent="0.3">
      <c r="B219" s="45" t="s">
        <v>54</v>
      </c>
      <c r="C219" s="44">
        <f>[2]Resumen!$C$249</f>
        <v>8391657</v>
      </c>
      <c r="D219" s="44">
        <f>[2]Resumen!$D$249</f>
        <v>8006457</v>
      </c>
      <c r="E219" s="42"/>
    </row>
    <row r="220" spans="2:15" ht="15.75" hidden="1" thickBot="1" x14ac:dyDescent="0.3">
      <c r="B220" s="45" t="s">
        <v>55</v>
      </c>
      <c r="C220" s="44">
        <f>[2]Resumen!$C$250</f>
        <v>0</v>
      </c>
      <c r="D220" s="44">
        <f>[2]Resumen!$D$250</f>
        <v>0</v>
      </c>
      <c r="E220" s="42"/>
    </row>
    <row r="221" spans="2:15" ht="15.75" hidden="1" thickBot="1" x14ac:dyDescent="0.3">
      <c r="B221" s="45" t="s">
        <v>56</v>
      </c>
      <c r="C221" s="44">
        <f>[2]Resumen!$C$251</f>
        <v>0</v>
      </c>
      <c r="D221" s="44">
        <f>[2]Resumen!$D$251</f>
        <v>0</v>
      </c>
      <c r="E221" s="42"/>
    </row>
    <row r="222" spans="2:15" ht="15.75" hidden="1" thickBot="1" x14ac:dyDescent="0.3">
      <c r="B222" s="45" t="s">
        <v>57</v>
      </c>
      <c r="C222" s="44">
        <f>[2]Resumen!$C$252</f>
        <v>0</v>
      </c>
      <c r="D222" s="44">
        <f>[2]Resumen!$D$252</f>
        <v>0</v>
      </c>
      <c r="E222" s="42"/>
    </row>
    <row r="223" spans="2:15" ht="15.75" hidden="1" thickBot="1" x14ac:dyDescent="0.3">
      <c r="B223" s="45" t="s">
        <v>58</v>
      </c>
      <c r="C223" s="44">
        <f>[2]Resumen!$C$253</f>
        <v>0</v>
      </c>
      <c r="D223" s="44">
        <f>[2]Resumen!$D$253</f>
        <v>0</v>
      </c>
      <c r="E223" s="42"/>
    </row>
    <row r="224" spans="2:15" ht="15.75" hidden="1" thickBot="1" x14ac:dyDescent="0.3">
      <c r="B224" s="45" t="s">
        <v>59</v>
      </c>
      <c r="C224" s="44">
        <f>[2]Resumen!$C$254</f>
        <v>0</v>
      </c>
      <c r="D224" s="44">
        <f>[2]Resumen!$D$254</f>
        <v>0</v>
      </c>
      <c r="E224" s="42"/>
      <c r="F224" s="42"/>
    </row>
    <row r="225" spans="2:5" ht="15.75" hidden="1" thickBot="1" x14ac:dyDescent="0.3">
      <c r="B225" s="45" t="s">
        <v>60</v>
      </c>
      <c r="C225" s="44">
        <f>[2]Resumen!$C$255</f>
        <v>0</v>
      </c>
      <c r="D225" s="44">
        <f>[2]Resumen!$D$255</f>
        <v>0</v>
      </c>
      <c r="E225" s="42"/>
    </row>
    <row r="226" spans="2:5" ht="15.75" hidden="1" thickBot="1" x14ac:dyDescent="0.3">
      <c r="B226" s="45" t="s">
        <v>61</v>
      </c>
      <c r="C226" s="44">
        <f>[2]Resumen!$C$256</f>
        <v>0</v>
      </c>
      <c r="D226" s="44">
        <f>[2]Resumen!$D$256</f>
        <v>0</v>
      </c>
      <c r="E226" s="42"/>
    </row>
    <row r="227" spans="2:5" hidden="1" x14ac:dyDescent="0.25">
      <c r="B227" s="42"/>
      <c r="C227" s="42"/>
      <c r="D227" s="42"/>
      <c r="E227" s="42"/>
    </row>
    <row r="228" spans="2:5" hidden="1" x14ac:dyDescent="0.25"/>
    <row r="229" spans="2:5" hidden="1" x14ac:dyDescent="0.25"/>
    <row r="230" spans="2:5" hidden="1" x14ac:dyDescent="0.25"/>
  </sheetData>
  <mergeCells count="8">
    <mergeCell ref="B3:C3"/>
    <mergeCell ref="C5:D5"/>
    <mergeCell ref="G5:K5"/>
    <mergeCell ref="L5:O5"/>
    <mergeCell ref="C213:C214"/>
    <mergeCell ref="D213:D214"/>
    <mergeCell ref="B212:D212"/>
    <mergeCell ref="B213:B214"/>
  </mergeCells>
  <conditionalFormatting sqref="O8:O175">
    <cfRule type="cellIs" dxfId="13" priority="3" stopIfTrue="1" operator="lessThan">
      <formula>-0.999999</formula>
    </cfRule>
    <cfRule type="cellIs" dxfId="12" priority="4" stopIfTrue="1" operator="greaterThan">
      <formula>0.9999999</formula>
    </cfRule>
  </conditionalFormatting>
  <conditionalFormatting sqref="O176:O211">
    <cfRule type="cellIs" dxfId="11" priority="1" stopIfTrue="1" operator="lessThan">
      <formula>-0.999999</formula>
    </cfRule>
    <cfRule type="cellIs" dxfId="10" priority="2" stopIfTrue="1" operator="greaterThan">
      <formula>0.9999999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O232"/>
  <sheetViews>
    <sheetView workbookViewId="0">
      <selection activeCell="C204" sqref="C204"/>
    </sheetView>
  </sheetViews>
  <sheetFormatPr baseColWidth="10" defaultRowHeight="15" x14ac:dyDescent="0.25"/>
  <cols>
    <col min="4" max="4" width="12.7109375" customWidth="1"/>
    <col min="6" max="6" width="12.85546875" bestFit="1" customWidth="1"/>
    <col min="10" max="15" width="13.5703125" customWidth="1"/>
  </cols>
  <sheetData>
    <row r="1" spans="1:15" x14ac:dyDescent="0.25">
      <c r="D1" s="1"/>
      <c r="E1" s="1"/>
      <c r="F1" s="1"/>
      <c r="G1" s="2"/>
      <c r="H1" s="3"/>
      <c r="I1" s="3"/>
      <c r="J1" s="3"/>
      <c r="K1" s="3"/>
      <c r="L1" s="2"/>
      <c r="M1" s="2"/>
      <c r="N1" s="2"/>
      <c r="O1" s="2"/>
    </row>
    <row r="2" spans="1:15" ht="18.75" x14ac:dyDescent="0.3">
      <c r="B2" s="4" t="s">
        <v>0</v>
      </c>
      <c r="C2" s="4"/>
      <c r="G2" s="2"/>
      <c r="H2" s="3"/>
      <c r="I2" s="3"/>
      <c r="J2" s="3"/>
      <c r="L2" s="2"/>
      <c r="M2" s="2"/>
      <c r="N2" s="2"/>
      <c r="O2" s="2"/>
    </row>
    <row r="3" spans="1:15" ht="18.75" x14ac:dyDescent="0.3">
      <c r="B3" s="81" t="s">
        <v>1</v>
      </c>
      <c r="C3" s="81"/>
      <c r="D3" s="4" t="s">
        <v>2</v>
      </c>
      <c r="G3" s="2"/>
      <c r="H3" s="3"/>
      <c r="I3" s="3"/>
      <c r="J3" s="3"/>
      <c r="L3" s="2"/>
      <c r="M3" s="2"/>
      <c r="N3" s="2"/>
      <c r="O3" s="2"/>
    </row>
    <row r="4" spans="1:15" ht="15.75" thickBot="1" x14ac:dyDescent="0.3">
      <c r="E4" s="5"/>
      <c r="F4" s="5"/>
      <c r="G4" s="2"/>
      <c r="H4" s="3"/>
      <c r="I4" s="3"/>
      <c r="J4" s="3"/>
      <c r="K4" s="3"/>
      <c r="L4" s="2"/>
      <c r="M4" s="2"/>
      <c r="N4" s="2"/>
      <c r="O4" s="2"/>
    </row>
    <row r="5" spans="1:15" ht="15.75" thickBot="1" x14ac:dyDescent="0.3">
      <c r="B5" s="6"/>
      <c r="C5" s="71" t="s">
        <v>3</v>
      </c>
      <c r="D5" s="82"/>
      <c r="E5" s="7" t="s">
        <v>4</v>
      </c>
      <c r="F5" s="8"/>
      <c r="G5" s="83" t="s">
        <v>5</v>
      </c>
      <c r="H5" s="69"/>
      <c r="I5" s="69"/>
      <c r="J5" s="69"/>
      <c r="K5" s="70"/>
      <c r="L5" s="68" t="s">
        <v>6</v>
      </c>
      <c r="M5" s="69"/>
      <c r="N5" s="69"/>
      <c r="O5" s="70"/>
    </row>
    <row r="6" spans="1:15" x14ac:dyDescent="0.25">
      <c r="B6" s="9" t="s">
        <v>7</v>
      </c>
      <c r="C6" s="9" t="s">
        <v>8</v>
      </c>
      <c r="D6" s="9" t="s">
        <v>9</v>
      </c>
      <c r="E6" s="9" t="s">
        <v>8</v>
      </c>
      <c r="F6" s="9" t="s">
        <v>9</v>
      </c>
      <c r="G6" s="10" t="s">
        <v>10</v>
      </c>
      <c r="H6" s="9" t="s">
        <v>11</v>
      </c>
      <c r="I6" s="11" t="s">
        <v>12</v>
      </c>
      <c r="J6" s="12" t="s">
        <v>13</v>
      </c>
      <c r="K6" s="10" t="s">
        <v>14</v>
      </c>
      <c r="L6" s="13" t="s">
        <v>15</v>
      </c>
      <c r="M6" s="10" t="s">
        <v>9</v>
      </c>
      <c r="N6" s="10"/>
      <c r="O6" s="14" t="s">
        <v>16</v>
      </c>
    </row>
    <row r="7" spans="1:15" ht="15.75" thickBot="1" x14ac:dyDescent="0.3">
      <c r="B7" s="15" t="s">
        <v>17</v>
      </c>
      <c r="C7" s="15" t="s">
        <v>18</v>
      </c>
      <c r="D7" s="15" t="s">
        <v>19</v>
      </c>
      <c r="E7" s="15" t="s">
        <v>20</v>
      </c>
      <c r="F7" s="15" t="s">
        <v>21</v>
      </c>
      <c r="G7" s="16" t="s">
        <v>22</v>
      </c>
      <c r="H7" s="15" t="s">
        <v>23</v>
      </c>
      <c r="I7" s="17"/>
      <c r="J7" s="17"/>
      <c r="K7" s="18" t="s">
        <v>24</v>
      </c>
      <c r="L7" s="19"/>
      <c r="M7" s="16" t="s">
        <v>25</v>
      </c>
      <c r="N7" s="18" t="s">
        <v>26</v>
      </c>
      <c r="O7" s="20" t="s">
        <v>25</v>
      </c>
    </row>
    <row r="8" spans="1:15" ht="15.75" hidden="1" thickBot="1" x14ac:dyDescent="0.3">
      <c r="A8" s="21">
        <v>2003</v>
      </c>
      <c r="B8" s="22"/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5">
        <v>394141.60000000003</v>
      </c>
    </row>
    <row r="9" spans="1:15" ht="15.75" hidden="1" thickBot="1" x14ac:dyDescent="0.3">
      <c r="A9" s="21"/>
      <c r="B9" s="22" t="s">
        <v>27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6">
        <v>472969.92000000004</v>
      </c>
    </row>
    <row r="10" spans="1:15" ht="15.75" hidden="1" thickBot="1" x14ac:dyDescent="0.3">
      <c r="A10" s="21"/>
      <c r="B10" s="22" t="s">
        <v>28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6">
        <v>551798.24</v>
      </c>
    </row>
    <row r="11" spans="1:15" ht="15.75" hidden="1" thickBot="1" x14ac:dyDescent="0.3">
      <c r="A11" s="21"/>
      <c r="B11" s="22" t="s">
        <v>29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6">
        <v>630626.55999999994</v>
      </c>
    </row>
    <row r="12" spans="1:15" ht="15.75" hidden="1" thickBot="1" x14ac:dyDescent="0.3">
      <c r="A12" s="21"/>
      <c r="B12" s="22" t="s">
        <v>30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78000</v>
      </c>
      <c r="L12" s="23">
        <v>0</v>
      </c>
      <c r="M12" s="23">
        <v>78000</v>
      </c>
      <c r="N12" s="23">
        <v>0</v>
      </c>
      <c r="O12" s="26">
        <v>709454.87999999989</v>
      </c>
    </row>
    <row r="13" spans="1:15" ht="15.75" hidden="1" thickBot="1" x14ac:dyDescent="0.3">
      <c r="A13" s="21"/>
      <c r="B13" s="22" t="s">
        <v>31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78000</v>
      </c>
      <c r="L13" s="23">
        <v>0</v>
      </c>
      <c r="M13" s="23">
        <v>1131000</v>
      </c>
      <c r="N13" s="23">
        <v>79518</v>
      </c>
      <c r="O13" s="26">
        <v>788283.19999999984</v>
      </c>
    </row>
    <row r="14" spans="1:15" ht="15.75" hidden="1" thickBot="1" x14ac:dyDescent="0.3">
      <c r="A14" s="21"/>
      <c r="B14" s="22" t="s">
        <v>32</v>
      </c>
      <c r="C14" s="23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1326000</v>
      </c>
      <c r="L14" s="23">
        <v>0</v>
      </c>
      <c r="M14" s="23">
        <v>2067000</v>
      </c>
      <c r="N14" s="23">
        <v>0</v>
      </c>
      <c r="O14" s="26">
        <v>906111.51999999979</v>
      </c>
    </row>
    <row r="15" spans="1:15" ht="15.75" hidden="1" thickBot="1" x14ac:dyDescent="0.3">
      <c r="A15" s="21"/>
      <c r="B15" s="22" t="s">
        <v>33</v>
      </c>
      <c r="C15" s="23">
        <v>6120.2000000000007</v>
      </c>
      <c r="D15" s="23">
        <v>385572.60000000003</v>
      </c>
      <c r="E15" s="23">
        <v>3750.9459999999999</v>
      </c>
      <c r="F15" s="23">
        <v>1125283.8</v>
      </c>
      <c r="G15" s="23">
        <v>0</v>
      </c>
      <c r="H15" s="23">
        <v>0</v>
      </c>
      <c r="I15" s="23">
        <v>0</v>
      </c>
      <c r="J15" s="23">
        <v>0</v>
      </c>
      <c r="K15" s="23">
        <v>1326000</v>
      </c>
      <c r="L15" s="23">
        <v>0</v>
      </c>
      <c r="M15" s="23">
        <v>3577856.4000000004</v>
      </c>
      <c r="N15" s="23">
        <v>0</v>
      </c>
      <c r="O15" s="26">
        <v>1023939.8399999997</v>
      </c>
    </row>
    <row r="16" spans="1:15" ht="15.75" hidden="1" thickBot="1" x14ac:dyDescent="0.3">
      <c r="A16" s="21"/>
      <c r="B16" s="22" t="s">
        <v>34</v>
      </c>
      <c r="C16" s="23">
        <v>0</v>
      </c>
      <c r="D16" s="23">
        <v>0</v>
      </c>
      <c r="E16" s="23">
        <v>1.3590000000000018</v>
      </c>
      <c r="F16" s="23">
        <v>407.7000000000005</v>
      </c>
      <c r="G16" s="23">
        <v>0</v>
      </c>
      <c r="H16" s="23">
        <v>0</v>
      </c>
      <c r="I16" s="23">
        <v>0</v>
      </c>
      <c r="J16" s="23">
        <v>0</v>
      </c>
      <c r="K16" s="23">
        <v>1326000</v>
      </c>
      <c r="L16" s="23">
        <v>0</v>
      </c>
      <c r="M16" s="23">
        <v>2067407.7</v>
      </c>
      <c r="N16" s="23">
        <v>0</v>
      </c>
      <c r="O16" s="26">
        <v>1141768.1599999997</v>
      </c>
    </row>
    <row r="17" spans="1:15" ht="15.75" hidden="1" thickBot="1" x14ac:dyDescent="0.3">
      <c r="A17" s="21"/>
      <c r="B17" s="22" t="s">
        <v>35</v>
      </c>
      <c r="C17" s="23">
        <v>27453.600000000002</v>
      </c>
      <c r="D17" s="23">
        <v>1729576.8</v>
      </c>
      <c r="E17" s="23">
        <v>13882.565999999999</v>
      </c>
      <c r="F17" s="23">
        <v>4164769.8000000003</v>
      </c>
      <c r="G17" s="23">
        <v>0</v>
      </c>
      <c r="H17" s="23">
        <v>0</v>
      </c>
      <c r="I17" s="23">
        <v>0</v>
      </c>
      <c r="J17" s="23">
        <v>0</v>
      </c>
      <c r="K17" s="23">
        <v>1326000</v>
      </c>
      <c r="L17" s="23">
        <v>0</v>
      </c>
      <c r="M17" s="23">
        <v>7961346.5999999987</v>
      </c>
      <c r="N17" s="23">
        <v>0</v>
      </c>
      <c r="O17" s="26">
        <v>1259596.4799999997</v>
      </c>
    </row>
    <row r="18" spans="1:15" ht="15.75" hidden="1" thickBot="1" x14ac:dyDescent="0.3">
      <c r="A18" s="21"/>
      <c r="B18" s="22" t="s">
        <v>36</v>
      </c>
      <c r="C18" s="23">
        <v>2340.9000000000005</v>
      </c>
      <c r="D18" s="23">
        <v>147476.70000000001</v>
      </c>
      <c r="E18" s="23">
        <v>1355.7759999999989</v>
      </c>
      <c r="F18" s="23">
        <v>406732.7999999997</v>
      </c>
      <c r="G18" s="23">
        <v>0</v>
      </c>
      <c r="H18" s="23">
        <v>0</v>
      </c>
      <c r="I18" s="23">
        <v>0</v>
      </c>
      <c r="J18" s="23">
        <v>0</v>
      </c>
      <c r="K18" s="23">
        <v>1326000</v>
      </c>
      <c r="L18" s="23">
        <v>0</v>
      </c>
      <c r="M18" s="23">
        <v>2621209.5</v>
      </c>
      <c r="N18" s="23">
        <v>0</v>
      </c>
      <c r="O18" s="26">
        <v>1377424.7999999998</v>
      </c>
    </row>
    <row r="19" spans="1:15" ht="15.75" hidden="1" thickBot="1" x14ac:dyDescent="0.3">
      <c r="A19" s="21"/>
      <c r="B19" s="22" t="s">
        <v>37</v>
      </c>
      <c r="C19" s="23">
        <v>5159.0999999999995</v>
      </c>
      <c r="D19" s="23">
        <v>325023.30000000005</v>
      </c>
      <c r="E19" s="23">
        <v>3170.933</v>
      </c>
      <c r="F19" s="23">
        <v>951279.90000000014</v>
      </c>
      <c r="G19" s="23">
        <v>0</v>
      </c>
      <c r="H19" s="23">
        <v>0</v>
      </c>
      <c r="I19" s="23">
        <v>0</v>
      </c>
      <c r="J19" s="23">
        <v>0</v>
      </c>
      <c r="K19" s="23">
        <v>1326000</v>
      </c>
      <c r="L19" s="23">
        <v>0</v>
      </c>
      <c r="M19" s="23">
        <v>3343303.1999999997</v>
      </c>
      <c r="N19" s="23">
        <v>0</v>
      </c>
      <c r="O19" s="26">
        <v>1573253.1199999999</v>
      </c>
    </row>
    <row r="20" spans="1:15" ht="15.75" hidden="1" thickBot="1" x14ac:dyDescent="0.3">
      <c r="A20" s="21">
        <v>2004</v>
      </c>
      <c r="B20" s="22" t="s">
        <v>38</v>
      </c>
      <c r="C20" s="23">
        <v>2563.2999999999997</v>
      </c>
      <c r="D20" s="23">
        <v>161487.89999999997</v>
      </c>
      <c r="E20" s="23">
        <v>1873.0900000000001</v>
      </c>
      <c r="F20" s="23">
        <v>561927</v>
      </c>
      <c r="G20" s="23">
        <v>0</v>
      </c>
      <c r="H20" s="23">
        <v>0</v>
      </c>
      <c r="I20" s="23">
        <v>0</v>
      </c>
      <c r="J20" s="23">
        <v>0</v>
      </c>
      <c r="K20" s="23">
        <v>1326000</v>
      </c>
      <c r="L20" s="23">
        <v>0</v>
      </c>
      <c r="M20" s="23">
        <v>3037614.8999999994</v>
      </c>
      <c r="N20" s="23">
        <v>0</v>
      </c>
      <c r="O20" s="26">
        <v>1769081.44</v>
      </c>
    </row>
    <row r="21" spans="1:15" ht="15.75" hidden="1" thickBot="1" x14ac:dyDescent="0.3">
      <c r="A21" s="21"/>
      <c r="B21" s="22" t="s">
        <v>27</v>
      </c>
      <c r="C21" s="23">
        <v>3820.5000000000018</v>
      </c>
      <c r="D21" s="23">
        <v>240691.50000000009</v>
      </c>
      <c r="E21" s="23">
        <v>3965.3100000000004</v>
      </c>
      <c r="F21" s="23">
        <v>1217067</v>
      </c>
      <c r="G21" s="23">
        <v>0</v>
      </c>
      <c r="H21" s="23">
        <v>0</v>
      </c>
      <c r="I21" s="23">
        <v>0</v>
      </c>
      <c r="J21" s="23">
        <v>0</v>
      </c>
      <c r="K21" s="23">
        <v>1326000</v>
      </c>
      <c r="L21" s="23">
        <v>0</v>
      </c>
      <c r="M21" s="23">
        <v>3530158.5</v>
      </c>
      <c r="N21" s="23">
        <v>39000</v>
      </c>
      <c r="O21" s="26">
        <v>1925909.76</v>
      </c>
    </row>
    <row r="22" spans="1:15" ht="15.75" hidden="1" thickBot="1" x14ac:dyDescent="0.3">
      <c r="A22" s="21"/>
      <c r="B22" s="22" t="s">
        <v>28</v>
      </c>
      <c r="C22" s="23">
        <v>4241.7999999999975</v>
      </c>
      <c r="D22" s="23">
        <v>267233.39999999979</v>
      </c>
      <c r="E22" s="23">
        <v>1839.0900000000001</v>
      </c>
      <c r="F22" s="23">
        <v>554895.00000000012</v>
      </c>
      <c r="G22" s="23">
        <v>0</v>
      </c>
      <c r="H22" s="23">
        <v>0</v>
      </c>
      <c r="I22" s="23">
        <v>0</v>
      </c>
      <c r="J22" s="23">
        <v>0</v>
      </c>
      <c r="K22" s="23">
        <v>1326000</v>
      </c>
      <c r="L22" s="23">
        <v>0</v>
      </c>
      <c r="M22" s="23">
        <v>2889128.4</v>
      </c>
      <c r="N22" s="23">
        <v>0</v>
      </c>
      <c r="O22" s="26">
        <v>2201205.98</v>
      </c>
    </row>
    <row r="23" spans="1:15" ht="15.75" hidden="1" thickBot="1" x14ac:dyDescent="0.3">
      <c r="A23" s="21"/>
      <c r="B23" s="22" t="s">
        <v>29</v>
      </c>
      <c r="C23" s="23">
        <v>2856.4000000000019</v>
      </c>
      <c r="D23" s="23">
        <v>179953.20000000013</v>
      </c>
      <c r="E23" s="23">
        <v>690.50999999999931</v>
      </c>
      <c r="F23" s="23">
        <v>248583.59999999974</v>
      </c>
      <c r="G23" s="23">
        <v>0</v>
      </c>
      <c r="H23" s="23">
        <v>0</v>
      </c>
      <c r="I23" s="23">
        <v>0</v>
      </c>
      <c r="J23" s="23">
        <v>0</v>
      </c>
      <c r="K23" s="23">
        <v>1326000</v>
      </c>
      <c r="L23" s="23">
        <v>0</v>
      </c>
      <c r="M23" s="23">
        <v>2495536.8000000003</v>
      </c>
      <c r="N23" s="23">
        <v>0</v>
      </c>
      <c r="O23" s="26">
        <v>2514884.8000000003</v>
      </c>
    </row>
    <row r="24" spans="1:15" ht="15.75" hidden="1" thickBot="1" x14ac:dyDescent="0.3">
      <c r="A24" s="21"/>
      <c r="B24" s="22" t="s">
        <v>30</v>
      </c>
      <c r="C24" s="23">
        <v>2942.5999999999981</v>
      </c>
      <c r="D24" s="23">
        <v>185383.79999999987</v>
      </c>
      <c r="E24" s="23">
        <v>618.50000000000011</v>
      </c>
      <c r="F24" s="23">
        <v>222660.00000000003</v>
      </c>
      <c r="G24" s="23">
        <v>0</v>
      </c>
      <c r="H24" s="23">
        <v>0</v>
      </c>
      <c r="I24" s="23">
        <v>0</v>
      </c>
      <c r="J24" s="23">
        <v>0</v>
      </c>
      <c r="K24" s="23">
        <v>2067000</v>
      </c>
      <c r="L24" s="23">
        <v>33872</v>
      </c>
      <c r="M24" s="23">
        <v>2475043.7999999998</v>
      </c>
      <c r="N24" s="23">
        <v>0</v>
      </c>
      <c r="O24" s="26">
        <v>3306864.3200000003</v>
      </c>
    </row>
    <row r="25" spans="1:15" ht="15.75" hidden="1" thickBot="1" x14ac:dyDescent="0.3">
      <c r="A25" s="21"/>
      <c r="B25" s="22" t="s">
        <v>31</v>
      </c>
      <c r="C25" s="23">
        <v>2709.5000000000009</v>
      </c>
      <c r="D25" s="23">
        <v>170698.50000000006</v>
      </c>
      <c r="E25" s="23">
        <v>401.70000000000056</v>
      </c>
      <c r="F25" s="23">
        <v>144612.0000000002</v>
      </c>
      <c r="G25" s="23">
        <v>0</v>
      </c>
      <c r="H25" s="23">
        <v>0</v>
      </c>
      <c r="I25" s="23">
        <v>0</v>
      </c>
      <c r="J25" s="23">
        <v>0</v>
      </c>
      <c r="K25" s="23">
        <v>2067000</v>
      </c>
      <c r="L25" s="23">
        <v>34030</v>
      </c>
      <c r="M25" s="23">
        <v>2382310.5000000009</v>
      </c>
      <c r="N25" s="23">
        <v>378000</v>
      </c>
      <c r="O25" s="26">
        <v>3878975.54</v>
      </c>
    </row>
    <row r="26" spans="1:15" ht="15.75" hidden="1" thickBot="1" x14ac:dyDescent="0.3">
      <c r="A26" s="21"/>
      <c r="B26" s="22" t="s">
        <v>32</v>
      </c>
      <c r="C26" s="23">
        <v>3505.2999999999984</v>
      </c>
      <c r="D26" s="23">
        <v>220833.89999999991</v>
      </c>
      <c r="E26" s="23">
        <v>338.50000000000011</v>
      </c>
      <c r="F26" s="23">
        <v>121860.00000000004</v>
      </c>
      <c r="G26" s="23">
        <v>0</v>
      </c>
      <c r="H26" s="23">
        <v>0</v>
      </c>
      <c r="I26" s="23">
        <v>0</v>
      </c>
      <c r="J26" s="23">
        <v>0</v>
      </c>
      <c r="K26" s="23">
        <v>2067000</v>
      </c>
      <c r="L26" s="23">
        <v>34178</v>
      </c>
      <c r="M26" s="23">
        <v>2409693.9</v>
      </c>
      <c r="N26" s="23">
        <v>585000</v>
      </c>
      <c r="O26" s="26">
        <v>4971361.8600000003</v>
      </c>
    </row>
    <row r="27" spans="1:15" ht="15.75" hidden="1" thickBot="1" x14ac:dyDescent="0.3">
      <c r="A27" s="21"/>
      <c r="B27" s="22" t="s">
        <v>33</v>
      </c>
      <c r="C27" s="23">
        <v>3102.1000000000022</v>
      </c>
      <c r="D27" s="23">
        <v>195432.30000000013</v>
      </c>
      <c r="E27" s="23">
        <v>412.49999999999955</v>
      </c>
      <c r="F27" s="23">
        <v>148499.99999999983</v>
      </c>
      <c r="G27" s="23">
        <v>0</v>
      </c>
      <c r="H27" s="23">
        <v>0</v>
      </c>
      <c r="I27" s="23">
        <v>0</v>
      </c>
      <c r="J27" s="23">
        <v>0</v>
      </c>
      <c r="K27" s="23">
        <v>2067000</v>
      </c>
      <c r="L27" s="23">
        <v>34266</v>
      </c>
      <c r="M27" s="23">
        <v>2410932.3000000003</v>
      </c>
      <c r="N27" s="23">
        <v>1440118</v>
      </c>
      <c r="O27" s="26">
        <v>5738906.9800000014</v>
      </c>
    </row>
    <row r="28" spans="1:15" ht="15.75" hidden="1" thickBot="1" x14ac:dyDescent="0.3">
      <c r="A28" s="21"/>
      <c r="B28" s="22" t="s">
        <v>34</v>
      </c>
      <c r="C28" s="23">
        <v>3402.9</v>
      </c>
      <c r="D28" s="23">
        <v>214382.7</v>
      </c>
      <c r="E28" s="23">
        <v>918.89999999999986</v>
      </c>
      <c r="F28" s="23">
        <v>330803.99999999994</v>
      </c>
      <c r="G28" s="23">
        <v>0</v>
      </c>
      <c r="H28" s="23">
        <v>0</v>
      </c>
      <c r="I28" s="23">
        <v>0</v>
      </c>
      <c r="J28" s="23">
        <v>0</v>
      </c>
      <c r="K28" s="23">
        <v>2067000</v>
      </c>
      <c r="L28" s="23">
        <v>34382</v>
      </c>
      <c r="M28" s="23">
        <v>2612186.6999999997</v>
      </c>
      <c r="N28" s="23">
        <v>1967881</v>
      </c>
      <c r="O28" s="26">
        <v>6237258.4000000004</v>
      </c>
    </row>
    <row r="29" spans="1:15" ht="15.75" hidden="1" thickBot="1" x14ac:dyDescent="0.3">
      <c r="A29" s="21"/>
      <c r="B29" s="22" t="s">
        <v>35</v>
      </c>
      <c r="C29" s="23">
        <v>2757.8999999999996</v>
      </c>
      <c r="D29" s="23">
        <v>173747.69999999998</v>
      </c>
      <c r="E29" s="23">
        <v>1223</v>
      </c>
      <c r="F29" s="23">
        <v>440280</v>
      </c>
      <c r="G29" s="23">
        <v>0</v>
      </c>
      <c r="H29" s="23">
        <v>0</v>
      </c>
      <c r="I29" s="23">
        <v>0</v>
      </c>
      <c r="J29" s="23">
        <v>0</v>
      </c>
      <c r="K29" s="23">
        <v>2067000</v>
      </c>
      <c r="L29" s="23">
        <v>68894</v>
      </c>
      <c r="M29" s="23">
        <v>2681027.7000000007</v>
      </c>
      <c r="N29" s="23">
        <v>2877043</v>
      </c>
      <c r="O29" s="26">
        <v>6255044.4200000009</v>
      </c>
    </row>
    <row r="30" spans="1:15" ht="15.75" hidden="1" thickBot="1" x14ac:dyDescent="0.3">
      <c r="A30" s="21"/>
      <c r="B30" s="22" t="s">
        <v>36</v>
      </c>
      <c r="C30" s="23">
        <v>3506.8</v>
      </c>
      <c r="D30" s="23">
        <v>220928.39999999994</v>
      </c>
      <c r="E30" s="23">
        <v>1586.7000000000007</v>
      </c>
      <c r="F30" s="23">
        <v>571212.00000000023</v>
      </c>
      <c r="G30" s="23">
        <v>0</v>
      </c>
      <c r="H30" s="23">
        <v>0</v>
      </c>
      <c r="I30" s="23">
        <v>0</v>
      </c>
      <c r="J30" s="23">
        <v>0</v>
      </c>
      <c r="K30" s="23">
        <v>2106000</v>
      </c>
      <c r="L30" s="23">
        <v>69060</v>
      </c>
      <c r="M30" s="23">
        <v>2898140.4</v>
      </c>
      <c r="N30" s="23">
        <v>2237157</v>
      </c>
      <c r="O30" s="26">
        <v>7031129.1400000006</v>
      </c>
    </row>
    <row r="31" spans="1:15" ht="15.75" hidden="1" thickBot="1" x14ac:dyDescent="0.3">
      <c r="A31" s="21"/>
      <c r="B31" s="22" t="s">
        <v>37</v>
      </c>
      <c r="C31" s="23">
        <v>2803.6000000000004</v>
      </c>
      <c r="D31" s="23">
        <v>176626.80000000002</v>
      </c>
      <c r="E31" s="23">
        <v>1606.3999999999996</v>
      </c>
      <c r="F31" s="23">
        <v>578304</v>
      </c>
      <c r="G31" s="23">
        <v>0</v>
      </c>
      <c r="H31" s="23">
        <v>0</v>
      </c>
      <c r="I31" s="23">
        <v>0</v>
      </c>
      <c r="J31" s="23">
        <v>0</v>
      </c>
      <c r="K31" s="23">
        <v>2106000</v>
      </c>
      <c r="L31" s="23">
        <v>69268</v>
      </c>
      <c r="M31" s="23">
        <v>2860930.8</v>
      </c>
      <c r="N31" s="23">
        <v>2512020</v>
      </c>
      <c r="O31" s="26">
        <v>7254047.2599999998</v>
      </c>
    </row>
    <row r="32" spans="1:15" ht="15.75" hidden="1" thickBot="1" x14ac:dyDescent="0.3">
      <c r="A32" s="21">
        <v>2005</v>
      </c>
      <c r="B32" s="22" t="s">
        <v>38</v>
      </c>
      <c r="C32" s="23">
        <v>7712.2999999999993</v>
      </c>
      <c r="D32" s="23">
        <v>485874.9</v>
      </c>
      <c r="E32" s="23">
        <v>2949.1000000000004</v>
      </c>
      <c r="F32" s="23">
        <v>1061676</v>
      </c>
      <c r="G32" s="23">
        <v>0</v>
      </c>
      <c r="H32" s="23">
        <v>0</v>
      </c>
      <c r="I32" s="23">
        <v>0</v>
      </c>
      <c r="J32" s="23">
        <v>0</v>
      </c>
      <c r="K32" s="23">
        <v>2106000</v>
      </c>
      <c r="L32" s="23">
        <v>69132</v>
      </c>
      <c r="M32" s="23">
        <v>4667550.8999999994</v>
      </c>
      <c r="N32" s="23">
        <v>1645290</v>
      </c>
      <c r="O32" s="26">
        <v>10070181.48</v>
      </c>
    </row>
    <row r="33" spans="1:15" ht="15.75" hidden="1" thickBot="1" x14ac:dyDescent="0.3">
      <c r="A33" s="21"/>
      <c r="B33" s="22" t="s">
        <v>27</v>
      </c>
      <c r="C33" s="23">
        <v>5422</v>
      </c>
      <c r="D33" s="23">
        <v>341586</v>
      </c>
      <c r="E33" s="23">
        <v>2664.1000000000004</v>
      </c>
      <c r="F33" s="23">
        <v>959076</v>
      </c>
      <c r="G33" s="23">
        <v>4000</v>
      </c>
      <c r="H33" s="23">
        <v>0</v>
      </c>
      <c r="I33" s="23">
        <v>234000</v>
      </c>
      <c r="J33" s="23">
        <v>52000</v>
      </c>
      <c r="K33" s="23">
        <v>2067000</v>
      </c>
      <c r="L33" s="23">
        <v>68910</v>
      </c>
      <c r="M33" s="23">
        <v>3423662</v>
      </c>
      <c r="N33" s="23">
        <v>2651289</v>
      </c>
      <c r="O33" s="26">
        <v>11108403.800000001</v>
      </c>
    </row>
    <row r="34" spans="1:15" ht="15.75" hidden="1" thickBot="1" x14ac:dyDescent="0.3">
      <c r="A34" s="21"/>
      <c r="B34" s="22" t="s">
        <v>28</v>
      </c>
      <c r="C34" s="23">
        <v>4325</v>
      </c>
      <c r="D34" s="23">
        <v>272475</v>
      </c>
      <c r="E34" s="23">
        <v>2112.2999999999997</v>
      </c>
      <c r="F34" s="23">
        <v>760427.99999999988</v>
      </c>
      <c r="G34" s="23">
        <v>4000</v>
      </c>
      <c r="H34" s="23">
        <v>0</v>
      </c>
      <c r="I34" s="23">
        <v>0</v>
      </c>
      <c r="J34" s="23">
        <v>52000</v>
      </c>
      <c r="K34" s="23">
        <v>2106000</v>
      </c>
      <c r="L34" s="23">
        <v>68796</v>
      </c>
      <c r="M34" s="23">
        <v>3194903</v>
      </c>
      <c r="N34" s="23">
        <v>3965741</v>
      </c>
      <c r="O34" s="26">
        <v>10390568.120000001</v>
      </c>
    </row>
    <row r="35" spans="1:15" ht="15.75" hidden="1" thickBot="1" x14ac:dyDescent="0.3">
      <c r="A35" s="21"/>
      <c r="B35" s="22" t="s">
        <v>29</v>
      </c>
      <c r="C35" s="23">
        <v>4912.8999999999996</v>
      </c>
      <c r="D35" s="23">
        <v>309512.7</v>
      </c>
      <c r="E35" s="23">
        <v>1621.9</v>
      </c>
      <c r="F35" s="23">
        <v>583884</v>
      </c>
      <c r="G35" s="23">
        <v>4000</v>
      </c>
      <c r="H35" s="23">
        <v>0</v>
      </c>
      <c r="I35" s="23">
        <v>0</v>
      </c>
      <c r="J35" s="23">
        <v>52000</v>
      </c>
      <c r="K35" s="23">
        <v>2106000</v>
      </c>
      <c r="L35" s="23">
        <v>69064</v>
      </c>
      <c r="M35" s="23">
        <v>3075396.7</v>
      </c>
      <c r="N35" s="23">
        <v>2657531</v>
      </c>
      <c r="O35" s="26">
        <v>10670317.140000001</v>
      </c>
    </row>
    <row r="36" spans="1:15" ht="15.75" hidden="1" thickBot="1" x14ac:dyDescent="0.3">
      <c r="A36" s="21"/>
      <c r="B36" s="22" t="s">
        <v>30</v>
      </c>
      <c r="C36" s="23">
        <v>4707.2</v>
      </c>
      <c r="D36" s="23">
        <v>296553.59999999998</v>
      </c>
      <c r="E36" s="23">
        <v>729.05</v>
      </c>
      <c r="F36" s="23">
        <v>262458</v>
      </c>
      <c r="G36" s="23">
        <v>4000</v>
      </c>
      <c r="H36" s="23">
        <v>0</v>
      </c>
      <c r="I36" s="23">
        <v>0</v>
      </c>
      <c r="J36" s="23">
        <v>152000</v>
      </c>
      <c r="K36" s="23">
        <v>2106000</v>
      </c>
      <c r="L36" s="23">
        <v>69630</v>
      </c>
      <c r="M36" s="23">
        <v>2741011.6</v>
      </c>
      <c r="N36" s="23">
        <v>2780228</v>
      </c>
      <c r="O36" s="26">
        <v>10672227.060000001</v>
      </c>
    </row>
    <row r="37" spans="1:15" ht="15.75" hidden="1" thickBot="1" x14ac:dyDescent="0.3">
      <c r="A37" s="21"/>
      <c r="B37" s="22" t="s">
        <v>31</v>
      </c>
      <c r="C37" s="23">
        <v>4815.6000000000004</v>
      </c>
      <c r="D37" s="23">
        <v>303382.80000000005</v>
      </c>
      <c r="E37" s="23">
        <v>424.21</v>
      </c>
      <c r="F37" s="23">
        <v>152715.59999999998</v>
      </c>
      <c r="G37" s="23">
        <v>4000</v>
      </c>
      <c r="H37" s="23">
        <v>0</v>
      </c>
      <c r="I37" s="23">
        <v>0</v>
      </c>
      <c r="J37" s="23">
        <v>148000</v>
      </c>
      <c r="K37" s="23">
        <v>2106000</v>
      </c>
      <c r="L37" s="23">
        <v>69958</v>
      </c>
      <c r="M37" s="23">
        <v>2634098.3999999994</v>
      </c>
      <c r="N37" s="23">
        <v>1927223</v>
      </c>
      <c r="O37" s="26">
        <v>11438513.979999999</v>
      </c>
    </row>
    <row r="38" spans="1:15" ht="15.75" hidden="1" thickBot="1" x14ac:dyDescent="0.3">
      <c r="A38" s="21"/>
      <c r="B38" s="22" t="s">
        <v>32</v>
      </c>
      <c r="C38" s="23">
        <v>4351</v>
      </c>
      <c r="D38" s="23">
        <v>274113</v>
      </c>
      <c r="E38" s="23">
        <v>457.24000000000132</v>
      </c>
      <c r="F38" s="23">
        <v>164606.40000000049</v>
      </c>
      <c r="G38" s="23">
        <v>4000</v>
      </c>
      <c r="H38" s="23">
        <v>0</v>
      </c>
      <c r="I38" s="23">
        <v>0</v>
      </c>
      <c r="J38" s="23">
        <v>148000</v>
      </c>
      <c r="K38" s="23">
        <v>2106000</v>
      </c>
      <c r="L38" s="23">
        <v>70218</v>
      </c>
      <c r="M38" s="23">
        <v>2616719.4000000004</v>
      </c>
      <c r="N38" s="23">
        <v>1738428</v>
      </c>
      <c r="O38" s="26">
        <v>12228039.300000001</v>
      </c>
    </row>
    <row r="39" spans="1:15" ht="15.75" hidden="1" thickBot="1" x14ac:dyDescent="0.3">
      <c r="A39" s="21"/>
      <c r="B39" s="22" t="s">
        <v>33</v>
      </c>
      <c r="C39" s="23">
        <v>4403.7000000000007</v>
      </c>
      <c r="D39" s="23">
        <v>277433.10000000009</v>
      </c>
      <c r="E39" s="23">
        <v>490.59999999999906</v>
      </c>
      <c r="F39" s="23">
        <v>176615.99999999965</v>
      </c>
      <c r="G39" s="23">
        <v>4000</v>
      </c>
      <c r="H39" s="23">
        <v>0</v>
      </c>
      <c r="I39" s="23">
        <v>0</v>
      </c>
      <c r="J39" s="23">
        <v>148000</v>
      </c>
      <c r="K39" s="23">
        <v>2106000</v>
      </c>
      <c r="L39" s="23">
        <v>70600</v>
      </c>
      <c r="M39" s="23">
        <v>2632049.0999999996</v>
      </c>
      <c r="N39" s="23">
        <v>4177637</v>
      </c>
      <c r="O39" s="26">
        <v>10599814.92</v>
      </c>
    </row>
    <row r="40" spans="1:15" ht="15.75" hidden="1" thickBot="1" x14ac:dyDescent="0.3">
      <c r="A40" s="21"/>
      <c r="B40" s="22" t="s">
        <v>34</v>
      </c>
      <c r="C40" s="23">
        <v>4124.7999999999984</v>
      </c>
      <c r="D40" s="23">
        <v>259862.39999999991</v>
      </c>
      <c r="E40" s="23">
        <v>593.89999999999964</v>
      </c>
      <c r="F40" s="23">
        <v>213803.99999999988</v>
      </c>
      <c r="G40" s="23">
        <v>4000</v>
      </c>
      <c r="H40" s="23">
        <v>0</v>
      </c>
      <c r="I40" s="23">
        <v>0</v>
      </c>
      <c r="J40" s="23">
        <v>148000</v>
      </c>
      <c r="K40" s="23">
        <v>2093000</v>
      </c>
      <c r="L40" s="23">
        <v>70870</v>
      </c>
      <c r="M40" s="23">
        <v>2638666.4</v>
      </c>
      <c r="N40" s="23">
        <v>1481816</v>
      </c>
      <c r="O40" s="26">
        <v>11195800.639999999</v>
      </c>
    </row>
    <row r="41" spans="1:15" ht="15.75" hidden="1" thickBot="1" x14ac:dyDescent="0.3">
      <c r="A41" s="21"/>
      <c r="B41" s="22" t="s">
        <v>35</v>
      </c>
      <c r="C41" s="23">
        <v>5611</v>
      </c>
      <c r="D41" s="23">
        <v>353493</v>
      </c>
      <c r="E41" s="23">
        <v>965</v>
      </c>
      <c r="F41" s="23">
        <v>347400</v>
      </c>
      <c r="G41" s="23">
        <v>4000</v>
      </c>
      <c r="H41" s="23">
        <v>0</v>
      </c>
      <c r="I41" s="23">
        <v>0</v>
      </c>
      <c r="J41" s="23">
        <v>144000</v>
      </c>
      <c r="K41" s="23">
        <v>2145000</v>
      </c>
      <c r="L41" s="23">
        <v>71436</v>
      </c>
      <c r="M41" s="23">
        <v>2952893</v>
      </c>
      <c r="N41" s="23">
        <v>2030873</v>
      </c>
      <c r="O41" s="26">
        <v>12325406.959999999</v>
      </c>
    </row>
    <row r="42" spans="1:15" ht="15.75" hidden="1" thickBot="1" x14ac:dyDescent="0.3">
      <c r="A42" s="21"/>
      <c r="B42" s="22" t="s">
        <v>36</v>
      </c>
      <c r="C42" s="23">
        <v>3674</v>
      </c>
      <c r="D42" s="23">
        <v>231462</v>
      </c>
      <c r="E42" s="23">
        <v>1833</v>
      </c>
      <c r="F42" s="23">
        <v>659880</v>
      </c>
      <c r="G42" s="23">
        <v>4000</v>
      </c>
      <c r="H42" s="23">
        <v>0</v>
      </c>
      <c r="I42" s="23">
        <v>0</v>
      </c>
      <c r="J42" s="23">
        <v>144000</v>
      </c>
      <c r="K42" s="23">
        <v>2184000</v>
      </c>
      <c r="L42" s="23">
        <v>71894</v>
      </c>
      <c r="M42" s="23">
        <v>3143342</v>
      </c>
      <c r="N42" s="23">
        <v>1750681</v>
      </c>
      <c r="O42" s="26">
        <v>13712498.979999997</v>
      </c>
    </row>
    <row r="43" spans="1:15" ht="15.75" hidden="1" thickBot="1" x14ac:dyDescent="0.3">
      <c r="A43" s="21"/>
      <c r="B43" s="22" t="s">
        <v>37</v>
      </c>
      <c r="C43" s="23">
        <v>30751</v>
      </c>
      <c r="D43" s="23">
        <v>1937313</v>
      </c>
      <c r="E43" s="23">
        <v>2005</v>
      </c>
      <c r="F43" s="23">
        <v>721800</v>
      </c>
      <c r="G43" s="23">
        <v>4000</v>
      </c>
      <c r="H43" s="23">
        <v>0</v>
      </c>
      <c r="I43" s="23">
        <v>0</v>
      </c>
      <c r="J43" s="23">
        <v>144000</v>
      </c>
      <c r="K43" s="23">
        <v>2184000</v>
      </c>
      <c r="L43" s="23">
        <v>71900</v>
      </c>
      <c r="M43" s="23">
        <v>4911113</v>
      </c>
      <c r="N43" s="23">
        <v>3136538</v>
      </c>
      <c r="O43" s="26">
        <v>13451382.299999997</v>
      </c>
    </row>
    <row r="44" spans="1:15" ht="15.75" hidden="1" thickBot="1" x14ac:dyDescent="0.3">
      <c r="A44" s="21">
        <v>2006</v>
      </c>
      <c r="B44" s="22" t="s">
        <v>38</v>
      </c>
      <c r="C44" s="23">
        <v>9378</v>
      </c>
      <c r="D44" s="23">
        <v>590814</v>
      </c>
      <c r="E44" s="23">
        <v>3796</v>
      </c>
      <c r="F44" s="23">
        <v>1366560</v>
      </c>
      <c r="G44" s="23">
        <v>4000</v>
      </c>
      <c r="H44" s="23">
        <v>0</v>
      </c>
      <c r="I44" s="23">
        <v>0</v>
      </c>
      <c r="J44" s="23">
        <v>144000</v>
      </c>
      <c r="K44" s="23">
        <v>2145000</v>
      </c>
      <c r="L44" s="23">
        <v>71704</v>
      </c>
      <c r="M44" s="23">
        <v>4170374</v>
      </c>
      <c r="N44" s="23">
        <v>2766617</v>
      </c>
      <c r="O44" s="26">
        <v>15069148.619999997</v>
      </c>
    </row>
    <row r="45" spans="1:15" ht="15.75" hidden="1" thickBot="1" x14ac:dyDescent="0.3">
      <c r="A45" s="21"/>
      <c r="B45" s="22" t="s">
        <v>27</v>
      </c>
      <c r="C45" s="23">
        <v>6987</v>
      </c>
      <c r="D45" s="23">
        <v>440181</v>
      </c>
      <c r="E45" s="23">
        <v>3022</v>
      </c>
      <c r="F45" s="23">
        <v>1087920</v>
      </c>
      <c r="G45" s="23">
        <v>4000</v>
      </c>
      <c r="H45" s="23">
        <v>0</v>
      </c>
      <c r="I45" s="23">
        <v>0</v>
      </c>
      <c r="J45" s="23">
        <v>144000</v>
      </c>
      <c r="K45" s="23">
        <v>2145000</v>
      </c>
      <c r="L45" s="23">
        <v>71690</v>
      </c>
      <c r="M45" s="23">
        <v>3741101</v>
      </c>
      <c r="N45" s="23">
        <v>2313262</v>
      </c>
      <c r="O45" s="26">
        <v>17038381.939999998</v>
      </c>
    </row>
    <row r="46" spans="1:15" ht="15.75" hidden="1" thickBot="1" x14ac:dyDescent="0.3">
      <c r="A46" s="21"/>
      <c r="B46" s="22" t="s">
        <v>28</v>
      </c>
      <c r="C46" s="23">
        <v>4059</v>
      </c>
      <c r="D46" s="23">
        <v>255717</v>
      </c>
      <c r="E46" s="23">
        <v>2413</v>
      </c>
      <c r="F46" s="23">
        <v>868680</v>
      </c>
      <c r="G46" s="23">
        <v>4000</v>
      </c>
      <c r="H46" s="23">
        <v>0</v>
      </c>
      <c r="I46" s="23">
        <v>0</v>
      </c>
      <c r="J46" s="23">
        <v>144000</v>
      </c>
      <c r="K46" s="23">
        <v>2184000</v>
      </c>
      <c r="L46" s="23">
        <v>71662</v>
      </c>
      <c r="M46" s="23">
        <v>3376397</v>
      </c>
      <c r="N46" s="23">
        <v>4257898</v>
      </c>
      <c r="O46" s="26">
        <v>16042480.259999998</v>
      </c>
    </row>
    <row r="47" spans="1:15" ht="15.75" hidden="1" thickBot="1" x14ac:dyDescent="0.3">
      <c r="A47" s="21"/>
      <c r="B47" s="22" t="s">
        <v>29</v>
      </c>
      <c r="C47" s="23">
        <v>4574</v>
      </c>
      <c r="D47" s="23">
        <v>288162</v>
      </c>
      <c r="E47" s="23">
        <v>2520</v>
      </c>
      <c r="F47" s="23">
        <v>907200</v>
      </c>
      <c r="G47" s="23">
        <v>4000</v>
      </c>
      <c r="H47" s="23">
        <v>0</v>
      </c>
      <c r="I47" s="23">
        <v>0</v>
      </c>
      <c r="J47" s="23">
        <v>144000</v>
      </c>
      <c r="K47" s="23">
        <v>2184000</v>
      </c>
      <c r="L47" s="23">
        <v>71942</v>
      </c>
      <c r="M47" s="23">
        <v>3447362</v>
      </c>
      <c r="N47" s="23">
        <v>2712800</v>
      </c>
      <c r="O47" s="26">
        <v>16715466.579999996</v>
      </c>
    </row>
    <row r="48" spans="1:15" ht="15.75" hidden="1" thickBot="1" x14ac:dyDescent="0.3">
      <c r="A48" s="21"/>
      <c r="B48" s="22" t="s">
        <v>30</v>
      </c>
      <c r="C48" s="23">
        <v>4903</v>
      </c>
      <c r="D48" s="23">
        <v>308889</v>
      </c>
      <c r="E48" s="23">
        <v>1666</v>
      </c>
      <c r="F48" s="23">
        <v>599760</v>
      </c>
      <c r="G48" s="23">
        <v>4000</v>
      </c>
      <c r="H48" s="23">
        <v>0</v>
      </c>
      <c r="I48" s="23">
        <v>0</v>
      </c>
      <c r="J48" s="23">
        <v>144000</v>
      </c>
      <c r="K48" s="23">
        <v>2184000</v>
      </c>
      <c r="L48" s="23">
        <v>72378</v>
      </c>
      <c r="M48" s="23">
        <v>3160649</v>
      </c>
      <c r="N48" s="23">
        <v>2404904</v>
      </c>
      <c r="O48" s="26">
        <v>17334743.899999999</v>
      </c>
    </row>
    <row r="49" spans="1:15" ht="15.75" hidden="1" thickBot="1" x14ac:dyDescent="0.3">
      <c r="A49" s="21"/>
      <c r="B49" s="22" t="s">
        <v>31</v>
      </c>
      <c r="C49" s="23">
        <v>4849</v>
      </c>
      <c r="D49" s="23">
        <v>305487</v>
      </c>
      <c r="E49" s="23">
        <v>509</v>
      </c>
      <c r="F49" s="23">
        <v>183240</v>
      </c>
      <c r="G49" s="23">
        <v>4000</v>
      </c>
      <c r="H49" s="23">
        <v>0</v>
      </c>
      <c r="I49" s="23">
        <v>0</v>
      </c>
      <c r="J49" s="23">
        <v>144000</v>
      </c>
      <c r="K49" s="23">
        <v>2184000</v>
      </c>
      <c r="L49" s="23">
        <v>72606</v>
      </c>
      <c r="M49" s="23">
        <v>2740727</v>
      </c>
      <c r="N49" s="23">
        <v>3621557</v>
      </c>
      <c r="O49" s="26">
        <v>16367874.219999997</v>
      </c>
    </row>
    <row r="50" spans="1:15" ht="15.75" hidden="1" thickBot="1" x14ac:dyDescent="0.3">
      <c r="A50" s="21"/>
      <c r="B50" s="22" t="s">
        <v>32</v>
      </c>
      <c r="C50" s="23">
        <v>3158</v>
      </c>
      <c r="D50" s="23">
        <v>198954</v>
      </c>
      <c r="E50" s="23">
        <v>275</v>
      </c>
      <c r="F50" s="23">
        <v>99000</v>
      </c>
      <c r="G50" s="23">
        <v>4000</v>
      </c>
      <c r="H50" s="23">
        <v>0</v>
      </c>
      <c r="I50" s="23">
        <v>0</v>
      </c>
      <c r="J50" s="23">
        <v>144000</v>
      </c>
      <c r="K50" s="23">
        <v>2184000</v>
      </c>
      <c r="L50" s="23">
        <v>72958</v>
      </c>
      <c r="M50" s="23">
        <v>2549954</v>
      </c>
      <c r="N50" s="23">
        <v>3043733</v>
      </c>
      <c r="O50" s="26">
        <v>15505901.539999995</v>
      </c>
    </row>
    <row r="51" spans="1:15" ht="15.75" hidden="1" thickBot="1" x14ac:dyDescent="0.3">
      <c r="A51" s="21"/>
      <c r="B51" s="22" t="s">
        <v>33</v>
      </c>
      <c r="C51" s="23">
        <v>4032</v>
      </c>
      <c r="D51" s="23">
        <v>254016</v>
      </c>
      <c r="E51" s="23">
        <v>386</v>
      </c>
      <c r="F51" s="23">
        <v>138960</v>
      </c>
      <c r="G51" s="23">
        <v>4000</v>
      </c>
      <c r="H51" s="23">
        <v>0</v>
      </c>
      <c r="I51" s="23">
        <v>0</v>
      </c>
      <c r="J51" s="23">
        <v>144000</v>
      </c>
      <c r="K51" s="23">
        <v>2184000</v>
      </c>
      <c r="L51" s="23">
        <v>73344</v>
      </c>
      <c r="M51" s="23">
        <v>2644976</v>
      </c>
      <c r="N51" s="23">
        <v>1747785</v>
      </c>
      <c r="O51" s="26">
        <v>16097134.539999995</v>
      </c>
    </row>
    <row r="52" spans="1:15" ht="15.75" hidden="1" thickBot="1" x14ac:dyDescent="0.3">
      <c r="A52" s="21"/>
      <c r="B52" s="22" t="s">
        <v>34</v>
      </c>
      <c r="C52" s="23">
        <v>5495</v>
      </c>
      <c r="D52" s="23">
        <v>346185</v>
      </c>
      <c r="E52" s="23">
        <v>930</v>
      </c>
      <c r="F52" s="23">
        <v>334800</v>
      </c>
      <c r="G52" s="23">
        <v>4000</v>
      </c>
      <c r="H52" s="23">
        <v>0</v>
      </c>
      <c r="I52" s="23">
        <v>0</v>
      </c>
      <c r="J52" s="23">
        <v>144000</v>
      </c>
      <c r="K52" s="23">
        <v>2184000</v>
      </c>
      <c r="L52" s="23">
        <v>73604</v>
      </c>
      <c r="M52" s="23">
        <v>2932985</v>
      </c>
      <c r="N52" s="23">
        <v>4979603</v>
      </c>
      <c r="O52" s="26">
        <v>13879578.539999997</v>
      </c>
    </row>
    <row r="53" spans="1:15" ht="15.75" hidden="1" thickBot="1" x14ac:dyDescent="0.3">
      <c r="A53" s="21"/>
      <c r="B53" s="22" t="s">
        <v>35</v>
      </c>
      <c r="C53" s="23">
        <v>5276</v>
      </c>
      <c r="D53" s="23">
        <v>332388</v>
      </c>
      <c r="E53" s="23">
        <v>2151</v>
      </c>
      <c r="F53" s="23">
        <v>774360</v>
      </c>
      <c r="G53" s="23">
        <v>4000</v>
      </c>
      <c r="H53" s="23">
        <v>0</v>
      </c>
      <c r="I53" s="23">
        <v>0</v>
      </c>
      <c r="J53" s="23">
        <v>144000</v>
      </c>
      <c r="K53" s="23">
        <v>2184000</v>
      </c>
      <c r="L53" s="23">
        <v>73670</v>
      </c>
      <c r="M53" s="23">
        <v>3358748</v>
      </c>
      <c r="N53" s="23">
        <v>2109495</v>
      </c>
      <c r="O53" s="26">
        <v>14186815.539999997</v>
      </c>
    </row>
    <row r="54" spans="1:15" ht="15.75" hidden="1" thickBot="1" x14ac:dyDescent="0.3">
      <c r="A54" s="21"/>
      <c r="B54" s="22" t="s">
        <v>36</v>
      </c>
      <c r="C54" s="23">
        <v>5130</v>
      </c>
      <c r="D54" s="23">
        <v>323190</v>
      </c>
      <c r="E54" s="23">
        <v>3484</v>
      </c>
      <c r="F54" s="23">
        <v>1254240</v>
      </c>
      <c r="G54" s="23">
        <v>4000</v>
      </c>
      <c r="H54" s="23">
        <v>0</v>
      </c>
      <c r="I54" s="23">
        <v>0</v>
      </c>
      <c r="J54" s="23">
        <v>144000</v>
      </c>
      <c r="K54" s="23">
        <v>2184000</v>
      </c>
      <c r="L54" s="23">
        <v>73516</v>
      </c>
      <c r="M54" s="23">
        <v>3829430</v>
      </c>
      <c r="N54" s="23">
        <v>1837786</v>
      </c>
      <c r="O54" s="26">
        <v>16057686.539999995</v>
      </c>
    </row>
    <row r="55" spans="1:15" ht="15.75" hidden="1" thickBot="1" x14ac:dyDescent="0.3">
      <c r="A55" s="21"/>
      <c r="B55" s="22" t="s">
        <v>37</v>
      </c>
      <c r="C55" s="23">
        <v>3053</v>
      </c>
      <c r="D55" s="23">
        <v>192339</v>
      </c>
      <c r="E55" s="23">
        <v>1914</v>
      </c>
      <c r="F55" s="23">
        <v>689040</v>
      </c>
      <c r="G55" s="23">
        <v>4000</v>
      </c>
      <c r="H55" s="23">
        <v>0</v>
      </c>
      <c r="I55" s="23">
        <v>0</v>
      </c>
      <c r="J55" s="23">
        <v>144000</v>
      </c>
      <c r="K55" s="23">
        <v>2191000</v>
      </c>
      <c r="L55" s="23">
        <v>73346</v>
      </c>
      <c r="M55" s="23">
        <v>3336379</v>
      </c>
      <c r="N55" s="23">
        <v>3092983</v>
      </c>
      <c r="O55" s="26">
        <v>16056914.539999999</v>
      </c>
    </row>
    <row r="56" spans="1:15" ht="15.75" hidden="1" thickBot="1" x14ac:dyDescent="0.3">
      <c r="A56" s="21">
        <v>2007</v>
      </c>
      <c r="B56" s="22" t="s">
        <v>38</v>
      </c>
      <c r="C56" s="23">
        <v>8910</v>
      </c>
      <c r="D56" s="23">
        <v>561330</v>
      </c>
      <c r="E56" s="23">
        <v>3867</v>
      </c>
      <c r="F56" s="23">
        <v>1392120</v>
      </c>
      <c r="G56" s="23">
        <v>4000</v>
      </c>
      <c r="H56" s="23">
        <v>0</v>
      </c>
      <c r="I56" s="23">
        <v>0</v>
      </c>
      <c r="J56" s="23">
        <v>144000</v>
      </c>
      <c r="K56" s="23">
        <v>2615000</v>
      </c>
      <c r="L56" s="23">
        <v>73354</v>
      </c>
      <c r="M56" s="23">
        <v>4636450</v>
      </c>
      <c r="N56" s="23">
        <v>5819569</v>
      </c>
      <c r="O56" s="26">
        <v>17025441.539999999</v>
      </c>
    </row>
    <row r="57" spans="1:15" ht="15.75" hidden="1" thickBot="1" x14ac:dyDescent="0.3">
      <c r="A57" s="21"/>
      <c r="B57" s="22" t="s">
        <v>27</v>
      </c>
      <c r="C57" s="23">
        <v>7475</v>
      </c>
      <c r="D57" s="23">
        <v>470925</v>
      </c>
      <c r="E57" s="23">
        <v>3268</v>
      </c>
      <c r="F57" s="23">
        <v>1176480</v>
      </c>
      <c r="G57" s="23">
        <v>4000</v>
      </c>
      <c r="H57" s="23">
        <v>0</v>
      </c>
      <c r="I57" s="23">
        <v>0</v>
      </c>
      <c r="J57" s="23">
        <v>144000</v>
      </c>
      <c r="K57" s="23">
        <v>2615000</v>
      </c>
      <c r="L57" s="23">
        <v>73526</v>
      </c>
      <c r="M57" s="23">
        <v>4330405</v>
      </c>
      <c r="N57" s="23">
        <v>2470539</v>
      </c>
      <c r="O57" s="26">
        <v>18442992.539999995</v>
      </c>
    </row>
    <row r="58" spans="1:15" ht="15.75" hidden="1" thickBot="1" x14ac:dyDescent="0.3">
      <c r="A58" s="21"/>
      <c r="B58" s="22" t="s">
        <v>28</v>
      </c>
      <c r="C58" s="23">
        <v>4532</v>
      </c>
      <c r="D58" s="23">
        <v>285516</v>
      </c>
      <c r="E58" s="23">
        <v>2051</v>
      </c>
      <c r="F58" s="23">
        <v>738360</v>
      </c>
      <c r="G58" s="23">
        <v>4000</v>
      </c>
      <c r="H58" s="23">
        <v>0</v>
      </c>
      <c r="I58" s="23">
        <v>0</v>
      </c>
      <c r="J58" s="23">
        <v>144000</v>
      </c>
      <c r="K58" s="23">
        <v>2576000</v>
      </c>
      <c r="L58" s="23">
        <v>73492</v>
      </c>
      <c r="M58" s="23">
        <v>3667876</v>
      </c>
      <c r="N58" s="23">
        <v>5565324</v>
      </c>
      <c r="O58" s="26">
        <v>16419669.539999997</v>
      </c>
    </row>
    <row r="59" spans="1:15" ht="15.75" hidden="1" thickBot="1" x14ac:dyDescent="0.3">
      <c r="A59" s="21"/>
      <c r="B59" s="22" t="s">
        <v>29</v>
      </c>
      <c r="C59" s="23">
        <v>5264</v>
      </c>
      <c r="D59" s="23">
        <v>331632</v>
      </c>
      <c r="E59" s="23">
        <v>2002</v>
      </c>
      <c r="F59" s="23">
        <v>720720</v>
      </c>
      <c r="G59" s="23">
        <v>4000</v>
      </c>
      <c r="H59" s="23">
        <v>0</v>
      </c>
      <c r="I59" s="23">
        <v>0</v>
      </c>
      <c r="J59" s="23">
        <v>144000</v>
      </c>
      <c r="K59" s="23">
        <v>2622000</v>
      </c>
      <c r="L59" s="23">
        <v>73654</v>
      </c>
      <c r="M59" s="23">
        <v>3742352</v>
      </c>
      <c r="N59" s="23">
        <v>3937025</v>
      </c>
      <c r="O59" s="26">
        <v>14751745.5</v>
      </c>
    </row>
    <row r="60" spans="1:15" ht="15.75" hidden="1" thickBot="1" x14ac:dyDescent="0.3">
      <c r="A60" s="21"/>
      <c r="B60" s="22" t="s">
        <v>30</v>
      </c>
      <c r="C60" s="23">
        <v>4197</v>
      </c>
      <c r="D60" s="23">
        <v>264411</v>
      </c>
      <c r="E60" s="23">
        <v>909</v>
      </c>
      <c r="F60" s="23">
        <v>327600</v>
      </c>
      <c r="G60" s="23">
        <v>4000</v>
      </c>
      <c r="H60" s="23">
        <v>0</v>
      </c>
      <c r="I60" s="23">
        <v>0</v>
      </c>
      <c r="J60" s="23">
        <v>144000</v>
      </c>
      <c r="K60" s="23">
        <v>2622000</v>
      </c>
      <c r="L60" s="23">
        <v>74056</v>
      </c>
      <c r="M60" s="23">
        <v>3282011</v>
      </c>
      <c r="N60" s="23">
        <v>3575065</v>
      </c>
      <c r="O60" s="26">
        <v>14262019.5</v>
      </c>
    </row>
    <row r="61" spans="1:15" ht="15.75" hidden="1" thickBot="1" x14ac:dyDescent="0.3">
      <c r="A61" s="21"/>
      <c r="B61" s="22" t="s">
        <v>31</v>
      </c>
      <c r="C61" s="23">
        <v>3887</v>
      </c>
      <c r="D61" s="23">
        <v>244881</v>
      </c>
      <c r="E61" s="23">
        <v>289</v>
      </c>
      <c r="F61" s="23">
        <v>104040</v>
      </c>
      <c r="G61" s="23">
        <v>4000</v>
      </c>
      <c r="H61" s="23">
        <v>0</v>
      </c>
      <c r="I61" s="23">
        <v>0</v>
      </c>
      <c r="J61" s="23">
        <v>144000</v>
      </c>
      <c r="K61" s="23">
        <v>2622000</v>
      </c>
      <c r="L61" s="23">
        <v>74496</v>
      </c>
      <c r="M61" s="23">
        <v>3038921</v>
      </c>
      <c r="N61" s="23">
        <v>2574046</v>
      </c>
      <c r="O61" s="26">
        <v>14301336.82</v>
      </c>
    </row>
    <row r="62" spans="1:15" ht="15.75" hidden="1" thickBot="1" x14ac:dyDescent="0.3">
      <c r="A62" s="21"/>
      <c r="B62" s="22" t="s">
        <v>32</v>
      </c>
      <c r="C62" s="23">
        <v>3912</v>
      </c>
      <c r="D62" s="23">
        <v>246456</v>
      </c>
      <c r="E62" s="23">
        <v>311</v>
      </c>
      <c r="F62" s="23">
        <v>111960</v>
      </c>
      <c r="G62" s="23">
        <v>4000</v>
      </c>
      <c r="H62" s="23">
        <v>0</v>
      </c>
      <c r="I62" s="23">
        <v>0</v>
      </c>
      <c r="J62" s="23">
        <v>144000</v>
      </c>
      <c r="K62" s="23">
        <v>2622000</v>
      </c>
      <c r="L62" s="23">
        <v>75106</v>
      </c>
      <c r="M62" s="23">
        <v>3074416</v>
      </c>
      <c r="N62" s="23">
        <v>3291693</v>
      </c>
      <c r="O62" s="26">
        <v>14100785.140000001</v>
      </c>
    </row>
    <row r="63" spans="1:15" ht="15.75" hidden="1" thickBot="1" x14ac:dyDescent="0.3">
      <c r="A63" s="21"/>
      <c r="B63" s="22" t="s">
        <v>33</v>
      </c>
      <c r="C63" s="23">
        <v>3266</v>
      </c>
      <c r="D63" s="23">
        <v>205806</v>
      </c>
      <c r="E63" s="23">
        <v>251</v>
      </c>
      <c r="F63" s="23">
        <v>90360</v>
      </c>
      <c r="G63" s="23">
        <v>4000</v>
      </c>
      <c r="H63" s="23">
        <v>0</v>
      </c>
      <c r="I63" s="23">
        <v>0</v>
      </c>
      <c r="J63" s="23">
        <v>44000</v>
      </c>
      <c r="K63" s="23">
        <v>2668000</v>
      </c>
      <c r="L63" s="23">
        <v>75890</v>
      </c>
      <c r="M63" s="23">
        <v>3012166</v>
      </c>
      <c r="N63" s="23">
        <v>4230829</v>
      </c>
      <c r="O63" s="26">
        <v>12763343.459999999</v>
      </c>
    </row>
    <row r="64" spans="1:15" ht="15.75" hidden="1" thickBot="1" x14ac:dyDescent="0.3">
      <c r="A64" s="21"/>
      <c r="B64" s="22" t="s">
        <v>34</v>
      </c>
      <c r="C64" s="23">
        <v>4290</v>
      </c>
      <c r="D64" s="23">
        <v>270270</v>
      </c>
      <c r="E64" s="23">
        <v>947</v>
      </c>
      <c r="F64" s="23">
        <v>340920</v>
      </c>
      <c r="G64" s="23">
        <v>4000</v>
      </c>
      <c r="H64" s="23">
        <v>0</v>
      </c>
      <c r="I64" s="23">
        <v>0</v>
      </c>
      <c r="J64" s="23">
        <v>44000</v>
      </c>
      <c r="K64" s="23">
        <v>2668000</v>
      </c>
      <c r="L64" s="23">
        <v>76716</v>
      </c>
      <c r="M64" s="23">
        <v>3327190</v>
      </c>
      <c r="N64" s="23">
        <v>5397799</v>
      </c>
      <c r="O64" s="26">
        <v>11212412.779999999</v>
      </c>
    </row>
    <row r="65" spans="1:15" ht="15.75" hidden="1" thickBot="1" x14ac:dyDescent="0.3">
      <c r="A65" s="21"/>
      <c r="B65" s="22" t="s">
        <v>35</v>
      </c>
      <c r="C65" s="23">
        <v>3802</v>
      </c>
      <c r="D65" s="23">
        <v>296854</v>
      </c>
      <c r="E65" s="23">
        <v>1866</v>
      </c>
      <c r="F65" s="23">
        <v>671760</v>
      </c>
      <c r="G65" s="23">
        <v>4000</v>
      </c>
      <c r="H65" s="23">
        <v>0</v>
      </c>
      <c r="I65" s="23">
        <v>0</v>
      </c>
      <c r="J65" s="23">
        <v>44000</v>
      </c>
      <c r="K65" s="23">
        <v>2668000</v>
      </c>
      <c r="L65" s="23">
        <v>126082</v>
      </c>
      <c r="M65" s="23">
        <v>3684614</v>
      </c>
      <c r="N65" s="23">
        <v>2886533</v>
      </c>
      <c r="O65" s="26">
        <v>12089165.1</v>
      </c>
    </row>
    <row r="66" spans="1:15" ht="15.75" hidden="1" thickBot="1" x14ac:dyDescent="0.3">
      <c r="A66" s="21"/>
      <c r="B66" s="22" t="s">
        <v>36</v>
      </c>
      <c r="C66" s="23">
        <v>6022</v>
      </c>
      <c r="D66" s="23">
        <v>470826</v>
      </c>
      <c r="E66" s="23">
        <v>3260</v>
      </c>
      <c r="F66" s="23">
        <v>1173600</v>
      </c>
      <c r="G66" s="23">
        <v>4000</v>
      </c>
      <c r="H66" s="23">
        <v>0</v>
      </c>
      <c r="I66" s="23">
        <v>0</v>
      </c>
      <c r="J66" s="23">
        <v>48000</v>
      </c>
      <c r="K66" s="23">
        <v>2668000</v>
      </c>
      <c r="L66" s="23">
        <v>165000</v>
      </c>
      <c r="M66" s="23">
        <v>4364426</v>
      </c>
      <c r="N66" s="23">
        <v>2645481</v>
      </c>
      <c r="O66" s="26">
        <v>13686665.42</v>
      </c>
    </row>
    <row r="67" spans="1:15" ht="15.75" hidden="1" thickBot="1" x14ac:dyDescent="0.3">
      <c r="A67" s="21"/>
      <c r="B67" s="22" t="s">
        <v>37</v>
      </c>
      <c r="C67" s="23">
        <v>4098</v>
      </c>
      <c r="D67" s="23">
        <v>319878</v>
      </c>
      <c r="E67" s="23">
        <v>2505</v>
      </c>
      <c r="F67" s="23">
        <v>901800</v>
      </c>
      <c r="G67" s="23">
        <v>4000</v>
      </c>
      <c r="H67" s="23">
        <v>0</v>
      </c>
      <c r="I67" s="23">
        <v>0</v>
      </c>
      <c r="J67" s="23">
        <v>48000</v>
      </c>
      <c r="K67" s="23">
        <v>2668000</v>
      </c>
      <c r="L67" s="23">
        <v>193669</v>
      </c>
      <c r="M67" s="23">
        <v>3941678</v>
      </c>
      <c r="N67" s="23">
        <v>2940678</v>
      </c>
      <c r="O67" s="26">
        <v>14753928.74</v>
      </c>
    </row>
    <row r="68" spans="1:15" ht="15.75" hidden="1" thickBot="1" x14ac:dyDescent="0.3">
      <c r="A68" s="21">
        <v>2008</v>
      </c>
      <c r="B68" s="22" t="s">
        <v>38</v>
      </c>
      <c r="C68" s="23">
        <v>10017</v>
      </c>
      <c r="D68" s="23">
        <v>876879</v>
      </c>
      <c r="E68" s="23">
        <v>5769</v>
      </c>
      <c r="F68" s="23">
        <v>2076840</v>
      </c>
      <c r="G68" s="23">
        <v>4000</v>
      </c>
      <c r="H68" s="23">
        <v>0</v>
      </c>
      <c r="I68" s="23">
        <v>0</v>
      </c>
      <c r="J68" s="23">
        <v>48000</v>
      </c>
      <c r="K68" s="23">
        <v>2760000</v>
      </c>
      <c r="L68" s="23">
        <v>200530</v>
      </c>
      <c r="M68" s="23">
        <v>5765719</v>
      </c>
      <c r="N68" s="23">
        <v>5014803</v>
      </c>
      <c r="O68" s="26">
        <v>15538344.059999999</v>
      </c>
    </row>
    <row r="69" spans="1:15" ht="15.75" hidden="1" thickBot="1" x14ac:dyDescent="0.3">
      <c r="A69" s="21"/>
      <c r="B69" s="22" t="s">
        <v>27</v>
      </c>
      <c r="C69" s="23">
        <v>4879</v>
      </c>
      <c r="D69" s="23">
        <v>434426</v>
      </c>
      <c r="E69" s="23">
        <v>2333</v>
      </c>
      <c r="F69" s="23">
        <v>839880</v>
      </c>
      <c r="G69" s="23">
        <v>4000</v>
      </c>
      <c r="H69" s="23">
        <v>0</v>
      </c>
      <c r="I69" s="23">
        <v>0</v>
      </c>
      <c r="J69" s="23">
        <v>48000</v>
      </c>
      <c r="K69" s="23">
        <v>2760000</v>
      </c>
      <c r="L69" s="23">
        <v>183400</v>
      </c>
      <c r="M69" s="23">
        <v>4086306</v>
      </c>
      <c r="N69" s="23">
        <v>3403278</v>
      </c>
      <c r="O69" s="26">
        <v>16362208.380000001</v>
      </c>
    </row>
    <row r="70" spans="1:15" ht="15.75" hidden="1" thickBot="1" x14ac:dyDescent="0.3">
      <c r="A70" s="21"/>
      <c r="B70" s="22" t="s">
        <v>28</v>
      </c>
      <c r="C70" s="23">
        <v>5016</v>
      </c>
      <c r="D70" s="23">
        <v>554145</v>
      </c>
      <c r="E70" s="23">
        <v>2323</v>
      </c>
      <c r="F70" s="23">
        <v>836280</v>
      </c>
      <c r="G70" s="23">
        <v>4000</v>
      </c>
      <c r="H70" s="23">
        <v>0</v>
      </c>
      <c r="I70" s="23">
        <v>0</v>
      </c>
      <c r="J70" s="23">
        <v>48000</v>
      </c>
      <c r="K70" s="23">
        <v>2760000</v>
      </c>
      <c r="L70" s="23">
        <v>192991</v>
      </c>
      <c r="M70" s="23">
        <v>4202425</v>
      </c>
      <c r="N70" s="23">
        <v>4963782</v>
      </c>
      <c r="O70" s="26">
        <v>15476913.699999999</v>
      </c>
    </row>
    <row r="71" spans="1:15" ht="15.75" hidden="1" thickBot="1" x14ac:dyDescent="0.3">
      <c r="A71" s="21"/>
      <c r="B71" s="22" t="s">
        <v>29</v>
      </c>
      <c r="C71" s="23">
        <v>6296</v>
      </c>
      <c r="D71" s="23">
        <v>776542</v>
      </c>
      <c r="E71" s="23">
        <v>2746</v>
      </c>
      <c r="F71" s="23">
        <v>988560</v>
      </c>
      <c r="G71" s="23">
        <v>4000</v>
      </c>
      <c r="H71" s="23">
        <v>0</v>
      </c>
      <c r="I71" s="23">
        <v>0</v>
      </c>
      <c r="J71" s="23">
        <v>48000</v>
      </c>
      <c r="K71" s="23">
        <v>2760000</v>
      </c>
      <c r="L71" s="23">
        <v>202551</v>
      </c>
      <c r="M71" s="23">
        <v>4577102</v>
      </c>
      <c r="N71" s="23">
        <v>4799319</v>
      </c>
      <c r="O71" s="26">
        <v>14796152.699999999</v>
      </c>
    </row>
    <row r="72" spans="1:15" ht="15.75" hidden="1" thickBot="1" x14ac:dyDescent="0.3">
      <c r="A72" s="21"/>
      <c r="B72" s="22" t="s">
        <v>30</v>
      </c>
      <c r="C72" s="23">
        <v>3996</v>
      </c>
      <c r="D72" s="23">
        <v>401476</v>
      </c>
      <c r="E72" s="23">
        <v>564</v>
      </c>
      <c r="F72" s="23">
        <v>203040</v>
      </c>
      <c r="G72" s="23">
        <v>4000</v>
      </c>
      <c r="H72" s="23">
        <v>0</v>
      </c>
      <c r="I72" s="23">
        <v>0</v>
      </c>
      <c r="J72" s="23">
        <v>48000</v>
      </c>
      <c r="K72" s="23">
        <v>2760000</v>
      </c>
      <c r="L72" s="23">
        <v>180386</v>
      </c>
      <c r="M72" s="23">
        <v>3416516</v>
      </c>
      <c r="N72" s="23">
        <v>3799080</v>
      </c>
      <c r="O72" s="26">
        <v>14634800.699999999</v>
      </c>
    </row>
    <row r="73" spans="1:15" ht="15.75" hidden="1" thickBot="1" x14ac:dyDescent="0.3">
      <c r="A73" s="21"/>
      <c r="B73" s="22" t="s">
        <v>31</v>
      </c>
      <c r="C73" s="23">
        <v>3834</v>
      </c>
      <c r="D73" s="23">
        <v>398571</v>
      </c>
      <c r="E73" s="23">
        <v>331</v>
      </c>
      <c r="F73" s="23">
        <v>119160</v>
      </c>
      <c r="G73" s="23">
        <v>4000</v>
      </c>
      <c r="H73" s="23">
        <v>0</v>
      </c>
      <c r="I73" s="23">
        <v>0</v>
      </c>
      <c r="J73" s="23">
        <v>48000</v>
      </c>
      <c r="K73" s="23">
        <v>2760000</v>
      </c>
      <c r="L73" s="23">
        <v>186683</v>
      </c>
      <c r="M73" s="23">
        <v>3329731</v>
      </c>
      <c r="N73" s="23">
        <v>2687276</v>
      </c>
      <c r="O73" s="26">
        <v>14805372.699999999</v>
      </c>
    </row>
    <row r="74" spans="1:15" ht="15.75" hidden="1" thickBot="1" x14ac:dyDescent="0.3">
      <c r="A74" s="21"/>
      <c r="B74" s="22" t="s">
        <v>32</v>
      </c>
      <c r="C74" s="23">
        <v>4640</v>
      </c>
      <c r="D74" s="23">
        <v>519208</v>
      </c>
      <c r="E74" s="23">
        <v>252</v>
      </c>
      <c r="F74" s="23">
        <v>90720</v>
      </c>
      <c r="G74" s="23">
        <v>0</v>
      </c>
      <c r="H74" s="23">
        <v>0</v>
      </c>
      <c r="I74" s="23">
        <v>0</v>
      </c>
      <c r="J74" s="23">
        <v>48000</v>
      </c>
      <c r="K74" s="23">
        <v>2760000</v>
      </c>
      <c r="L74" s="23">
        <v>203406</v>
      </c>
      <c r="M74" s="23">
        <v>3417928</v>
      </c>
      <c r="N74" s="23">
        <v>3155641</v>
      </c>
      <c r="O74" s="26">
        <v>15158272.699999999</v>
      </c>
    </row>
    <row r="75" spans="1:15" ht="15.75" hidden="1" thickBot="1" x14ac:dyDescent="0.3">
      <c r="A75" s="21"/>
      <c r="B75" s="22" t="s">
        <v>33</v>
      </c>
      <c r="C75" s="23">
        <v>3569</v>
      </c>
      <c r="D75" s="23">
        <v>384078</v>
      </c>
      <c r="E75" s="23">
        <v>428</v>
      </c>
      <c r="F75" s="23">
        <v>154080</v>
      </c>
      <c r="G75" s="23">
        <v>0</v>
      </c>
      <c r="H75" s="23">
        <v>0</v>
      </c>
      <c r="I75" s="23">
        <v>0</v>
      </c>
      <c r="J75" s="23">
        <v>48000</v>
      </c>
      <c r="K75" s="23">
        <v>2760000</v>
      </c>
      <c r="L75" s="23">
        <v>222192</v>
      </c>
      <c r="M75" s="23">
        <v>3346158</v>
      </c>
      <c r="N75" s="23">
        <v>2320017</v>
      </c>
      <c r="O75" s="26">
        <v>16263653.699999999</v>
      </c>
    </row>
    <row r="76" spans="1:15" ht="15.75" hidden="1" thickBot="1" x14ac:dyDescent="0.3">
      <c r="A76" s="21"/>
      <c r="B76" s="22" t="s">
        <v>34</v>
      </c>
      <c r="C76" s="23">
        <v>4260</v>
      </c>
      <c r="D76" s="23">
        <v>469191</v>
      </c>
      <c r="E76" s="23">
        <v>782</v>
      </c>
      <c r="F76" s="23">
        <v>281520</v>
      </c>
      <c r="G76" s="23">
        <v>0</v>
      </c>
      <c r="H76" s="23">
        <v>0</v>
      </c>
      <c r="I76" s="23">
        <v>0</v>
      </c>
      <c r="J76" s="23">
        <v>48000</v>
      </c>
      <c r="K76" s="23">
        <v>2760000</v>
      </c>
      <c r="L76" s="23">
        <v>220682</v>
      </c>
      <c r="M76" s="23">
        <v>3558711</v>
      </c>
      <c r="N76" s="23">
        <v>3077075</v>
      </c>
      <c r="O76" s="26">
        <v>16787000.699999999</v>
      </c>
    </row>
    <row r="77" spans="1:15" ht="15.75" hidden="1" thickBot="1" x14ac:dyDescent="0.3">
      <c r="A77" s="21"/>
      <c r="B77" s="22" t="s">
        <v>35</v>
      </c>
      <c r="C77" s="23">
        <v>5016</v>
      </c>
      <c r="D77" s="23">
        <v>629252</v>
      </c>
      <c r="E77" s="23">
        <v>2409</v>
      </c>
      <c r="F77" s="23">
        <v>867240</v>
      </c>
      <c r="G77" s="23">
        <v>0</v>
      </c>
      <c r="H77" s="23">
        <v>0</v>
      </c>
      <c r="I77" s="23">
        <v>0</v>
      </c>
      <c r="J77" s="23">
        <v>48000</v>
      </c>
      <c r="K77" s="23">
        <v>2760000</v>
      </c>
      <c r="L77" s="23">
        <v>372525</v>
      </c>
      <c r="M77" s="23">
        <v>4304492</v>
      </c>
      <c r="N77" s="23">
        <v>3736840</v>
      </c>
      <c r="O77" s="26">
        <v>17574712.699999999</v>
      </c>
    </row>
    <row r="78" spans="1:15" ht="15.75" hidden="1" thickBot="1" x14ac:dyDescent="0.3">
      <c r="A78" s="21"/>
      <c r="B78" s="22" t="s">
        <v>36</v>
      </c>
      <c r="C78" s="23">
        <v>4255</v>
      </c>
      <c r="D78" s="23">
        <v>506342</v>
      </c>
      <c r="E78" s="23">
        <v>2545</v>
      </c>
      <c r="F78" s="23">
        <v>916200</v>
      </c>
      <c r="G78" s="23">
        <v>0</v>
      </c>
      <c r="H78" s="23">
        <v>0</v>
      </c>
      <c r="I78" s="23">
        <v>0</v>
      </c>
      <c r="J78" s="23">
        <v>48000</v>
      </c>
      <c r="K78" s="23">
        <v>2760000</v>
      </c>
      <c r="L78" s="23">
        <v>382240</v>
      </c>
      <c r="M78" s="23">
        <v>4230542</v>
      </c>
      <c r="N78" s="23">
        <v>3795800</v>
      </c>
      <c r="O78" s="26">
        <v>18233910.719999999</v>
      </c>
    </row>
    <row r="79" spans="1:15" ht="15.75" hidden="1" thickBot="1" x14ac:dyDescent="0.3">
      <c r="A79" s="21"/>
      <c r="B79" s="22" t="s">
        <v>37</v>
      </c>
      <c r="C79" s="23">
        <v>7685</v>
      </c>
      <c r="D79" s="23">
        <v>899923</v>
      </c>
      <c r="E79" s="23">
        <v>3693</v>
      </c>
      <c r="F79" s="23">
        <v>1340280</v>
      </c>
      <c r="G79" s="23">
        <v>0</v>
      </c>
      <c r="H79" s="23">
        <v>0</v>
      </c>
      <c r="I79" s="23">
        <v>0</v>
      </c>
      <c r="J79" s="23">
        <v>48000</v>
      </c>
      <c r="K79" s="23">
        <v>2760000</v>
      </c>
      <c r="L79" s="23">
        <v>432991.67000000004</v>
      </c>
      <c r="M79" s="23">
        <v>5048203</v>
      </c>
      <c r="N79" s="23">
        <v>4987049.6900000004</v>
      </c>
      <c r="O79" s="26">
        <v>18816449.579999998</v>
      </c>
    </row>
    <row r="80" spans="1:15" ht="15.75" hidden="1" thickBot="1" x14ac:dyDescent="0.3">
      <c r="A80" s="21">
        <v>2009</v>
      </c>
      <c r="B80" s="22" t="s">
        <v>38</v>
      </c>
      <c r="C80" s="23">
        <v>7464</v>
      </c>
      <c r="D80" s="23">
        <v>926528</v>
      </c>
      <c r="E80" s="23">
        <v>3439</v>
      </c>
      <c r="F80" s="23">
        <v>1238040</v>
      </c>
      <c r="G80" s="23">
        <v>0</v>
      </c>
      <c r="H80" s="23">
        <v>0</v>
      </c>
      <c r="I80" s="23">
        <v>0</v>
      </c>
      <c r="J80" s="23">
        <v>48000</v>
      </c>
      <c r="K80" s="23">
        <v>2760000</v>
      </c>
      <c r="L80" s="23">
        <v>543775.57000000007</v>
      </c>
      <c r="M80" s="23">
        <v>5014568</v>
      </c>
      <c r="N80" s="23">
        <v>4479096</v>
      </c>
      <c r="O80" s="26">
        <v>18445106.93</v>
      </c>
    </row>
    <row r="81" spans="1:15" ht="15.75" hidden="1" thickBot="1" x14ac:dyDescent="0.3">
      <c r="A81" s="21"/>
      <c r="B81" s="22" t="s">
        <v>27</v>
      </c>
      <c r="C81" s="23">
        <v>8538</v>
      </c>
      <c r="D81" s="23">
        <v>1111030</v>
      </c>
      <c r="E81" s="23">
        <v>3280</v>
      </c>
      <c r="F81" s="23">
        <v>1528560</v>
      </c>
      <c r="G81" s="23">
        <v>0</v>
      </c>
      <c r="H81" s="23">
        <v>0</v>
      </c>
      <c r="I81" s="23">
        <v>12000</v>
      </c>
      <c r="J81" s="23">
        <v>48000</v>
      </c>
      <c r="K81" s="23">
        <v>2760000</v>
      </c>
      <c r="L81" s="23">
        <v>550832</v>
      </c>
      <c r="M81" s="23">
        <v>5447590</v>
      </c>
      <c r="N81" s="23">
        <v>4016209</v>
      </c>
      <c r="O81" s="26">
        <v>20240992.519999996</v>
      </c>
    </row>
    <row r="82" spans="1:15" ht="15.75" hidden="1" thickBot="1" x14ac:dyDescent="0.3">
      <c r="A82" s="21"/>
      <c r="B82" s="22" t="s">
        <v>28</v>
      </c>
      <c r="C82" s="23">
        <v>7456</v>
      </c>
      <c r="D82" s="23">
        <v>970160</v>
      </c>
      <c r="E82" s="23">
        <v>3428</v>
      </c>
      <c r="F82" s="23">
        <v>1595520</v>
      </c>
      <c r="G82" s="23">
        <v>0</v>
      </c>
      <c r="H82" s="23">
        <v>0</v>
      </c>
      <c r="I82" s="23">
        <v>0</v>
      </c>
      <c r="J82" s="23">
        <v>44000</v>
      </c>
      <c r="K82" s="23">
        <v>2760000</v>
      </c>
      <c r="L82" s="23">
        <v>502180</v>
      </c>
      <c r="M82" s="23">
        <v>5369680</v>
      </c>
      <c r="N82" s="23">
        <v>5326798</v>
      </c>
      <c r="O82" s="26">
        <v>20604896.519999996</v>
      </c>
    </row>
    <row r="83" spans="1:15" ht="15.75" hidden="1" thickBot="1" x14ac:dyDescent="0.3">
      <c r="A83" s="21"/>
      <c r="B83" s="22" t="s">
        <v>29</v>
      </c>
      <c r="C83" s="23">
        <v>5077</v>
      </c>
      <c r="D83" s="23">
        <v>713918</v>
      </c>
      <c r="E83" s="23">
        <v>2238</v>
      </c>
      <c r="F83" s="23">
        <v>884520</v>
      </c>
      <c r="G83" s="23">
        <v>0</v>
      </c>
      <c r="H83" s="23">
        <v>0</v>
      </c>
      <c r="I83" s="23">
        <v>0</v>
      </c>
      <c r="J83" s="23">
        <v>48000</v>
      </c>
      <c r="K83" s="23">
        <v>2760000</v>
      </c>
      <c r="L83" s="23">
        <v>579844</v>
      </c>
      <c r="M83" s="23">
        <v>4410438</v>
      </c>
      <c r="N83" s="23">
        <v>5660345.9589999998</v>
      </c>
      <c r="O83" s="26">
        <v>19565182.500999995</v>
      </c>
    </row>
    <row r="84" spans="1:15" ht="15.75" hidden="1" thickBot="1" x14ac:dyDescent="0.3">
      <c r="A84" s="21"/>
      <c r="B84" s="22" t="s">
        <v>30</v>
      </c>
      <c r="C84" s="23">
        <v>4491</v>
      </c>
      <c r="D84" s="23">
        <v>655674</v>
      </c>
      <c r="E84" s="23">
        <v>1073</v>
      </c>
      <c r="F84" s="23">
        <v>386280</v>
      </c>
      <c r="G84" s="23">
        <v>0</v>
      </c>
      <c r="H84" s="23">
        <v>0</v>
      </c>
      <c r="I84" s="23">
        <v>0</v>
      </c>
      <c r="J84" s="23">
        <v>60000</v>
      </c>
      <c r="K84" s="23">
        <v>2760000</v>
      </c>
      <c r="L84" s="23">
        <v>466105</v>
      </c>
      <c r="M84" s="23">
        <v>3861954</v>
      </c>
      <c r="N84" s="23">
        <v>2924305</v>
      </c>
      <c r="O84" s="26">
        <v>21061718.500999995</v>
      </c>
    </row>
    <row r="85" spans="1:15" ht="15.75" hidden="1" thickBot="1" x14ac:dyDescent="0.3">
      <c r="A85" s="21"/>
      <c r="B85" s="22" t="s">
        <v>31</v>
      </c>
      <c r="C85" s="23">
        <v>5934</v>
      </c>
      <c r="D85" s="23">
        <v>866364</v>
      </c>
      <c r="E85" s="23">
        <v>737</v>
      </c>
      <c r="F85" s="23">
        <v>265320</v>
      </c>
      <c r="G85" s="23">
        <v>0</v>
      </c>
      <c r="H85" s="23">
        <v>0</v>
      </c>
      <c r="I85" s="23">
        <v>0</v>
      </c>
      <c r="J85" s="23">
        <v>60000</v>
      </c>
      <c r="K85" s="23">
        <v>2770000</v>
      </c>
      <c r="L85" s="23">
        <v>491222</v>
      </c>
      <c r="M85" s="23">
        <v>3986698</v>
      </c>
      <c r="N85" s="23">
        <v>4312775</v>
      </c>
      <c r="O85" s="26">
        <v>20720071.500999995</v>
      </c>
    </row>
    <row r="86" spans="1:15" ht="15.75" hidden="1" thickBot="1" x14ac:dyDescent="0.3">
      <c r="A86" s="21"/>
      <c r="B86" s="22" t="s">
        <v>32</v>
      </c>
      <c r="C86" s="23">
        <v>4864</v>
      </c>
      <c r="D86" s="23">
        <v>710144</v>
      </c>
      <c r="E86" s="23">
        <v>347</v>
      </c>
      <c r="F86" s="23">
        <v>124920</v>
      </c>
      <c r="G86" s="23">
        <v>0</v>
      </c>
      <c r="H86" s="23">
        <v>0</v>
      </c>
      <c r="I86" s="23">
        <v>12000</v>
      </c>
      <c r="J86" s="23">
        <v>68000</v>
      </c>
      <c r="K86" s="23">
        <v>2760000</v>
      </c>
      <c r="L86" s="23">
        <v>482501</v>
      </c>
      <c r="M86" s="23">
        <v>3959064</v>
      </c>
      <c r="N86" s="23">
        <v>3753933</v>
      </c>
      <c r="O86" s="26">
        <v>24293910.500999995</v>
      </c>
    </row>
    <row r="87" spans="1:15" ht="15.75" hidden="1" thickBot="1" x14ac:dyDescent="0.3">
      <c r="A87" s="21"/>
      <c r="B87" s="22" t="s">
        <v>33</v>
      </c>
      <c r="C87" s="23">
        <v>4673</v>
      </c>
      <c r="D87" s="23">
        <v>682258</v>
      </c>
      <c r="E87" s="23">
        <v>-5498</v>
      </c>
      <c r="F87" s="23">
        <v>-1979280</v>
      </c>
      <c r="G87" s="23">
        <v>0</v>
      </c>
      <c r="H87" s="23">
        <v>0</v>
      </c>
      <c r="I87" s="23">
        <v>0</v>
      </c>
      <c r="J87" s="23">
        <v>60000</v>
      </c>
      <c r="K87" s="23">
        <v>3330000</v>
      </c>
      <c r="L87" s="23">
        <v>478089</v>
      </c>
      <c r="M87" s="23">
        <v>1792978</v>
      </c>
      <c r="N87" s="23">
        <v>3488931</v>
      </c>
      <c r="O87" s="26">
        <v>24847428.500999995</v>
      </c>
    </row>
    <row r="88" spans="1:15" ht="15.75" hidden="1" thickBot="1" x14ac:dyDescent="0.3">
      <c r="A88" s="21"/>
      <c r="B88" s="22" t="s">
        <v>34</v>
      </c>
      <c r="C88" s="23">
        <v>6746</v>
      </c>
      <c r="D88" s="23">
        <v>984916</v>
      </c>
      <c r="E88" s="23">
        <v>838</v>
      </c>
      <c r="F88" s="23">
        <v>328860</v>
      </c>
      <c r="G88" s="23">
        <v>0</v>
      </c>
      <c r="H88" s="23">
        <v>0</v>
      </c>
      <c r="I88" s="23">
        <v>0</v>
      </c>
      <c r="J88" s="23">
        <v>48000</v>
      </c>
      <c r="K88" s="23">
        <v>2770000</v>
      </c>
      <c r="L88" s="23">
        <v>521582</v>
      </c>
      <c r="M88" s="23">
        <v>4131776</v>
      </c>
      <c r="N88" s="23">
        <v>2974471</v>
      </c>
      <c r="O88" s="26">
        <v>26394853.500999995</v>
      </c>
    </row>
    <row r="89" spans="1:15" ht="15.75" hidden="1" thickBot="1" x14ac:dyDescent="0.3">
      <c r="A89" s="21"/>
      <c r="B89" s="22" t="s">
        <v>35</v>
      </c>
      <c r="C89" s="23">
        <v>5633</v>
      </c>
      <c r="D89" s="23">
        <v>835801</v>
      </c>
      <c r="E89" s="23">
        <v>1965</v>
      </c>
      <c r="F89" s="23">
        <v>755280</v>
      </c>
      <c r="G89" s="23">
        <v>0</v>
      </c>
      <c r="H89" s="23">
        <v>0</v>
      </c>
      <c r="I89" s="23">
        <v>0</v>
      </c>
      <c r="J89" s="23">
        <v>52000</v>
      </c>
      <c r="K89" s="23">
        <v>2770000</v>
      </c>
      <c r="L89" s="23">
        <v>485840</v>
      </c>
      <c r="M89" s="23">
        <v>4413081</v>
      </c>
      <c r="N89" s="23">
        <v>4126239</v>
      </c>
      <c r="O89" s="26">
        <v>26903661.500999995</v>
      </c>
    </row>
    <row r="90" spans="1:15" ht="15.75" hidden="1" thickBot="1" x14ac:dyDescent="0.3">
      <c r="A90" s="21"/>
      <c r="B90" s="22" t="s">
        <v>36</v>
      </c>
      <c r="C90" s="23">
        <v>5894</v>
      </c>
      <c r="D90" s="23">
        <v>860524</v>
      </c>
      <c r="E90" s="23">
        <v>2587</v>
      </c>
      <c r="F90" s="23">
        <v>1028160</v>
      </c>
      <c r="G90" s="23">
        <v>0</v>
      </c>
      <c r="H90" s="23">
        <v>0</v>
      </c>
      <c r="I90" s="23">
        <v>0</v>
      </c>
      <c r="J90" s="23">
        <v>56000</v>
      </c>
      <c r="K90" s="23">
        <v>2769000</v>
      </c>
      <c r="L90" s="23">
        <v>711597</v>
      </c>
      <c r="M90" s="23">
        <v>4730078</v>
      </c>
      <c r="N90" s="23">
        <v>4350499</v>
      </c>
      <c r="O90" s="26">
        <v>27808982.300999995</v>
      </c>
    </row>
    <row r="91" spans="1:15" ht="15.75" hidden="1" thickBot="1" x14ac:dyDescent="0.3">
      <c r="A91" s="21"/>
      <c r="B91" s="22" t="s">
        <v>37</v>
      </c>
      <c r="C91" s="23">
        <v>7627</v>
      </c>
      <c r="D91" s="23">
        <v>1113542</v>
      </c>
      <c r="E91" s="23">
        <v>4520</v>
      </c>
      <c r="F91" s="23">
        <v>2010060</v>
      </c>
      <c r="G91" s="23">
        <v>0</v>
      </c>
      <c r="H91" s="23">
        <v>0</v>
      </c>
      <c r="I91" s="23">
        <v>0</v>
      </c>
      <c r="J91" s="23">
        <v>56000</v>
      </c>
      <c r="K91" s="23">
        <v>2769000</v>
      </c>
      <c r="L91" s="23">
        <v>597725</v>
      </c>
      <c r="M91" s="23">
        <v>5948602</v>
      </c>
      <c r="N91" s="23">
        <v>5232496</v>
      </c>
      <c r="O91" s="26">
        <v>29015585.441</v>
      </c>
    </row>
    <row r="92" spans="1:15" ht="15.75" hidden="1" thickBot="1" x14ac:dyDescent="0.3">
      <c r="A92">
        <v>2010</v>
      </c>
      <c r="B92" s="22" t="s">
        <v>38</v>
      </c>
      <c r="C92" s="23">
        <v>7460</v>
      </c>
      <c r="D92" s="23">
        <v>1089160</v>
      </c>
      <c r="E92" s="23">
        <v>4168</v>
      </c>
      <c r="F92" s="23">
        <v>1536120</v>
      </c>
      <c r="G92" s="23">
        <v>0</v>
      </c>
      <c r="H92" s="23">
        <v>0</v>
      </c>
      <c r="I92" s="23">
        <v>100000</v>
      </c>
      <c r="J92" s="23">
        <v>56000</v>
      </c>
      <c r="K92" s="23">
        <v>3282000</v>
      </c>
      <c r="L92" s="23">
        <v>720214</v>
      </c>
      <c r="M92" s="23">
        <v>6263280</v>
      </c>
      <c r="N92" s="23">
        <v>5914765</v>
      </c>
      <c r="O92" s="26">
        <v>30330428.419</v>
      </c>
    </row>
    <row r="93" spans="1:15" ht="15.75" hidden="1" thickBot="1" x14ac:dyDescent="0.3">
      <c r="B93" s="22" t="s">
        <v>27</v>
      </c>
      <c r="C93" s="23">
        <v>7992</v>
      </c>
      <c r="D93" s="23">
        <v>1166832</v>
      </c>
      <c r="E93" s="23">
        <v>4026</v>
      </c>
      <c r="F93" s="23">
        <v>1455300</v>
      </c>
      <c r="G93" s="23">
        <v>0</v>
      </c>
      <c r="H93" s="23">
        <v>0</v>
      </c>
      <c r="I93" s="23">
        <v>50000</v>
      </c>
      <c r="J93" s="23">
        <v>56000</v>
      </c>
      <c r="K93" s="23">
        <v>3291000</v>
      </c>
      <c r="L93" s="23">
        <v>772937</v>
      </c>
      <c r="M93" s="23">
        <v>6269132</v>
      </c>
      <c r="N93" s="23">
        <v>5484245</v>
      </c>
      <c r="O93" s="26">
        <v>32670116.519000001</v>
      </c>
    </row>
    <row r="94" spans="1:15" ht="15.75" hidden="1" thickBot="1" x14ac:dyDescent="0.3">
      <c r="B94" s="22" t="s">
        <v>28</v>
      </c>
      <c r="C94" s="23">
        <v>5489</v>
      </c>
      <c r="D94" s="23">
        <v>801394</v>
      </c>
      <c r="E94" s="23">
        <v>2992</v>
      </c>
      <c r="F94" s="23">
        <v>1003500</v>
      </c>
      <c r="G94" s="23">
        <v>0</v>
      </c>
      <c r="H94" s="23">
        <v>0</v>
      </c>
      <c r="I94" s="23">
        <v>50000</v>
      </c>
      <c r="J94" s="23">
        <v>56000</v>
      </c>
      <c r="K94" s="23">
        <v>3300000</v>
      </c>
      <c r="L94" s="23">
        <v>712631</v>
      </c>
      <c r="M94" s="23">
        <v>5460894</v>
      </c>
      <c r="N94" s="23">
        <v>5543533</v>
      </c>
      <c r="O94" s="26">
        <v>33400352.519000001</v>
      </c>
    </row>
    <row r="95" spans="1:15" ht="15.75" hidden="1" thickBot="1" x14ac:dyDescent="0.3">
      <c r="B95" s="22" t="s">
        <v>29</v>
      </c>
      <c r="C95" s="23">
        <v>5305</v>
      </c>
      <c r="D95" s="23">
        <v>774530</v>
      </c>
      <c r="E95" s="23">
        <v>2184</v>
      </c>
      <c r="F95" s="23">
        <v>842580</v>
      </c>
      <c r="G95" s="23">
        <v>0</v>
      </c>
      <c r="H95" s="23">
        <v>0</v>
      </c>
      <c r="I95" s="23">
        <v>50000</v>
      </c>
      <c r="J95" s="23">
        <v>52000</v>
      </c>
      <c r="K95" s="23">
        <v>3300000</v>
      </c>
      <c r="L95" s="23">
        <v>550344</v>
      </c>
      <c r="M95" s="23">
        <v>5269110</v>
      </c>
      <c r="N95" s="23">
        <v>4814396</v>
      </c>
      <c r="O95" s="26">
        <v>34492920.749000005</v>
      </c>
    </row>
    <row r="96" spans="1:15" ht="15.75" hidden="1" thickBot="1" x14ac:dyDescent="0.3">
      <c r="B96" s="22" t="s">
        <v>30</v>
      </c>
      <c r="C96" s="23">
        <v>4314</v>
      </c>
      <c r="D96" s="23">
        <v>629844</v>
      </c>
      <c r="E96" s="23">
        <v>1061</v>
      </c>
      <c r="F96" s="23">
        <v>407160</v>
      </c>
      <c r="G96" s="23">
        <v>0</v>
      </c>
      <c r="H96" s="23">
        <v>0</v>
      </c>
      <c r="I96" s="23">
        <v>50000</v>
      </c>
      <c r="J96" s="23">
        <v>56000</v>
      </c>
      <c r="K96" s="23">
        <v>3300000</v>
      </c>
      <c r="L96" s="23">
        <v>766929</v>
      </c>
      <c r="M96" s="23">
        <v>4693004</v>
      </c>
      <c r="N96" s="23">
        <v>4859355</v>
      </c>
      <c r="O96" s="26">
        <v>35496044.749000005</v>
      </c>
    </row>
    <row r="97" spans="1:15" ht="15.75" hidden="1" thickBot="1" x14ac:dyDescent="0.3">
      <c r="B97" s="22" t="s">
        <v>31</v>
      </c>
      <c r="C97" s="23">
        <v>4446</v>
      </c>
      <c r="D97" s="23">
        <v>649116</v>
      </c>
      <c r="E97" s="23">
        <v>488</v>
      </c>
      <c r="F97" s="23">
        <v>175320</v>
      </c>
      <c r="G97" s="23">
        <v>0</v>
      </c>
      <c r="H97" s="23">
        <v>0</v>
      </c>
      <c r="I97" s="23">
        <v>0</v>
      </c>
      <c r="J97" s="23">
        <v>56000</v>
      </c>
      <c r="K97" s="23">
        <v>3300000</v>
      </c>
      <c r="L97" s="23">
        <v>508848</v>
      </c>
      <c r="M97" s="23">
        <v>4180436</v>
      </c>
      <c r="N97" s="23">
        <v>3361324</v>
      </c>
      <c r="O97" s="26">
        <v>36803486.149000004</v>
      </c>
    </row>
    <row r="98" spans="1:15" ht="15.75" hidden="1" thickBot="1" x14ac:dyDescent="0.3">
      <c r="A98" s="21"/>
      <c r="B98" s="22" t="s">
        <v>32</v>
      </c>
      <c r="C98" s="23">
        <v>5420</v>
      </c>
      <c r="D98" s="23">
        <v>791320</v>
      </c>
      <c r="E98" s="23">
        <v>356</v>
      </c>
      <c r="F98" s="23">
        <v>128160</v>
      </c>
      <c r="G98" s="23">
        <v>0</v>
      </c>
      <c r="H98" s="23">
        <v>0</v>
      </c>
      <c r="I98" s="23">
        <v>59000</v>
      </c>
      <c r="J98" s="23">
        <v>144246</v>
      </c>
      <c r="K98" s="23">
        <v>3555574.3</v>
      </c>
      <c r="L98" s="23">
        <v>834870.3</v>
      </c>
      <c r="M98" s="23">
        <v>5130284</v>
      </c>
      <c r="N98" s="23">
        <v>4429905</v>
      </c>
      <c r="O98" s="26">
        <v>32271683.149</v>
      </c>
    </row>
    <row r="99" spans="1:15" ht="15.75" hidden="1" thickBot="1" x14ac:dyDescent="0.3">
      <c r="A99" s="21"/>
      <c r="B99" s="22" t="s">
        <v>33</v>
      </c>
      <c r="C99" s="23">
        <v>4572</v>
      </c>
      <c r="D99" s="23">
        <v>667512</v>
      </c>
      <c r="E99" s="23">
        <v>402</v>
      </c>
      <c r="F99" s="23">
        <v>144720</v>
      </c>
      <c r="G99" s="23">
        <v>0</v>
      </c>
      <c r="H99" s="23">
        <v>55000</v>
      </c>
      <c r="I99" s="23">
        <v>40500</v>
      </c>
      <c r="J99" s="23">
        <v>189174</v>
      </c>
      <c r="K99" s="23">
        <v>3555874.3</v>
      </c>
      <c r="L99" s="23">
        <v>657136.30000000005</v>
      </c>
      <c r="M99" s="23">
        <v>4791646</v>
      </c>
      <c r="N99" s="23">
        <v>11376347</v>
      </c>
      <c r="O99" s="26">
        <v>25771552.148999996</v>
      </c>
    </row>
    <row r="100" spans="1:15" ht="15.75" hidden="1" thickBot="1" x14ac:dyDescent="0.3">
      <c r="A100" s="21"/>
      <c r="B100" s="22" t="s">
        <v>34</v>
      </c>
      <c r="C100" s="23">
        <v>7319</v>
      </c>
      <c r="D100" s="23">
        <v>1068574</v>
      </c>
      <c r="E100" s="23">
        <v>1344</v>
      </c>
      <c r="F100" s="23">
        <v>500400</v>
      </c>
      <c r="G100" s="23">
        <v>0</v>
      </c>
      <c r="H100" s="23">
        <v>0</v>
      </c>
      <c r="I100" s="23">
        <v>44000</v>
      </c>
      <c r="J100" s="23">
        <v>197334</v>
      </c>
      <c r="K100" s="23">
        <v>3594474.3</v>
      </c>
      <c r="L100" s="23">
        <v>678513.3</v>
      </c>
      <c r="M100" s="23">
        <v>5409580</v>
      </c>
      <c r="N100" s="23">
        <v>3993155</v>
      </c>
      <c r="O100" s="26">
        <v>27363030.149</v>
      </c>
    </row>
    <row r="101" spans="1:15" ht="15.75" hidden="1" thickBot="1" x14ac:dyDescent="0.3">
      <c r="A101" s="21"/>
      <c r="B101" s="22" t="s">
        <v>35</v>
      </c>
      <c r="C101" s="23">
        <v>-7747</v>
      </c>
      <c r="D101" s="23">
        <v>-1131062</v>
      </c>
      <c r="E101" s="23">
        <v>-1713</v>
      </c>
      <c r="F101" s="23">
        <v>-532440</v>
      </c>
      <c r="G101" s="23">
        <v>0</v>
      </c>
      <c r="H101" s="23">
        <v>0</v>
      </c>
      <c r="I101" s="23">
        <v>4000</v>
      </c>
      <c r="J101" s="23">
        <v>-3219270</v>
      </c>
      <c r="K101" s="23">
        <v>3647562.3</v>
      </c>
      <c r="L101" s="23">
        <v>-2697303.7</v>
      </c>
      <c r="M101" s="23">
        <v>5595172</v>
      </c>
      <c r="N101" s="23">
        <v>5942619</v>
      </c>
      <c r="O101" s="26">
        <v>23756911.149</v>
      </c>
    </row>
    <row r="102" spans="1:15" ht="15.75" hidden="1" thickBot="1" x14ac:dyDescent="0.3">
      <c r="A102" s="21"/>
      <c r="B102" s="22" t="s">
        <v>36</v>
      </c>
      <c r="C102" s="23">
        <v>18993</v>
      </c>
      <c r="D102" s="23">
        <v>2772978</v>
      </c>
      <c r="E102" s="23">
        <v>7354</v>
      </c>
      <c r="F102" s="23">
        <v>2932920</v>
      </c>
      <c r="G102" s="23">
        <v>0</v>
      </c>
      <c r="H102" s="23">
        <v>0</v>
      </c>
      <c r="I102" s="23">
        <v>4000</v>
      </c>
      <c r="J102" s="23">
        <v>3528626</v>
      </c>
      <c r="K102" s="23">
        <v>240768.29999999981</v>
      </c>
      <c r="L102" s="23">
        <v>633155.29999999981</v>
      </c>
      <c r="M102" s="23">
        <v>6178366</v>
      </c>
      <c r="N102" s="23">
        <v>6220404</v>
      </c>
      <c r="O102" s="26">
        <v>27188946.148999996</v>
      </c>
    </row>
    <row r="103" spans="1:15" ht="15.75" hidden="1" thickBot="1" x14ac:dyDescent="0.3">
      <c r="A103" s="21"/>
      <c r="B103" s="22" t="s">
        <v>37</v>
      </c>
      <c r="C103" s="23">
        <v>5508</v>
      </c>
      <c r="D103" s="23">
        <v>804168</v>
      </c>
      <c r="E103" s="23">
        <v>4427</v>
      </c>
      <c r="F103" s="23">
        <v>2093400</v>
      </c>
      <c r="G103" s="23">
        <v>0</v>
      </c>
      <c r="H103" s="23">
        <v>0</v>
      </c>
      <c r="I103" s="23">
        <v>4000</v>
      </c>
      <c r="J103" s="23">
        <v>234248</v>
      </c>
      <c r="K103" s="23">
        <v>3437704.3</v>
      </c>
      <c r="L103" s="23">
        <v>462179.29999999981</v>
      </c>
      <c r="M103" s="23">
        <v>6621847</v>
      </c>
      <c r="N103" s="23">
        <v>6707733</v>
      </c>
      <c r="O103" s="26">
        <v>27282466.148999996</v>
      </c>
    </row>
    <row r="104" spans="1:15" ht="15.75" hidden="1" thickBot="1" x14ac:dyDescent="0.3">
      <c r="A104" s="21">
        <v>2011</v>
      </c>
      <c r="B104" s="22" t="s">
        <v>38</v>
      </c>
      <c r="C104" s="23">
        <v>17002</v>
      </c>
      <c r="D104" s="23">
        <v>2482292</v>
      </c>
      <c r="E104" s="23">
        <v>7591</v>
      </c>
      <c r="F104" s="23">
        <v>3335400</v>
      </c>
      <c r="G104" s="23">
        <v>29649</v>
      </c>
      <c r="H104" s="23">
        <v>0</v>
      </c>
      <c r="I104" s="23">
        <v>4000</v>
      </c>
      <c r="J104" s="23">
        <v>60000</v>
      </c>
      <c r="K104" s="23">
        <v>3625600</v>
      </c>
      <c r="L104" s="23">
        <v>263500</v>
      </c>
      <c r="M104" s="23">
        <v>9796441</v>
      </c>
      <c r="N104" s="23">
        <v>5633265</v>
      </c>
      <c r="O104" s="26">
        <v>31492466.148999996</v>
      </c>
    </row>
    <row r="105" spans="1:15" ht="15.75" hidden="1" thickBot="1" x14ac:dyDescent="0.3">
      <c r="A105" s="21"/>
      <c r="B105" s="22" t="s">
        <v>27</v>
      </c>
      <c r="C105" s="23">
        <v>6726</v>
      </c>
      <c r="D105" s="23">
        <v>981996</v>
      </c>
      <c r="E105" s="23">
        <v>4755</v>
      </c>
      <c r="F105" s="23">
        <v>2343510</v>
      </c>
      <c r="G105" s="23">
        <v>0</v>
      </c>
      <c r="H105" s="23">
        <v>0</v>
      </c>
      <c r="I105" s="23">
        <v>4000</v>
      </c>
      <c r="J105" s="23">
        <v>60000</v>
      </c>
      <c r="K105" s="23">
        <v>3625600</v>
      </c>
      <c r="L105" s="23">
        <v>273216</v>
      </c>
      <c r="M105" s="23">
        <v>7284322</v>
      </c>
      <c r="N105" s="23">
        <v>6358866</v>
      </c>
      <c r="O105" s="26">
        <v>29926484.149</v>
      </c>
    </row>
    <row r="106" spans="1:15" ht="15.75" hidden="1" thickBot="1" x14ac:dyDescent="0.3">
      <c r="A106" s="21"/>
      <c r="B106" s="22" t="s">
        <v>28</v>
      </c>
      <c r="C106" s="23">
        <v>5952</v>
      </c>
      <c r="D106" s="23">
        <v>868992</v>
      </c>
      <c r="E106" s="23">
        <v>3558</v>
      </c>
      <c r="F106" s="23">
        <v>1519200</v>
      </c>
      <c r="G106" s="23">
        <v>0</v>
      </c>
      <c r="H106" s="23">
        <v>0</v>
      </c>
      <c r="I106" s="23">
        <v>4000</v>
      </c>
      <c r="J106" s="23">
        <v>56000</v>
      </c>
      <c r="K106" s="23">
        <v>3625600</v>
      </c>
      <c r="L106" s="23">
        <v>316099</v>
      </c>
      <c r="M106" s="23">
        <v>6345729</v>
      </c>
      <c r="N106" s="23">
        <v>5544421</v>
      </c>
      <c r="O106" s="26">
        <v>30682398.149</v>
      </c>
    </row>
    <row r="107" spans="1:15" ht="15.75" hidden="1" thickBot="1" x14ac:dyDescent="0.3">
      <c r="A107" s="21"/>
      <c r="B107" s="22" t="s">
        <v>29</v>
      </c>
      <c r="C107" s="23">
        <v>6297</v>
      </c>
      <c r="D107" s="23">
        <v>919362</v>
      </c>
      <c r="E107" s="23">
        <v>2882</v>
      </c>
      <c r="F107" s="23">
        <v>1186740</v>
      </c>
      <c r="G107" s="23">
        <v>0</v>
      </c>
      <c r="H107" s="23">
        <v>0</v>
      </c>
      <c r="I107" s="23">
        <v>4000</v>
      </c>
      <c r="J107" s="23">
        <v>56000</v>
      </c>
      <c r="K107" s="23">
        <v>3625600</v>
      </c>
      <c r="L107" s="23">
        <v>271868</v>
      </c>
      <c r="M107" s="23">
        <v>6059570</v>
      </c>
      <c r="N107" s="23">
        <v>8409508</v>
      </c>
      <c r="O107" s="26">
        <v>28276472.148999996</v>
      </c>
    </row>
    <row r="108" spans="1:15" ht="15.75" hidden="1" thickBot="1" x14ac:dyDescent="0.3">
      <c r="A108" s="21"/>
      <c r="B108" s="22" t="s">
        <v>30</v>
      </c>
      <c r="C108" s="23">
        <v>4069</v>
      </c>
      <c r="D108" s="23">
        <v>594074</v>
      </c>
      <c r="E108" s="23">
        <v>1146</v>
      </c>
      <c r="F108" s="23">
        <v>450720</v>
      </c>
      <c r="G108" s="23">
        <v>0</v>
      </c>
      <c r="H108" s="23">
        <v>0</v>
      </c>
      <c r="I108" s="23">
        <v>4000</v>
      </c>
      <c r="J108" s="23">
        <v>56000</v>
      </c>
      <c r="K108" s="23">
        <v>3625600</v>
      </c>
      <c r="L108" s="23">
        <v>274218</v>
      </c>
      <c r="M108" s="23">
        <v>5000612</v>
      </c>
      <c r="N108" s="23">
        <v>4432575</v>
      </c>
      <c r="O108" s="26">
        <v>28998053.148999996</v>
      </c>
    </row>
    <row r="109" spans="1:15" ht="15.75" hidden="1" thickBot="1" x14ac:dyDescent="0.3">
      <c r="A109" s="21"/>
      <c r="B109" s="22" t="s">
        <v>31</v>
      </c>
      <c r="C109" s="23">
        <v>3984</v>
      </c>
      <c r="D109" s="23">
        <v>581664</v>
      </c>
      <c r="E109" s="23">
        <v>868</v>
      </c>
      <c r="F109" s="23">
        <v>312480</v>
      </c>
      <c r="G109" s="23">
        <v>0</v>
      </c>
      <c r="H109" s="23">
        <v>0</v>
      </c>
      <c r="I109" s="23">
        <v>4000</v>
      </c>
      <c r="J109" s="23">
        <v>56000</v>
      </c>
      <c r="K109" s="23">
        <v>3625600</v>
      </c>
      <c r="L109" s="23">
        <v>334785</v>
      </c>
      <c r="M109" s="23">
        <v>4910529</v>
      </c>
      <c r="N109" s="23">
        <v>3373824</v>
      </c>
      <c r="O109" s="26">
        <v>30538758.148999996</v>
      </c>
    </row>
    <row r="110" spans="1:15" ht="15.75" hidden="1" thickBot="1" x14ac:dyDescent="0.3">
      <c r="A110" s="21"/>
      <c r="B110" s="22" t="s">
        <v>32</v>
      </c>
      <c r="C110" s="23">
        <v>4922</v>
      </c>
      <c r="D110" s="23">
        <v>718612</v>
      </c>
      <c r="E110" s="23">
        <v>511</v>
      </c>
      <c r="F110" s="23">
        <v>183960</v>
      </c>
      <c r="G110" s="23">
        <v>0</v>
      </c>
      <c r="H110" s="23">
        <v>0</v>
      </c>
      <c r="I110" s="23">
        <v>8000</v>
      </c>
      <c r="J110" s="23">
        <v>68000</v>
      </c>
      <c r="K110" s="23">
        <v>3625600</v>
      </c>
      <c r="L110" s="23">
        <v>307258</v>
      </c>
      <c r="M110" s="23">
        <v>4903430</v>
      </c>
      <c r="N110" s="23">
        <v>4734936</v>
      </c>
      <c r="O110" s="26">
        <v>30657580.148999996</v>
      </c>
    </row>
    <row r="111" spans="1:15" ht="15.75" hidden="1" thickBot="1" x14ac:dyDescent="0.3">
      <c r="A111" s="21"/>
      <c r="B111" s="22" t="s">
        <v>33</v>
      </c>
      <c r="C111" s="23">
        <v>4109</v>
      </c>
      <c r="D111" s="23">
        <v>599914</v>
      </c>
      <c r="E111" s="23">
        <v>458</v>
      </c>
      <c r="F111" s="23">
        <v>164880</v>
      </c>
      <c r="G111" s="23">
        <v>0</v>
      </c>
      <c r="H111" s="23">
        <v>0</v>
      </c>
      <c r="I111" s="23">
        <v>8000</v>
      </c>
      <c r="J111" s="23">
        <v>68000</v>
      </c>
      <c r="K111" s="23">
        <v>3625600</v>
      </c>
      <c r="L111" s="23">
        <v>350956</v>
      </c>
      <c r="M111" s="23">
        <v>4809350</v>
      </c>
      <c r="N111" s="23">
        <v>3390323</v>
      </c>
      <c r="O111" s="26">
        <v>32146279.148999996</v>
      </c>
    </row>
    <row r="112" spans="1:15" ht="15.75" hidden="1" thickBot="1" x14ac:dyDescent="0.3">
      <c r="A112" s="21"/>
      <c r="B112" s="22" t="s">
        <v>34</v>
      </c>
      <c r="C112" s="23">
        <v>5121</v>
      </c>
      <c r="D112" s="23">
        <v>747666</v>
      </c>
      <c r="E112" s="23">
        <v>1082</v>
      </c>
      <c r="F112" s="23">
        <v>389520</v>
      </c>
      <c r="G112" s="23">
        <v>0</v>
      </c>
      <c r="H112" s="23">
        <v>0</v>
      </c>
      <c r="I112" s="23">
        <v>8000</v>
      </c>
      <c r="J112" s="23">
        <v>68000</v>
      </c>
      <c r="K112" s="23">
        <v>3625600</v>
      </c>
      <c r="L112" s="23">
        <v>360293</v>
      </c>
      <c r="M112" s="23">
        <v>5191079</v>
      </c>
      <c r="N112" s="23">
        <v>4384746</v>
      </c>
      <c r="O112" s="26">
        <v>32964612.148999996</v>
      </c>
    </row>
    <row r="113" spans="1:15" ht="15.75" hidden="1" thickBot="1" x14ac:dyDescent="0.3">
      <c r="A113" s="21"/>
      <c r="B113" s="22" t="s">
        <v>35</v>
      </c>
      <c r="C113" s="23">
        <v>5120</v>
      </c>
      <c r="D113" s="23">
        <v>747520</v>
      </c>
      <c r="E113" s="23">
        <v>2020</v>
      </c>
      <c r="F113" s="23">
        <v>747360</v>
      </c>
      <c r="G113" s="23">
        <v>0</v>
      </c>
      <c r="H113" s="23">
        <v>0</v>
      </c>
      <c r="I113" s="23">
        <v>8000</v>
      </c>
      <c r="J113" s="23">
        <v>68000</v>
      </c>
      <c r="K113" s="23">
        <v>3625600</v>
      </c>
      <c r="L113" s="23">
        <v>309473</v>
      </c>
      <c r="M113" s="23">
        <v>5497953</v>
      </c>
      <c r="N113" s="23">
        <v>4615660</v>
      </c>
      <c r="O113" s="26">
        <v>33858905.148999996</v>
      </c>
    </row>
    <row r="114" spans="1:15" ht="15.75" hidden="1" thickBot="1" x14ac:dyDescent="0.3">
      <c r="A114" s="21"/>
      <c r="B114" s="22" t="s">
        <v>36</v>
      </c>
      <c r="C114" s="23">
        <v>6171</v>
      </c>
      <c r="D114" s="23">
        <v>900966</v>
      </c>
      <c r="E114" s="23">
        <v>2973</v>
      </c>
      <c r="F114" s="23">
        <v>1358820</v>
      </c>
      <c r="G114" s="23">
        <v>0</v>
      </c>
      <c r="H114" s="23">
        <v>0</v>
      </c>
      <c r="I114" s="23">
        <v>8000</v>
      </c>
      <c r="J114" s="23">
        <v>68000</v>
      </c>
      <c r="K114" s="23">
        <v>3627809</v>
      </c>
      <c r="L114" s="23">
        <v>324404</v>
      </c>
      <c r="M114" s="23">
        <v>6266582</v>
      </c>
      <c r="N114" s="23">
        <v>6591078</v>
      </c>
      <c r="O114" s="26">
        <v>33503030.148999996</v>
      </c>
    </row>
    <row r="115" spans="1:15" ht="15.75" hidden="1" thickBot="1" x14ac:dyDescent="0.3">
      <c r="A115" s="21"/>
      <c r="B115" s="22" t="s">
        <v>37</v>
      </c>
      <c r="C115" s="23">
        <v>7386</v>
      </c>
      <c r="D115" s="23">
        <v>1078356</v>
      </c>
      <c r="E115" s="23">
        <v>4734</v>
      </c>
      <c r="F115" s="23">
        <v>2310840</v>
      </c>
      <c r="G115" s="23">
        <v>0</v>
      </c>
      <c r="H115" s="23">
        <v>0</v>
      </c>
      <c r="I115" s="23">
        <v>8000</v>
      </c>
      <c r="J115" s="23">
        <v>68000</v>
      </c>
      <c r="K115" s="23">
        <v>3627809</v>
      </c>
      <c r="L115" s="23">
        <v>388941</v>
      </c>
      <c r="M115" s="23">
        <v>7473946</v>
      </c>
      <c r="N115" s="23">
        <v>7333028</v>
      </c>
      <c r="O115" s="26">
        <v>33712744.148999996</v>
      </c>
    </row>
    <row r="116" spans="1:15" ht="15.75" hidden="1" thickBot="1" x14ac:dyDescent="0.3">
      <c r="A116" s="21">
        <v>2012</v>
      </c>
      <c r="B116" s="22" t="s">
        <v>38</v>
      </c>
      <c r="C116" s="23">
        <v>8492</v>
      </c>
      <c r="D116" s="23">
        <v>1239832</v>
      </c>
      <c r="E116" s="23">
        <v>5008</v>
      </c>
      <c r="F116" s="23">
        <v>2416680</v>
      </c>
      <c r="G116" s="23">
        <v>0</v>
      </c>
      <c r="H116" s="23">
        <v>0</v>
      </c>
      <c r="I116" s="23">
        <v>33466</v>
      </c>
      <c r="J116" s="23">
        <v>131665</v>
      </c>
      <c r="K116" s="23">
        <v>3766976</v>
      </c>
      <c r="L116" s="23">
        <v>369910</v>
      </c>
      <c r="M116" s="23">
        <v>7950529</v>
      </c>
      <c r="N116" s="23">
        <v>6052319</v>
      </c>
      <c r="O116" s="26">
        <v>35622954.148999996</v>
      </c>
    </row>
    <row r="117" spans="1:15" ht="15.75" hidden="1" thickBot="1" x14ac:dyDescent="0.3">
      <c r="A117" s="21"/>
      <c r="B117" s="22" t="s">
        <v>27</v>
      </c>
      <c r="C117" s="23">
        <v>7794</v>
      </c>
      <c r="D117" s="23">
        <v>1137924</v>
      </c>
      <c r="E117" s="23">
        <v>4307</v>
      </c>
      <c r="F117" s="23">
        <v>1917720</v>
      </c>
      <c r="G117" s="23">
        <v>0</v>
      </c>
      <c r="H117" s="23">
        <v>0</v>
      </c>
      <c r="I117" s="23">
        <v>8000</v>
      </c>
      <c r="J117" s="23">
        <v>68000</v>
      </c>
      <c r="K117" s="23">
        <v>3766976</v>
      </c>
      <c r="L117" s="23">
        <v>385246</v>
      </c>
      <c r="M117" s="23">
        <v>7251413</v>
      </c>
      <c r="N117" s="23">
        <v>6048894</v>
      </c>
      <c r="O117" s="26">
        <v>36874659.149000004</v>
      </c>
    </row>
    <row r="118" spans="1:15" ht="15.75" hidden="1" thickBot="1" x14ac:dyDescent="0.3">
      <c r="A118" s="21"/>
      <c r="B118" s="22" t="s">
        <v>28</v>
      </c>
      <c r="C118" s="23">
        <v>7614</v>
      </c>
      <c r="D118" s="23">
        <v>1111644</v>
      </c>
      <c r="E118" s="23">
        <v>4078</v>
      </c>
      <c r="F118" s="23">
        <v>1768500</v>
      </c>
      <c r="G118" s="23">
        <v>0</v>
      </c>
      <c r="H118" s="23">
        <v>0</v>
      </c>
      <c r="I118" s="23">
        <v>8000</v>
      </c>
      <c r="J118" s="23">
        <v>68000</v>
      </c>
      <c r="K118" s="23">
        <v>3766976</v>
      </c>
      <c r="L118" s="23">
        <v>392731</v>
      </c>
      <c r="M118" s="23">
        <v>7107851</v>
      </c>
      <c r="N118" s="23">
        <v>6495359</v>
      </c>
      <c r="O118" s="26">
        <v>37499151.149000004</v>
      </c>
    </row>
    <row r="119" spans="1:15" ht="15.75" hidden="1" thickBot="1" x14ac:dyDescent="0.3">
      <c r="A119" s="21"/>
      <c r="B119" s="22" t="s">
        <v>29</v>
      </c>
      <c r="C119" s="23">
        <v>5931</v>
      </c>
      <c r="D119" s="23">
        <v>865926</v>
      </c>
      <c r="E119" s="23">
        <v>2770</v>
      </c>
      <c r="F119" s="23">
        <v>1060560</v>
      </c>
      <c r="G119" s="23">
        <v>0</v>
      </c>
      <c r="H119" s="23">
        <v>0</v>
      </c>
      <c r="I119" s="23">
        <v>71432</v>
      </c>
      <c r="J119" s="23">
        <v>68000</v>
      </c>
      <c r="K119" s="23">
        <v>3766976</v>
      </c>
      <c r="L119" s="23">
        <v>372044</v>
      </c>
      <c r="M119" s="23">
        <v>6165888</v>
      </c>
      <c r="N119" s="23">
        <v>5314576</v>
      </c>
      <c r="O119" s="26">
        <v>38334654.149000004</v>
      </c>
    </row>
    <row r="120" spans="1:15" ht="15.75" hidden="1" thickBot="1" x14ac:dyDescent="0.3">
      <c r="A120" s="21"/>
      <c r="B120" s="22" t="s">
        <v>30</v>
      </c>
      <c r="C120" s="23">
        <v>7483</v>
      </c>
      <c r="D120" s="23">
        <v>1092518</v>
      </c>
      <c r="E120" s="23">
        <v>2826</v>
      </c>
      <c r="F120" s="23">
        <v>1362240</v>
      </c>
      <c r="G120" s="23">
        <v>0</v>
      </c>
      <c r="H120" s="23">
        <v>0</v>
      </c>
      <c r="I120" s="23">
        <v>188000</v>
      </c>
      <c r="J120" s="23">
        <v>68000</v>
      </c>
      <c r="K120" s="23">
        <v>3766976</v>
      </c>
      <c r="L120" s="23">
        <v>379256</v>
      </c>
      <c r="M120" s="23">
        <v>6728990</v>
      </c>
      <c r="N120" s="23">
        <v>6052094</v>
      </c>
      <c r="O120" s="26">
        <v>39282409.149000004</v>
      </c>
    </row>
    <row r="121" spans="1:15" ht="15.75" hidden="1" thickBot="1" x14ac:dyDescent="0.3">
      <c r="A121" s="21"/>
      <c r="B121" s="22" t="s">
        <v>31</v>
      </c>
      <c r="C121" s="23">
        <v>2175</v>
      </c>
      <c r="D121" s="23">
        <v>707662</v>
      </c>
      <c r="E121" s="23">
        <v>427</v>
      </c>
      <c r="F121" s="23">
        <v>153720</v>
      </c>
      <c r="G121" s="23">
        <v>0</v>
      </c>
      <c r="H121" s="23">
        <v>0</v>
      </c>
      <c r="I121" s="23">
        <v>88000</v>
      </c>
      <c r="J121" s="23">
        <v>72000</v>
      </c>
      <c r="K121" s="23">
        <v>3766976</v>
      </c>
      <c r="L121" s="23">
        <v>353852</v>
      </c>
      <c r="M121" s="23">
        <v>5114595</v>
      </c>
      <c r="N121" s="23">
        <v>6144996</v>
      </c>
      <c r="O121" s="26">
        <v>38224764.148999996</v>
      </c>
    </row>
    <row r="122" spans="1:15" ht="15.75" hidden="1" thickBot="1" x14ac:dyDescent="0.3">
      <c r="A122" s="21"/>
      <c r="B122" s="22" t="s">
        <v>32</v>
      </c>
      <c r="C122" s="23">
        <v>7614</v>
      </c>
      <c r="D122" s="23">
        <v>721532</v>
      </c>
      <c r="E122" s="23">
        <v>504</v>
      </c>
      <c r="F122" s="23">
        <v>181440</v>
      </c>
      <c r="G122" s="23">
        <v>0</v>
      </c>
      <c r="H122" s="23">
        <v>63432</v>
      </c>
      <c r="I122" s="23">
        <v>67432</v>
      </c>
      <c r="J122" s="23">
        <v>76000</v>
      </c>
      <c r="K122" s="23">
        <v>3766976</v>
      </c>
      <c r="L122" s="23">
        <v>389043</v>
      </c>
      <c r="M122" s="23">
        <v>5198423</v>
      </c>
      <c r="N122" s="23">
        <v>4975041</v>
      </c>
      <c r="O122" s="26">
        <v>38531294.148999996</v>
      </c>
    </row>
    <row r="123" spans="1:15" ht="15.75" hidden="1" thickBot="1" x14ac:dyDescent="0.3">
      <c r="A123" s="21"/>
      <c r="B123" s="22" t="s">
        <v>33</v>
      </c>
      <c r="C123" s="23">
        <v>4973</v>
      </c>
      <c r="D123" s="23">
        <v>726058</v>
      </c>
      <c r="E123" s="23">
        <v>578</v>
      </c>
      <c r="F123" s="23">
        <v>208080</v>
      </c>
      <c r="G123" s="23">
        <v>0</v>
      </c>
      <c r="H123" s="23">
        <v>0</v>
      </c>
      <c r="I123" s="23">
        <v>0</v>
      </c>
      <c r="J123" s="23">
        <v>215000</v>
      </c>
      <c r="K123" s="23">
        <v>3766976</v>
      </c>
      <c r="L123" s="23">
        <v>352914</v>
      </c>
      <c r="M123" s="23">
        <v>5269028</v>
      </c>
      <c r="N123" s="23">
        <v>4378318</v>
      </c>
      <c r="O123" s="26">
        <v>39469147.148999996</v>
      </c>
    </row>
    <row r="124" spans="1:15" ht="15.75" hidden="1" thickBot="1" x14ac:dyDescent="0.3">
      <c r="A124" s="21"/>
      <c r="B124" s="22" t="s">
        <v>34</v>
      </c>
      <c r="C124" s="23">
        <v>5709</v>
      </c>
      <c r="D124" s="23">
        <v>833514</v>
      </c>
      <c r="E124" s="23">
        <v>1371</v>
      </c>
      <c r="F124" s="23">
        <v>493560</v>
      </c>
      <c r="G124" s="23">
        <v>0</v>
      </c>
      <c r="H124" s="23">
        <v>0</v>
      </c>
      <c r="I124" s="23">
        <v>0</v>
      </c>
      <c r="J124" s="23">
        <v>225000</v>
      </c>
      <c r="K124" s="23">
        <v>3766976</v>
      </c>
      <c r="L124" s="23">
        <v>391993</v>
      </c>
      <c r="M124" s="23">
        <v>5694182</v>
      </c>
      <c r="N124" s="23">
        <v>5507917</v>
      </c>
      <c r="O124" s="26">
        <v>39672273.148999996</v>
      </c>
    </row>
    <row r="125" spans="1:15" ht="15.75" hidden="1" thickBot="1" x14ac:dyDescent="0.3">
      <c r="A125" s="21"/>
      <c r="B125" s="22" t="s">
        <v>35</v>
      </c>
      <c r="C125" s="23">
        <v>2682</v>
      </c>
      <c r="D125" s="23">
        <v>781684</v>
      </c>
      <c r="E125" s="23">
        <v>1753</v>
      </c>
      <c r="F125" s="23">
        <v>634320</v>
      </c>
      <c r="G125" s="23">
        <v>0</v>
      </c>
      <c r="H125" s="23">
        <v>0</v>
      </c>
      <c r="I125" s="23">
        <v>0</v>
      </c>
      <c r="J125" s="23">
        <v>215000</v>
      </c>
      <c r="K125" s="23">
        <v>3766976</v>
      </c>
      <c r="L125" s="23">
        <v>318262</v>
      </c>
      <c r="M125" s="23">
        <v>5716242</v>
      </c>
      <c r="N125" s="23">
        <v>4826808</v>
      </c>
      <c r="O125" s="26">
        <v>40499940.148999996</v>
      </c>
    </row>
    <row r="126" spans="1:15" ht="15.75" hidden="1" thickBot="1" x14ac:dyDescent="0.3">
      <c r="A126" s="21"/>
      <c r="B126" s="22" t="s">
        <v>36</v>
      </c>
      <c r="C126" s="23">
        <v>5653</v>
      </c>
      <c r="D126" s="23">
        <v>825338</v>
      </c>
      <c r="E126" s="23">
        <v>4242</v>
      </c>
      <c r="F126" s="23">
        <v>2157120</v>
      </c>
      <c r="G126" s="23">
        <v>0</v>
      </c>
      <c r="H126" s="23">
        <v>0</v>
      </c>
      <c r="I126" s="23">
        <v>139912</v>
      </c>
      <c r="J126" s="23">
        <v>215000</v>
      </c>
      <c r="K126" s="23">
        <v>3767851</v>
      </c>
      <c r="L126" s="23">
        <v>563946</v>
      </c>
      <c r="M126" s="23">
        <v>7583028</v>
      </c>
      <c r="N126" s="23">
        <v>5602386</v>
      </c>
      <c r="O126" s="26">
        <v>42654525.848999999</v>
      </c>
    </row>
    <row r="127" spans="1:15" ht="15.75" hidden="1" thickBot="1" x14ac:dyDescent="0.3">
      <c r="A127" s="21"/>
      <c r="B127" s="22" t="s">
        <v>37</v>
      </c>
      <c r="C127" s="23">
        <v>6048</v>
      </c>
      <c r="D127" s="23">
        <v>883008</v>
      </c>
      <c r="E127" s="23">
        <v>4091</v>
      </c>
      <c r="F127" s="23">
        <v>1530720</v>
      </c>
      <c r="G127" s="23">
        <v>0</v>
      </c>
      <c r="H127" s="23">
        <v>0</v>
      </c>
      <c r="I127" s="23">
        <v>12288</v>
      </c>
      <c r="J127" s="23">
        <v>215000</v>
      </c>
      <c r="K127" s="23">
        <v>3767851</v>
      </c>
      <c r="L127" s="23">
        <v>335890</v>
      </c>
      <c r="M127" s="23">
        <v>6744757</v>
      </c>
      <c r="N127" s="23">
        <v>7408239</v>
      </c>
      <c r="O127" s="26">
        <v>41932184.949000001</v>
      </c>
    </row>
    <row r="128" spans="1:15" ht="15.75" hidden="1" thickBot="1" x14ac:dyDescent="0.3">
      <c r="A128" s="21">
        <v>2013</v>
      </c>
      <c r="B128" s="22" t="s">
        <v>38</v>
      </c>
      <c r="C128" s="23">
        <v>9146</v>
      </c>
      <c r="D128" s="23">
        <v>1337944</v>
      </c>
      <c r="E128" s="23">
        <v>5393</v>
      </c>
      <c r="F128" s="23">
        <v>2593440</v>
      </c>
      <c r="G128" s="23">
        <v>0</v>
      </c>
      <c r="H128" s="23">
        <v>0</v>
      </c>
      <c r="I128" s="23">
        <v>0</v>
      </c>
      <c r="J128" s="23">
        <v>215000</v>
      </c>
      <c r="K128" s="23">
        <v>3822976</v>
      </c>
      <c r="L128" s="23">
        <v>494722</v>
      </c>
      <c r="M128" s="23">
        <v>8392469</v>
      </c>
      <c r="N128" s="23">
        <v>7329047</v>
      </c>
      <c r="O128" s="26">
        <v>43004448.949000001</v>
      </c>
    </row>
    <row r="129" spans="1:15" ht="15.75" hidden="1" thickBot="1" x14ac:dyDescent="0.3">
      <c r="A129" s="21"/>
      <c r="B129" s="22" t="s">
        <v>27</v>
      </c>
      <c r="C129" s="23">
        <v>8749</v>
      </c>
      <c r="D129" s="23">
        <v>1277354</v>
      </c>
      <c r="E129" s="23">
        <v>4485</v>
      </c>
      <c r="F129" s="23">
        <v>1911780</v>
      </c>
      <c r="G129" s="23">
        <v>0</v>
      </c>
      <c r="H129" s="23">
        <v>565248</v>
      </c>
      <c r="I129" s="23">
        <v>147456</v>
      </c>
      <c r="J129" s="23">
        <v>205000</v>
      </c>
      <c r="K129" s="23">
        <v>3822976</v>
      </c>
      <c r="L129" s="23">
        <v>414314</v>
      </c>
      <c r="M129" s="23">
        <v>8153023</v>
      </c>
      <c r="N129" s="23">
        <v>6931446</v>
      </c>
      <c r="O129" s="26">
        <v>44639772.949000001</v>
      </c>
    </row>
    <row r="130" spans="1:15" ht="15.75" hidden="1" thickBot="1" x14ac:dyDescent="0.3">
      <c r="A130" s="21"/>
      <c r="B130" s="22" t="s">
        <v>28</v>
      </c>
      <c r="C130" s="23">
        <v>6973</v>
      </c>
      <c r="D130" s="23">
        <v>1018058</v>
      </c>
      <c r="E130" s="23">
        <v>3992</v>
      </c>
      <c r="F130" s="23">
        <v>1842840</v>
      </c>
      <c r="G130" s="23">
        <v>0</v>
      </c>
      <c r="H130" s="23">
        <v>0</v>
      </c>
      <c r="I130" s="23">
        <v>0</v>
      </c>
      <c r="J130" s="23">
        <v>205000</v>
      </c>
      <c r="K130" s="23">
        <v>3822976</v>
      </c>
      <c r="L130" s="23">
        <v>538235</v>
      </c>
      <c r="M130" s="23">
        <v>7427109</v>
      </c>
      <c r="N130" s="23">
        <v>7492844</v>
      </c>
      <c r="O130" s="26">
        <v>44514305.949000001</v>
      </c>
    </row>
    <row r="131" spans="1:15" ht="15.75" hidden="1" thickBot="1" x14ac:dyDescent="0.3">
      <c r="A131" s="21"/>
      <c r="B131" s="22" t="s">
        <v>29</v>
      </c>
      <c r="C131" s="23">
        <v>6518</v>
      </c>
      <c r="D131" s="23">
        <v>951628</v>
      </c>
      <c r="E131" s="23">
        <v>3161</v>
      </c>
      <c r="F131" s="23">
        <v>1312200</v>
      </c>
      <c r="G131" s="23">
        <v>0</v>
      </c>
      <c r="H131" s="23">
        <v>0</v>
      </c>
      <c r="I131" s="23">
        <v>0</v>
      </c>
      <c r="J131" s="23">
        <v>210000</v>
      </c>
      <c r="K131" s="23">
        <v>3822976</v>
      </c>
      <c r="L131" s="23">
        <v>408063</v>
      </c>
      <c r="M131" s="23">
        <v>6704867</v>
      </c>
      <c r="N131" s="23">
        <v>4791475</v>
      </c>
      <c r="O131" s="26">
        <v>46434208.949000001</v>
      </c>
    </row>
    <row r="132" spans="1:15" ht="15.75" hidden="1" thickBot="1" x14ac:dyDescent="0.3">
      <c r="A132" s="21"/>
      <c r="B132" s="22" t="s">
        <v>30</v>
      </c>
      <c r="C132" s="23">
        <v>7072</v>
      </c>
      <c r="D132" s="23">
        <v>1037038</v>
      </c>
      <c r="E132" s="23">
        <v>1534</v>
      </c>
      <c r="F132" s="23">
        <v>560880</v>
      </c>
      <c r="G132" s="23">
        <v>0</v>
      </c>
      <c r="H132" s="23">
        <v>0</v>
      </c>
      <c r="I132" s="23">
        <v>0</v>
      </c>
      <c r="J132" s="23">
        <v>200000</v>
      </c>
      <c r="K132" s="23">
        <v>3822976</v>
      </c>
      <c r="L132" s="23">
        <v>584900</v>
      </c>
      <c r="M132" s="23">
        <v>6145782</v>
      </c>
      <c r="N132" s="23">
        <v>5262651</v>
      </c>
      <c r="O132" s="26">
        <v>47282443.949000001</v>
      </c>
    </row>
    <row r="133" spans="1:15" ht="15.75" hidden="1" thickBot="1" x14ac:dyDescent="0.3">
      <c r="A133" s="21"/>
      <c r="B133" s="22" t="s">
        <v>31</v>
      </c>
      <c r="C133" s="23">
        <v>5600</v>
      </c>
      <c r="D133" s="23">
        <v>817600</v>
      </c>
      <c r="E133" s="23">
        <v>424</v>
      </c>
      <c r="F133" s="23">
        <v>152640</v>
      </c>
      <c r="G133" s="23">
        <v>0</v>
      </c>
      <c r="H133" s="23">
        <v>0</v>
      </c>
      <c r="I133" s="23">
        <v>0</v>
      </c>
      <c r="J133" s="23">
        <v>200000</v>
      </c>
      <c r="K133" s="23">
        <v>3822976</v>
      </c>
      <c r="L133" s="23">
        <v>501473</v>
      </c>
      <c r="M133" s="23">
        <v>5494689</v>
      </c>
      <c r="N133" s="23">
        <v>21617885</v>
      </c>
      <c r="O133" s="26">
        <v>31086086.948999997</v>
      </c>
    </row>
    <row r="134" spans="1:15" ht="15.75" hidden="1" thickBot="1" x14ac:dyDescent="0.3">
      <c r="A134" s="21"/>
      <c r="B134" s="22" t="s">
        <v>32</v>
      </c>
      <c r="C134" s="23">
        <v>5498</v>
      </c>
      <c r="D134" s="23">
        <v>827090</v>
      </c>
      <c r="E134" s="23">
        <v>410</v>
      </c>
      <c r="F134" s="23">
        <v>147600</v>
      </c>
      <c r="G134" s="23">
        <v>0</v>
      </c>
      <c r="H134" s="23">
        <v>0</v>
      </c>
      <c r="I134" s="23">
        <v>0</v>
      </c>
      <c r="J134" s="23">
        <v>200000</v>
      </c>
      <c r="K134" s="23">
        <v>3822976</v>
      </c>
      <c r="L134" s="23">
        <v>304811</v>
      </c>
      <c r="M134" s="23">
        <v>5302477</v>
      </c>
      <c r="N134" s="23">
        <v>3916008</v>
      </c>
      <c r="O134" s="26">
        <v>32383495.948999997</v>
      </c>
    </row>
    <row r="135" spans="1:15" ht="15.75" hidden="1" thickBot="1" x14ac:dyDescent="0.3">
      <c r="A135" s="21"/>
      <c r="B135" s="22" t="s">
        <v>33</v>
      </c>
      <c r="C135" s="23">
        <v>5364</v>
      </c>
      <c r="D135" s="23">
        <v>783144</v>
      </c>
      <c r="E135" s="23">
        <v>730</v>
      </c>
      <c r="F135" s="23">
        <v>262800</v>
      </c>
      <c r="G135" s="23">
        <v>15075</v>
      </c>
      <c r="H135" s="23">
        <v>0</v>
      </c>
      <c r="I135" s="23">
        <v>149960</v>
      </c>
      <c r="J135" s="23">
        <v>200000</v>
      </c>
      <c r="K135" s="23">
        <v>3822976</v>
      </c>
      <c r="L135" s="23">
        <v>509504</v>
      </c>
      <c r="M135" s="23">
        <v>5743459</v>
      </c>
      <c r="N135" s="23">
        <v>5023601</v>
      </c>
      <c r="O135" s="26">
        <v>33043626.948999997</v>
      </c>
    </row>
    <row r="136" spans="1:15" ht="15.75" hidden="1" thickBot="1" x14ac:dyDescent="0.3">
      <c r="A136" s="21"/>
      <c r="B136" s="22" t="s">
        <v>34</v>
      </c>
      <c r="C136" s="23">
        <v>6448</v>
      </c>
      <c r="D136" s="23">
        <v>941408</v>
      </c>
      <c r="E136" s="23">
        <v>1158</v>
      </c>
      <c r="F136" s="23">
        <v>416880</v>
      </c>
      <c r="G136" s="23">
        <v>0</v>
      </c>
      <c r="H136" s="23">
        <v>0</v>
      </c>
      <c r="I136" s="23">
        <v>54470</v>
      </c>
      <c r="J136" s="23">
        <v>200000</v>
      </c>
      <c r="K136" s="23">
        <v>3822976</v>
      </c>
      <c r="L136" s="23">
        <v>250230</v>
      </c>
      <c r="M136" s="23">
        <v>5685964</v>
      </c>
      <c r="N136" s="23">
        <v>13933234</v>
      </c>
      <c r="O136" s="26">
        <v>20830944.949000001</v>
      </c>
    </row>
    <row r="137" spans="1:15" ht="15.75" hidden="1" thickBot="1" x14ac:dyDescent="0.3">
      <c r="A137" s="21"/>
      <c r="B137" s="22" t="s">
        <v>35</v>
      </c>
      <c r="C137" s="23">
        <v>6526</v>
      </c>
      <c r="D137" s="23">
        <v>952796</v>
      </c>
      <c r="E137" s="23">
        <v>3290</v>
      </c>
      <c r="F137" s="23">
        <v>1292220</v>
      </c>
      <c r="G137" s="23">
        <v>0</v>
      </c>
      <c r="H137" s="23">
        <v>49330</v>
      </c>
      <c r="I137" s="23">
        <v>12570</v>
      </c>
      <c r="J137" s="23">
        <v>202500</v>
      </c>
      <c r="K137" s="23">
        <v>3822976</v>
      </c>
      <c r="L137" s="23">
        <v>356065</v>
      </c>
      <c r="M137" s="23">
        <v>6659127</v>
      </c>
      <c r="N137" s="23">
        <v>5844237</v>
      </c>
      <c r="O137" s="26">
        <v>21615439.948999997</v>
      </c>
    </row>
    <row r="138" spans="1:15" ht="15.75" hidden="1" thickBot="1" x14ac:dyDescent="0.3">
      <c r="A138" s="21"/>
      <c r="B138" s="22" t="s">
        <v>36</v>
      </c>
      <c r="C138" s="23">
        <v>6543</v>
      </c>
      <c r="D138" s="23">
        <v>955278</v>
      </c>
      <c r="E138" s="23">
        <v>3448</v>
      </c>
      <c r="F138" s="23">
        <v>1463580</v>
      </c>
      <c r="G138" s="23">
        <v>0</v>
      </c>
      <c r="H138" s="23">
        <v>5000</v>
      </c>
      <c r="I138" s="23">
        <v>0</v>
      </c>
      <c r="J138" s="23">
        <v>205000</v>
      </c>
      <c r="K138" s="23">
        <v>3824778</v>
      </c>
      <c r="L138" s="23">
        <v>270397</v>
      </c>
      <c r="M138" s="23">
        <v>6724033</v>
      </c>
      <c r="N138" s="23">
        <v>5817575</v>
      </c>
      <c r="O138" s="26">
        <v>22445805.948999997</v>
      </c>
    </row>
    <row r="139" spans="1:15" ht="15.75" hidden="1" thickBot="1" x14ac:dyDescent="0.3">
      <c r="A139" s="21"/>
      <c r="B139" s="22" t="s">
        <v>37</v>
      </c>
      <c r="C139" s="23">
        <v>6434</v>
      </c>
      <c r="D139" s="23">
        <v>939364</v>
      </c>
      <c r="E139" s="23">
        <v>5478</v>
      </c>
      <c r="F139" s="23">
        <v>2814120</v>
      </c>
      <c r="G139" s="23">
        <v>0</v>
      </c>
      <c r="H139" s="23">
        <v>1085000</v>
      </c>
      <c r="I139" s="23">
        <v>202154</v>
      </c>
      <c r="J139" s="23">
        <v>205000</v>
      </c>
      <c r="K139" s="23">
        <v>3824778</v>
      </c>
      <c r="L139" s="23">
        <v>312434</v>
      </c>
      <c r="M139" s="23">
        <v>9102850</v>
      </c>
      <c r="N139" s="23">
        <v>9368385</v>
      </c>
      <c r="O139" s="26">
        <v>22640329.948999997</v>
      </c>
    </row>
    <row r="140" spans="1:15" ht="15.75" hidden="1" thickBot="1" x14ac:dyDescent="0.3">
      <c r="A140" s="21">
        <v>2014</v>
      </c>
      <c r="B140" s="22" t="s">
        <v>38</v>
      </c>
      <c r="C140" s="23">
        <v>8117</v>
      </c>
      <c r="D140" s="23">
        <v>1185082</v>
      </c>
      <c r="E140" s="23">
        <v>4651</v>
      </c>
      <c r="F140" s="23">
        <v>3411000</v>
      </c>
      <c r="G140" s="23">
        <v>0</v>
      </c>
      <c r="H140" s="23">
        <v>275000</v>
      </c>
      <c r="I140" s="23">
        <v>135869</v>
      </c>
      <c r="J140" s="23">
        <v>205000</v>
      </c>
      <c r="K140" s="23">
        <v>3938304</v>
      </c>
      <c r="L140" s="23">
        <v>305430</v>
      </c>
      <c r="M140" s="23">
        <v>9372960</v>
      </c>
      <c r="N140" s="23">
        <v>8711441</v>
      </c>
      <c r="O140" s="26">
        <v>23401114.948999997</v>
      </c>
    </row>
    <row r="141" spans="1:15" ht="15.75" hidden="1" thickBot="1" x14ac:dyDescent="0.3">
      <c r="A141" s="21"/>
      <c r="B141" s="22" t="s">
        <v>27</v>
      </c>
      <c r="C141" s="23">
        <v>8288</v>
      </c>
      <c r="D141" s="23">
        <v>1210048</v>
      </c>
      <c r="E141" s="23">
        <v>3296</v>
      </c>
      <c r="F141" s="23">
        <v>1652400</v>
      </c>
      <c r="G141" s="23">
        <v>0</v>
      </c>
      <c r="H141" s="23">
        <v>275000</v>
      </c>
      <c r="I141" s="23">
        <v>16541</v>
      </c>
      <c r="J141" s="23">
        <v>205000</v>
      </c>
      <c r="K141" s="23">
        <v>3938304</v>
      </c>
      <c r="L141" s="23">
        <v>296470</v>
      </c>
      <c r="M141" s="23">
        <v>7507222</v>
      </c>
      <c r="N141" s="23">
        <v>7145729</v>
      </c>
      <c r="O141" s="26">
        <v>23775926.948999997</v>
      </c>
    </row>
    <row r="142" spans="1:15" ht="15.75" hidden="1" thickBot="1" x14ac:dyDescent="0.3">
      <c r="A142" s="21"/>
      <c r="B142" s="22" t="s">
        <v>28</v>
      </c>
      <c r="C142" s="23">
        <v>6918</v>
      </c>
      <c r="D142" s="23">
        <v>1010028</v>
      </c>
      <c r="E142" s="23">
        <v>3047</v>
      </c>
      <c r="F142" s="23">
        <v>1568160</v>
      </c>
      <c r="G142" s="23">
        <v>0</v>
      </c>
      <c r="H142" s="23">
        <v>275000</v>
      </c>
      <c r="I142" s="23">
        <v>16541</v>
      </c>
      <c r="J142" s="23">
        <v>210000</v>
      </c>
      <c r="K142" s="23">
        <v>3938304</v>
      </c>
      <c r="L142" s="23">
        <v>312042</v>
      </c>
      <c r="M142" s="23">
        <v>7260075</v>
      </c>
      <c r="N142" s="23">
        <v>15817157</v>
      </c>
      <c r="O142" s="26">
        <v>15370446.949000001</v>
      </c>
    </row>
    <row r="143" spans="1:15" ht="15.75" hidden="1" thickBot="1" x14ac:dyDescent="0.3">
      <c r="A143" s="21"/>
      <c r="B143" s="22" t="s">
        <v>29</v>
      </c>
      <c r="C143" s="23">
        <v>6615</v>
      </c>
      <c r="D143" s="23">
        <v>965790</v>
      </c>
      <c r="E143" s="23">
        <v>2838</v>
      </c>
      <c r="F143" s="23">
        <v>1148940</v>
      </c>
      <c r="G143" s="23">
        <v>0</v>
      </c>
      <c r="H143" s="23">
        <v>275000</v>
      </c>
      <c r="I143" s="23">
        <v>0</v>
      </c>
      <c r="J143" s="23">
        <v>205000</v>
      </c>
      <c r="K143" s="23">
        <v>3938304</v>
      </c>
      <c r="L143" s="23">
        <v>313152</v>
      </c>
      <c r="M143" s="23">
        <v>6776186</v>
      </c>
      <c r="N143" s="23">
        <v>5357483</v>
      </c>
      <c r="O143" s="26">
        <v>16859149.949000001</v>
      </c>
    </row>
    <row r="144" spans="1:15" ht="15.75" hidden="1" thickBot="1" x14ac:dyDescent="0.3">
      <c r="A144" s="21"/>
      <c r="B144" s="22" t="s">
        <v>30</v>
      </c>
      <c r="C144" s="23">
        <v>5748</v>
      </c>
      <c r="D144" s="23">
        <v>839208</v>
      </c>
      <c r="E144" s="23">
        <v>1329</v>
      </c>
      <c r="F144" s="23">
        <v>512640</v>
      </c>
      <c r="G144" s="23">
        <v>0</v>
      </c>
      <c r="H144" s="23">
        <v>280000</v>
      </c>
      <c r="I144" s="23">
        <v>55000</v>
      </c>
      <c r="J144" s="23">
        <v>205000</v>
      </c>
      <c r="K144" s="23">
        <v>3938304</v>
      </c>
      <c r="L144" s="23">
        <v>317176</v>
      </c>
      <c r="M144" s="23">
        <v>6133328</v>
      </c>
      <c r="N144" s="23">
        <v>6446294</v>
      </c>
      <c r="O144" s="26">
        <v>16631183.949000001</v>
      </c>
    </row>
    <row r="145" spans="1:15" ht="15.75" hidden="1" thickBot="1" x14ac:dyDescent="0.3">
      <c r="A145" s="21"/>
      <c r="B145" s="22" t="s">
        <v>31</v>
      </c>
      <c r="C145" s="23">
        <v>4679</v>
      </c>
      <c r="D145" s="23">
        <v>683134</v>
      </c>
      <c r="E145" s="23">
        <v>579</v>
      </c>
      <c r="F145" s="23">
        <v>208440</v>
      </c>
      <c r="G145" s="23">
        <v>0</v>
      </c>
      <c r="H145" s="23">
        <v>285000</v>
      </c>
      <c r="I145" s="23">
        <v>0</v>
      </c>
      <c r="J145" s="23">
        <v>225000</v>
      </c>
      <c r="K145" s="23">
        <v>3938304</v>
      </c>
      <c r="L145" s="23">
        <v>302603</v>
      </c>
      <c r="M145" s="23">
        <v>5572481</v>
      </c>
      <c r="N145" s="23">
        <v>4729958</v>
      </c>
      <c r="O145" s="26">
        <v>14463332.949000001</v>
      </c>
    </row>
    <row r="146" spans="1:15" ht="15.75" hidden="1" thickBot="1" x14ac:dyDescent="0.3">
      <c r="A146" s="21"/>
      <c r="B146" s="22" t="s">
        <v>32</v>
      </c>
      <c r="C146" s="23">
        <v>5954</v>
      </c>
      <c r="D146" s="23">
        <v>869284</v>
      </c>
      <c r="E146" s="23">
        <v>464</v>
      </c>
      <c r="F146" s="23">
        <v>167040</v>
      </c>
      <c r="G146" s="23">
        <v>0</v>
      </c>
      <c r="H146" s="23">
        <v>275000</v>
      </c>
      <c r="I146" s="23">
        <v>0</v>
      </c>
      <c r="J146" s="23">
        <v>225000</v>
      </c>
      <c r="K146" s="23">
        <v>3938304</v>
      </c>
      <c r="L146" s="23">
        <v>254186</v>
      </c>
      <c r="M146" s="23">
        <v>5658814</v>
      </c>
      <c r="N146" s="23">
        <v>6883770</v>
      </c>
      <c r="O146" s="26">
        <v>13308376.949000001</v>
      </c>
    </row>
    <row r="147" spans="1:15" ht="15.75" hidden="1" thickBot="1" x14ac:dyDescent="0.3">
      <c r="A147" s="21"/>
      <c r="B147" s="22" t="s">
        <v>33</v>
      </c>
      <c r="C147" s="23">
        <v>4792</v>
      </c>
      <c r="D147" s="23">
        <v>699632</v>
      </c>
      <c r="E147" s="23">
        <v>489</v>
      </c>
      <c r="F147" s="23">
        <v>176040</v>
      </c>
      <c r="G147" s="23">
        <v>0</v>
      </c>
      <c r="H147" s="23">
        <v>275000</v>
      </c>
      <c r="I147" s="23">
        <v>0</v>
      </c>
      <c r="J147" s="23">
        <v>215000</v>
      </c>
      <c r="K147" s="23">
        <v>3938304</v>
      </c>
      <c r="L147" s="23">
        <v>332731</v>
      </c>
      <c r="M147" s="23">
        <v>5508716</v>
      </c>
      <c r="N147" s="23">
        <v>5347416</v>
      </c>
      <c r="O147" s="26">
        <v>13597667.949000001</v>
      </c>
    </row>
    <row r="148" spans="1:15" ht="15.75" hidden="1" thickBot="1" x14ac:dyDescent="0.3">
      <c r="A148" s="21"/>
      <c r="B148" s="22" t="s">
        <v>34</v>
      </c>
      <c r="C148" s="23">
        <v>6051</v>
      </c>
      <c r="D148" s="23">
        <v>883446</v>
      </c>
      <c r="E148" s="23">
        <v>734</v>
      </c>
      <c r="F148" s="23">
        <v>264240</v>
      </c>
      <c r="G148" s="23">
        <v>0</v>
      </c>
      <c r="H148" s="23">
        <v>275000</v>
      </c>
      <c r="I148" s="23">
        <v>0</v>
      </c>
      <c r="J148" s="23">
        <v>215000</v>
      </c>
      <c r="K148" s="23">
        <v>3938304</v>
      </c>
      <c r="L148" s="23">
        <v>288185</v>
      </c>
      <c r="M148" s="23">
        <v>5794175</v>
      </c>
      <c r="N148" s="23">
        <v>13207210</v>
      </c>
      <c r="O148" s="26">
        <v>6254632.949000001</v>
      </c>
    </row>
    <row r="149" spans="1:15" ht="15.75" hidden="1" thickBot="1" x14ac:dyDescent="0.3">
      <c r="A149" s="21"/>
      <c r="B149" s="22" t="s">
        <v>35</v>
      </c>
      <c r="C149" s="23">
        <v>6354</v>
      </c>
      <c r="D149" s="23">
        <v>927684</v>
      </c>
      <c r="E149" s="23">
        <v>1667</v>
      </c>
      <c r="F149" s="23">
        <v>615780</v>
      </c>
      <c r="G149" s="23">
        <v>0</v>
      </c>
      <c r="H149" s="23">
        <v>277000</v>
      </c>
      <c r="I149" s="23">
        <v>0</v>
      </c>
      <c r="J149" s="23">
        <v>215000</v>
      </c>
      <c r="K149" s="23">
        <v>3938304</v>
      </c>
      <c r="L149" s="23">
        <v>437886</v>
      </c>
      <c r="M149" s="23">
        <v>6293000</v>
      </c>
      <c r="N149" s="23">
        <v>5977611</v>
      </c>
      <c r="O149" s="26">
        <v>6688675.949000001</v>
      </c>
    </row>
    <row r="150" spans="1:15" ht="15.75" hidden="1" thickBot="1" x14ac:dyDescent="0.3">
      <c r="A150" s="21"/>
      <c r="B150" s="22" t="s">
        <v>36</v>
      </c>
      <c r="C150" s="23">
        <v>7256</v>
      </c>
      <c r="D150" s="23">
        <v>1059376</v>
      </c>
      <c r="E150" s="23">
        <v>3534</v>
      </c>
      <c r="F150" s="23">
        <v>1959480</v>
      </c>
      <c r="G150" s="23">
        <v>0</v>
      </c>
      <c r="H150" s="23">
        <v>277000</v>
      </c>
      <c r="I150" s="23">
        <v>37311</v>
      </c>
      <c r="J150" s="23">
        <v>215000</v>
      </c>
      <c r="K150" s="23">
        <v>3941163</v>
      </c>
      <c r="L150" s="23">
        <v>392856</v>
      </c>
      <c r="M150" s="23">
        <v>7763079</v>
      </c>
      <c r="N150" s="23">
        <v>7480459</v>
      </c>
      <c r="O150" s="26">
        <v>7090602.949000001</v>
      </c>
    </row>
    <row r="151" spans="1:15" ht="15.75" hidden="1" thickBot="1" x14ac:dyDescent="0.3">
      <c r="A151" s="21"/>
      <c r="B151" s="22" t="s">
        <v>37</v>
      </c>
      <c r="C151" s="23">
        <v>-1357</v>
      </c>
      <c r="D151" s="23">
        <v>1045360</v>
      </c>
      <c r="E151" s="23">
        <v>3132</v>
      </c>
      <c r="F151" s="23">
        <v>1371240</v>
      </c>
      <c r="G151" s="23">
        <v>0</v>
      </c>
      <c r="H151" s="23">
        <v>385000</v>
      </c>
      <c r="I151" s="23">
        <v>0</v>
      </c>
      <c r="J151" s="23">
        <v>210000</v>
      </c>
      <c r="K151" s="23">
        <v>3941163</v>
      </c>
      <c r="L151" s="23">
        <v>394032</v>
      </c>
      <c r="M151" s="23">
        <v>7248795</v>
      </c>
      <c r="N151" s="23">
        <v>7461119</v>
      </c>
      <c r="O151" s="26">
        <v>6976078.949000001</v>
      </c>
    </row>
    <row r="152" spans="1:15" ht="15.75" hidden="1" thickBot="1" x14ac:dyDescent="0.3">
      <c r="A152" s="21">
        <v>2015</v>
      </c>
      <c r="B152" s="22" t="s">
        <v>38</v>
      </c>
      <c r="C152" s="23">
        <v>8587</v>
      </c>
      <c r="D152" s="23">
        <v>1253702</v>
      </c>
      <c r="E152" s="23">
        <v>4029</v>
      </c>
      <c r="F152" s="23">
        <v>2370600</v>
      </c>
      <c r="G152" s="23">
        <v>0</v>
      </c>
      <c r="H152" s="23">
        <v>389959</v>
      </c>
      <c r="I152" s="23">
        <v>0</v>
      </c>
      <c r="J152" s="23">
        <v>202500</v>
      </c>
      <c r="K152" s="23">
        <v>4121280</v>
      </c>
      <c r="L152" s="23">
        <v>313798</v>
      </c>
      <c r="M152" s="23">
        <v>8553839</v>
      </c>
      <c r="N152" s="23">
        <v>8208134</v>
      </c>
      <c r="O152" s="26">
        <v>7419783.949000001</v>
      </c>
    </row>
    <row r="153" spans="1:15" ht="15.75" hidden="1" thickBot="1" x14ac:dyDescent="0.3">
      <c r="A153" s="21"/>
      <c r="B153" s="22" t="s">
        <v>27</v>
      </c>
      <c r="C153" s="23">
        <v>9077</v>
      </c>
      <c r="D153" s="23">
        <v>1325242</v>
      </c>
      <c r="E153" s="23">
        <v>4189</v>
      </c>
      <c r="F153" s="23">
        <v>2499120</v>
      </c>
      <c r="G153" s="23">
        <v>0</v>
      </c>
      <c r="H153" s="23">
        <v>389959</v>
      </c>
      <c r="I153" s="23">
        <v>0</v>
      </c>
      <c r="J153" s="23">
        <v>190000</v>
      </c>
      <c r="K153" s="23">
        <v>4121280</v>
      </c>
      <c r="L153" s="23">
        <v>392720</v>
      </c>
      <c r="M153" s="23">
        <v>8771231</v>
      </c>
      <c r="N153" s="23">
        <v>7547219</v>
      </c>
      <c r="O153" s="26">
        <v>8790885.949000001</v>
      </c>
    </row>
    <row r="154" spans="1:15" ht="15.75" hidden="1" thickBot="1" x14ac:dyDescent="0.3">
      <c r="A154" s="21"/>
      <c r="B154" s="22" t="s">
        <v>28</v>
      </c>
      <c r="C154" s="23">
        <v>7289</v>
      </c>
      <c r="D154" s="23">
        <v>1064194</v>
      </c>
      <c r="E154" s="23">
        <v>3167</v>
      </c>
      <c r="F154" s="23">
        <v>1496700</v>
      </c>
      <c r="G154" s="23">
        <v>0</v>
      </c>
      <c r="H154" s="23">
        <v>551126</v>
      </c>
      <c r="I154" s="23">
        <v>7438</v>
      </c>
      <c r="J154" s="23">
        <v>190000</v>
      </c>
      <c r="K154" s="23">
        <v>4123759</v>
      </c>
      <c r="L154" s="23">
        <v>443214</v>
      </c>
      <c r="M154" s="23">
        <v>7672157</v>
      </c>
      <c r="N154" s="23">
        <v>6678476</v>
      </c>
      <c r="O154" s="26">
        <v>9988840.949000001</v>
      </c>
    </row>
    <row r="155" spans="1:15" ht="15.75" hidden="1" thickBot="1" x14ac:dyDescent="0.3">
      <c r="A155" s="21"/>
      <c r="B155" s="22" t="s">
        <v>29</v>
      </c>
      <c r="C155" s="23">
        <v>7232</v>
      </c>
      <c r="D155" s="23">
        <v>1055872</v>
      </c>
      <c r="E155" s="23">
        <v>2687</v>
      </c>
      <c r="F155" s="23">
        <v>1102320</v>
      </c>
      <c r="G155" s="23">
        <v>0</v>
      </c>
      <c r="H155" s="23">
        <v>551126</v>
      </c>
      <c r="I155" s="23">
        <v>7438</v>
      </c>
      <c r="J155" s="23">
        <v>190000</v>
      </c>
      <c r="K155" s="23">
        <v>4123759</v>
      </c>
      <c r="L155" s="23">
        <v>445581</v>
      </c>
      <c r="M155" s="23">
        <v>7271559</v>
      </c>
      <c r="N155" s="23">
        <v>7635899</v>
      </c>
      <c r="O155" s="26">
        <v>9829037.949000001</v>
      </c>
    </row>
    <row r="156" spans="1:15" ht="15.75" hidden="1" thickBot="1" x14ac:dyDescent="0.3">
      <c r="A156" s="21"/>
      <c r="B156" s="22" t="s">
        <v>30</v>
      </c>
      <c r="C156" s="23">
        <v>6634</v>
      </c>
      <c r="D156" s="23">
        <v>968564</v>
      </c>
      <c r="E156" s="23">
        <v>2346</v>
      </c>
      <c r="F156" s="23">
        <v>853290</v>
      </c>
      <c r="G156" s="23">
        <v>0</v>
      </c>
      <c r="H156" s="23">
        <v>551126</v>
      </c>
      <c r="I156" s="23">
        <v>7438</v>
      </c>
      <c r="J156" s="23">
        <v>180000</v>
      </c>
      <c r="K156" s="23">
        <v>4123759</v>
      </c>
      <c r="L156" s="23">
        <v>448290</v>
      </c>
      <c r="M156" s="23">
        <v>6977439</v>
      </c>
      <c r="N156" s="23">
        <v>5857035</v>
      </c>
      <c r="O156" s="26">
        <v>11104469.949000001</v>
      </c>
    </row>
    <row r="157" spans="1:15" ht="15.75" hidden="1" thickBot="1" x14ac:dyDescent="0.3">
      <c r="A157" s="21"/>
      <c r="B157" s="22" t="s">
        <v>31</v>
      </c>
      <c r="C157" s="23">
        <v>6046</v>
      </c>
      <c r="D157" s="23">
        <v>883884</v>
      </c>
      <c r="E157" s="23">
        <v>975</v>
      </c>
      <c r="F157" s="23">
        <v>501030</v>
      </c>
      <c r="G157" s="23">
        <v>0</v>
      </c>
      <c r="H157" s="23">
        <v>551126</v>
      </c>
      <c r="I157" s="23">
        <v>7438</v>
      </c>
      <c r="J157" s="23">
        <v>180000</v>
      </c>
      <c r="K157" s="23">
        <v>4123759</v>
      </c>
      <c r="L157" s="23">
        <v>449694</v>
      </c>
      <c r="M157" s="23">
        <v>6491937</v>
      </c>
      <c r="N157" s="23">
        <v>7228844</v>
      </c>
      <c r="O157" s="26">
        <v>10572556.949000001</v>
      </c>
    </row>
    <row r="158" spans="1:15" ht="15.75" hidden="1" thickBot="1" x14ac:dyDescent="0.3">
      <c r="A158" s="21"/>
      <c r="B158" s="22" t="s">
        <v>32</v>
      </c>
      <c r="C158" s="23">
        <v>6738</v>
      </c>
      <c r="D158" s="23">
        <v>983748</v>
      </c>
      <c r="E158" s="23">
        <v>773</v>
      </c>
      <c r="F158" s="23">
        <v>423270</v>
      </c>
      <c r="G158" s="23">
        <v>0</v>
      </c>
      <c r="H158" s="23">
        <v>551126</v>
      </c>
      <c r="I158" s="23">
        <v>7438</v>
      </c>
      <c r="J158" s="23">
        <v>180000</v>
      </c>
      <c r="K158" s="23">
        <v>4123759</v>
      </c>
      <c r="L158" s="23">
        <v>551903</v>
      </c>
      <c r="M158" s="23">
        <v>6616043</v>
      </c>
      <c r="N158" s="23">
        <v>5435792</v>
      </c>
      <c r="O158" s="26">
        <v>11958008.949000001</v>
      </c>
    </row>
    <row r="159" spans="1:15" ht="15.75" hidden="1" thickBot="1" x14ac:dyDescent="0.3">
      <c r="A159" s="21"/>
      <c r="B159" s="22" t="s">
        <v>33</v>
      </c>
      <c r="C159" s="23">
        <v>5725</v>
      </c>
      <c r="D159" s="23">
        <v>835850</v>
      </c>
      <c r="E159" s="23">
        <v>560</v>
      </c>
      <c r="F159" s="23">
        <v>353430</v>
      </c>
      <c r="G159" s="23">
        <v>0</v>
      </c>
      <c r="H159" s="23">
        <v>551126</v>
      </c>
      <c r="I159" s="23">
        <v>7438</v>
      </c>
      <c r="J159" s="23">
        <v>180000</v>
      </c>
      <c r="K159" s="23">
        <v>4123759</v>
      </c>
      <c r="L159" s="23">
        <v>539880</v>
      </c>
      <c r="M159" s="23">
        <v>6400455</v>
      </c>
      <c r="N159" s="23">
        <v>5758528</v>
      </c>
      <c r="O159" s="26">
        <v>12790963.949000001</v>
      </c>
    </row>
    <row r="160" spans="1:15" ht="15.75" hidden="1" thickBot="1" x14ac:dyDescent="0.3">
      <c r="A160" s="21"/>
      <c r="B160" s="22" t="s">
        <v>34</v>
      </c>
      <c r="C160" s="23">
        <v>6837</v>
      </c>
      <c r="D160" s="23">
        <v>998202</v>
      </c>
      <c r="E160" s="23">
        <v>871</v>
      </c>
      <c r="F160" s="23">
        <v>313560</v>
      </c>
      <c r="G160" s="23">
        <v>0</v>
      </c>
      <c r="H160" s="23">
        <v>551126</v>
      </c>
      <c r="I160" s="23">
        <v>7438</v>
      </c>
      <c r="J160" s="23">
        <v>180000</v>
      </c>
      <c r="K160" s="23">
        <v>4123759</v>
      </c>
      <c r="L160" s="23">
        <v>710010</v>
      </c>
      <c r="M160" s="23">
        <v>6729067</v>
      </c>
      <c r="N160" s="23">
        <v>6260141</v>
      </c>
      <c r="O160" s="26">
        <v>13414917.949000001</v>
      </c>
    </row>
    <row r="161" spans="1:15" ht="15.75" hidden="1" thickBot="1" x14ac:dyDescent="0.3">
      <c r="A161" s="21"/>
      <c r="B161" s="22" t="s">
        <v>35</v>
      </c>
      <c r="C161" s="23">
        <v>7458</v>
      </c>
      <c r="D161" s="23">
        <v>1088868</v>
      </c>
      <c r="E161" s="23">
        <v>855</v>
      </c>
      <c r="F161" s="23">
        <v>308340</v>
      </c>
      <c r="G161" s="23">
        <v>0</v>
      </c>
      <c r="H161" s="23">
        <v>550832</v>
      </c>
      <c r="I161" s="23">
        <v>7438</v>
      </c>
      <c r="J161" s="23">
        <v>180000</v>
      </c>
      <c r="K161" s="23">
        <v>4123759</v>
      </c>
      <c r="L161" s="23">
        <v>458820</v>
      </c>
      <c r="M161" s="23">
        <v>6563029</v>
      </c>
      <c r="N161" s="23">
        <v>6130853</v>
      </c>
      <c r="O161" s="26">
        <v>14002121.949000001</v>
      </c>
    </row>
    <row r="162" spans="1:15" ht="15.75" hidden="1" thickBot="1" x14ac:dyDescent="0.3">
      <c r="A162" s="21"/>
      <c r="B162" s="22" t="s">
        <v>36</v>
      </c>
      <c r="C162" s="23">
        <v>7431</v>
      </c>
      <c r="D162" s="23">
        <v>1084926</v>
      </c>
      <c r="E162" s="23">
        <v>2079</v>
      </c>
      <c r="F162" s="23">
        <v>807480</v>
      </c>
      <c r="G162" s="23">
        <v>0</v>
      </c>
      <c r="H162" s="23">
        <v>550832</v>
      </c>
      <c r="I162" s="23">
        <v>7438</v>
      </c>
      <c r="J162" s="23">
        <v>180000</v>
      </c>
      <c r="K162" s="23">
        <v>4133759</v>
      </c>
      <c r="L162" s="23">
        <v>409576</v>
      </c>
      <c r="M162" s="23">
        <v>7018983</v>
      </c>
      <c r="N162" s="23">
        <v>6958478</v>
      </c>
      <c r="O162" s="26">
        <v>14217654.949000001</v>
      </c>
    </row>
    <row r="163" spans="1:15" ht="15.75" hidden="1" thickBot="1" x14ac:dyDescent="0.3">
      <c r="A163" s="21"/>
      <c r="B163" s="22" t="s">
        <v>37</v>
      </c>
      <c r="C163" s="23">
        <v>10305</v>
      </c>
      <c r="D163" s="23">
        <v>1504530</v>
      </c>
      <c r="E163" s="23">
        <v>3256</v>
      </c>
      <c r="F163" s="23">
        <v>1351980</v>
      </c>
      <c r="G163" s="23">
        <v>0</v>
      </c>
      <c r="H163" s="23">
        <v>543610</v>
      </c>
      <c r="I163" s="23">
        <v>6998</v>
      </c>
      <c r="J163" s="23">
        <v>178333</v>
      </c>
      <c r="K163" s="23">
        <v>4133613</v>
      </c>
      <c r="L163" s="23">
        <v>358806</v>
      </c>
      <c r="M163" s="23">
        <v>7923890</v>
      </c>
      <c r="N163" s="23">
        <v>9576457</v>
      </c>
      <c r="O163" s="26">
        <v>12719067.949000001</v>
      </c>
    </row>
    <row r="164" spans="1:15" ht="15.75" hidden="1" thickBot="1" x14ac:dyDescent="0.3">
      <c r="A164" s="21">
        <v>2016</v>
      </c>
      <c r="B164" s="22" t="s">
        <v>38</v>
      </c>
      <c r="C164" s="23">
        <v>7953</v>
      </c>
      <c r="D164" s="23">
        <v>1160408</v>
      </c>
      <c r="E164" s="23">
        <v>2640</v>
      </c>
      <c r="F164" s="23">
        <v>979560</v>
      </c>
      <c r="G164" s="23">
        <v>0</v>
      </c>
      <c r="H164" s="23">
        <v>543610</v>
      </c>
      <c r="I164" s="23">
        <v>6998</v>
      </c>
      <c r="J164" s="23">
        <v>170000</v>
      </c>
      <c r="K164" s="23">
        <v>4763613</v>
      </c>
      <c r="L164" s="23">
        <v>358806</v>
      </c>
      <c r="M164" s="23">
        <v>7777757</v>
      </c>
      <c r="N164" s="23">
        <v>6747830</v>
      </c>
      <c r="O164" s="26">
        <v>13954232.949000001</v>
      </c>
    </row>
    <row r="165" spans="1:15" ht="15.75" hidden="1" thickBot="1" x14ac:dyDescent="0.3">
      <c r="A165" s="21"/>
      <c r="B165" s="22" t="s">
        <v>27</v>
      </c>
      <c r="C165" s="23">
        <v>8972</v>
      </c>
      <c r="D165" s="23">
        <v>1309912</v>
      </c>
      <c r="E165" s="23">
        <v>2766</v>
      </c>
      <c r="F165" s="23">
        <v>1044720</v>
      </c>
      <c r="G165" s="23">
        <v>0</v>
      </c>
      <c r="H165" s="23">
        <v>543654</v>
      </c>
      <c r="I165" s="23">
        <v>6998</v>
      </c>
      <c r="J165" s="23">
        <v>170000</v>
      </c>
      <c r="K165" s="23">
        <v>4763613</v>
      </c>
      <c r="L165" s="23">
        <v>308610</v>
      </c>
      <c r="M165" s="23">
        <v>7942092</v>
      </c>
      <c r="N165" s="23">
        <v>7599503</v>
      </c>
      <c r="O165" s="26">
        <v>14502236.949000001</v>
      </c>
    </row>
    <row r="166" spans="1:15" ht="15.75" hidden="1" thickBot="1" x14ac:dyDescent="0.3">
      <c r="A166" s="21"/>
      <c r="B166" s="22" t="s">
        <v>28</v>
      </c>
      <c r="C166" s="23">
        <v>8063</v>
      </c>
      <c r="D166" s="23">
        <v>1177198</v>
      </c>
      <c r="E166" s="23">
        <v>2911</v>
      </c>
      <c r="F166" s="23">
        <v>1704420</v>
      </c>
      <c r="G166" s="23">
        <v>0</v>
      </c>
      <c r="H166" s="23">
        <v>543654</v>
      </c>
      <c r="I166" s="23">
        <v>6998</v>
      </c>
      <c r="J166" s="23">
        <v>170000</v>
      </c>
      <c r="K166" s="23">
        <v>4763613</v>
      </c>
      <c r="L166" s="23">
        <v>258120</v>
      </c>
      <c r="M166" s="23">
        <v>8470023</v>
      </c>
      <c r="N166" s="23">
        <v>6744022</v>
      </c>
      <c r="O166" s="26">
        <v>16382217.948999999</v>
      </c>
    </row>
    <row r="167" spans="1:15" ht="15.75" hidden="1" thickBot="1" x14ac:dyDescent="0.3">
      <c r="A167" s="21"/>
      <c r="B167" s="22" t="s">
        <v>29</v>
      </c>
      <c r="C167" s="23">
        <v>8053</v>
      </c>
      <c r="D167" s="23">
        <v>1183330</v>
      </c>
      <c r="E167" s="23">
        <v>1331</v>
      </c>
      <c r="F167" s="23">
        <v>496260</v>
      </c>
      <c r="G167" s="23">
        <v>0</v>
      </c>
      <c r="H167" s="23">
        <v>545106</v>
      </c>
      <c r="I167" s="23">
        <v>7064</v>
      </c>
      <c r="J167" s="23">
        <v>160000</v>
      </c>
      <c r="K167" s="23">
        <v>4763635</v>
      </c>
      <c r="L167" s="23">
        <v>155442</v>
      </c>
      <c r="M167" s="23">
        <v>7156329</v>
      </c>
      <c r="N167" s="23">
        <v>8391574</v>
      </c>
      <c r="O167" s="26">
        <v>15301480.949000001</v>
      </c>
    </row>
    <row r="168" spans="1:15" ht="15.75" hidden="1" thickBot="1" x14ac:dyDescent="0.3">
      <c r="A168" s="21"/>
      <c r="B168" s="22" t="s">
        <v>30</v>
      </c>
      <c r="C168" s="23">
        <v>5685</v>
      </c>
      <c r="D168" s="23">
        <v>830010</v>
      </c>
      <c r="E168" s="23">
        <v>498</v>
      </c>
      <c r="F168" s="23">
        <v>179280</v>
      </c>
      <c r="G168" s="23">
        <v>0</v>
      </c>
      <c r="H168" s="23">
        <v>544712</v>
      </c>
      <c r="I168" s="23">
        <v>7064</v>
      </c>
      <c r="J168" s="23">
        <v>160000</v>
      </c>
      <c r="K168" s="23">
        <v>4763635</v>
      </c>
      <c r="L168" s="23">
        <v>207944</v>
      </c>
      <c r="M168" s="23">
        <v>6538137</v>
      </c>
      <c r="N168" s="23">
        <v>7009464</v>
      </c>
      <c r="O168" s="26">
        <v>14984661.949000001</v>
      </c>
    </row>
    <row r="169" spans="1:15" ht="15.75" hidden="1" thickBot="1" x14ac:dyDescent="0.3">
      <c r="A169" s="21"/>
      <c r="B169" s="22" t="s">
        <v>31</v>
      </c>
      <c r="C169" s="23">
        <v>7386</v>
      </c>
      <c r="D169" s="23">
        <v>1188099</v>
      </c>
      <c r="E169" s="23">
        <v>357</v>
      </c>
      <c r="F169" s="23">
        <v>128520</v>
      </c>
      <c r="G169" s="23">
        <v>0</v>
      </c>
      <c r="H169" s="23">
        <v>544082</v>
      </c>
      <c r="I169" s="23">
        <v>7064</v>
      </c>
      <c r="J169" s="23">
        <v>160000</v>
      </c>
      <c r="K169" s="23">
        <v>4763635</v>
      </c>
      <c r="L169" s="23">
        <v>260520</v>
      </c>
      <c r="M169" s="23">
        <v>6897412</v>
      </c>
      <c r="N169" s="23">
        <v>6889823</v>
      </c>
      <c r="O169" s="26">
        <v>15146758.949000001</v>
      </c>
    </row>
    <row r="170" spans="1:15" ht="15.75" hidden="1" thickBot="1" x14ac:dyDescent="0.3">
      <c r="A170" s="21"/>
      <c r="B170" s="22" t="s">
        <v>32</v>
      </c>
      <c r="C170" s="23">
        <v>6120</v>
      </c>
      <c r="D170" s="23">
        <v>893520</v>
      </c>
      <c r="E170" s="23">
        <v>374</v>
      </c>
      <c r="F170" s="23">
        <v>134640</v>
      </c>
      <c r="G170" s="23">
        <v>0</v>
      </c>
      <c r="H170" s="23">
        <v>527395</v>
      </c>
      <c r="I170" s="23">
        <v>6473</v>
      </c>
      <c r="J170" s="23">
        <v>160000</v>
      </c>
      <c r="K170" s="23">
        <v>4763438</v>
      </c>
      <c r="L170" s="23">
        <v>313698</v>
      </c>
      <c r="M170" s="23">
        <v>6649384</v>
      </c>
      <c r="N170" s="23">
        <v>5740022</v>
      </c>
      <c r="O170" s="26">
        <v>16205900.949000001</v>
      </c>
    </row>
    <row r="171" spans="1:15" ht="15.75" hidden="1" thickBot="1" x14ac:dyDescent="0.3">
      <c r="A171" s="21"/>
      <c r="B171" s="22" t="s">
        <v>33</v>
      </c>
      <c r="C171" s="23">
        <v>5957</v>
      </c>
      <c r="D171" s="23">
        <v>869722</v>
      </c>
      <c r="E171" s="23">
        <v>509</v>
      </c>
      <c r="F171" s="23">
        <v>205020</v>
      </c>
      <c r="G171" s="23">
        <v>0</v>
      </c>
      <c r="H171" s="23">
        <v>527395</v>
      </c>
      <c r="I171" s="23">
        <v>6473</v>
      </c>
      <c r="J171" s="23">
        <v>160000</v>
      </c>
      <c r="K171" s="23">
        <v>4763438</v>
      </c>
      <c r="L171" s="23">
        <v>262090</v>
      </c>
      <c r="M171" s="23">
        <v>6644358</v>
      </c>
      <c r="N171" s="23">
        <v>6106103</v>
      </c>
      <c r="O171" s="26">
        <v>16893935.949000001</v>
      </c>
    </row>
    <row r="172" spans="1:15" ht="15.75" hidden="1" thickBot="1" x14ac:dyDescent="0.3">
      <c r="A172" s="21"/>
      <c r="B172" s="22" t="s">
        <v>34</v>
      </c>
      <c r="C172" s="23">
        <v>6884</v>
      </c>
      <c r="D172" s="23">
        <v>1005064</v>
      </c>
      <c r="E172" s="23">
        <v>1252</v>
      </c>
      <c r="F172" s="23">
        <v>451920</v>
      </c>
      <c r="G172" s="23">
        <v>0</v>
      </c>
      <c r="H172" s="23">
        <v>385000</v>
      </c>
      <c r="I172" s="23">
        <v>0</v>
      </c>
      <c r="J172" s="23">
        <v>160000</v>
      </c>
      <c r="K172" s="23">
        <v>4761280</v>
      </c>
      <c r="L172" s="23">
        <v>314688</v>
      </c>
      <c r="M172" s="23">
        <v>6986952</v>
      </c>
      <c r="N172" s="23">
        <v>6420192</v>
      </c>
      <c r="O172" s="26">
        <v>17551695.949000001</v>
      </c>
    </row>
    <row r="173" spans="1:15" ht="15.75" hidden="1" thickBot="1" x14ac:dyDescent="0.3">
      <c r="A173" s="21"/>
      <c r="B173" s="22" t="s">
        <v>35</v>
      </c>
      <c r="C173" s="23">
        <v>5814</v>
      </c>
      <c r="D173" s="23">
        <v>848844</v>
      </c>
      <c r="E173" s="23">
        <v>1485</v>
      </c>
      <c r="F173" s="23">
        <v>541260</v>
      </c>
      <c r="G173" s="23">
        <v>0</v>
      </c>
      <c r="H173" s="23">
        <v>385000</v>
      </c>
      <c r="I173" s="23">
        <v>0</v>
      </c>
      <c r="J173" s="23">
        <v>160000</v>
      </c>
      <c r="K173" s="23">
        <v>4761280</v>
      </c>
      <c r="L173" s="23">
        <v>262615</v>
      </c>
      <c r="M173" s="23">
        <v>6867999</v>
      </c>
      <c r="N173" s="23">
        <v>7093788</v>
      </c>
      <c r="O173" s="26">
        <v>17416906.949000001</v>
      </c>
    </row>
    <row r="174" spans="1:15" ht="15.75" hidden="1" thickBot="1" x14ac:dyDescent="0.3">
      <c r="A174" s="21"/>
      <c r="B174" s="22" t="s">
        <v>36</v>
      </c>
      <c r="C174" s="23">
        <v>6511</v>
      </c>
      <c r="D174" s="23">
        <v>968418</v>
      </c>
      <c r="E174" s="23">
        <v>2576</v>
      </c>
      <c r="F174" s="23">
        <v>1114494</v>
      </c>
      <c r="G174" s="23">
        <v>3731</v>
      </c>
      <c r="H174" s="23">
        <v>385000</v>
      </c>
      <c r="I174" s="23">
        <v>0</v>
      </c>
      <c r="J174" s="23">
        <v>160000</v>
      </c>
      <c r="K174" s="23">
        <v>4763295</v>
      </c>
      <c r="L174" s="23">
        <v>157881</v>
      </c>
      <c r="M174" s="23">
        <v>7461819</v>
      </c>
      <c r="N174" s="23">
        <v>9029611</v>
      </c>
      <c r="O174" s="26">
        <v>15940114.949000001</v>
      </c>
    </row>
    <row r="175" spans="1:15" ht="15.75" hidden="1" thickBot="1" x14ac:dyDescent="0.3">
      <c r="A175" s="21"/>
      <c r="B175" s="22" t="s">
        <v>37</v>
      </c>
      <c r="C175" s="23">
        <v>8295</v>
      </c>
      <c r="D175" s="23">
        <v>1211070</v>
      </c>
      <c r="E175" s="23">
        <v>3040</v>
      </c>
      <c r="F175" s="23">
        <v>1228353</v>
      </c>
      <c r="G175" s="23">
        <v>3731</v>
      </c>
      <c r="H175" s="23">
        <v>385000</v>
      </c>
      <c r="I175" s="23">
        <v>0</v>
      </c>
      <c r="J175" s="23">
        <v>160000</v>
      </c>
      <c r="K175" s="23">
        <v>4763295</v>
      </c>
      <c r="L175" s="23">
        <v>158088</v>
      </c>
      <c r="M175" s="23">
        <v>7818537</v>
      </c>
      <c r="N175" s="23">
        <v>8005284</v>
      </c>
      <c r="O175" s="26">
        <v>15844367.949000001</v>
      </c>
    </row>
    <row r="176" spans="1:15" ht="15.75" hidden="1" thickBot="1" x14ac:dyDescent="0.3">
      <c r="A176" s="21">
        <v>2017</v>
      </c>
      <c r="B176" s="22" t="s">
        <v>38</v>
      </c>
      <c r="C176" s="46">
        <f>SUM([3]inicio:final!E175)</f>
        <v>0</v>
      </c>
      <c r="D176" s="23">
        <f>SUM([3]inicio:final!G175)</f>
        <v>0</v>
      </c>
      <c r="E176" s="46">
        <f>SUM([3]inicio:final!J175)</f>
        <v>0</v>
      </c>
      <c r="F176" s="23">
        <f>SUM([3]inicio:final!L175)</f>
        <v>0</v>
      </c>
      <c r="G176" s="23">
        <f>SUM([3]inicio:final!M175)</f>
        <v>0</v>
      </c>
      <c r="H176" s="23">
        <f>SUM([4]inicio:final!N175)</f>
        <v>308000</v>
      </c>
      <c r="I176" s="23">
        <f>SUM([3]inicio:final!O175)</f>
        <v>0</v>
      </c>
      <c r="J176" s="23">
        <f>SUM([3]inicio:final!P175)</f>
        <v>0</v>
      </c>
      <c r="K176" s="23">
        <f>SUM([3]inicio:final!Q175)</f>
        <v>0</v>
      </c>
      <c r="L176" s="23">
        <f>SUM([4]inicio:final!R175)</f>
        <v>526203</v>
      </c>
      <c r="M176" s="23">
        <f>SUM([4]inicio:final!S175)</f>
        <v>7136065</v>
      </c>
      <c r="N176" s="23">
        <f>SUM([4]inicio:final!V175)</f>
        <v>5903815</v>
      </c>
      <c r="O176" s="26">
        <f>SUM([3]inicio:final!W175)</f>
        <v>0</v>
      </c>
    </row>
    <row r="177" spans="1:15" ht="15.75" hidden="1" thickBot="1" x14ac:dyDescent="0.3">
      <c r="A177" s="21"/>
      <c r="B177" s="22" t="s">
        <v>27</v>
      </c>
      <c r="C177" s="46">
        <f>SUM([3]inicio:final!E176)</f>
        <v>7443</v>
      </c>
      <c r="D177" s="23">
        <f>SUM([3]inicio:final!G176)</f>
        <v>1086678</v>
      </c>
      <c r="E177" s="46">
        <f>SUM([3]inicio:final!J176)</f>
        <v>1713</v>
      </c>
      <c r="F177" s="23">
        <f>SUM([3]inicio:final!L176)</f>
        <v>971655</v>
      </c>
      <c r="G177" s="23">
        <f>SUM([3]inicio:final!M176)</f>
        <v>179088</v>
      </c>
      <c r="H177" s="23">
        <f>SUM([4]inicio:final!N176)</f>
        <v>308000</v>
      </c>
      <c r="I177" s="23">
        <f>SUM([3]inicio:final!O176)</f>
        <v>0</v>
      </c>
      <c r="J177" s="23">
        <f>SUM([3]inicio:final!P176)</f>
        <v>80000</v>
      </c>
      <c r="K177" s="23">
        <f>SUM([3]inicio:final!Q176)</f>
        <v>3667680</v>
      </c>
      <c r="L177" s="23">
        <f>SUM([4]inicio:final!R176)</f>
        <v>316556</v>
      </c>
      <c r="M177" s="23">
        <f>SUM([4]inicio:final!S176)</f>
        <v>6609657</v>
      </c>
      <c r="N177" s="23">
        <f>SUM([4]inicio:final!V176)</f>
        <v>6562077</v>
      </c>
      <c r="O177" s="26">
        <f>SUM([3]inicio:final!W176)</f>
        <v>11773233.770000001</v>
      </c>
    </row>
    <row r="178" spans="1:15" ht="15.75" hidden="1" thickBot="1" x14ac:dyDescent="0.3">
      <c r="A178" s="21"/>
      <c r="B178" s="22" t="s">
        <v>28</v>
      </c>
      <c r="C178" s="46">
        <f>SUM([3]inicio:final!E177)</f>
        <v>7377</v>
      </c>
      <c r="D178" s="23">
        <f>SUM([3]inicio:final!G177)</f>
        <v>1077042</v>
      </c>
      <c r="E178" s="46">
        <f>SUM([3]inicio:final!J177)</f>
        <v>1594</v>
      </c>
      <c r="F178" s="23">
        <f>SUM([3]inicio:final!L177)</f>
        <v>891046</v>
      </c>
      <c r="G178" s="23">
        <f>SUM([3]inicio:final!M177)</f>
        <v>179088</v>
      </c>
      <c r="H178" s="23">
        <f>SUM([4]inicio:final!N177)</f>
        <v>308000</v>
      </c>
      <c r="I178" s="23">
        <f>SUM([3]inicio:final!O177)</f>
        <v>0</v>
      </c>
      <c r="J178" s="23">
        <f>SUM([3]inicio:final!P177)</f>
        <v>80000</v>
      </c>
      <c r="K178" s="23">
        <f>SUM([3]inicio:final!Q177)</f>
        <v>3667680</v>
      </c>
      <c r="L178" s="23">
        <f>SUM([4]inicio:final!R177)</f>
        <v>211776</v>
      </c>
      <c r="M178" s="23">
        <f>SUM([4]inicio:final!S177)</f>
        <v>6414632</v>
      </c>
      <c r="N178" s="23">
        <f>SUM([4]inicio:final!V177)</f>
        <v>6486390</v>
      </c>
      <c r="O178" s="26">
        <f>SUM([3]inicio:final!W177)</f>
        <v>11701475.770000001</v>
      </c>
    </row>
    <row r="179" spans="1:15" ht="15.75" hidden="1" thickBot="1" x14ac:dyDescent="0.3">
      <c r="A179" s="21"/>
      <c r="B179" s="22" t="s">
        <v>29</v>
      </c>
      <c r="C179" s="46">
        <f>SUM([3]inicio:final!E178)</f>
        <v>4820</v>
      </c>
      <c r="D179" s="23">
        <f>SUM([3]inicio:final!G178)</f>
        <v>703720</v>
      </c>
      <c r="E179" s="46">
        <f>SUM([3]inicio:final!J178)</f>
        <v>1221</v>
      </c>
      <c r="F179" s="23">
        <f>SUM([3]inicio:final!L178)</f>
        <v>682539</v>
      </c>
      <c r="G179" s="23">
        <f>SUM([3]inicio:final!M178)</f>
        <v>179088</v>
      </c>
      <c r="H179" s="23">
        <f>SUM([4]inicio:final!N178)</f>
        <v>308000</v>
      </c>
      <c r="I179" s="23">
        <f>SUM([3]inicio:final!O178)</f>
        <v>0</v>
      </c>
      <c r="J179" s="23">
        <f>SUM([3]inicio:final!P178)</f>
        <v>80000</v>
      </c>
      <c r="K179" s="23">
        <f>SUM([3]inicio:final!Q178)</f>
        <v>3667680</v>
      </c>
      <c r="L179" s="23">
        <f>SUM([4]inicio:final!R178)</f>
        <v>212492</v>
      </c>
      <c r="M179" s="23">
        <f>SUM([4]inicio:final!S178)</f>
        <v>5833519</v>
      </c>
      <c r="N179" s="23">
        <f>SUM([4]inicio:final!V178)</f>
        <v>5538125</v>
      </c>
      <c r="O179" s="26">
        <f>SUM([3]inicio:final!W178)</f>
        <v>11996829.770000001</v>
      </c>
    </row>
    <row r="180" spans="1:15" ht="15.75" hidden="1" thickBot="1" x14ac:dyDescent="0.3">
      <c r="A180" s="21"/>
      <c r="B180" s="22" t="s">
        <v>30</v>
      </c>
      <c r="C180" s="46">
        <f>SUM([3]inicio:final!E179)</f>
        <v>5685</v>
      </c>
      <c r="D180" s="23">
        <f>SUM([3]inicio:final!G179)</f>
        <v>830010</v>
      </c>
      <c r="E180" s="46">
        <f>SUM([3]inicio:final!J179)</f>
        <v>615</v>
      </c>
      <c r="F180" s="23">
        <f>SUM([3]inicio:final!L179)</f>
        <v>343785</v>
      </c>
      <c r="G180" s="23">
        <f>SUM([3]inicio:final!M179)</f>
        <v>179088</v>
      </c>
      <c r="H180" s="23">
        <f>SUM([4]inicio:final!N179)</f>
        <v>308000</v>
      </c>
      <c r="I180" s="23">
        <f>SUM([3]inicio:final!O179)</f>
        <v>0</v>
      </c>
      <c r="J180" s="23">
        <f>SUM([3]inicio:final!P179)</f>
        <v>80000</v>
      </c>
      <c r="K180" s="23">
        <f>SUM([3]inicio:final!Q179)</f>
        <v>3667680</v>
      </c>
      <c r="L180" s="23">
        <f>SUM([4]inicio:final!R179)</f>
        <v>213048</v>
      </c>
      <c r="M180" s="23">
        <f>SUM([4]inicio:final!S179)</f>
        <v>5621611</v>
      </c>
      <c r="N180" s="23">
        <f>SUM([4]inicio:final!V179)</f>
        <v>4770988</v>
      </c>
      <c r="O180" s="26">
        <f>SUM([3]inicio:final!W179)</f>
        <v>12847452.770000001</v>
      </c>
    </row>
    <row r="181" spans="1:15" ht="15.75" hidden="1" thickBot="1" x14ac:dyDescent="0.3">
      <c r="A181" s="21"/>
      <c r="B181" s="22" t="s">
        <v>31</v>
      </c>
      <c r="C181" s="46">
        <f>SUM([3]inicio:final!E180)</f>
        <v>5801</v>
      </c>
      <c r="D181" s="23">
        <f>SUM([3]inicio:final!G180)</f>
        <v>846946</v>
      </c>
      <c r="E181" s="46">
        <f>SUM([3]inicio:final!J180)</f>
        <v>410</v>
      </c>
      <c r="F181" s="23">
        <f>SUM([3]inicio:final!L180)</f>
        <v>229190</v>
      </c>
      <c r="G181" s="23">
        <f>SUM([3]inicio:final!M180)</f>
        <v>179088</v>
      </c>
      <c r="H181" s="23">
        <f>SUM([4]inicio:final!N180)</f>
        <v>308000</v>
      </c>
      <c r="I181" s="23">
        <f>SUM([3]inicio:final!O180)</f>
        <v>0</v>
      </c>
      <c r="J181" s="23">
        <f>SUM([3]inicio:final!P180)</f>
        <v>80000</v>
      </c>
      <c r="K181" s="23">
        <f>SUM([3]inicio:final!Q180)</f>
        <v>3667680</v>
      </c>
      <c r="L181" s="23">
        <f>SUM([4]inicio:final!R180)</f>
        <v>266650</v>
      </c>
      <c r="M181" s="23">
        <f>SUM([4]inicio:final!S180)</f>
        <v>5577554</v>
      </c>
      <c r="N181" s="23">
        <f>SUM([4]inicio:final!V180)</f>
        <v>5254597</v>
      </c>
      <c r="O181" s="26">
        <f>SUM([3]inicio:final!W180)</f>
        <v>13170409.770000001</v>
      </c>
    </row>
    <row r="182" spans="1:15" ht="15.75" hidden="1" thickBot="1" x14ac:dyDescent="0.3">
      <c r="A182" s="21"/>
      <c r="B182" s="22" t="s">
        <v>32</v>
      </c>
      <c r="C182" s="46">
        <f>SUM([3]inicio:final!E181)</f>
        <v>5936</v>
      </c>
      <c r="D182" s="23">
        <f>SUM([3]inicio:final!G181)</f>
        <v>866656</v>
      </c>
      <c r="E182" s="46">
        <f>SUM([3]inicio:final!J181)</f>
        <v>341</v>
      </c>
      <c r="F182" s="23">
        <f>SUM([3]inicio:final!L181)</f>
        <v>190619</v>
      </c>
      <c r="G182" s="23">
        <f>SUM([3]inicio:final!M181)</f>
        <v>179088</v>
      </c>
      <c r="H182" s="23">
        <f>SUM([4]inicio:final!N181)</f>
        <v>308000</v>
      </c>
      <c r="I182" s="23">
        <f>SUM([3]inicio:final!O181)</f>
        <v>0</v>
      </c>
      <c r="J182" s="23">
        <f>SUM([3]inicio:final!P181)</f>
        <v>70000</v>
      </c>
      <c r="K182" s="23">
        <f>SUM([3]inicio:final!Q181)</f>
        <v>3667680</v>
      </c>
      <c r="L182" s="23">
        <f>SUM([4]inicio:final!R181)</f>
        <v>159585</v>
      </c>
      <c r="M182" s="23">
        <f>SUM([4]inicio:final!S181)</f>
        <v>5441628</v>
      </c>
      <c r="N182" s="23">
        <f>SUM([4]inicio:final!V181)</f>
        <v>5151848</v>
      </c>
      <c r="O182" s="26">
        <f>SUM([3]inicio:final!W181)</f>
        <v>13460189.770000001</v>
      </c>
    </row>
    <row r="183" spans="1:15" ht="15.75" hidden="1" thickBot="1" x14ac:dyDescent="0.3">
      <c r="A183" s="21"/>
      <c r="B183" s="22" t="s">
        <v>33</v>
      </c>
      <c r="C183" s="46">
        <f>SUM([3]inicio:final!E182)</f>
        <v>6934</v>
      </c>
      <c r="D183" s="23">
        <f>SUM([3]inicio:final!G182)</f>
        <v>1012364</v>
      </c>
      <c r="E183" s="46">
        <f>SUM([3]inicio:final!J182)</f>
        <v>360</v>
      </c>
      <c r="F183" s="23">
        <f>SUM([3]inicio:final!L182)</f>
        <v>201240</v>
      </c>
      <c r="G183" s="23">
        <f>SUM([3]inicio:final!M182)</f>
        <v>179088</v>
      </c>
      <c r="H183" s="23">
        <f>SUM([4]inicio:final!N182)</f>
        <v>351164</v>
      </c>
      <c r="I183" s="23">
        <f>SUM([3]inicio:final!O182)</f>
        <v>0</v>
      </c>
      <c r="J183" s="23">
        <f>SUM([3]inicio:final!P182)</f>
        <v>70000</v>
      </c>
      <c r="K183" s="23">
        <f>SUM([3]inicio:final!Q182)</f>
        <v>3667680</v>
      </c>
      <c r="L183" s="23">
        <f>SUM([4]inicio:final!R182)</f>
        <v>106416</v>
      </c>
      <c r="M183" s="23">
        <f>SUM([4]inicio:final!S182)</f>
        <v>5587952</v>
      </c>
      <c r="N183" s="23">
        <f>SUM([4]inicio:final!V182)</f>
        <v>5168737</v>
      </c>
      <c r="O183" s="26">
        <f>SUM([3]inicio:final!W182)</f>
        <v>13879404.770000001</v>
      </c>
    </row>
    <row r="184" spans="1:15" ht="15.75" hidden="1" thickBot="1" x14ac:dyDescent="0.3">
      <c r="B184" s="22" t="s">
        <v>34</v>
      </c>
      <c r="C184" s="46">
        <f>SUM([3]inicio:final!E183)</f>
        <v>7706</v>
      </c>
      <c r="D184" s="23">
        <f>SUM([3]inicio:final!G183)</f>
        <v>1125076</v>
      </c>
      <c r="E184" s="46">
        <f>SUM([3]inicio:final!J183)</f>
        <v>578</v>
      </c>
      <c r="F184" s="23">
        <f>SUM([3]inicio:final!L183)</f>
        <v>323102</v>
      </c>
      <c r="G184" s="23">
        <f>SUM([3]inicio:final!M183)</f>
        <v>179088</v>
      </c>
      <c r="H184" s="23">
        <f>SUM([4]inicio:final!N183)</f>
        <v>343871</v>
      </c>
      <c r="I184" s="23">
        <f>SUM([3]inicio:final!O183)</f>
        <v>0</v>
      </c>
      <c r="J184" s="23">
        <f>SUM([3]inicio:final!P183)</f>
        <v>70000</v>
      </c>
      <c r="K184" s="23">
        <f>SUM([3]inicio:final!Q183)</f>
        <v>3667680</v>
      </c>
      <c r="L184" s="23">
        <f>SUM([4]inicio:final!R183)</f>
        <v>159942</v>
      </c>
      <c r="M184" s="23">
        <f>SUM([4]inicio:final!S183)</f>
        <v>5868759</v>
      </c>
      <c r="N184" s="23">
        <f>SUM([4]inicio:final!V183)</f>
        <v>6131656</v>
      </c>
      <c r="O184" s="26">
        <f>SUM([3]inicio:final!W183)</f>
        <v>13616507.770000001</v>
      </c>
    </row>
    <row r="185" spans="1:15" ht="15.75" hidden="1" thickBot="1" x14ac:dyDescent="0.3">
      <c r="B185" s="22" t="s">
        <v>35</v>
      </c>
      <c r="C185" s="46">
        <f>SUM([3]inicio:final!E184)</f>
        <v>6149</v>
      </c>
      <c r="D185" s="23">
        <f>SUM([3]inicio:final!G184)</f>
        <v>897754</v>
      </c>
      <c r="E185" s="46">
        <f>SUM([3]inicio:final!J184)</f>
        <v>590</v>
      </c>
      <c r="F185" s="23">
        <f>SUM([3]inicio:final!L184)</f>
        <v>329810</v>
      </c>
      <c r="G185" s="23">
        <f>SUM([3]inicio:final!M184)</f>
        <v>179088</v>
      </c>
      <c r="H185" s="23">
        <f>SUM([4]inicio:final!N184)</f>
        <v>343570</v>
      </c>
      <c r="I185" s="23">
        <f>SUM([3]inicio:final!O184)</f>
        <v>123409</v>
      </c>
      <c r="J185" s="23">
        <f>SUM([3]inicio:final!P184)</f>
        <v>70000</v>
      </c>
      <c r="K185" s="23">
        <f>SUM([3]inicio:final!Q184)</f>
        <v>3667680</v>
      </c>
      <c r="L185" s="23">
        <f>SUM([4]inicio:final!R184)</f>
        <v>213080</v>
      </c>
      <c r="M185" s="23">
        <f>SUM([4]inicio:final!S184)</f>
        <v>5824391</v>
      </c>
      <c r="N185" s="23">
        <f>SUM([4]inicio:final!V184)</f>
        <v>5286334</v>
      </c>
      <c r="O185" s="26">
        <f>SUM([3]inicio:final!W184)</f>
        <v>14154564.770000001</v>
      </c>
    </row>
    <row r="186" spans="1:15" ht="15.75" hidden="1" thickBot="1" x14ac:dyDescent="0.3">
      <c r="B186" s="22" t="s">
        <v>36</v>
      </c>
      <c r="C186" s="46">
        <f>SUM([3]inicio:final!E185)</f>
        <v>7425</v>
      </c>
      <c r="D186" s="23">
        <f>SUM([3]inicio:final!G185)</f>
        <v>1084050</v>
      </c>
      <c r="E186" s="46">
        <f>SUM([3]inicio:final!J185)</f>
        <v>1235</v>
      </c>
      <c r="F186" s="23">
        <f>SUM([3]inicio:final!L185)</f>
        <v>693785</v>
      </c>
      <c r="G186" s="23">
        <f>SUM([3]inicio:final!M185)</f>
        <v>179088</v>
      </c>
      <c r="H186" s="23">
        <f>SUM([4]inicio:final!N185)</f>
        <v>344817</v>
      </c>
      <c r="I186" s="23">
        <f>SUM([3]inicio:final!O185)</f>
        <v>0</v>
      </c>
      <c r="J186" s="23">
        <f>SUM([3]inicio:final!P185)</f>
        <v>70000</v>
      </c>
      <c r="K186" s="23">
        <f>SUM([3]inicio:final!Q185)</f>
        <v>3667680</v>
      </c>
      <c r="L186" s="23">
        <f>SUM([4]inicio:final!R185)</f>
        <v>185062</v>
      </c>
      <c r="M186" s="23">
        <f>SUM([4]inicio:final!S185)</f>
        <v>6224482</v>
      </c>
      <c r="N186" s="23">
        <f>SUM([4]inicio:final!V185)</f>
        <v>7452952</v>
      </c>
      <c r="O186" s="26">
        <f>SUM([3]inicio:final!W185)</f>
        <v>12926094.770000001</v>
      </c>
    </row>
    <row r="187" spans="1:15" ht="15.75" hidden="1" thickBot="1" x14ac:dyDescent="0.3">
      <c r="B187" s="22" t="s">
        <v>37</v>
      </c>
      <c r="C187" s="46">
        <f>SUM([3]inicio:final!E186)</f>
        <v>6899</v>
      </c>
      <c r="D187" s="23">
        <f>SUM([3]inicio:final!G186)</f>
        <v>1007254</v>
      </c>
      <c r="E187" s="46">
        <f>SUM([3]inicio:final!J186)</f>
        <v>1676</v>
      </c>
      <c r="F187" s="23">
        <f>SUM([3]inicio:final!L186)</f>
        <v>940304</v>
      </c>
      <c r="G187" s="23">
        <f>SUM([3]inicio:final!M186)</f>
        <v>179088</v>
      </c>
      <c r="H187" s="23">
        <f>SUM([4]inicio:final!N186)</f>
        <v>345677</v>
      </c>
      <c r="I187" s="23">
        <f>SUM([3]inicio:final!O186)</f>
        <v>0</v>
      </c>
      <c r="J187" s="23">
        <f>SUM([3]inicio:final!P186)</f>
        <v>70000</v>
      </c>
      <c r="K187" s="23">
        <f>SUM([3]inicio:final!Q186)</f>
        <v>3667680</v>
      </c>
      <c r="L187" s="23">
        <f>SUM([4]inicio:final!R186)</f>
        <v>239088</v>
      </c>
      <c r="M187" s="23">
        <f>SUM([4]inicio:final!S186)</f>
        <v>6449091</v>
      </c>
      <c r="N187" s="23">
        <f>SUM([4]inicio:final!V186)</f>
        <v>4887665</v>
      </c>
      <c r="O187" s="26">
        <f>SUM([3]inicio:final!W186)</f>
        <v>14487520.770000001</v>
      </c>
    </row>
    <row r="188" spans="1:15" ht="15.75" hidden="1" thickBot="1" x14ac:dyDescent="0.3">
      <c r="A188">
        <v>2018</v>
      </c>
      <c r="B188" s="22" t="s">
        <v>38</v>
      </c>
      <c r="C188" s="46">
        <f>SUM([3]inicio:final!E187)</f>
        <v>8383</v>
      </c>
      <c r="D188" s="23">
        <f>SUM([3]inicio:final!G187)</f>
        <v>1223918</v>
      </c>
      <c r="E188" s="46">
        <f>SUM([3]inicio:final!J187)</f>
        <v>1899</v>
      </c>
      <c r="F188" s="23">
        <f>SUM([3]inicio:final!L187)</f>
        <v>1078461</v>
      </c>
      <c r="G188" s="23">
        <f>SUM([3]inicio:final!M187)</f>
        <v>179088</v>
      </c>
      <c r="H188" s="23">
        <f>SUM([4]inicio:final!N187)</f>
        <v>346021</v>
      </c>
      <c r="I188" s="23">
        <f>SUM([3]inicio:final!O187)</f>
        <v>0</v>
      </c>
      <c r="J188" s="23">
        <f>SUM([3]inicio:final!P187)</f>
        <v>70000</v>
      </c>
      <c r="K188" s="23">
        <f>SUM([3]inicio:final!Q187)</f>
        <v>3750912</v>
      </c>
      <c r="L188" s="23">
        <f>SUM([4]inicio:final!R187)</f>
        <v>239679</v>
      </c>
      <c r="M188" s="23">
        <f>SUM([4]inicio:final!S187)</f>
        <v>6888079</v>
      </c>
      <c r="N188" s="23">
        <f>SUM([4]inicio:final!V187)</f>
        <v>8084242</v>
      </c>
      <c r="O188" s="26">
        <f>SUM([3]inicio:final!W187)</f>
        <v>13291357.770000001</v>
      </c>
    </row>
    <row r="189" spans="1:15" ht="15.75" hidden="1" thickBot="1" x14ac:dyDescent="0.3">
      <c r="B189" s="22" t="s">
        <v>27</v>
      </c>
      <c r="C189" s="46">
        <f>SUM([3]inicio:final!E188)</f>
        <v>7012</v>
      </c>
      <c r="D189" s="23">
        <f>SUM([3]inicio:final!G188)</f>
        <v>1023752</v>
      </c>
      <c r="E189" s="46">
        <f>SUM([3]inicio:final!J188)</f>
        <v>1288</v>
      </c>
      <c r="F189" s="23">
        <f>SUM([3]inicio:final!L188)</f>
        <v>719992</v>
      </c>
      <c r="G189" s="23">
        <f>SUM([3]inicio:final!M188)</f>
        <v>179088</v>
      </c>
      <c r="H189" s="23">
        <f>SUM([4]inicio:final!N188)</f>
        <v>347311</v>
      </c>
      <c r="I189" s="23">
        <f>SUM([3]inicio:final!O188)</f>
        <v>0</v>
      </c>
      <c r="J189" s="23">
        <f>SUM([3]inicio:final!P188)</f>
        <v>70000</v>
      </c>
      <c r="K189" s="23">
        <f>SUM([3]inicio:final!Q188)</f>
        <v>3750912</v>
      </c>
      <c r="L189" s="23">
        <f>SUM([4]inicio:final!R188)</f>
        <v>347808</v>
      </c>
      <c r="M189" s="23">
        <f>SUM([4]inicio:final!S188)</f>
        <v>6438863</v>
      </c>
      <c r="N189" s="23">
        <f>SUM([4]inicio:final!V188)</f>
        <v>5430344</v>
      </c>
      <c r="O189" s="26">
        <f>SUM([3]inicio:final!W188)</f>
        <v>14299876.770000001</v>
      </c>
    </row>
    <row r="190" spans="1:15" ht="15.75" hidden="1" thickBot="1" x14ac:dyDescent="0.3">
      <c r="B190" s="22" t="s">
        <v>28</v>
      </c>
      <c r="C190" s="46">
        <f>SUM([3]inicio:final!E189)</f>
        <v>7489</v>
      </c>
      <c r="D190" s="23">
        <f>SUM([3]inicio:final!G189)</f>
        <v>1093394</v>
      </c>
      <c r="E190" s="46">
        <f>SUM([3]inicio:final!J189)</f>
        <v>1498</v>
      </c>
      <c r="F190" s="23">
        <f>SUM([3]inicio:final!L189)</f>
        <v>839902</v>
      </c>
      <c r="G190" s="23">
        <f>SUM([3]inicio:final!M189)</f>
        <v>179088</v>
      </c>
      <c r="H190" s="23">
        <f>SUM([4]inicio:final!N189)</f>
        <v>347870</v>
      </c>
      <c r="I190" s="23">
        <f>SUM([3]inicio:final!O189)</f>
        <v>0</v>
      </c>
      <c r="J190" s="23">
        <f>SUM([3]inicio:final!P189)</f>
        <v>70000</v>
      </c>
      <c r="K190" s="23">
        <f>SUM([3]inicio:final!Q189)</f>
        <v>3750912</v>
      </c>
      <c r="L190" s="23">
        <f>SUM([4]inicio:final!R189)</f>
        <v>368716</v>
      </c>
      <c r="M190" s="23">
        <f>SUM([4]inicio:final!S189)</f>
        <v>6649882</v>
      </c>
      <c r="N190" s="23">
        <f>SUM([4]inicio:final!V189)</f>
        <v>6083293</v>
      </c>
      <c r="O190" s="26">
        <f>SUM([3]inicio:final!W189)</f>
        <v>14866465.770000001</v>
      </c>
    </row>
    <row r="191" spans="1:15" ht="15.75" hidden="1" thickBot="1" x14ac:dyDescent="0.3">
      <c r="B191" s="22" t="s">
        <v>29</v>
      </c>
      <c r="C191" s="46">
        <f>SUM([3]inicio:final!E190)</f>
        <v>6673</v>
      </c>
      <c r="D191" s="23">
        <f>SUM([3]inicio:final!G190)</f>
        <v>974258</v>
      </c>
      <c r="E191" s="46">
        <f>SUM([3]inicio:final!J190)</f>
        <v>1387</v>
      </c>
      <c r="F191" s="23">
        <f>SUM([3]inicio:final!L190)</f>
        <v>814573</v>
      </c>
      <c r="G191" s="23">
        <f>SUM([3]inicio:final!M190)</f>
        <v>179088</v>
      </c>
      <c r="H191" s="23">
        <f>SUM([4]inicio:final!N190)</f>
        <v>348343</v>
      </c>
      <c r="I191" s="23">
        <f>SUM([3]inicio:final!O190)</f>
        <v>0</v>
      </c>
      <c r="J191" s="23">
        <f>SUM([3]inicio:final!P190)</f>
        <v>70000</v>
      </c>
      <c r="K191" s="23">
        <f>SUM([3]inicio:final!Q190)</f>
        <v>3750912</v>
      </c>
      <c r="L191" s="23">
        <f>SUM([4]inicio:final!R190)</f>
        <v>423762</v>
      </c>
      <c r="M191" s="23">
        <f>SUM([4]inicio:final!S190)</f>
        <v>6560936</v>
      </c>
      <c r="N191" s="23">
        <f>SUM([4]inicio:final!V190)</f>
        <v>4879984</v>
      </c>
      <c r="O191" s="26">
        <f>SUM([3]inicio:final!W190)</f>
        <v>16547417.770000001</v>
      </c>
    </row>
    <row r="192" spans="1:15" ht="15.75" hidden="1" thickBot="1" x14ac:dyDescent="0.3">
      <c r="B192" s="22" t="s">
        <v>30</v>
      </c>
      <c r="C192" s="46">
        <f>SUM([3]inicio:final!E191)</f>
        <v>6995</v>
      </c>
      <c r="D192" s="23">
        <f>SUM([3]inicio:final!G191)</f>
        <v>1021270</v>
      </c>
      <c r="E192" s="46">
        <f>SUM([3]inicio:final!J191)</f>
        <v>1315</v>
      </c>
      <c r="F192" s="23">
        <f>SUM([3]inicio:final!L191)</f>
        <v>750565</v>
      </c>
      <c r="G192" s="23">
        <f>SUM([3]inicio:final!M191)</f>
        <v>179088</v>
      </c>
      <c r="H192" s="23">
        <f>SUM([4]inicio:final!N191)</f>
        <v>349289</v>
      </c>
      <c r="I192" s="23">
        <f>SUM([3]inicio:final!O191)</f>
        <v>66666</v>
      </c>
      <c r="J192" s="23">
        <f>SUM([3]inicio:final!P191)</f>
        <v>70000</v>
      </c>
      <c r="K192" s="23">
        <f>SUM([3]inicio:final!Q191)</f>
        <v>3750912</v>
      </c>
      <c r="L192" s="23">
        <f>SUM([4]inicio:final!R191)</f>
        <v>271590</v>
      </c>
      <c r="M192" s="23">
        <f>SUM([4]inicio:final!S191)</f>
        <v>6459380</v>
      </c>
      <c r="N192" s="23">
        <f>SUM([4]inicio:final!V191)</f>
        <v>6905459</v>
      </c>
      <c r="O192" s="26">
        <f>SUM([3]inicio:final!W191)</f>
        <v>16101338.770000001</v>
      </c>
    </row>
    <row r="193" spans="1:15" ht="15.75" hidden="1" thickBot="1" x14ac:dyDescent="0.3">
      <c r="B193" s="22" t="s">
        <v>31</v>
      </c>
      <c r="C193" s="46">
        <f>SUM([3]inicio:final!E192)</f>
        <v>5381</v>
      </c>
      <c r="D193" s="23">
        <f>SUM([3]inicio:final!G192)</f>
        <v>785626</v>
      </c>
      <c r="E193" s="46">
        <f>SUM([3]inicio:final!J192)</f>
        <v>351</v>
      </c>
      <c r="F193" s="23">
        <f>SUM([3]inicio:final!L192)</f>
        <v>196209</v>
      </c>
      <c r="G193" s="23">
        <f>SUM([3]inicio:final!M192)</f>
        <v>179088</v>
      </c>
      <c r="H193" s="23">
        <f>SUM([4]inicio:final!N192)</f>
        <v>350364</v>
      </c>
      <c r="I193" s="23">
        <f>SUM([3]inicio:final!O192)</f>
        <v>0</v>
      </c>
      <c r="J193" s="23">
        <f>SUM([3]inicio:final!P192)</f>
        <v>50000</v>
      </c>
      <c r="K193" s="23">
        <f>SUM([3]inicio:final!Q192)</f>
        <v>3750912</v>
      </c>
      <c r="L193" s="23">
        <f>SUM([4]inicio:final!R192)</f>
        <v>272025</v>
      </c>
      <c r="M193" s="23">
        <f>SUM([4]inicio:final!S192)</f>
        <v>5584224</v>
      </c>
      <c r="N193" s="23">
        <f>SUM([4]inicio:final!V192)</f>
        <v>5834668</v>
      </c>
      <c r="O193" s="26">
        <f>SUM([3]inicio:final!W192)</f>
        <v>15905299.770000001</v>
      </c>
    </row>
    <row r="194" spans="1:15" ht="15.75" hidden="1" thickBot="1" x14ac:dyDescent="0.3">
      <c r="B194" s="22" t="s">
        <v>32</v>
      </c>
      <c r="C194" s="46">
        <f>SUM([3]inicio:final!E193)</f>
        <v>4995</v>
      </c>
      <c r="D194" s="23">
        <f>SUM([3]inicio:final!G193)</f>
        <v>729270</v>
      </c>
      <c r="E194" s="46">
        <f>SUM([3]inicio:final!J193)</f>
        <v>291</v>
      </c>
      <c r="F194" s="23">
        <f>SUM([3]inicio:final!L193)</f>
        <v>162669</v>
      </c>
      <c r="G194" s="23">
        <f>SUM([3]inicio:final!M193)</f>
        <v>179088</v>
      </c>
      <c r="H194" s="23">
        <f>SUM([4]inicio:final!N193)</f>
        <v>350923</v>
      </c>
      <c r="I194" s="23">
        <f>SUM([3]inicio:final!O193)</f>
        <v>0</v>
      </c>
      <c r="J194" s="23">
        <f>SUM([3]inicio:final!P193)</f>
        <v>20000</v>
      </c>
      <c r="K194" s="23">
        <f>SUM([3]inicio:final!Q193)</f>
        <v>3750912</v>
      </c>
      <c r="L194" s="23">
        <f>SUM([4]inicio:final!R193)</f>
        <v>218300</v>
      </c>
      <c r="M194" s="23">
        <f>SUM([4]inicio:final!S193)</f>
        <v>5411162</v>
      </c>
      <c r="N194" s="23">
        <f>SUM([4]inicio:final!V193)</f>
        <v>3722881</v>
      </c>
      <c r="O194" s="26">
        <f>SUM([3]inicio:final!W193)</f>
        <v>17648155.770000003</v>
      </c>
    </row>
    <row r="195" spans="1:15" ht="15.75" hidden="1" thickBot="1" x14ac:dyDescent="0.3">
      <c r="B195" s="22" t="s">
        <v>33</v>
      </c>
      <c r="C195" s="46">
        <f>SUM([3]inicio:final!E194)</f>
        <v>5788</v>
      </c>
      <c r="D195" s="23">
        <f>SUM([3]inicio:final!G194)</f>
        <v>845048</v>
      </c>
      <c r="E195" s="46">
        <f>SUM([3]inicio:final!J194)</f>
        <v>302</v>
      </c>
      <c r="F195" s="23">
        <f>SUM([3]inicio:final!L194)</f>
        <v>168818</v>
      </c>
      <c r="G195" s="23">
        <f>SUM([3]inicio:final!M194)</f>
        <v>179088</v>
      </c>
      <c r="H195" s="23">
        <f>SUM([4]inicio:final!N194)</f>
        <v>351998</v>
      </c>
      <c r="I195" s="23">
        <f>SUM([3]inicio:final!O194)</f>
        <v>0</v>
      </c>
      <c r="J195" s="23">
        <f>SUM([3]inicio:final!P194)</f>
        <v>19032</v>
      </c>
      <c r="K195" s="23">
        <f>SUM([3]inicio:final!Q194)</f>
        <v>3750912</v>
      </c>
      <c r="L195" s="23">
        <f>SUM([4]inicio:final!R194)</f>
        <v>218860</v>
      </c>
      <c r="M195" s="23">
        <f>SUM([4]inicio:final!S194)</f>
        <v>5533756</v>
      </c>
      <c r="N195" s="23">
        <f>SUM([4]inicio:final!V194)</f>
        <v>5312904</v>
      </c>
      <c r="O195" s="26">
        <f>SUM([3]inicio:final!W194)</f>
        <v>18006722.770000003</v>
      </c>
    </row>
    <row r="196" spans="1:15" ht="15.75" hidden="1" thickBot="1" x14ac:dyDescent="0.3">
      <c r="B196" s="22" t="s">
        <v>34</v>
      </c>
      <c r="C196" s="46">
        <f>SUM([3]inicio:final!E195)</f>
        <v>5303</v>
      </c>
      <c r="D196" s="23">
        <f>SUM([3]inicio:final!G195)</f>
        <v>774238</v>
      </c>
      <c r="E196" s="46">
        <f>SUM([3]inicio:final!J195)</f>
        <v>467</v>
      </c>
      <c r="F196" s="23">
        <f>SUM([3]inicio:final!L195)</f>
        <v>261053</v>
      </c>
      <c r="G196" s="23">
        <f>SUM([3]inicio:final!M195)</f>
        <v>179088</v>
      </c>
      <c r="H196" s="23">
        <f>SUM([4]inicio:final!N195)</f>
        <v>352901</v>
      </c>
      <c r="I196" s="23">
        <f>SUM([3]inicio:final!O195)</f>
        <v>0</v>
      </c>
      <c r="J196" s="23">
        <f>SUM([3]inicio:final!P195)</f>
        <v>15000</v>
      </c>
      <c r="K196" s="23">
        <f>SUM([3]inicio:final!Q195)</f>
        <v>3750912</v>
      </c>
      <c r="L196" s="23">
        <f>SUM([4]inicio:final!R195)</f>
        <v>657440</v>
      </c>
      <c r="M196" s="23">
        <f>SUM([4]inicio:final!S195)</f>
        <v>5990632</v>
      </c>
      <c r="N196" s="23">
        <f>SUM([4]inicio:final!V195)</f>
        <v>4867709</v>
      </c>
      <c r="O196" s="26">
        <f>SUM([3]inicio:final!W195)</f>
        <v>19184509.770000003</v>
      </c>
    </row>
    <row r="197" spans="1:15" ht="15.75" hidden="1" thickBot="1" x14ac:dyDescent="0.3">
      <c r="B197" s="22" t="s">
        <v>35</v>
      </c>
      <c r="C197" s="46">
        <f>SUM([3]inicio:final!E196)</f>
        <v>4785</v>
      </c>
      <c r="D197" s="23">
        <f>SUM([3]inicio:final!G196)</f>
        <v>698610</v>
      </c>
      <c r="E197" s="46">
        <f>SUM([3]inicio:final!J196)</f>
        <v>778</v>
      </c>
      <c r="F197" s="23">
        <f>SUM([3]inicio:final!L196)</f>
        <v>490702</v>
      </c>
      <c r="G197" s="23">
        <f>SUM([3]inicio:final!M196)</f>
        <v>179088</v>
      </c>
      <c r="H197" s="23">
        <f>SUM([4]inicio:final!N196)</f>
        <v>353890</v>
      </c>
      <c r="I197" s="23">
        <f>SUM([3]inicio:final!O196)</f>
        <v>0</v>
      </c>
      <c r="J197" s="23">
        <f>SUM([3]inicio:final!P196)</f>
        <v>15000</v>
      </c>
      <c r="K197" s="23">
        <f>SUM([3]inicio:final!Q196)</f>
        <v>3750912</v>
      </c>
      <c r="L197" s="23">
        <f>SUM([4]inicio:final!R196)</f>
        <v>550660</v>
      </c>
      <c r="M197" s="23">
        <f>SUM([4]inicio:final!S196)</f>
        <v>6038862</v>
      </c>
      <c r="N197" s="23">
        <f>SUM([4]inicio:final!V196)</f>
        <v>6439851</v>
      </c>
      <c r="O197" s="26">
        <f>SUM([3]inicio:final!W196)</f>
        <v>18783520.770000003</v>
      </c>
    </row>
    <row r="198" spans="1:15" ht="15.75" hidden="1" thickBot="1" x14ac:dyDescent="0.3">
      <c r="B198" s="22" t="s">
        <v>36</v>
      </c>
      <c r="C198" s="46">
        <f>SUM([3]inicio:final!E197)</f>
        <v>4899</v>
      </c>
      <c r="D198" s="23">
        <f>SUM([3]inicio:final!G197)</f>
        <v>715254</v>
      </c>
      <c r="E198" s="46">
        <f>SUM([3]inicio:final!J197)</f>
        <v>1213</v>
      </c>
      <c r="F198" s="23">
        <f>SUM([3]inicio:final!L197)</f>
        <v>784267</v>
      </c>
      <c r="G198" s="23">
        <f>SUM([3]inicio:final!M197)</f>
        <v>179088</v>
      </c>
      <c r="H198" s="23">
        <f>SUM([4]inicio:final!N197)</f>
        <v>355180</v>
      </c>
      <c r="I198" s="23">
        <f>SUM([3]inicio:final!O197)</f>
        <v>152320</v>
      </c>
      <c r="J198" s="23">
        <f>SUM([3]inicio:final!P197)</f>
        <v>15000</v>
      </c>
      <c r="K198" s="23">
        <f>SUM([3]inicio:final!Q197)</f>
        <v>3750912</v>
      </c>
      <c r="L198" s="23">
        <f>SUM([4]inicio:final!R197)</f>
        <v>441056</v>
      </c>
      <c r="M198" s="23">
        <f>SUM([4]inicio:final!S197)</f>
        <v>6393077</v>
      </c>
      <c r="N198" s="23">
        <f>SUM([4]inicio:final!V197)</f>
        <v>4602878</v>
      </c>
      <c r="O198" s="26">
        <f>SUM([3]inicio:final!W197)</f>
        <v>20573719.770000003</v>
      </c>
    </row>
    <row r="199" spans="1:15" ht="15.75" hidden="1" thickBot="1" x14ac:dyDescent="0.3">
      <c r="B199" s="22" t="s">
        <v>37</v>
      </c>
      <c r="C199" s="46">
        <f>SUM([3]inicio:final!E198)</f>
        <v>5257</v>
      </c>
      <c r="D199" s="23">
        <f>SUM([3]inicio:final!G198)</f>
        <v>767522</v>
      </c>
      <c r="E199" s="46">
        <f>SUM([3]inicio:final!J198)</f>
        <v>1310</v>
      </c>
      <c r="F199" s="23">
        <f>SUM([3]inicio:final!L198)</f>
        <v>733730</v>
      </c>
      <c r="G199" s="23">
        <f>SUM([3]inicio:final!M198)</f>
        <v>179088</v>
      </c>
      <c r="H199" s="23">
        <f>SUM([4]inicio:final!N198)</f>
        <v>355610</v>
      </c>
      <c r="I199" s="23">
        <f>SUM([3]inicio:final!O198)</f>
        <v>19040</v>
      </c>
      <c r="J199" s="23">
        <f>SUM([3]inicio:final!P198)</f>
        <v>15000</v>
      </c>
      <c r="K199" s="23">
        <f>SUM([3]inicio:final!Q198)</f>
        <v>3750912</v>
      </c>
      <c r="L199" s="23">
        <f>SUM([4]inicio:final!R198)</f>
        <v>606210</v>
      </c>
      <c r="M199" s="23">
        <f>SUM([4]inicio:final!S198)</f>
        <v>6427112</v>
      </c>
      <c r="N199" s="23">
        <f>SUM([4]inicio:final!V198)</f>
        <v>7855707</v>
      </c>
      <c r="O199" s="26">
        <f>SUM([3]inicio:final!W198)</f>
        <v>20056732.770000003</v>
      </c>
    </row>
    <row r="200" spans="1:15" ht="15.75" thickBot="1" x14ac:dyDescent="0.3">
      <c r="A200">
        <v>2019</v>
      </c>
      <c r="B200" s="22" t="s">
        <v>38</v>
      </c>
      <c r="C200" s="46">
        <f>SUM([3]inicio:final!E199)</f>
        <v>6120</v>
      </c>
      <c r="D200" s="23">
        <f>SUM([3]inicio:final!G199)</f>
        <v>893520</v>
      </c>
      <c r="E200" s="46">
        <f>SUM([3]inicio:final!J199)</f>
        <v>1500</v>
      </c>
      <c r="F200" s="23">
        <f>SUM([3]inicio:final!L199)</f>
        <v>980700</v>
      </c>
      <c r="G200" s="23">
        <f>SUM([3]inicio:final!M199)</f>
        <v>183744</v>
      </c>
      <c r="H200" s="23">
        <f>SUM([4]inicio:final!N199)</f>
        <v>355352</v>
      </c>
      <c r="I200" s="23">
        <f>SUM([3]inicio:final!O199)</f>
        <v>0</v>
      </c>
      <c r="J200" s="23">
        <f>SUM([3]inicio:final!P199)</f>
        <v>15000</v>
      </c>
      <c r="K200" s="23">
        <f>SUM([3]inicio:final!Q199)</f>
        <v>3848448</v>
      </c>
      <c r="L200" s="23">
        <f>SUM([4]inicio:final!R199)</f>
        <v>495828</v>
      </c>
      <c r="M200" s="23">
        <f>SUM([4]inicio:final!S199)</f>
        <v>6715434</v>
      </c>
      <c r="N200" s="23">
        <f>SUM([4]inicio:final!V199)</f>
        <v>7277287</v>
      </c>
      <c r="O200" s="26">
        <f>SUM([3]inicio:final!W199)</f>
        <v>24288442.770000003</v>
      </c>
    </row>
    <row r="201" spans="1:15" ht="15.75" thickBot="1" x14ac:dyDescent="0.3">
      <c r="B201" s="22" t="s">
        <v>27</v>
      </c>
      <c r="C201" s="46">
        <f>SUM([3]inicio:final!E200)</f>
        <v>7516</v>
      </c>
      <c r="D201" s="23">
        <f>SUM([3]inicio:final!G200)</f>
        <v>1097336</v>
      </c>
      <c r="E201" s="46">
        <f>SUM([3]inicio:final!J200)</f>
        <v>1440</v>
      </c>
      <c r="F201" s="23">
        <f>SUM([3]inicio:final!L200)</f>
        <v>804960</v>
      </c>
      <c r="G201" s="23">
        <f>SUM([3]inicio:final!M200)</f>
        <v>183744</v>
      </c>
      <c r="H201" s="23">
        <f>SUM([4]inicio:final!N200)</f>
        <v>355481</v>
      </c>
      <c r="I201" s="23">
        <f>SUM([3]inicio:final!O200)</f>
        <v>0</v>
      </c>
      <c r="J201" s="23">
        <f>SUM([3]inicio:final!P200)</f>
        <v>15000</v>
      </c>
      <c r="K201" s="23">
        <f>SUM([3]inicio:final!Q200)</f>
        <v>3848448</v>
      </c>
      <c r="L201" s="23">
        <f>SUM([4]inicio:final!R200)</f>
        <v>606254</v>
      </c>
      <c r="M201" s="23">
        <f>SUM([4]inicio:final!S200)</f>
        <v>6911223</v>
      </c>
      <c r="N201" s="23">
        <f>SUM([4]inicio:final!V200)</f>
        <v>6759470</v>
      </c>
      <c r="O201" s="26">
        <f>SUM([3]inicio:final!W200)</f>
        <v>18433465.770000003</v>
      </c>
    </row>
    <row r="202" spans="1:15" ht="15.75" thickBot="1" x14ac:dyDescent="0.3">
      <c r="B202" s="22" t="s">
        <v>28</v>
      </c>
      <c r="C202" s="46">
        <f>SUM([3]inicio:final!E201)</f>
        <v>5607</v>
      </c>
      <c r="D202" s="23">
        <f>SUM([3]inicio:final!G201)</f>
        <v>818622</v>
      </c>
      <c r="E202" s="46">
        <f>SUM([3]inicio:final!J201)</f>
        <v>1211.75</v>
      </c>
      <c r="F202" s="23">
        <f>SUM([3]inicio:final!L201)</f>
        <v>677368.25</v>
      </c>
      <c r="G202" s="23">
        <f>SUM([3]inicio:final!M201)</f>
        <v>183744</v>
      </c>
      <c r="H202" s="23">
        <f>SUM([4]inicio:final!N201)</f>
        <v>355610</v>
      </c>
      <c r="I202" s="23">
        <f>SUM([3]inicio:final!O201)</f>
        <v>0</v>
      </c>
      <c r="J202" s="23">
        <f>SUM([3]inicio:final!P201)</f>
        <v>15000</v>
      </c>
      <c r="K202" s="23">
        <f>SUM([3]inicio:final!Q201)</f>
        <v>3848448</v>
      </c>
      <c r="L202" s="23">
        <f>SUM([4]inicio:final!R201)</f>
        <v>551320</v>
      </c>
      <c r="M202" s="23">
        <f>SUM([4]inicio:final!S201)</f>
        <v>6450112.25</v>
      </c>
      <c r="N202" s="23">
        <f>SUM([4]inicio:final!V201)</f>
        <v>7625765</v>
      </c>
      <c r="O202" s="26">
        <f>SUM([3]inicio:final!W201)</f>
        <v>17257813.020000003</v>
      </c>
    </row>
    <row r="203" spans="1:15" ht="15.75" thickBot="1" x14ac:dyDescent="0.3">
      <c r="B203" s="22" t="s">
        <v>29</v>
      </c>
      <c r="C203" s="46">
        <f>SUM([3]inicio:final!E202)</f>
        <v>5203</v>
      </c>
      <c r="D203" s="23">
        <f>SUM([3]inicio:final!G202)</f>
        <v>759638</v>
      </c>
      <c r="E203" s="46">
        <f>SUM([3]inicio:final!J202)</f>
        <v>1221</v>
      </c>
      <c r="F203" s="23">
        <f>SUM([3]inicio:final!L202)</f>
        <v>683079</v>
      </c>
      <c r="G203" s="23">
        <f>SUM([3]inicio:final!M202)</f>
        <v>183744</v>
      </c>
      <c r="H203" s="23">
        <f>SUM([4]inicio:final!N202)</f>
        <v>356857</v>
      </c>
      <c r="I203" s="23">
        <f>SUM([3]inicio:final!O202)</f>
        <v>115000</v>
      </c>
      <c r="J203" s="23">
        <f>SUM([3]inicio:final!P202)</f>
        <v>15000</v>
      </c>
      <c r="K203" s="23">
        <f>SUM([3]inicio:final!Q202)</f>
        <v>3848448</v>
      </c>
      <c r="L203" s="23">
        <f>SUM([4]inicio:final!R202)</f>
        <v>331944</v>
      </c>
      <c r="M203" s="23">
        <f>SUM([4]inicio:final!S202)</f>
        <v>6293710</v>
      </c>
      <c r="N203" s="23">
        <f>SUM([4]inicio:final!V202)</f>
        <v>4955700</v>
      </c>
      <c r="O203" s="26">
        <f>SUM([3]inicio:final!W202)</f>
        <v>18595823.020000003</v>
      </c>
    </row>
    <row r="204" spans="1:15" ht="15.75" thickBot="1" x14ac:dyDescent="0.3">
      <c r="B204" s="22" t="s">
        <v>30</v>
      </c>
      <c r="C204" s="46">
        <f>SUM([3]inicio:final!E203)</f>
        <v>5393</v>
      </c>
      <c r="D204" s="23">
        <f>SUM([3]inicio:final!G203)</f>
        <v>787378</v>
      </c>
      <c r="E204" s="46">
        <f>SUM([3]inicio:final!J203)</f>
        <v>917</v>
      </c>
      <c r="F204" s="23">
        <f>SUM([3]inicio:final!L203)</f>
        <v>512603</v>
      </c>
      <c r="G204" s="23">
        <f>SUM([3]inicio:final!M203)</f>
        <v>183744</v>
      </c>
      <c r="H204" s="23">
        <f>SUM([4]inicio:final!N203)</f>
        <v>358147</v>
      </c>
      <c r="I204" s="23">
        <f>SUM([3]inicio:final!O203)</f>
        <v>0</v>
      </c>
      <c r="J204" s="23">
        <f>SUM([3]inicio:final!P203)</f>
        <v>15000</v>
      </c>
      <c r="K204" s="23">
        <f>SUM([3]inicio:final!Q203)</f>
        <v>3848448</v>
      </c>
      <c r="L204" s="23">
        <f>SUM([4]inicio:final!R203)</f>
        <v>0</v>
      </c>
      <c r="M204" s="23">
        <f>SUM([4]inicio:final!S203)</f>
        <v>5705320</v>
      </c>
      <c r="N204" s="23">
        <f>SUM([4]inicio:final!V203)</f>
        <v>92333</v>
      </c>
      <c r="O204" s="26">
        <f>SUM([3]inicio:final!W203)</f>
        <v>24208810.02</v>
      </c>
    </row>
    <row r="205" spans="1:15" ht="15.75" thickBot="1" x14ac:dyDescent="0.3">
      <c r="B205" s="22" t="s">
        <v>31</v>
      </c>
      <c r="C205" s="46">
        <f>SUM([3]inicio:final!E204)</f>
        <v>-729281</v>
      </c>
      <c r="D205" s="23">
        <f>SUM([3]inicio:final!G204)</f>
        <v>-106475026</v>
      </c>
      <c r="E205" s="46">
        <f>SUM([3]inicio:final!J204)</f>
        <v>-175987</v>
      </c>
      <c r="F205" s="23">
        <f>SUM([3]inicio:final!L204)</f>
        <v>-98376733</v>
      </c>
      <c r="G205" s="23">
        <f>SUM([3]inicio:final!M204)</f>
        <v>183744</v>
      </c>
      <c r="H205" s="23">
        <f>SUM([4]inicio:final!N204)</f>
        <v>0</v>
      </c>
      <c r="I205" s="23">
        <f>SUM([3]inicio:final!O204)</f>
        <v>0</v>
      </c>
      <c r="J205" s="23">
        <f>SUM([3]inicio:final!P204)</f>
        <v>15000</v>
      </c>
      <c r="K205" s="23">
        <f>SUM([3]inicio:final!Q204)</f>
        <v>3848448</v>
      </c>
      <c r="L205" s="23">
        <f>SUM([4]inicio:final!R204)</f>
        <v>0</v>
      </c>
      <c r="M205" s="23">
        <f>SUM([4]inicio:final!S204)</f>
        <v>-200804567</v>
      </c>
      <c r="N205" s="23">
        <f>SUM([4]inicio:final!V204)</f>
        <v>0</v>
      </c>
      <c r="O205" s="26">
        <f>SUM([3]inicio:final!W204)</f>
        <v>-176595756.98000002</v>
      </c>
    </row>
    <row r="206" spans="1:15" ht="15.75" thickBot="1" x14ac:dyDescent="0.3">
      <c r="B206" s="22" t="s">
        <v>32</v>
      </c>
      <c r="C206" s="46">
        <f>SUM([3]inicio:final!E205)</f>
        <v>0</v>
      </c>
      <c r="D206" s="23">
        <f>SUM([3]inicio:final!G205)</f>
        <v>0</v>
      </c>
      <c r="E206" s="46">
        <f>SUM([3]inicio:final!J205)</f>
        <v>0</v>
      </c>
      <c r="F206" s="23">
        <f>SUM([3]inicio:final!L205)</f>
        <v>0</v>
      </c>
      <c r="G206" s="23">
        <f>SUM([3]inicio:final!M205)</f>
        <v>183744</v>
      </c>
      <c r="H206" s="23">
        <f>SUM([4]inicio:final!N205)</f>
        <v>0</v>
      </c>
      <c r="I206" s="23">
        <f>SUM([3]inicio:final!O205)</f>
        <v>0</v>
      </c>
      <c r="J206" s="23">
        <f>SUM([3]inicio:final!P205)</f>
        <v>15000</v>
      </c>
      <c r="K206" s="23">
        <f>SUM([3]inicio:final!Q205)</f>
        <v>3848448</v>
      </c>
      <c r="L206" s="23">
        <f>SUM([4]inicio:final!R205)</f>
        <v>0</v>
      </c>
      <c r="M206" s="23">
        <f>SUM([4]inicio:final!S205)</f>
        <v>4047192</v>
      </c>
      <c r="N206" s="23">
        <f>SUM([4]inicio:final!V205)</f>
        <v>0</v>
      </c>
      <c r="O206" s="26">
        <f>SUM([3]inicio:final!W205)</f>
        <v>-172548564.98000002</v>
      </c>
    </row>
    <row r="207" spans="1:15" ht="15.75" thickBot="1" x14ac:dyDescent="0.3">
      <c r="B207" s="22" t="s">
        <v>33</v>
      </c>
      <c r="C207" s="46">
        <f>SUM([3]inicio:final!E206)</f>
        <v>0</v>
      </c>
      <c r="D207" s="23">
        <f>SUM([3]inicio:final!G206)</f>
        <v>0</v>
      </c>
      <c r="E207" s="46">
        <f>SUM([3]inicio:final!J206)</f>
        <v>0</v>
      </c>
      <c r="F207" s="23">
        <f>SUM([3]inicio:final!L206)</f>
        <v>0</v>
      </c>
      <c r="G207" s="23">
        <f>SUM([3]inicio:final!M206)</f>
        <v>183744</v>
      </c>
      <c r="H207" s="23">
        <f>SUM([4]inicio:final!N206)</f>
        <v>0</v>
      </c>
      <c r="I207" s="23">
        <f>SUM([3]inicio:final!O206)</f>
        <v>0</v>
      </c>
      <c r="J207" s="23">
        <f>SUM([3]inicio:final!P206)</f>
        <v>15000</v>
      </c>
      <c r="K207" s="23">
        <f>SUM([3]inicio:final!Q206)</f>
        <v>3848448</v>
      </c>
      <c r="L207" s="23">
        <f>SUM([4]inicio:final!R206)</f>
        <v>0</v>
      </c>
      <c r="M207" s="23">
        <f>SUM([4]inicio:final!S206)</f>
        <v>4047192</v>
      </c>
      <c r="N207" s="23">
        <f>SUM([4]inicio:final!V206)</f>
        <v>0</v>
      </c>
      <c r="O207" s="26">
        <f>SUM([3]inicio:final!W206)</f>
        <v>-168501372.98000002</v>
      </c>
    </row>
    <row r="208" spans="1:15" ht="15.75" thickBot="1" x14ac:dyDescent="0.3">
      <c r="B208" s="22" t="s">
        <v>34</v>
      </c>
      <c r="C208" s="46">
        <f>SUM([3]inicio:final!E207)</f>
        <v>0</v>
      </c>
      <c r="D208" s="23">
        <f>SUM([3]inicio:final!G207)</f>
        <v>0</v>
      </c>
      <c r="E208" s="46">
        <f>SUM([3]inicio:final!J207)</f>
        <v>0</v>
      </c>
      <c r="F208" s="23">
        <f>SUM([3]inicio:final!L207)</f>
        <v>0</v>
      </c>
      <c r="G208" s="23">
        <f>SUM([3]inicio:final!M207)</f>
        <v>183744</v>
      </c>
      <c r="H208" s="23">
        <f>SUM([4]inicio:final!N207)</f>
        <v>0</v>
      </c>
      <c r="I208" s="23">
        <f>SUM([3]inicio:final!O207)</f>
        <v>0</v>
      </c>
      <c r="J208" s="23">
        <f>SUM([3]inicio:final!P207)</f>
        <v>15000</v>
      </c>
      <c r="K208" s="23">
        <f>SUM([3]inicio:final!Q207)</f>
        <v>3848448</v>
      </c>
      <c r="L208" s="23">
        <f>SUM([4]inicio:final!R207)</f>
        <v>0</v>
      </c>
      <c r="M208" s="23">
        <f>SUM([4]inicio:final!S207)</f>
        <v>4047192</v>
      </c>
      <c r="N208" s="23">
        <f>SUM([4]inicio:final!V207)</f>
        <v>0</v>
      </c>
      <c r="O208" s="26">
        <f>SUM([3]inicio:final!W207)</f>
        <v>-164454180.98000002</v>
      </c>
    </row>
    <row r="209" spans="2:15" ht="15.75" thickBot="1" x14ac:dyDescent="0.3">
      <c r="B209" s="22" t="s">
        <v>35</v>
      </c>
      <c r="C209" s="46">
        <f>SUM([3]inicio:final!E208)</f>
        <v>0</v>
      </c>
      <c r="D209" s="23">
        <f>SUM([3]inicio:final!G208)</f>
        <v>0</v>
      </c>
      <c r="E209" s="46">
        <f>SUM([3]inicio:final!J208)</f>
        <v>0</v>
      </c>
      <c r="F209" s="23">
        <f>SUM([3]inicio:final!L208)</f>
        <v>0</v>
      </c>
      <c r="G209" s="23">
        <f>SUM([3]inicio:final!M208)</f>
        <v>183744</v>
      </c>
      <c r="H209" s="23">
        <f>SUM([4]inicio:final!N208)</f>
        <v>0</v>
      </c>
      <c r="I209" s="23">
        <f>SUM([3]inicio:final!O208)</f>
        <v>0</v>
      </c>
      <c r="J209" s="23">
        <f>SUM([3]inicio:final!P208)</f>
        <v>15000</v>
      </c>
      <c r="K209" s="23">
        <f>SUM([3]inicio:final!Q208)</f>
        <v>3848448</v>
      </c>
      <c r="L209" s="23">
        <f>SUM([4]inicio:final!R208)</f>
        <v>0</v>
      </c>
      <c r="M209" s="23">
        <f>SUM([4]inicio:final!S208)</f>
        <v>4047192</v>
      </c>
      <c r="N209" s="23">
        <f>SUM([4]inicio:final!V208)</f>
        <v>0</v>
      </c>
      <c r="O209" s="26">
        <f>SUM([3]inicio:final!W208)</f>
        <v>-160406988.98000002</v>
      </c>
    </row>
    <row r="210" spans="2:15" ht="15.75" thickBot="1" x14ac:dyDescent="0.3">
      <c r="B210" s="22" t="s">
        <v>36</v>
      </c>
      <c r="C210" s="46">
        <f>SUM([3]inicio:final!E209)</f>
        <v>0</v>
      </c>
      <c r="D210" s="23">
        <f>SUM([3]inicio:final!G209)</f>
        <v>0</v>
      </c>
      <c r="E210" s="46">
        <f>SUM([3]inicio:final!J209)</f>
        <v>0</v>
      </c>
      <c r="F210" s="23">
        <f>SUM([3]inicio:final!L209)</f>
        <v>0</v>
      </c>
      <c r="G210" s="23">
        <f>SUM([3]inicio:final!M209)</f>
        <v>183744</v>
      </c>
      <c r="H210" s="23">
        <f>SUM([4]inicio:final!N209)</f>
        <v>0</v>
      </c>
      <c r="I210" s="23">
        <f>SUM([3]inicio:final!O209)</f>
        <v>0</v>
      </c>
      <c r="J210" s="23">
        <f>SUM([3]inicio:final!P209)</f>
        <v>15000</v>
      </c>
      <c r="K210" s="23">
        <f>SUM([3]inicio:final!Q209)</f>
        <v>3848448</v>
      </c>
      <c r="L210" s="23">
        <f>SUM([4]inicio:final!R209)</f>
        <v>0</v>
      </c>
      <c r="M210" s="23">
        <f>SUM([4]inicio:final!S209)</f>
        <v>4047192</v>
      </c>
      <c r="N210" s="23">
        <f>SUM([4]inicio:final!V209)</f>
        <v>0</v>
      </c>
      <c r="O210" s="26">
        <f>SUM([3]inicio:final!W209)</f>
        <v>-156359796.98000002</v>
      </c>
    </row>
    <row r="211" spans="2:15" ht="15.75" thickBot="1" x14ac:dyDescent="0.3">
      <c r="B211" s="22" t="s">
        <v>37</v>
      </c>
      <c r="C211" s="46">
        <f>SUM([3]inicio:final!E210)</f>
        <v>0</v>
      </c>
      <c r="D211" s="23">
        <f>SUM([3]inicio:final!G210)</f>
        <v>0</v>
      </c>
      <c r="E211" s="46">
        <f>SUM([3]inicio:final!J210)</f>
        <v>0</v>
      </c>
      <c r="F211" s="23">
        <f>SUM([3]inicio:final!L210)</f>
        <v>0</v>
      </c>
      <c r="G211" s="23">
        <f>SUM([3]inicio:final!M210)</f>
        <v>183744</v>
      </c>
      <c r="H211" s="23">
        <f>SUM([4]inicio:final!N210)</f>
        <v>0</v>
      </c>
      <c r="I211" s="23">
        <f>SUM([3]inicio:final!O210)</f>
        <v>0</v>
      </c>
      <c r="J211" s="23">
        <f>SUM([3]inicio:final!P210)</f>
        <v>15000</v>
      </c>
      <c r="K211" s="23">
        <f>SUM([3]inicio:final!Q210)</f>
        <v>3848448</v>
      </c>
      <c r="L211" s="23">
        <f>SUM([4]inicio:final!R210)</f>
        <v>0</v>
      </c>
      <c r="M211" s="23">
        <f>SUM([4]inicio:final!S210)</f>
        <v>4047192</v>
      </c>
      <c r="N211" s="23">
        <f>SUM([4]inicio:final!V210)</f>
        <v>0</v>
      </c>
      <c r="O211" s="26">
        <f>SUM([3]inicio:final!W210)</f>
        <v>-152312604.98000002</v>
      </c>
    </row>
    <row r="213" spans="2:15" ht="15.75" hidden="1" thickBot="1" x14ac:dyDescent="0.3">
      <c r="B213" s="76" t="s">
        <v>62</v>
      </c>
      <c r="C213" s="77"/>
      <c r="D213" s="78"/>
    </row>
    <row r="214" spans="2:15" hidden="1" x14ac:dyDescent="0.25">
      <c r="B214" s="88" t="s">
        <v>25</v>
      </c>
      <c r="C214" s="88" t="s">
        <v>9</v>
      </c>
      <c r="D214" s="79" t="s">
        <v>49</v>
      </c>
    </row>
    <row r="215" spans="2:15" ht="15.75" hidden="1" thickBot="1" x14ac:dyDescent="0.3">
      <c r="B215" s="89"/>
      <c r="C215" s="89"/>
      <c r="D215" s="80"/>
    </row>
    <row r="216" spans="2:15" ht="15.75" hidden="1" thickBot="1" x14ac:dyDescent="0.3">
      <c r="B216" s="37" t="s">
        <v>50</v>
      </c>
      <c r="C216" s="38">
        <f>[4]Resumen!$C$245</f>
        <v>5533756</v>
      </c>
      <c r="D216" s="38">
        <f>[4]Resumen!$D$245</f>
        <v>5312904</v>
      </c>
    </row>
    <row r="217" spans="2:15" ht="15.75" hidden="1" thickBot="1" x14ac:dyDescent="0.3">
      <c r="B217" s="35" t="s">
        <v>51</v>
      </c>
      <c r="C217" s="38">
        <f>[4]Resumen!$C$246</f>
        <v>5990632</v>
      </c>
      <c r="D217" s="38">
        <f>[4]Resumen!$D$246</f>
        <v>4867709</v>
      </c>
    </row>
    <row r="218" spans="2:15" ht="15.75" hidden="1" thickBot="1" x14ac:dyDescent="0.3">
      <c r="B218" s="35" t="s">
        <v>52</v>
      </c>
      <c r="C218" s="38">
        <f>[4]Resumen!$C$247</f>
        <v>6038862</v>
      </c>
      <c r="D218" s="38">
        <f>[4]Resumen!$D$247</f>
        <v>6439851</v>
      </c>
    </row>
    <row r="219" spans="2:15" ht="15.75" hidden="1" thickBot="1" x14ac:dyDescent="0.3">
      <c r="B219" s="35" t="s">
        <v>53</v>
      </c>
      <c r="C219" s="38">
        <f>[4]Resumen!$C$248</f>
        <v>6393077</v>
      </c>
      <c r="D219" s="38">
        <f>[4]Resumen!$D$248</f>
        <v>4602878</v>
      </c>
    </row>
    <row r="220" spans="2:15" ht="15.75" hidden="1" thickBot="1" x14ac:dyDescent="0.3">
      <c r="B220" s="35" t="s">
        <v>54</v>
      </c>
      <c r="C220" s="38">
        <f>[4]Resumen!$C$249</f>
        <v>6427112</v>
      </c>
      <c r="D220" s="38">
        <f>[4]Resumen!$D$249</f>
        <v>7855707</v>
      </c>
    </row>
    <row r="221" spans="2:15" ht="15.75" hidden="1" thickBot="1" x14ac:dyDescent="0.3">
      <c r="B221" s="35" t="s">
        <v>55</v>
      </c>
      <c r="C221" s="38">
        <f>[4]Resumen!$C$250</f>
        <v>0</v>
      </c>
      <c r="D221" s="38">
        <f>[4]Resumen!$D$250</f>
        <v>0</v>
      </c>
    </row>
    <row r="222" spans="2:15" ht="15.75" hidden="1" thickBot="1" x14ac:dyDescent="0.3">
      <c r="B222" s="35" t="s">
        <v>56</v>
      </c>
      <c r="C222" s="38">
        <f>[4]Resumen!$C$251</f>
        <v>0</v>
      </c>
      <c r="D222" s="38">
        <f>[4]Resumen!$D$251</f>
        <v>0</v>
      </c>
    </row>
    <row r="223" spans="2:15" ht="15.75" hidden="1" thickBot="1" x14ac:dyDescent="0.3">
      <c r="B223" s="35" t="s">
        <v>57</v>
      </c>
      <c r="C223" s="38">
        <f>[4]Resumen!$C$252</f>
        <v>0</v>
      </c>
      <c r="D223" s="38">
        <f>[4]Resumen!$D$252</f>
        <v>0</v>
      </c>
    </row>
    <row r="224" spans="2:15" ht="15.75" hidden="1" thickBot="1" x14ac:dyDescent="0.3">
      <c r="B224" s="35" t="s">
        <v>58</v>
      </c>
      <c r="C224" s="38">
        <f>[4]Resumen!$C$253</f>
        <v>0</v>
      </c>
      <c r="D224" s="38">
        <f>[4]Resumen!$D$253</f>
        <v>0</v>
      </c>
    </row>
    <row r="225" spans="2:4" ht="15.75" hidden="1" thickBot="1" x14ac:dyDescent="0.3">
      <c r="B225" s="35" t="s">
        <v>59</v>
      </c>
      <c r="C225" s="38">
        <f>[4]Resumen!$C$254</f>
        <v>0</v>
      </c>
      <c r="D225" s="38">
        <f>[4]Resumen!$D$254</f>
        <v>0</v>
      </c>
    </row>
    <row r="226" spans="2:4" ht="15.75" hidden="1" thickBot="1" x14ac:dyDescent="0.3">
      <c r="B226" s="35" t="s">
        <v>60</v>
      </c>
      <c r="C226" s="38">
        <f>[4]Resumen!$C$255</f>
        <v>0</v>
      </c>
      <c r="D226" s="38">
        <f>[4]Resumen!$D$255</f>
        <v>0</v>
      </c>
    </row>
    <row r="227" spans="2:4" ht="15.75" hidden="1" thickBot="1" x14ac:dyDescent="0.3">
      <c r="B227" s="35" t="s">
        <v>61</v>
      </c>
      <c r="C227" s="38">
        <f>[4]Resumen!$C$256</f>
        <v>0</v>
      </c>
      <c r="D227" s="38">
        <f>[4]Resumen!$D$256</f>
        <v>0</v>
      </c>
    </row>
    <row r="228" spans="2:4" hidden="1" x14ac:dyDescent="0.25"/>
    <row r="229" spans="2:4" hidden="1" x14ac:dyDescent="0.25"/>
    <row r="230" spans="2:4" hidden="1" x14ac:dyDescent="0.25"/>
    <row r="231" spans="2:4" hidden="1" x14ac:dyDescent="0.25"/>
    <row r="232" spans="2:4" hidden="1" x14ac:dyDescent="0.25"/>
  </sheetData>
  <mergeCells count="8">
    <mergeCell ref="B3:C3"/>
    <mergeCell ref="C5:D5"/>
    <mergeCell ref="G5:K5"/>
    <mergeCell ref="L5:O5"/>
    <mergeCell ref="B213:D213"/>
    <mergeCell ref="B214:B215"/>
    <mergeCell ref="C214:C215"/>
    <mergeCell ref="D214:D215"/>
  </mergeCells>
  <conditionalFormatting sqref="O8:O175">
    <cfRule type="cellIs" dxfId="9" priority="5" stopIfTrue="1" operator="lessThan">
      <formula>-0.999999</formula>
    </cfRule>
    <cfRule type="cellIs" dxfId="8" priority="6" stopIfTrue="1" operator="greaterThan">
      <formula>0.9999999</formula>
    </cfRule>
  </conditionalFormatting>
  <conditionalFormatting sqref="O176:O211">
    <cfRule type="cellIs" dxfId="7" priority="3" stopIfTrue="1" operator="lessThan">
      <formula>-0.999999</formula>
    </cfRule>
    <cfRule type="cellIs" dxfId="6" priority="4" stopIfTrue="1" operator="greaterThan">
      <formula>0.9999999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S233"/>
  <sheetViews>
    <sheetView workbookViewId="0">
      <selection activeCell="C204" sqref="C204"/>
    </sheetView>
  </sheetViews>
  <sheetFormatPr baseColWidth="10" defaultRowHeight="15" x14ac:dyDescent="0.25"/>
  <cols>
    <col min="11" max="15" width="13.85546875" customWidth="1"/>
  </cols>
  <sheetData>
    <row r="1" spans="1:19" x14ac:dyDescent="0.25">
      <c r="D1" s="1"/>
      <c r="E1" s="1"/>
      <c r="F1" s="1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</row>
    <row r="2" spans="1:19" ht="18.75" x14ac:dyDescent="0.3">
      <c r="B2" s="4" t="s">
        <v>0</v>
      </c>
      <c r="C2" s="4"/>
      <c r="D2" s="1"/>
      <c r="E2" s="1"/>
      <c r="F2" s="1"/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</row>
    <row r="3" spans="1:19" ht="18.75" x14ac:dyDescent="0.3">
      <c r="B3" s="34" t="s">
        <v>43</v>
      </c>
      <c r="D3" s="4" t="s">
        <v>44</v>
      </c>
      <c r="G3" s="2"/>
      <c r="H3" s="3"/>
      <c r="I3" s="3"/>
      <c r="J3" s="3"/>
      <c r="L3" s="2"/>
      <c r="M3" s="2"/>
      <c r="N3" s="2"/>
      <c r="O3" s="2"/>
      <c r="P3" s="2"/>
      <c r="Q3" s="2"/>
      <c r="R3" s="2"/>
    </row>
    <row r="4" spans="1:19" ht="15.75" thickBot="1" x14ac:dyDescent="0.3">
      <c r="B4" s="5"/>
      <c r="C4" s="5"/>
      <c r="D4" s="5"/>
      <c r="E4" s="5"/>
      <c r="F4" s="5"/>
      <c r="G4" s="2"/>
      <c r="H4" s="3"/>
      <c r="I4" s="3"/>
      <c r="J4" s="3"/>
      <c r="K4" s="3"/>
      <c r="L4" s="2"/>
      <c r="M4" s="2"/>
      <c r="N4" s="2"/>
      <c r="O4" s="2"/>
      <c r="P4" s="2"/>
    </row>
    <row r="5" spans="1:19" ht="15.75" thickBot="1" x14ac:dyDescent="0.3">
      <c r="B5" s="6"/>
      <c r="C5" s="71" t="s">
        <v>3</v>
      </c>
      <c r="D5" s="82"/>
      <c r="E5" s="7" t="s">
        <v>4</v>
      </c>
      <c r="F5" s="8"/>
      <c r="G5" s="83" t="s">
        <v>5</v>
      </c>
      <c r="H5" s="69"/>
      <c r="I5" s="69"/>
      <c r="J5" s="69"/>
      <c r="K5" s="70"/>
      <c r="L5" s="68" t="s">
        <v>6</v>
      </c>
      <c r="M5" s="69"/>
      <c r="N5" s="69"/>
      <c r="O5" s="70"/>
      <c r="P5" s="33"/>
    </row>
    <row r="6" spans="1:19" x14ac:dyDescent="0.25">
      <c r="B6" s="9" t="s">
        <v>7</v>
      </c>
      <c r="C6" s="9" t="s">
        <v>8</v>
      </c>
      <c r="D6" s="9" t="s">
        <v>9</v>
      </c>
      <c r="E6" s="9" t="s">
        <v>8</v>
      </c>
      <c r="F6" s="9" t="s">
        <v>9</v>
      </c>
      <c r="G6" s="10" t="s">
        <v>10</v>
      </c>
      <c r="H6" s="9" t="s">
        <v>11</v>
      </c>
      <c r="I6" s="11" t="s">
        <v>12</v>
      </c>
      <c r="J6" s="12" t="s">
        <v>13</v>
      </c>
      <c r="K6" s="10" t="s">
        <v>14</v>
      </c>
      <c r="L6" s="13" t="s">
        <v>15</v>
      </c>
      <c r="M6" s="10" t="s">
        <v>9</v>
      </c>
      <c r="N6" s="10"/>
      <c r="O6" s="14" t="s">
        <v>16</v>
      </c>
    </row>
    <row r="7" spans="1:19" ht="15.75" thickBot="1" x14ac:dyDescent="0.3">
      <c r="B7" s="15" t="s">
        <v>17</v>
      </c>
      <c r="C7" s="15" t="s">
        <v>18</v>
      </c>
      <c r="D7" s="15" t="s">
        <v>19</v>
      </c>
      <c r="E7" s="15" t="s">
        <v>20</v>
      </c>
      <c r="F7" s="15" t="s">
        <v>21</v>
      </c>
      <c r="G7" s="16" t="s">
        <v>22</v>
      </c>
      <c r="H7" s="15" t="s">
        <v>23</v>
      </c>
      <c r="I7" s="17"/>
      <c r="J7" s="17"/>
      <c r="K7" s="18" t="s">
        <v>24</v>
      </c>
      <c r="L7" s="19"/>
      <c r="M7" s="16" t="s">
        <v>25</v>
      </c>
      <c r="N7" s="18" t="s">
        <v>26</v>
      </c>
      <c r="O7" s="20" t="s">
        <v>25</v>
      </c>
    </row>
    <row r="8" spans="1:19" ht="15.75" hidden="1" thickBot="1" x14ac:dyDescent="0.3">
      <c r="A8" s="21">
        <v>2003</v>
      </c>
      <c r="B8" s="22"/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5">
        <v>394141.60000000003</v>
      </c>
      <c r="S8" s="21"/>
    </row>
    <row r="9" spans="1:19" ht="15.75" hidden="1" thickBot="1" x14ac:dyDescent="0.3">
      <c r="A9" s="21"/>
      <c r="B9" s="22" t="s">
        <v>27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6">
        <v>472969.92000000004</v>
      </c>
      <c r="S9" s="21"/>
    </row>
    <row r="10" spans="1:19" ht="15.75" hidden="1" thickBot="1" x14ac:dyDescent="0.3">
      <c r="A10" s="21"/>
      <c r="B10" s="22" t="s">
        <v>28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6">
        <v>551798.24</v>
      </c>
      <c r="S10" s="21"/>
    </row>
    <row r="11" spans="1:19" ht="15.75" hidden="1" thickBot="1" x14ac:dyDescent="0.3">
      <c r="A11" s="21"/>
      <c r="B11" s="22" t="s">
        <v>29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6">
        <v>630626.55999999994</v>
      </c>
      <c r="S11" s="21"/>
    </row>
    <row r="12" spans="1:19" ht="15.75" hidden="1" thickBot="1" x14ac:dyDescent="0.3">
      <c r="A12" s="21"/>
      <c r="B12" s="22" t="s">
        <v>30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78000</v>
      </c>
      <c r="L12" s="23">
        <v>0</v>
      </c>
      <c r="M12" s="23">
        <v>78000</v>
      </c>
      <c r="N12" s="23">
        <v>0</v>
      </c>
      <c r="O12" s="26">
        <v>709454.87999999989</v>
      </c>
      <c r="S12" s="21"/>
    </row>
    <row r="13" spans="1:19" ht="15.75" hidden="1" thickBot="1" x14ac:dyDescent="0.3">
      <c r="A13" s="21"/>
      <c r="B13" s="22" t="s">
        <v>31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78000</v>
      </c>
      <c r="L13" s="23">
        <v>0</v>
      </c>
      <c r="M13" s="23">
        <v>1131000</v>
      </c>
      <c r="N13" s="23">
        <v>79518</v>
      </c>
      <c r="O13" s="26">
        <v>788283.19999999984</v>
      </c>
      <c r="S13" s="21"/>
    </row>
    <row r="14" spans="1:19" ht="15.75" hidden="1" thickBot="1" x14ac:dyDescent="0.3">
      <c r="A14" s="21"/>
      <c r="B14" s="22" t="s">
        <v>32</v>
      </c>
      <c r="C14" s="23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1326000</v>
      </c>
      <c r="L14" s="23">
        <v>0</v>
      </c>
      <c r="M14" s="23">
        <v>2067000</v>
      </c>
      <c r="N14" s="23">
        <v>0</v>
      </c>
      <c r="O14" s="26">
        <v>906111.51999999979</v>
      </c>
      <c r="S14" s="21"/>
    </row>
    <row r="15" spans="1:19" ht="15.75" hidden="1" thickBot="1" x14ac:dyDescent="0.3">
      <c r="A15" s="21"/>
      <c r="B15" s="22" t="s">
        <v>33</v>
      </c>
      <c r="C15" s="23">
        <v>6120.2000000000007</v>
      </c>
      <c r="D15" s="23">
        <v>385572.60000000003</v>
      </c>
      <c r="E15" s="23">
        <v>3750.9459999999999</v>
      </c>
      <c r="F15" s="23">
        <v>1125283.8</v>
      </c>
      <c r="G15" s="23">
        <v>0</v>
      </c>
      <c r="H15" s="23">
        <v>0</v>
      </c>
      <c r="I15" s="23">
        <v>0</v>
      </c>
      <c r="J15" s="23">
        <v>0</v>
      </c>
      <c r="K15" s="23">
        <v>1326000</v>
      </c>
      <c r="L15" s="23">
        <v>0</v>
      </c>
      <c r="M15" s="23">
        <v>3577856.4000000004</v>
      </c>
      <c r="N15" s="23">
        <v>0</v>
      </c>
      <c r="O15" s="26">
        <v>1023939.8399999997</v>
      </c>
      <c r="S15" s="21"/>
    </row>
    <row r="16" spans="1:19" ht="15.75" hidden="1" thickBot="1" x14ac:dyDescent="0.3">
      <c r="A16" s="21"/>
      <c r="B16" s="22" t="s">
        <v>34</v>
      </c>
      <c r="C16" s="23">
        <v>0</v>
      </c>
      <c r="D16" s="23">
        <v>0</v>
      </c>
      <c r="E16" s="23">
        <v>1.3590000000000018</v>
      </c>
      <c r="F16" s="23">
        <v>407.7000000000005</v>
      </c>
      <c r="G16" s="23">
        <v>0</v>
      </c>
      <c r="H16" s="23">
        <v>0</v>
      </c>
      <c r="I16" s="23">
        <v>0</v>
      </c>
      <c r="J16" s="23">
        <v>0</v>
      </c>
      <c r="K16" s="23">
        <v>1326000</v>
      </c>
      <c r="L16" s="23">
        <v>0</v>
      </c>
      <c r="M16" s="23">
        <v>2067407.7</v>
      </c>
      <c r="N16" s="23">
        <v>0</v>
      </c>
      <c r="O16" s="26">
        <v>1141768.1599999997</v>
      </c>
      <c r="S16" s="21"/>
    </row>
    <row r="17" spans="1:19" ht="15.75" hidden="1" thickBot="1" x14ac:dyDescent="0.3">
      <c r="A17" s="21"/>
      <c r="B17" s="22" t="s">
        <v>35</v>
      </c>
      <c r="C17" s="23">
        <v>27453.600000000002</v>
      </c>
      <c r="D17" s="23">
        <v>1729576.8</v>
      </c>
      <c r="E17" s="23">
        <v>13882.565999999999</v>
      </c>
      <c r="F17" s="23">
        <v>4164769.8000000003</v>
      </c>
      <c r="G17" s="23">
        <v>0</v>
      </c>
      <c r="H17" s="23">
        <v>0</v>
      </c>
      <c r="I17" s="23">
        <v>0</v>
      </c>
      <c r="J17" s="23">
        <v>0</v>
      </c>
      <c r="K17" s="23">
        <v>1326000</v>
      </c>
      <c r="L17" s="23">
        <v>0</v>
      </c>
      <c r="M17" s="23">
        <v>7961346.5999999987</v>
      </c>
      <c r="N17" s="23">
        <v>0</v>
      </c>
      <c r="O17" s="26">
        <v>1259596.4799999997</v>
      </c>
      <c r="S17" s="21"/>
    </row>
    <row r="18" spans="1:19" ht="15.75" hidden="1" thickBot="1" x14ac:dyDescent="0.3">
      <c r="A18" s="21"/>
      <c r="B18" s="22" t="s">
        <v>36</v>
      </c>
      <c r="C18" s="23">
        <v>2340.9000000000005</v>
      </c>
      <c r="D18" s="23">
        <v>147476.70000000001</v>
      </c>
      <c r="E18" s="23">
        <v>1355.7759999999989</v>
      </c>
      <c r="F18" s="23">
        <v>406732.7999999997</v>
      </c>
      <c r="G18" s="23">
        <v>0</v>
      </c>
      <c r="H18" s="23">
        <v>0</v>
      </c>
      <c r="I18" s="23">
        <v>0</v>
      </c>
      <c r="J18" s="23">
        <v>0</v>
      </c>
      <c r="K18" s="23">
        <v>1326000</v>
      </c>
      <c r="L18" s="23">
        <v>0</v>
      </c>
      <c r="M18" s="23">
        <v>2621209.5</v>
      </c>
      <c r="N18" s="23">
        <v>0</v>
      </c>
      <c r="O18" s="26">
        <v>1377424.7999999998</v>
      </c>
      <c r="S18" s="21"/>
    </row>
    <row r="19" spans="1:19" ht="15.75" hidden="1" thickBot="1" x14ac:dyDescent="0.3">
      <c r="A19" s="21"/>
      <c r="B19" s="22" t="s">
        <v>37</v>
      </c>
      <c r="C19" s="23">
        <v>5159.0999999999995</v>
      </c>
      <c r="D19" s="23">
        <v>325023.30000000005</v>
      </c>
      <c r="E19" s="23">
        <v>3170.933</v>
      </c>
      <c r="F19" s="23">
        <v>951279.90000000014</v>
      </c>
      <c r="G19" s="23">
        <v>0</v>
      </c>
      <c r="H19" s="23">
        <v>0</v>
      </c>
      <c r="I19" s="23">
        <v>0</v>
      </c>
      <c r="J19" s="23">
        <v>0</v>
      </c>
      <c r="K19" s="23">
        <v>1326000</v>
      </c>
      <c r="L19" s="23">
        <v>0</v>
      </c>
      <c r="M19" s="23">
        <v>3343303.1999999997</v>
      </c>
      <c r="N19" s="23">
        <v>0</v>
      </c>
      <c r="O19" s="26">
        <v>1573253.1199999999</v>
      </c>
      <c r="S19" s="21"/>
    </row>
    <row r="20" spans="1:19" ht="15.75" hidden="1" thickBot="1" x14ac:dyDescent="0.3">
      <c r="A20" s="21">
        <v>2004</v>
      </c>
      <c r="B20" s="22" t="s">
        <v>38</v>
      </c>
      <c r="C20" s="23">
        <v>2563.2999999999997</v>
      </c>
      <c r="D20" s="23">
        <v>161487.89999999997</v>
      </c>
      <c r="E20" s="23">
        <v>1873.0900000000001</v>
      </c>
      <c r="F20" s="23">
        <v>561927</v>
      </c>
      <c r="G20" s="23">
        <v>0</v>
      </c>
      <c r="H20" s="23">
        <v>0</v>
      </c>
      <c r="I20" s="23">
        <v>0</v>
      </c>
      <c r="J20" s="23">
        <v>0</v>
      </c>
      <c r="K20" s="23">
        <v>1326000</v>
      </c>
      <c r="L20" s="23">
        <v>0</v>
      </c>
      <c r="M20" s="23">
        <v>3037614.8999999994</v>
      </c>
      <c r="N20" s="23">
        <v>0</v>
      </c>
      <c r="O20" s="26">
        <v>1769081.44</v>
      </c>
      <c r="S20" s="21"/>
    </row>
    <row r="21" spans="1:19" ht="15.75" hidden="1" thickBot="1" x14ac:dyDescent="0.3">
      <c r="A21" s="21"/>
      <c r="B21" s="22" t="s">
        <v>27</v>
      </c>
      <c r="C21" s="23">
        <v>3820.5000000000018</v>
      </c>
      <c r="D21" s="23">
        <v>240691.50000000009</v>
      </c>
      <c r="E21" s="23">
        <v>3965.3100000000004</v>
      </c>
      <c r="F21" s="23">
        <v>1217067</v>
      </c>
      <c r="G21" s="23">
        <v>0</v>
      </c>
      <c r="H21" s="23">
        <v>0</v>
      </c>
      <c r="I21" s="23">
        <v>0</v>
      </c>
      <c r="J21" s="23">
        <v>0</v>
      </c>
      <c r="K21" s="23">
        <v>1326000</v>
      </c>
      <c r="L21" s="23">
        <v>0</v>
      </c>
      <c r="M21" s="23">
        <v>3530158.5</v>
      </c>
      <c r="N21" s="23">
        <v>39000</v>
      </c>
      <c r="O21" s="26">
        <v>1925909.76</v>
      </c>
      <c r="S21" s="21"/>
    </row>
    <row r="22" spans="1:19" ht="15.75" hidden="1" thickBot="1" x14ac:dyDescent="0.3">
      <c r="A22" s="21"/>
      <c r="B22" s="22" t="s">
        <v>28</v>
      </c>
      <c r="C22" s="23">
        <v>4241.7999999999975</v>
      </c>
      <c r="D22" s="23">
        <v>267233.39999999979</v>
      </c>
      <c r="E22" s="23">
        <v>1839.0900000000001</v>
      </c>
      <c r="F22" s="23">
        <v>554895.00000000012</v>
      </c>
      <c r="G22" s="23">
        <v>0</v>
      </c>
      <c r="H22" s="23">
        <v>0</v>
      </c>
      <c r="I22" s="23">
        <v>0</v>
      </c>
      <c r="J22" s="23">
        <v>0</v>
      </c>
      <c r="K22" s="23">
        <v>1326000</v>
      </c>
      <c r="L22" s="23">
        <v>0</v>
      </c>
      <c r="M22" s="23">
        <v>2889128.4</v>
      </c>
      <c r="N22" s="23">
        <v>0</v>
      </c>
      <c r="O22" s="26">
        <v>2201205.98</v>
      </c>
      <c r="S22" s="21"/>
    </row>
    <row r="23" spans="1:19" ht="15.75" hidden="1" thickBot="1" x14ac:dyDescent="0.3">
      <c r="A23" s="21"/>
      <c r="B23" s="22" t="s">
        <v>29</v>
      </c>
      <c r="C23" s="23">
        <v>2856.4000000000019</v>
      </c>
      <c r="D23" s="23">
        <v>179953.20000000013</v>
      </c>
      <c r="E23" s="23">
        <v>690.50999999999931</v>
      </c>
      <c r="F23" s="23">
        <v>248583.59999999974</v>
      </c>
      <c r="G23" s="23">
        <v>0</v>
      </c>
      <c r="H23" s="23">
        <v>0</v>
      </c>
      <c r="I23" s="23">
        <v>0</v>
      </c>
      <c r="J23" s="23">
        <v>0</v>
      </c>
      <c r="K23" s="23">
        <v>1326000</v>
      </c>
      <c r="L23" s="23">
        <v>0</v>
      </c>
      <c r="M23" s="23">
        <v>2495536.8000000003</v>
      </c>
      <c r="N23" s="23">
        <v>0</v>
      </c>
      <c r="O23" s="26">
        <v>2514884.8000000003</v>
      </c>
      <c r="S23" s="21"/>
    </row>
    <row r="24" spans="1:19" ht="15.75" hidden="1" thickBot="1" x14ac:dyDescent="0.3">
      <c r="A24" s="21"/>
      <c r="B24" s="22" t="s">
        <v>30</v>
      </c>
      <c r="C24" s="23">
        <v>2942.5999999999981</v>
      </c>
      <c r="D24" s="23">
        <v>185383.79999999987</v>
      </c>
      <c r="E24" s="23">
        <v>618.50000000000011</v>
      </c>
      <c r="F24" s="23">
        <v>222660.00000000003</v>
      </c>
      <c r="G24" s="23">
        <v>0</v>
      </c>
      <c r="H24" s="23">
        <v>0</v>
      </c>
      <c r="I24" s="23">
        <v>0</v>
      </c>
      <c r="J24" s="23">
        <v>0</v>
      </c>
      <c r="K24" s="23">
        <v>2067000</v>
      </c>
      <c r="L24" s="23">
        <v>33872</v>
      </c>
      <c r="M24" s="23">
        <v>2475043.7999999998</v>
      </c>
      <c r="N24" s="23">
        <v>0</v>
      </c>
      <c r="O24" s="26">
        <v>3306864.3200000003</v>
      </c>
      <c r="S24" s="21"/>
    </row>
    <row r="25" spans="1:19" ht="15.75" hidden="1" thickBot="1" x14ac:dyDescent="0.3">
      <c r="A25" s="21"/>
      <c r="B25" s="22" t="s">
        <v>31</v>
      </c>
      <c r="C25" s="23">
        <v>2709.5000000000009</v>
      </c>
      <c r="D25" s="23">
        <v>170698.50000000006</v>
      </c>
      <c r="E25" s="23">
        <v>401.70000000000056</v>
      </c>
      <c r="F25" s="23">
        <v>144612.0000000002</v>
      </c>
      <c r="G25" s="23">
        <v>0</v>
      </c>
      <c r="H25" s="23">
        <v>0</v>
      </c>
      <c r="I25" s="23">
        <v>0</v>
      </c>
      <c r="J25" s="23">
        <v>0</v>
      </c>
      <c r="K25" s="23">
        <v>2067000</v>
      </c>
      <c r="L25" s="23">
        <v>34030</v>
      </c>
      <c r="M25" s="23">
        <v>2382310.5000000009</v>
      </c>
      <c r="N25" s="23">
        <v>378000</v>
      </c>
      <c r="O25" s="26">
        <v>3878975.54</v>
      </c>
      <c r="S25" s="21"/>
    </row>
    <row r="26" spans="1:19" ht="15.75" hidden="1" thickBot="1" x14ac:dyDescent="0.3">
      <c r="A26" s="21"/>
      <c r="B26" s="22" t="s">
        <v>32</v>
      </c>
      <c r="C26" s="23">
        <v>3505.2999999999984</v>
      </c>
      <c r="D26" s="23">
        <v>220833.89999999991</v>
      </c>
      <c r="E26" s="23">
        <v>338.50000000000011</v>
      </c>
      <c r="F26" s="23">
        <v>121860.00000000004</v>
      </c>
      <c r="G26" s="23">
        <v>0</v>
      </c>
      <c r="H26" s="23">
        <v>0</v>
      </c>
      <c r="I26" s="23">
        <v>0</v>
      </c>
      <c r="J26" s="23">
        <v>0</v>
      </c>
      <c r="K26" s="23">
        <v>2067000</v>
      </c>
      <c r="L26" s="23">
        <v>34178</v>
      </c>
      <c r="M26" s="23">
        <v>2409693.9</v>
      </c>
      <c r="N26" s="23">
        <v>585000</v>
      </c>
      <c r="O26" s="26">
        <v>4971361.8600000003</v>
      </c>
      <c r="S26" s="21"/>
    </row>
    <row r="27" spans="1:19" ht="15.75" hidden="1" thickBot="1" x14ac:dyDescent="0.3">
      <c r="A27" s="21"/>
      <c r="B27" s="22" t="s">
        <v>33</v>
      </c>
      <c r="C27" s="23">
        <v>3102.1000000000022</v>
      </c>
      <c r="D27" s="23">
        <v>195432.30000000013</v>
      </c>
      <c r="E27" s="23">
        <v>412.49999999999955</v>
      </c>
      <c r="F27" s="23">
        <v>148499.99999999983</v>
      </c>
      <c r="G27" s="23">
        <v>0</v>
      </c>
      <c r="H27" s="23">
        <v>0</v>
      </c>
      <c r="I27" s="23">
        <v>0</v>
      </c>
      <c r="J27" s="23">
        <v>0</v>
      </c>
      <c r="K27" s="23">
        <v>2067000</v>
      </c>
      <c r="L27" s="23">
        <v>34266</v>
      </c>
      <c r="M27" s="23">
        <v>2410932.3000000003</v>
      </c>
      <c r="N27" s="23">
        <v>1440118</v>
      </c>
      <c r="O27" s="26">
        <v>5738906.9800000014</v>
      </c>
      <c r="S27" s="21"/>
    </row>
    <row r="28" spans="1:19" ht="15.75" hidden="1" thickBot="1" x14ac:dyDescent="0.3">
      <c r="A28" s="21"/>
      <c r="B28" s="22" t="s">
        <v>34</v>
      </c>
      <c r="C28" s="23">
        <v>3402.9</v>
      </c>
      <c r="D28" s="23">
        <v>214382.7</v>
      </c>
      <c r="E28" s="23">
        <v>918.89999999999986</v>
      </c>
      <c r="F28" s="23">
        <v>330803.99999999994</v>
      </c>
      <c r="G28" s="23">
        <v>0</v>
      </c>
      <c r="H28" s="23">
        <v>0</v>
      </c>
      <c r="I28" s="23">
        <v>0</v>
      </c>
      <c r="J28" s="23">
        <v>0</v>
      </c>
      <c r="K28" s="23">
        <v>2067000</v>
      </c>
      <c r="L28" s="23">
        <v>34382</v>
      </c>
      <c r="M28" s="23">
        <v>2612186.6999999997</v>
      </c>
      <c r="N28" s="23">
        <v>1967881</v>
      </c>
      <c r="O28" s="26">
        <v>6237258.4000000004</v>
      </c>
      <c r="S28" s="21"/>
    </row>
    <row r="29" spans="1:19" ht="15.75" hidden="1" thickBot="1" x14ac:dyDescent="0.3">
      <c r="A29" s="21"/>
      <c r="B29" s="22" t="s">
        <v>35</v>
      </c>
      <c r="C29" s="23">
        <v>2757.8999999999996</v>
      </c>
      <c r="D29" s="23">
        <v>173747.69999999998</v>
      </c>
      <c r="E29" s="23">
        <v>1223</v>
      </c>
      <c r="F29" s="23">
        <v>440280</v>
      </c>
      <c r="G29" s="23">
        <v>0</v>
      </c>
      <c r="H29" s="23">
        <v>0</v>
      </c>
      <c r="I29" s="23">
        <v>0</v>
      </c>
      <c r="J29" s="23">
        <v>0</v>
      </c>
      <c r="K29" s="23">
        <v>2067000</v>
      </c>
      <c r="L29" s="23">
        <v>68894</v>
      </c>
      <c r="M29" s="23">
        <v>2681027.7000000007</v>
      </c>
      <c r="N29" s="23">
        <v>2877043</v>
      </c>
      <c r="O29" s="26">
        <v>6255044.4200000009</v>
      </c>
      <c r="S29" s="21"/>
    </row>
    <row r="30" spans="1:19" ht="15.75" hidden="1" thickBot="1" x14ac:dyDescent="0.3">
      <c r="A30" s="21"/>
      <c r="B30" s="22" t="s">
        <v>36</v>
      </c>
      <c r="C30" s="23">
        <v>3506.8</v>
      </c>
      <c r="D30" s="23">
        <v>220928.39999999994</v>
      </c>
      <c r="E30" s="23">
        <v>1586.7000000000007</v>
      </c>
      <c r="F30" s="23">
        <v>571212.00000000023</v>
      </c>
      <c r="G30" s="23">
        <v>0</v>
      </c>
      <c r="H30" s="23">
        <v>0</v>
      </c>
      <c r="I30" s="23">
        <v>0</v>
      </c>
      <c r="J30" s="23">
        <v>0</v>
      </c>
      <c r="K30" s="23">
        <v>2106000</v>
      </c>
      <c r="L30" s="23">
        <v>69060</v>
      </c>
      <c r="M30" s="23">
        <v>2898140.4</v>
      </c>
      <c r="N30" s="23">
        <v>2237157</v>
      </c>
      <c r="O30" s="26">
        <v>7031129.1400000006</v>
      </c>
      <c r="S30" s="21"/>
    </row>
    <row r="31" spans="1:19" ht="15.75" hidden="1" thickBot="1" x14ac:dyDescent="0.3">
      <c r="A31" s="21"/>
      <c r="B31" s="22" t="s">
        <v>37</v>
      </c>
      <c r="C31" s="23">
        <v>2803.6000000000004</v>
      </c>
      <c r="D31" s="23">
        <v>176626.80000000002</v>
      </c>
      <c r="E31" s="23">
        <v>1606.3999999999996</v>
      </c>
      <c r="F31" s="23">
        <v>578304</v>
      </c>
      <c r="G31" s="23">
        <v>0</v>
      </c>
      <c r="H31" s="23">
        <v>0</v>
      </c>
      <c r="I31" s="23">
        <v>0</v>
      </c>
      <c r="J31" s="23">
        <v>0</v>
      </c>
      <c r="K31" s="23">
        <v>2106000</v>
      </c>
      <c r="L31" s="23">
        <v>69268</v>
      </c>
      <c r="M31" s="23">
        <v>2860930.8</v>
      </c>
      <c r="N31" s="23">
        <v>2512020</v>
      </c>
      <c r="O31" s="26">
        <v>7254047.2599999998</v>
      </c>
      <c r="S31" s="21"/>
    </row>
    <row r="32" spans="1:19" ht="15.75" hidden="1" thickBot="1" x14ac:dyDescent="0.3">
      <c r="A32" s="21">
        <v>2005</v>
      </c>
      <c r="B32" s="22" t="s">
        <v>38</v>
      </c>
      <c r="C32" s="23">
        <v>7712.2999999999993</v>
      </c>
      <c r="D32" s="23">
        <v>485874.9</v>
      </c>
      <c r="E32" s="23">
        <v>2949.1000000000004</v>
      </c>
      <c r="F32" s="23">
        <v>1061676</v>
      </c>
      <c r="G32" s="23">
        <v>0</v>
      </c>
      <c r="H32" s="23">
        <v>0</v>
      </c>
      <c r="I32" s="23">
        <v>0</v>
      </c>
      <c r="J32" s="23">
        <v>0</v>
      </c>
      <c r="K32" s="23">
        <v>2106000</v>
      </c>
      <c r="L32" s="23">
        <v>69132</v>
      </c>
      <c r="M32" s="23">
        <v>4667550.8999999994</v>
      </c>
      <c r="N32" s="23">
        <v>1645290</v>
      </c>
      <c r="O32" s="26">
        <v>10070181.48</v>
      </c>
      <c r="S32" s="21"/>
    </row>
    <row r="33" spans="1:19" ht="15.75" hidden="1" thickBot="1" x14ac:dyDescent="0.3">
      <c r="A33" s="21"/>
      <c r="B33" s="22" t="s">
        <v>27</v>
      </c>
      <c r="C33" s="23">
        <v>5422</v>
      </c>
      <c r="D33" s="23">
        <v>341586</v>
      </c>
      <c r="E33" s="23">
        <v>2664.1000000000004</v>
      </c>
      <c r="F33" s="23">
        <v>959076</v>
      </c>
      <c r="G33" s="23">
        <v>4000</v>
      </c>
      <c r="H33" s="23">
        <v>0</v>
      </c>
      <c r="I33" s="23">
        <v>234000</v>
      </c>
      <c r="J33" s="23">
        <v>52000</v>
      </c>
      <c r="K33" s="23">
        <v>2067000</v>
      </c>
      <c r="L33" s="23">
        <v>68910</v>
      </c>
      <c r="M33" s="23">
        <v>3423662</v>
      </c>
      <c r="N33" s="23">
        <v>2651289</v>
      </c>
      <c r="O33" s="26">
        <v>11108403.800000001</v>
      </c>
      <c r="S33" s="21"/>
    </row>
    <row r="34" spans="1:19" ht="15.75" hidden="1" thickBot="1" x14ac:dyDescent="0.3">
      <c r="A34" s="21"/>
      <c r="B34" s="22" t="s">
        <v>28</v>
      </c>
      <c r="C34" s="23">
        <v>4325</v>
      </c>
      <c r="D34" s="23">
        <v>272475</v>
      </c>
      <c r="E34" s="23">
        <v>2112.2999999999997</v>
      </c>
      <c r="F34" s="23">
        <v>760427.99999999988</v>
      </c>
      <c r="G34" s="23">
        <v>4000</v>
      </c>
      <c r="H34" s="23">
        <v>0</v>
      </c>
      <c r="I34" s="23">
        <v>0</v>
      </c>
      <c r="J34" s="23">
        <v>52000</v>
      </c>
      <c r="K34" s="23">
        <v>2106000</v>
      </c>
      <c r="L34" s="23">
        <v>68796</v>
      </c>
      <c r="M34" s="23">
        <v>3194903</v>
      </c>
      <c r="N34" s="23">
        <v>3965741</v>
      </c>
      <c r="O34" s="26">
        <v>10390568.120000001</v>
      </c>
      <c r="S34" s="21"/>
    </row>
    <row r="35" spans="1:19" ht="15.75" hidden="1" thickBot="1" x14ac:dyDescent="0.3">
      <c r="A35" s="21"/>
      <c r="B35" s="22" t="s">
        <v>29</v>
      </c>
      <c r="C35" s="23">
        <v>4912.8999999999996</v>
      </c>
      <c r="D35" s="23">
        <v>309512.7</v>
      </c>
      <c r="E35" s="23">
        <v>1621.9</v>
      </c>
      <c r="F35" s="23">
        <v>583884</v>
      </c>
      <c r="G35" s="23">
        <v>4000</v>
      </c>
      <c r="H35" s="23">
        <v>0</v>
      </c>
      <c r="I35" s="23">
        <v>0</v>
      </c>
      <c r="J35" s="23">
        <v>52000</v>
      </c>
      <c r="K35" s="23">
        <v>2106000</v>
      </c>
      <c r="L35" s="23">
        <v>69064</v>
      </c>
      <c r="M35" s="23">
        <v>3075396.7</v>
      </c>
      <c r="N35" s="23">
        <v>2657531</v>
      </c>
      <c r="O35" s="26">
        <v>10670317.140000001</v>
      </c>
      <c r="S35" s="21"/>
    </row>
    <row r="36" spans="1:19" ht="15.75" hidden="1" thickBot="1" x14ac:dyDescent="0.3">
      <c r="A36" s="21"/>
      <c r="B36" s="22" t="s">
        <v>30</v>
      </c>
      <c r="C36" s="23">
        <v>4707.2</v>
      </c>
      <c r="D36" s="23">
        <v>296553.59999999998</v>
      </c>
      <c r="E36" s="23">
        <v>729.05</v>
      </c>
      <c r="F36" s="23">
        <v>262458</v>
      </c>
      <c r="G36" s="23">
        <v>4000</v>
      </c>
      <c r="H36" s="23">
        <v>0</v>
      </c>
      <c r="I36" s="23">
        <v>0</v>
      </c>
      <c r="J36" s="23">
        <v>152000</v>
      </c>
      <c r="K36" s="23">
        <v>2106000</v>
      </c>
      <c r="L36" s="23">
        <v>69630</v>
      </c>
      <c r="M36" s="23">
        <v>2741011.6</v>
      </c>
      <c r="N36" s="23">
        <v>2780228</v>
      </c>
      <c r="O36" s="26">
        <v>10672227.060000001</v>
      </c>
      <c r="S36" s="21"/>
    </row>
    <row r="37" spans="1:19" ht="15.75" hidden="1" thickBot="1" x14ac:dyDescent="0.3">
      <c r="A37" s="21"/>
      <c r="B37" s="22" t="s">
        <v>31</v>
      </c>
      <c r="C37" s="23">
        <v>4815.6000000000004</v>
      </c>
      <c r="D37" s="23">
        <v>303382.80000000005</v>
      </c>
      <c r="E37" s="23">
        <v>424.21</v>
      </c>
      <c r="F37" s="23">
        <v>152715.59999999998</v>
      </c>
      <c r="G37" s="23">
        <v>4000</v>
      </c>
      <c r="H37" s="23">
        <v>0</v>
      </c>
      <c r="I37" s="23">
        <v>0</v>
      </c>
      <c r="J37" s="23">
        <v>148000</v>
      </c>
      <c r="K37" s="23">
        <v>2106000</v>
      </c>
      <c r="L37" s="23">
        <v>69958</v>
      </c>
      <c r="M37" s="23">
        <v>2634098.3999999994</v>
      </c>
      <c r="N37" s="23">
        <v>1927223</v>
      </c>
      <c r="O37" s="26">
        <v>11438513.979999999</v>
      </c>
      <c r="S37" s="21"/>
    </row>
    <row r="38" spans="1:19" ht="15.75" hidden="1" thickBot="1" x14ac:dyDescent="0.3">
      <c r="A38" s="21"/>
      <c r="B38" s="22" t="s">
        <v>32</v>
      </c>
      <c r="C38" s="23">
        <v>4351</v>
      </c>
      <c r="D38" s="23">
        <v>274113</v>
      </c>
      <c r="E38" s="23">
        <v>457.24000000000132</v>
      </c>
      <c r="F38" s="23">
        <v>164606.40000000049</v>
      </c>
      <c r="G38" s="23">
        <v>4000</v>
      </c>
      <c r="H38" s="23">
        <v>0</v>
      </c>
      <c r="I38" s="23">
        <v>0</v>
      </c>
      <c r="J38" s="23">
        <v>148000</v>
      </c>
      <c r="K38" s="23">
        <v>2106000</v>
      </c>
      <c r="L38" s="23">
        <v>70218</v>
      </c>
      <c r="M38" s="23">
        <v>2616719.4000000004</v>
      </c>
      <c r="N38" s="23">
        <v>1738428</v>
      </c>
      <c r="O38" s="26">
        <v>12228039.300000001</v>
      </c>
      <c r="S38" s="21"/>
    </row>
    <row r="39" spans="1:19" ht="15.75" hidden="1" thickBot="1" x14ac:dyDescent="0.3">
      <c r="A39" s="21"/>
      <c r="B39" s="22" t="s">
        <v>33</v>
      </c>
      <c r="C39" s="23">
        <v>4403.7000000000007</v>
      </c>
      <c r="D39" s="23">
        <v>277433.10000000009</v>
      </c>
      <c r="E39" s="23">
        <v>490.59999999999906</v>
      </c>
      <c r="F39" s="23">
        <v>176615.99999999965</v>
      </c>
      <c r="G39" s="23">
        <v>4000</v>
      </c>
      <c r="H39" s="23">
        <v>0</v>
      </c>
      <c r="I39" s="23">
        <v>0</v>
      </c>
      <c r="J39" s="23">
        <v>148000</v>
      </c>
      <c r="K39" s="23">
        <v>2106000</v>
      </c>
      <c r="L39" s="23">
        <v>70600</v>
      </c>
      <c r="M39" s="23">
        <v>2632049.0999999996</v>
      </c>
      <c r="N39" s="23">
        <v>4177637</v>
      </c>
      <c r="O39" s="26">
        <v>10599814.92</v>
      </c>
      <c r="S39" s="21"/>
    </row>
    <row r="40" spans="1:19" ht="15.75" hidden="1" thickBot="1" x14ac:dyDescent="0.3">
      <c r="A40" s="21"/>
      <c r="B40" s="22" t="s">
        <v>34</v>
      </c>
      <c r="C40" s="23">
        <v>4124.7999999999984</v>
      </c>
      <c r="D40" s="23">
        <v>259862.39999999991</v>
      </c>
      <c r="E40" s="23">
        <v>593.89999999999964</v>
      </c>
      <c r="F40" s="23">
        <v>213803.99999999988</v>
      </c>
      <c r="G40" s="23">
        <v>4000</v>
      </c>
      <c r="H40" s="23">
        <v>0</v>
      </c>
      <c r="I40" s="23">
        <v>0</v>
      </c>
      <c r="J40" s="23">
        <v>148000</v>
      </c>
      <c r="K40" s="23">
        <v>2093000</v>
      </c>
      <c r="L40" s="23">
        <v>70870</v>
      </c>
      <c r="M40" s="23">
        <v>2638666.4</v>
      </c>
      <c r="N40" s="23">
        <v>1481816</v>
      </c>
      <c r="O40" s="26">
        <v>11195800.639999999</v>
      </c>
      <c r="S40" s="21"/>
    </row>
    <row r="41" spans="1:19" ht="15.75" hidden="1" thickBot="1" x14ac:dyDescent="0.3">
      <c r="A41" s="21"/>
      <c r="B41" s="22" t="s">
        <v>35</v>
      </c>
      <c r="C41" s="23">
        <v>5611</v>
      </c>
      <c r="D41" s="23">
        <v>353493</v>
      </c>
      <c r="E41" s="23">
        <v>965</v>
      </c>
      <c r="F41" s="23">
        <v>347400</v>
      </c>
      <c r="G41" s="23">
        <v>4000</v>
      </c>
      <c r="H41" s="23">
        <v>0</v>
      </c>
      <c r="I41" s="23">
        <v>0</v>
      </c>
      <c r="J41" s="23">
        <v>144000</v>
      </c>
      <c r="K41" s="23">
        <v>2145000</v>
      </c>
      <c r="L41" s="23">
        <v>71436</v>
      </c>
      <c r="M41" s="23">
        <v>2952893</v>
      </c>
      <c r="N41" s="23">
        <v>2030873</v>
      </c>
      <c r="O41" s="26">
        <v>12325406.959999999</v>
      </c>
      <c r="S41" s="21"/>
    </row>
    <row r="42" spans="1:19" ht="15.75" hidden="1" thickBot="1" x14ac:dyDescent="0.3">
      <c r="A42" s="21"/>
      <c r="B42" s="22" t="s">
        <v>36</v>
      </c>
      <c r="C42" s="23">
        <v>3674</v>
      </c>
      <c r="D42" s="23">
        <v>231462</v>
      </c>
      <c r="E42" s="23">
        <v>1833</v>
      </c>
      <c r="F42" s="23">
        <v>659880</v>
      </c>
      <c r="G42" s="23">
        <v>4000</v>
      </c>
      <c r="H42" s="23">
        <v>0</v>
      </c>
      <c r="I42" s="23">
        <v>0</v>
      </c>
      <c r="J42" s="23">
        <v>144000</v>
      </c>
      <c r="K42" s="23">
        <v>2184000</v>
      </c>
      <c r="L42" s="23">
        <v>71894</v>
      </c>
      <c r="M42" s="23">
        <v>3143342</v>
      </c>
      <c r="N42" s="23">
        <v>1750681</v>
      </c>
      <c r="O42" s="26">
        <v>13712498.979999997</v>
      </c>
      <c r="S42" s="21"/>
    </row>
    <row r="43" spans="1:19" ht="15.75" hidden="1" thickBot="1" x14ac:dyDescent="0.3">
      <c r="A43" s="21"/>
      <c r="B43" s="22" t="s">
        <v>37</v>
      </c>
      <c r="C43" s="23">
        <v>30751</v>
      </c>
      <c r="D43" s="23">
        <v>1937313</v>
      </c>
      <c r="E43" s="23">
        <v>2005</v>
      </c>
      <c r="F43" s="23">
        <v>721800</v>
      </c>
      <c r="G43" s="23">
        <v>4000</v>
      </c>
      <c r="H43" s="23">
        <v>0</v>
      </c>
      <c r="I43" s="23">
        <v>0</v>
      </c>
      <c r="J43" s="23">
        <v>144000</v>
      </c>
      <c r="K43" s="23">
        <v>2184000</v>
      </c>
      <c r="L43" s="23">
        <v>71900</v>
      </c>
      <c r="M43" s="23">
        <v>4911113</v>
      </c>
      <c r="N43" s="23">
        <v>3136538</v>
      </c>
      <c r="O43" s="26">
        <v>13451382.299999997</v>
      </c>
      <c r="S43" s="21"/>
    </row>
    <row r="44" spans="1:19" ht="15.75" hidden="1" thickBot="1" x14ac:dyDescent="0.3">
      <c r="A44" s="21">
        <v>2006</v>
      </c>
      <c r="B44" s="22" t="s">
        <v>38</v>
      </c>
      <c r="C44" s="23">
        <v>9378</v>
      </c>
      <c r="D44" s="23">
        <v>590814</v>
      </c>
      <c r="E44" s="23">
        <v>3796</v>
      </c>
      <c r="F44" s="23">
        <v>1366560</v>
      </c>
      <c r="G44" s="23">
        <v>4000</v>
      </c>
      <c r="H44" s="23">
        <v>0</v>
      </c>
      <c r="I44" s="23">
        <v>0</v>
      </c>
      <c r="J44" s="23">
        <v>144000</v>
      </c>
      <c r="K44" s="23">
        <v>2145000</v>
      </c>
      <c r="L44" s="23">
        <v>71704</v>
      </c>
      <c r="M44" s="23">
        <v>4170374</v>
      </c>
      <c r="N44" s="23">
        <v>2766617</v>
      </c>
      <c r="O44" s="26">
        <v>15069148.619999997</v>
      </c>
      <c r="S44" s="21"/>
    </row>
    <row r="45" spans="1:19" ht="15.75" hidden="1" thickBot="1" x14ac:dyDescent="0.3">
      <c r="A45" s="21"/>
      <c r="B45" s="22" t="s">
        <v>27</v>
      </c>
      <c r="C45" s="23">
        <v>6987</v>
      </c>
      <c r="D45" s="23">
        <v>440181</v>
      </c>
      <c r="E45" s="23">
        <v>3022</v>
      </c>
      <c r="F45" s="23">
        <v>1087920</v>
      </c>
      <c r="G45" s="23">
        <v>4000</v>
      </c>
      <c r="H45" s="23">
        <v>0</v>
      </c>
      <c r="I45" s="23">
        <v>0</v>
      </c>
      <c r="J45" s="23">
        <v>144000</v>
      </c>
      <c r="K45" s="23">
        <v>2145000</v>
      </c>
      <c r="L45" s="23">
        <v>71690</v>
      </c>
      <c r="M45" s="23">
        <v>3741101</v>
      </c>
      <c r="N45" s="23">
        <v>2313262</v>
      </c>
      <c r="O45" s="26">
        <v>17038381.939999998</v>
      </c>
      <c r="S45" s="21"/>
    </row>
    <row r="46" spans="1:19" ht="15.75" hidden="1" thickBot="1" x14ac:dyDescent="0.3">
      <c r="A46" s="21"/>
      <c r="B46" s="22" t="s">
        <v>28</v>
      </c>
      <c r="C46" s="23">
        <v>4059</v>
      </c>
      <c r="D46" s="23">
        <v>255717</v>
      </c>
      <c r="E46" s="23">
        <v>2413</v>
      </c>
      <c r="F46" s="23">
        <v>868680</v>
      </c>
      <c r="G46" s="23">
        <v>4000</v>
      </c>
      <c r="H46" s="23">
        <v>0</v>
      </c>
      <c r="I46" s="23">
        <v>0</v>
      </c>
      <c r="J46" s="23">
        <v>144000</v>
      </c>
      <c r="K46" s="23">
        <v>2184000</v>
      </c>
      <c r="L46" s="23">
        <v>71662</v>
      </c>
      <c r="M46" s="23">
        <v>3376397</v>
      </c>
      <c r="N46" s="23">
        <v>4257898</v>
      </c>
      <c r="O46" s="26">
        <v>16042480.259999998</v>
      </c>
      <c r="S46" s="21"/>
    </row>
    <row r="47" spans="1:19" ht="15.75" hidden="1" thickBot="1" x14ac:dyDescent="0.3">
      <c r="A47" s="21"/>
      <c r="B47" s="22" t="s">
        <v>29</v>
      </c>
      <c r="C47" s="23">
        <v>4574</v>
      </c>
      <c r="D47" s="23">
        <v>288162</v>
      </c>
      <c r="E47" s="23">
        <v>2520</v>
      </c>
      <c r="F47" s="23">
        <v>907200</v>
      </c>
      <c r="G47" s="23">
        <v>4000</v>
      </c>
      <c r="H47" s="23">
        <v>0</v>
      </c>
      <c r="I47" s="23">
        <v>0</v>
      </c>
      <c r="J47" s="23">
        <v>144000</v>
      </c>
      <c r="K47" s="23">
        <v>2184000</v>
      </c>
      <c r="L47" s="23">
        <v>71942</v>
      </c>
      <c r="M47" s="23">
        <v>3447362</v>
      </c>
      <c r="N47" s="23">
        <v>2712800</v>
      </c>
      <c r="O47" s="26">
        <v>16715466.579999996</v>
      </c>
      <c r="S47" s="21"/>
    </row>
    <row r="48" spans="1:19" ht="15.75" hidden="1" thickBot="1" x14ac:dyDescent="0.3">
      <c r="A48" s="21"/>
      <c r="B48" s="22" t="s">
        <v>30</v>
      </c>
      <c r="C48" s="23">
        <v>4903</v>
      </c>
      <c r="D48" s="23">
        <v>308889</v>
      </c>
      <c r="E48" s="23">
        <v>1666</v>
      </c>
      <c r="F48" s="23">
        <v>599760</v>
      </c>
      <c r="G48" s="23">
        <v>4000</v>
      </c>
      <c r="H48" s="23">
        <v>0</v>
      </c>
      <c r="I48" s="23">
        <v>0</v>
      </c>
      <c r="J48" s="23">
        <v>144000</v>
      </c>
      <c r="K48" s="23">
        <v>2184000</v>
      </c>
      <c r="L48" s="23">
        <v>72378</v>
      </c>
      <c r="M48" s="23">
        <v>3160649</v>
      </c>
      <c r="N48" s="23">
        <v>2404904</v>
      </c>
      <c r="O48" s="26">
        <v>17334743.899999999</v>
      </c>
      <c r="S48" s="21"/>
    </row>
    <row r="49" spans="1:19" ht="15.75" hidden="1" thickBot="1" x14ac:dyDescent="0.3">
      <c r="A49" s="21"/>
      <c r="B49" s="22" t="s">
        <v>31</v>
      </c>
      <c r="C49" s="23">
        <v>4849</v>
      </c>
      <c r="D49" s="23">
        <v>305487</v>
      </c>
      <c r="E49" s="23">
        <v>509</v>
      </c>
      <c r="F49" s="23">
        <v>183240</v>
      </c>
      <c r="G49" s="23">
        <v>4000</v>
      </c>
      <c r="H49" s="23">
        <v>0</v>
      </c>
      <c r="I49" s="23">
        <v>0</v>
      </c>
      <c r="J49" s="23">
        <v>144000</v>
      </c>
      <c r="K49" s="23">
        <v>2184000</v>
      </c>
      <c r="L49" s="23">
        <v>72606</v>
      </c>
      <c r="M49" s="23">
        <v>2740727</v>
      </c>
      <c r="N49" s="23">
        <v>3621557</v>
      </c>
      <c r="O49" s="26">
        <v>16367874.219999997</v>
      </c>
      <c r="S49" s="21"/>
    </row>
    <row r="50" spans="1:19" ht="15.75" hidden="1" thickBot="1" x14ac:dyDescent="0.3">
      <c r="A50" s="21"/>
      <c r="B50" s="22" t="s">
        <v>32</v>
      </c>
      <c r="C50" s="23">
        <v>3158</v>
      </c>
      <c r="D50" s="23">
        <v>198954</v>
      </c>
      <c r="E50" s="23">
        <v>275</v>
      </c>
      <c r="F50" s="23">
        <v>99000</v>
      </c>
      <c r="G50" s="23">
        <v>4000</v>
      </c>
      <c r="H50" s="23">
        <v>0</v>
      </c>
      <c r="I50" s="23">
        <v>0</v>
      </c>
      <c r="J50" s="23">
        <v>144000</v>
      </c>
      <c r="K50" s="23">
        <v>2184000</v>
      </c>
      <c r="L50" s="23">
        <v>72958</v>
      </c>
      <c r="M50" s="23">
        <v>2549954</v>
      </c>
      <c r="N50" s="23">
        <v>3043733</v>
      </c>
      <c r="O50" s="26">
        <v>15505901.539999995</v>
      </c>
      <c r="S50" s="21"/>
    </row>
    <row r="51" spans="1:19" ht="15.75" hidden="1" thickBot="1" x14ac:dyDescent="0.3">
      <c r="A51" s="21"/>
      <c r="B51" s="22" t="s">
        <v>33</v>
      </c>
      <c r="C51" s="23">
        <v>4032</v>
      </c>
      <c r="D51" s="23">
        <v>254016</v>
      </c>
      <c r="E51" s="23">
        <v>386</v>
      </c>
      <c r="F51" s="23">
        <v>138960</v>
      </c>
      <c r="G51" s="23">
        <v>4000</v>
      </c>
      <c r="H51" s="23">
        <v>0</v>
      </c>
      <c r="I51" s="23">
        <v>0</v>
      </c>
      <c r="J51" s="23">
        <v>144000</v>
      </c>
      <c r="K51" s="23">
        <v>2184000</v>
      </c>
      <c r="L51" s="23">
        <v>73344</v>
      </c>
      <c r="M51" s="23">
        <v>2644976</v>
      </c>
      <c r="N51" s="23">
        <v>1747785</v>
      </c>
      <c r="O51" s="26">
        <v>16097134.539999995</v>
      </c>
      <c r="S51" s="21"/>
    </row>
    <row r="52" spans="1:19" ht="15.75" hidden="1" thickBot="1" x14ac:dyDescent="0.3">
      <c r="A52" s="21"/>
      <c r="B52" s="22" t="s">
        <v>34</v>
      </c>
      <c r="C52" s="23">
        <v>5495</v>
      </c>
      <c r="D52" s="23">
        <v>346185</v>
      </c>
      <c r="E52" s="23">
        <v>930</v>
      </c>
      <c r="F52" s="23">
        <v>334800</v>
      </c>
      <c r="G52" s="23">
        <v>4000</v>
      </c>
      <c r="H52" s="23">
        <v>0</v>
      </c>
      <c r="I52" s="23">
        <v>0</v>
      </c>
      <c r="J52" s="23">
        <v>144000</v>
      </c>
      <c r="K52" s="23">
        <v>2184000</v>
      </c>
      <c r="L52" s="23">
        <v>73604</v>
      </c>
      <c r="M52" s="23">
        <v>2932985</v>
      </c>
      <c r="N52" s="23">
        <v>4979603</v>
      </c>
      <c r="O52" s="26">
        <v>13879578.539999997</v>
      </c>
      <c r="S52" s="21"/>
    </row>
    <row r="53" spans="1:19" ht="15.75" hidden="1" thickBot="1" x14ac:dyDescent="0.3">
      <c r="A53" s="21"/>
      <c r="B53" s="22" t="s">
        <v>35</v>
      </c>
      <c r="C53" s="23">
        <v>5276</v>
      </c>
      <c r="D53" s="23">
        <v>332388</v>
      </c>
      <c r="E53" s="23">
        <v>2151</v>
      </c>
      <c r="F53" s="23">
        <v>774360</v>
      </c>
      <c r="G53" s="23">
        <v>4000</v>
      </c>
      <c r="H53" s="23">
        <v>0</v>
      </c>
      <c r="I53" s="23">
        <v>0</v>
      </c>
      <c r="J53" s="23">
        <v>144000</v>
      </c>
      <c r="K53" s="23">
        <v>2184000</v>
      </c>
      <c r="L53" s="23">
        <v>73670</v>
      </c>
      <c r="M53" s="23">
        <v>3358748</v>
      </c>
      <c r="N53" s="23">
        <v>2109495</v>
      </c>
      <c r="O53" s="26">
        <v>14186815.539999997</v>
      </c>
      <c r="S53" s="21"/>
    </row>
    <row r="54" spans="1:19" ht="15.75" hidden="1" thickBot="1" x14ac:dyDescent="0.3">
      <c r="A54" s="21"/>
      <c r="B54" s="22" t="s">
        <v>36</v>
      </c>
      <c r="C54" s="23">
        <v>5130</v>
      </c>
      <c r="D54" s="23">
        <v>323190</v>
      </c>
      <c r="E54" s="23">
        <v>3484</v>
      </c>
      <c r="F54" s="23">
        <v>1254240</v>
      </c>
      <c r="G54" s="23">
        <v>4000</v>
      </c>
      <c r="H54" s="23">
        <v>0</v>
      </c>
      <c r="I54" s="23">
        <v>0</v>
      </c>
      <c r="J54" s="23">
        <v>144000</v>
      </c>
      <c r="K54" s="23">
        <v>2184000</v>
      </c>
      <c r="L54" s="23">
        <v>73516</v>
      </c>
      <c r="M54" s="23">
        <v>3829430</v>
      </c>
      <c r="N54" s="23">
        <v>1837786</v>
      </c>
      <c r="O54" s="26">
        <v>16057686.539999995</v>
      </c>
      <c r="S54" s="21"/>
    </row>
    <row r="55" spans="1:19" ht="15.75" hidden="1" thickBot="1" x14ac:dyDescent="0.3">
      <c r="A55" s="21"/>
      <c r="B55" s="22" t="s">
        <v>37</v>
      </c>
      <c r="C55" s="23">
        <v>3053</v>
      </c>
      <c r="D55" s="23">
        <v>192339</v>
      </c>
      <c r="E55" s="23">
        <v>1914</v>
      </c>
      <c r="F55" s="23">
        <v>689040</v>
      </c>
      <c r="G55" s="23">
        <v>4000</v>
      </c>
      <c r="H55" s="23">
        <v>0</v>
      </c>
      <c r="I55" s="23">
        <v>0</v>
      </c>
      <c r="J55" s="23">
        <v>144000</v>
      </c>
      <c r="K55" s="23">
        <v>2191000</v>
      </c>
      <c r="L55" s="23">
        <v>73346</v>
      </c>
      <c r="M55" s="23">
        <v>3336379</v>
      </c>
      <c r="N55" s="23">
        <v>3092983</v>
      </c>
      <c r="O55" s="26">
        <v>16056914.539999999</v>
      </c>
      <c r="S55" s="21"/>
    </row>
    <row r="56" spans="1:19" ht="15.75" hidden="1" thickBot="1" x14ac:dyDescent="0.3">
      <c r="A56" s="21">
        <v>2007</v>
      </c>
      <c r="B56" s="22" t="s">
        <v>38</v>
      </c>
      <c r="C56" s="23">
        <v>8910</v>
      </c>
      <c r="D56" s="23">
        <v>561330</v>
      </c>
      <c r="E56" s="23">
        <v>3867</v>
      </c>
      <c r="F56" s="23">
        <v>1392120</v>
      </c>
      <c r="G56" s="23">
        <v>4000</v>
      </c>
      <c r="H56" s="23">
        <v>0</v>
      </c>
      <c r="I56" s="23">
        <v>0</v>
      </c>
      <c r="J56" s="23">
        <v>144000</v>
      </c>
      <c r="K56" s="23">
        <v>2615000</v>
      </c>
      <c r="L56" s="23">
        <v>73354</v>
      </c>
      <c r="M56" s="23">
        <v>4636450</v>
      </c>
      <c r="N56" s="23">
        <v>5819569</v>
      </c>
      <c r="O56" s="26">
        <v>17025441.539999999</v>
      </c>
      <c r="S56" s="21"/>
    </row>
    <row r="57" spans="1:19" ht="15.75" hidden="1" thickBot="1" x14ac:dyDescent="0.3">
      <c r="A57" s="21"/>
      <c r="B57" s="22" t="s">
        <v>27</v>
      </c>
      <c r="C57" s="23">
        <v>7475</v>
      </c>
      <c r="D57" s="23">
        <v>470925</v>
      </c>
      <c r="E57" s="23">
        <v>3268</v>
      </c>
      <c r="F57" s="23">
        <v>1176480</v>
      </c>
      <c r="G57" s="23">
        <v>4000</v>
      </c>
      <c r="H57" s="23">
        <v>0</v>
      </c>
      <c r="I57" s="23">
        <v>0</v>
      </c>
      <c r="J57" s="23">
        <v>144000</v>
      </c>
      <c r="K57" s="23">
        <v>2615000</v>
      </c>
      <c r="L57" s="23">
        <v>73526</v>
      </c>
      <c r="M57" s="23">
        <v>4330405</v>
      </c>
      <c r="N57" s="23">
        <v>2470539</v>
      </c>
      <c r="O57" s="26">
        <v>18442992.539999995</v>
      </c>
      <c r="S57" s="21"/>
    </row>
    <row r="58" spans="1:19" ht="15.75" hidden="1" thickBot="1" x14ac:dyDescent="0.3">
      <c r="A58" s="21"/>
      <c r="B58" s="22" t="s">
        <v>28</v>
      </c>
      <c r="C58" s="23">
        <v>4532</v>
      </c>
      <c r="D58" s="23">
        <v>285516</v>
      </c>
      <c r="E58" s="23">
        <v>2051</v>
      </c>
      <c r="F58" s="23">
        <v>738360</v>
      </c>
      <c r="G58" s="23">
        <v>4000</v>
      </c>
      <c r="H58" s="23">
        <v>0</v>
      </c>
      <c r="I58" s="23">
        <v>0</v>
      </c>
      <c r="J58" s="23">
        <v>144000</v>
      </c>
      <c r="K58" s="23">
        <v>2576000</v>
      </c>
      <c r="L58" s="23">
        <v>73492</v>
      </c>
      <c r="M58" s="23">
        <v>3667876</v>
      </c>
      <c r="N58" s="23">
        <v>5565324</v>
      </c>
      <c r="O58" s="26">
        <v>16419669.539999997</v>
      </c>
      <c r="S58" s="21"/>
    </row>
    <row r="59" spans="1:19" ht="15.75" hidden="1" thickBot="1" x14ac:dyDescent="0.3">
      <c r="A59" s="21"/>
      <c r="B59" s="22" t="s">
        <v>29</v>
      </c>
      <c r="C59" s="23">
        <v>5264</v>
      </c>
      <c r="D59" s="23">
        <v>331632</v>
      </c>
      <c r="E59" s="23">
        <v>2002</v>
      </c>
      <c r="F59" s="23">
        <v>720720</v>
      </c>
      <c r="G59" s="23">
        <v>4000</v>
      </c>
      <c r="H59" s="23">
        <v>0</v>
      </c>
      <c r="I59" s="23">
        <v>0</v>
      </c>
      <c r="J59" s="23">
        <v>144000</v>
      </c>
      <c r="K59" s="23">
        <v>2622000</v>
      </c>
      <c r="L59" s="23">
        <v>73654</v>
      </c>
      <c r="M59" s="23">
        <v>3742352</v>
      </c>
      <c r="N59" s="23">
        <v>3937025</v>
      </c>
      <c r="O59" s="26">
        <v>14751745.5</v>
      </c>
      <c r="S59" s="21"/>
    </row>
    <row r="60" spans="1:19" ht="15.75" hidden="1" thickBot="1" x14ac:dyDescent="0.3">
      <c r="A60" s="21"/>
      <c r="B60" s="22" t="s">
        <v>30</v>
      </c>
      <c r="C60" s="23">
        <v>4197</v>
      </c>
      <c r="D60" s="23">
        <v>264411</v>
      </c>
      <c r="E60" s="23">
        <v>909</v>
      </c>
      <c r="F60" s="23">
        <v>327600</v>
      </c>
      <c r="G60" s="23">
        <v>4000</v>
      </c>
      <c r="H60" s="23">
        <v>0</v>
      </c>
      <c r="I60" s="23">
        <v>0</v>
      </c>
      <c r="J60" s="23">
        <v>144000</v>
      </c>
      <c r="K60" s="23">
        <v>2622000</v>
      </c>
      <c r="L60" s="23">
        <v>74056</v>
      </c>
      <c r="M60" s="23">
        <v>3282011</v>
      </c>
      <c r="N60" s="23">
        <v>3575065</v>
      </c>
      <c r="O60" s="26">
        <v>14262019.5</v>
      </c>
      <c r="S60" s="21"/>
    </row>
    <row r="61" spans="1:19" ht="15.75" hidden="1" thickBot="1" x14ac:dyDescent="0.3">
      <c r="A61" s="21"/>
      <c r="B61" s="22" t="s">
        <v>31</v>
      </c>
      <c r="C61" s="23">
        <v>3887</v>
      </c>
      <c r="D61" s="23">
        <v>244881</v>
      </c>
      <c r="E61" s="23">
        <v>289</v>
      </c>
      <c r="F61" s="23">
        <v>104040</v>
      </c>
      <c r="G61" s="23">
        <v>4000</v>
      </c>
      <c r="H61" s="23">
        <v>0</v>
      </c>
      <c r="I61" s="23">
        <v>0</v>
      </c>
      <c r="J61" s="23">
        <v>144000</v>
      </c>
      <c r="K61" s="23">
        <v>2622000</v>
      </c>
      <c r="L61" s="23">
        <v>74496</v>
      </c>
      <c r="M61" s="23">
        <v>3038921</v>
      </c>
      <c r="N61" s="23">
        <v>2574046</v>
      </c>
      <c r="O61" s="26">
        <v>14301336.82</v>
      </c>
      <c r="S61" s="21"/>
    </row>
    <row r="62" spans="1:19" ht="15.75" hidden="1" thickBot="1" x14ac:dyDescent="0.3">
      <c r="A62" s="21"/>
      <c r="B62" s="22" t="s">
        <v>32</v>
      </c>
      <c r="C62" s="23">
        <v>3912</v>
      </c>
      <c r="D62" s="23">
        <v>246456</v>
      </c>
      <c r="E62" s="23">
        <v>311</v>
      </c>
      <c r="F62" s="23">
        <v>111960</v>
      </c>
      <c r="G62" s="23">
        <v>4000</v>
      </c>
      <c r="H62" s="23">
        <v>0</v>
      </c>
      <c r="I62" s="23">
        <v>0</v>
      </c>
      <c r="J62" s="23">
        <v>144000</v>
      </c>
      <c r="K62" s="23">
        <v>2622000</v>
      </c>
      <c r="L62" s="23">
        <v>75106</v>
      </c>
      <c r="M62" s="23">
        <v>3074416</v>
      </c>
      <c r="N62" s="23">
        <v>3291693</v>
      </c>
      <c r="O62" s="26">
        <v>14100785.140000001</v>
      </c>
      <c r="S62" s="21"/>
    </row>
    <row r="63" spans="1:19" ht="15.75" hidden="1" thickBot="1" x14ac:dyDescent="0.3">
      <c r="A63" s="21"/>
      <c r="B63" s="22" t="s">
        <v>33</v>
      </c>
      <c r="C63" s="23">
        <v>3266</v>
      </c>
      <c r="D63" s="23">
        <v>205806</v>
      </c>
      <c r="E63" s="23">
        <v>251</v>
      </c>
      <c r="F63" s="23">
        <v>90360</v>
      </c>
      <c r="G63" s="23">
        <v>4000</v>
      </c>
      <c r="H63" s="23">
        <v>0</v>
      </c>
      <c r="I63" s="23">
        <v>0</v>
      </c>
      <c r="J63" s="23">
        <v>44000</v>
      </c>
      <c r="K63" s="23">
        <v>2668000</v>
      </c>
      <c r="L63" s="23">
        <v>75890</v>
      </c>
      <c r="M63" s="23">
        <v>3012166</v>
      </c>
      <c r="N63" s="23">
        <v>4230829</v>
      </c>
      <c r="O63" s="26">
        <v>12763343.459999999</v>
      </c>
      <c r="S63" s="21"/>
    </row>
    <row r="64" spans="1:19" ht="15.75" hidden="1" thickBot="1" x14ac:dyDescent="0.3">
      <c r="A64" s="21"/>
      <c r="B64" s="22" t="s">
        <v>34</v>
      </c>
      <c r="C64" s="23">
        <v>4290</v>
      </c>
      <c r="D64" s="23">
        <v>270270</v>
      </c>
      <c r="E64" s="23">
        <v>947</v>
      </c>
      <c r="F64" s="23">
        <v>340920</v>
      </c>
      <c r="G64" s="23">
        <v>4000</v>
      </c>
      <c r="H64" s="23">
        <v>0</v>
      </c>
      <c r="I64" s="23">
        <v>0</v>
      </c>
      <c r="J64" s="23">
        <v>44000</v>
      </c>
      <c r="K64" s="23">
        <v>2668000</v>
      </c>
      <c r="L64" s="23">
        <v>76716</v>
      </c>
      <c r="M64" s="23">
        <v>3327190</v>
      </c>
      <c r="N64" s="23">
        <v>5397799</v>
      </c>
      <c r="O64" s="26">
        <v>11212412.779999999</v>
      </c>
      <c r="S64" s="21"/>
    </row>
    <row r="65" spans="1:19" ht="15.75" hidden="1" thickBot="1" x14ac:dyDescent="0.3">
      <c r="A65" s="21"/>
      <c r="B65" s="22" t="s">
        <v>35</v>
      </c>
      <c r="C65" s="23">
        <v>3802</v>
      </c>
      <c r="D65" s="23">
        <v>296854</v>
      </c>
      <c r="E65" s="23">
        <v>1866</v>
      </c>
      <c r="F65" s="23">
        <v>671760</v>
      </c>
      <c r="G65" s="23">
        <v>4000</v>
      </c>
      <c r="H65" s="23">
        <v>0</v>
      </c>
      <c r="I65" s="23">
        <v>0</v>
      </c>
      <c r="J65" s="23">
        <v>44000</v>
      </c>
      <c r="K65" s="23">
        <v>2668000</v>
      </c>
      <c r="L65" s="23">
        <v>126082</v>
      </c>
      <c r="M65" s="23">
        <v>3684614</v>
      </c>
      <c r="N65" s="23">
        <v>2886533</v>
      </c>
      <c r="O65" s="26">
        <v>12089165.1</v>
      </c>
      <c r="S65" s="21"/>
    </row>
    <row r="66" spans="1:19" ht="15.75" hidden="1" thickBot="1" x14ac:dyDescent="0.3">
      <c r="A66" s="21"/>
      <c r="B66" s="22" t="s">
        <v>36</v>
      </c>
      <c r="C66" s="23">
        <v>6022</v>
      </c>
      <c r="D66" s="23">
        <v>470826</v>
      </c>
      <c r="E66" s="23">
        <v>3260</v>
      </c>
      <c r="F66" s="23">
        <v>1173600</v>
      </c>
      <c r="G66" s="23">
        <v>4000</v>
      </c>
      <c r="H66" s="23">
        <v>0</v>
      </c>
      <c r="I66" s="23">
        <v>0</v>
      </c>
      <c r="J66" s="23">
        <v>48000</v>
      </c>
      <c r="K66" s="23">
        <v>2668000</v>
      </c>
      <c r="L66" s="23">
        <v>165000</v>
      </c>
      <c r="M66" s="23">
        <v>4364426</v>
      </c>
      <c r="N66" s="23">
        <v>2645481</v>
      </c>
      <c r="O66" s="26">
        <v>13686665.42</v>
      </c>
      <c r="S66" s="21"/>
    </row>
    <row r="67" spans="1:19" ht="15.75" hidden="1" thickBot="1" x14ac:dyDescent="0.3">
      <c r="A67" s="21"/>
      <c r="B67" s="22" t="s">
        <v>37</v>
      </c>
      <c r="C67" s="23">
        <v>4098</v>
      </c>
      <c r="D67" s="23">
        <v>319878</v>
      </c>
      <c r="E67" s="23">
        <v>2505</v>
      </c>
      <c r="F67" s="23">
        <v>901800</v>
      </c>
      <c r="G67" s="23">
        <v>4000</v>
      </c>
      <c r="H67" s="23">
        <v>0</v>
      </c>
      <c r="I67" s="23">
        <v>0</v>
      </c>
      <c r="J67" s="23">
        <v>48000</v>
      </c>
      <c r="K67" s="23">
        <v>2668000</v>
      </c>
      <c r="L67" s="23">
        <v>193669</v>
      </c>
      <c r="M67" s="23">
        <v>3941678</v>
      </c>
      <c r="N67" s="23">
        <v>2940678</v>
      </c>
      <c r="O67" s="26">
        <v>14753928.74</v>
      </c>
      <c r="S67" s="21"/>
    </row>
    <row r="68" spans="1:19" ht="15.75" hidden="1" thickBot="1" x14ac:dyDescent="0.3">
      <c r="A68" s="21">
        <v>2008</v>
      </c>
      <c r="B68" s="22" t="s">
        <v>38</v>
      </c>
      <c r="C68" s="23">
        <v>10017</v>
      </c>
      <c r="D68" s="23">
        <v>876879</v>
      </c>
      <c r="E68" s="23">
        <v>5769</v>
      </c>
      <c r="F68" s="23">
        <v>2076840</v>
      </c>
      <c r="G68" s="23">
        <v>4000</v>
      </c>
      <c r="H68" s="23">
        <v>0</v>
      </c>
      <c r="I68" s="23">
        <v>0</v>
      </c>
      <c r="J68" s="23">
        <v>48000</v>
      </c>
      <c r="K68" s="23">
        <v>2760000</v>
      </c>
      <c r="L68" s="23">
        <v>200530</v>
      </c>
      <c r="M68" s="23">
        <v>5765719</v>
      </c>
      <c r="N68" s="23">
        <v>5014803</v>
      </c>
      <c r="O68" s="26">
        <v>15538344.059999999</v>
      </c>
      <c r="S68" s="21"/>
    </row>
    <row r="69" spans="1:19" ht="15.75" hidden="1" thickBot="1" x14ac:dyDescent="0.3">
      <c r="A69" s="21"/>
      <c r="B69" s="22" t="s">
        <v>27</v>
      </c>
      <c r="C69" s="23">
        <v>4879</v>
      </c>
      <c r="D69" s="23">
        <v>434426</v>
      </c>
      <c r="E69" s="23">
        <v>2333</v>
      </c>
      <c r="F69" s="23">
        <v>839880</v>
      </c>
      <c r="G69" s="23">
        <v>4000</v>
      </c>
      <c r="H69" s="23">
        <v>0</v>
      </c>
      <c r="I69" s="23">
        <v>0</v>
      </c>
      <c r="J69" s="23">
        <v>48000</v>
      </c>
      <c r="K69" s="23">
        <v>2760000</v>
      </c>
      <c r="L69" s="23">
        <v>183400</v>
      </c>
      <c r="M69" s="23">
        <v>4086306</v>
      </c>
      <c r="N69" s="23">
        <v>3403278</v>
      </c>
      <c r="O69" s="26">
        <v>16362208.380000001</v>
      </c>
      <c r="S69" s="21"/>
    </row>
    <row r="70" spans="1:19" ht="15.75" hidden="1" thickBot="1" x14ac:dyDescent="0.3">
      <c r="A70" s="21"/>
      <c r="B70" s="22" t="s">
        <v>28</v>
      </c>
      <c r="C70" s="23">
        <v>5016</v>
      </c>
      <c r="D70" s="23">
        <v>554145</v>
      </c>
      <c r="E70" s="23">
        <v>2323</v>
      </c>
      <c r="F70" s="23">
        <v>836280</v>
      </c>
      <c r="G70" s="23">
        <v>4000</v>
      </c>
      <c r="H70" s="23">
        <v>0</v>
      </c>
      <c r="I70" s="23">
        <v>0</v>
      </c>
      <c r="J70" s="23">
        <v>48000</v>
      </c>
      <c r="K70" s="23">
        <v>2760000</v>
      </c>
      <c r="L70" s="23">
        <v>192991</v>
      </c>
      <c r="M70" s="23">
        <v>4202425</v>
      </c>
      <c r="N70" s="23">
        <v>4963782</v>
      </c>
      <c r="O70" s="26">
        <v>15476913.699999999</v>
      </c>
      <c r="S70" s="21"/>
    </row>
    <row r="71" spans="1:19" ht="15.75" hidden="1" thickBot="1" x14ac:dyDescent="0.3">
      <c r="A71" s="21"/>
      <c r="B71" s="22" t="s">
        <v>29</v>
      </c>
      <c r="C71" s="23">
        <v>6296</v>
      </c>
      <c r="D71" s="23">
        <v>776542</v>
      </c>
      <c r="E71" s="23">
        <v>2746</v>
      </c>
      <c r="F71" s="23">
        <v>988560</v>
      </c>
      <c r="G71" s="23">
        <v>4000</v>
      </c>
      <c r="H71" s="23">
        <v>0</v>
      </c>
      <c r="I71" s="23">
        <v>0</v>
      </c>
      <c r="J71" s="23">
        <v>48000</v>
      </c>
      <c r="K71" s="23">
        <v>2760000</v>
      </c>
      <c r="L71" s="23">
        <v>202551</v>
      </c>
      <c r="M71" s="23">
        <v>4577102</v>
      </c>
      <c r="N71" s="23">
        <v>4799319</v>
      </c>
      <c r="O71" s="26">
        <v>14796152.699999999</v>
      </c>
      <c r="S71" s="21"/>
    </row>
    <row r="72" spans="1:19" ht="15.75" hidden="1" thickBot="1" x14ac:dyDescent="0.3">
      <c r="A72" s="21"/>
      <c r="B72" s="22" t="s">
        <v>30</v>
      </c>
      <c r="C72" s="23">
        <v>3996</v>
      </c>
      <c r="D72" s="23">
        <v>401476</v>
      </c>
      <c r="E72" s="23">
        <v>564</v>
      </c>
      <c r="F72" s="23">
        <v>203040</v>
      </c>
      <c r="G72" s="23">
        <v>4000</v>
      </c>
      <c r="H72" s="23">
        <v>0</v>
      </c>
      <c r="I72" s="23">
        <v>0</v>
      </c>
      <c r="J72" s="23">
        <v>48000</v>
      </c>
      <c r="K72" s="23">
        <v>2760000</v>
      </c>
      <c r="L72" s="23">
        <v>180386</v>
      </c>
      <c r="M72" s="23">
        <v>3416516</v>
      </c>
      <c r="N72" s="23">
        <v>3799080</v>
      </c>
      <c r="O72" s="26">
        <v>14634800.699999999</v>
      </c>
      <c r="S72" s="21"/>
    </row>
    <row r="73" spans="1:19" ht="15.75" hidden="1" thickBot="1" x14ac:dyDescent="0.3">
      <c r="A73" s="21"/>
      <c r="B73" s="22" t="s">
        <v>31</v>
      </c>
      <c r="C73" s="23">
        <v>3834</v>
      </c>
      <c r="D73" s="23">
        <v>398571</v>
      </c>
      <c r="E73" s="23">
        <v>331</v>
      </c>
      <c r="F73" s="23">
        <v>119160</v>
      </c>
      <c r="G73" s="23">
        <v>4000</v>
      </c>
      <c r="H73" s="23">
        <v>0</v>
      </c>
      <c r="I73" s="23">
        <v>0</v>
      </c>
      <c r="J73" s="23">
        <v>48000</v>
      </c>
      <c r="K73" s="23">
        <v>2760000</v>
      </c>
      <c r="L73" s="23">
        <v>186683</v>
      </c>
      <c r="M73" s="23">
        <v>3329731</v>
      </c>
      <c r="N73" s="23">
        <v>2687276</v>
      </c>
      <c r="O73" s="26">
        <v>14805372.699999999</v>
      </c>
      <c r="S73" s="21"/>
    </row>
    <row r="74" spans="1:19" ht="15.75" hidden="1" thickBot="1" x14ac:dyDescent="0.3">
      <c r="A74" s="21"/>
      <c r="B74" s="22" t="s">
        <v>32</v>
      </c>
      <c r="C74" s="23">
        <v>4640</v>
      </c>
      <c r="D74" s="23">
        <v>519208</v>
      </c>
      <c r="E74" s="23">
        <v>252</v>
      </c>
      <c r="F74" s="23">
        <v>90720</v>
      </c>
      <c r="G74" s="23">
        <v>0</v>
      </c>
      <c r="H74" s="23">
        <v>0</v>
      </c>
      <c r="I74" s="23">
        <v>0</v>
      </c>
      <c r="J74" s="23">
        <v>48000</v>
      </c>
      <c r="K74" s="23">
        <v>2760000</v>
      </c>
      <c r="L74" s="23">
        <v>203406</v>
      </c>
      <c r="M74" s="23">
        <v>3417928</v>
      </c>
      <c r="N74" s="23">
        <v>3155641</v>
      </c>
      <c r="O74" s="26">
        <v>15158272.699999999</v>
      </c>
      <c r="S74" s="21"/>
    </row>
    <row r="75" spans="1:19" ht="15.75" hidden="1" thickBot="1" x14ac:dyDescent="0.3">
      <c r="A75" s="21"/>
      <c r="B75" s="22" t="s">
        <v>33</v>
      </c>
      <c r="C75" s="23">
        <v>3569</v>
      </c>
      <c r="D75" s="23">
        <v>384078</v>
      </c>
      <c r="E75" s="23">
        <v>428</v>
      </c>
      <c r="F75" s="23">
        <v>154080</v>
      </c>
      <c r="G75" s="23">
        <v>0</v>
      </c>
      <c r="H75" s="23">
        <v>0</v>
      </c>
      <c r="I75" s="23">
        <v>0</v>
      </c>
      <c r="J75" s="23">
        <v>48000</v>
      </c>
      <c r="K75" s="23">
        <v>2760000</v>
      </c>
      <c r="L75" s="23">
        <v>222192</v>
      </c>
      <c r="M75" s="23">
        <v>3346158</v>
      </c>
      <c r="N75" s="23">
        <v>2320017</v>
      </c>
      <c r="O75" s="26">
        <v>16263653.699999999</v>
      </c>
      <c r="S75" s="21"/>
    </row>
    <row r="76" spans="1:19" ht="15.75" hidden="1" thickBot="1" x14ac:dyDescent="0.3">
      <c r="A76" s="21"/>
      <c r="B76" s="22" t="s">
        <v>34</v>
      </c>
      <c r="C76" s="23">
        <v>4260</v>
      </c>
      <c r="D76" s="23">
        <v>469191</v>
      </c>
      <c r="E76" s="23">
        <v>782</v>
      </c>
      <c r="F76" s="23">
        <v>281520</v>
      </c>
      <c r="G76" s="23">
        <v>0</v>
      </c>
      <c r="H76" s="23">
        <v>0</v>
      </c>
      <c r="I76" s="23">
        <v>0</v>
      </c>
      <c r="J76" s="23">
        <v>48000</v>
      </c>
      <c r="K76" s="23">
        <v>2760000</v>
      </c>
      <c r="L76" s="23">
        <v>220682</v>
      </c>
      <c r="M76" s="23">
        <v>3558711</v>
      </c>
      <c r="N76" s="23">
        <v>3077075</v>
      </c>
      <c r="O76" s="26">
        <v>16787000.699999999</v>
      </c>
      <c r="S76" s="21"/>
    </row>
    <row r="77" spans="1:19" ht="15.75" hidden="1" thickBot="1" x14ac:dyDescent="0.3">
      <c r="A77" s="21"/>
      <c r="B77" s="22" t="s">
        <v>35</v>
      </c>
      <c r="C77" s="23">
        <v>5016</v>
      </c>
      <c r="D77" s="23">
        <v>629252</v>
      </c>
      <c r="E77" s="23">
        <v>2409</v>
      </c>
      <c r="F77" s="23">
        <v>867240</v>
      </c>
      <c r="G77" s="23">
        <v>0</v>
      </c>
      <c r="H77" s="23">
        <v>0</v>
      </c>
      <c r="I77" s="23">
        <v>0</v>
      </c>
      <c r="J77" s="23">
        <v>48000</v>
      </c>
      <c r="K77" s="23">
        <v>2760000</v>
      </c>
      <c r="L77" s="23">
        <v>372525</v>
      </c>
      <c r="M77" s="23">
        <v>4304492</v>
      </c>
      <c r="N77" s="23">
        <v>3736840</v>
      </c>
      <c r="O77" s="26">
        <v>17574712.699999999</v>
      </c>
      <c r="S77" s="21"/>
    </row>
    <row r="78" spans="1:19" ht="15.75" hidden="1" thickBot="1" x14ac:dyDescent="0.3">
      <c r="A78" s="21"/>
      <c r="B78" s="22" t="s">
        <v>36</v>
      </c>
      <c r="C78" s="23">
        <v>4255</v>
      </c>
      <c r="D78" s="23">
        <v>506342</v>
      </c>
      <c r="E78" s="23">
        <v>2545</v>
      </c>
      <c r="F78" s="23">
        <v>916200</v>
      </c>
      <c r="G78" s="23">
        <v>0</v>
      </c>
      <c r="H78" s="23">
        <v>0</v>
      </c>
      <c r="I78" s="23">
        <v>0</v>
      </c>
      <c r="J78" s="23">
        <v>48000</v>
      </c>
      <c r="K78" s="23">
        <v>2760000</v>
      </c>
      <c r="L78" s="23">
        <v>382240</v>
      </c>
      <c r="M78" s="23">
        <v>4230542</v>
      </c>
      <c r="N78" s="23">
        <v>3795800</v>
      </c>
      <c r="O78" s="26">
        <v>18233910.719999999</v>
      </c>
      <c r="S78" s="21"/>
    </row>
    <row r="79" spans="1:19" ht="15.75" hidden="1" thickBot="1" x14ac:dyDescent="0.3">
      <c r="A79" s="21"/>
      <c r="B79" s="22" t="s">
        <v>37</v>
      </c>
      <c r="C79" s="23">
        <v>7685</v>
      </c>
      <c r="D79" s="23">
        <v>899923</v>
      </c>
      <c r="E79" s="23">
        <v>3693</v>
      </c>
      <c r="F79" s="23">
        <v>1340280</v>
      </c>
      <c r="G79" s="23">
        <v>0</v>
      </c>
      <c r="H79" s="23">
        <v>0</v>
      </c>
      <c r="I79" s="23">
        <v>0</v>
      </c>
      <c r="J79" s="23">
        <v>48000</v>
      </c>
      <c r="K79" s="23">
        <v>2760000</v>
      </c>
      <c r="L79" s="23">
        <v>432991.67000000004</v>
      </c>
      <c r="M79" s="23">
        <v>5048203</v>
      </c>
      <c r="N79" s="23">
        <v>4987049.6900000004</v>
      </c>
      <c r="O79" s="26">
        <v>18816449.579999998</v>
      </c>
      <c r="S79" s="21"/>
    </row>
    <row r="80" spans="1:19" ht="15.75" hidden="1" thickBot="1" x14ac:dyDescent="0.3">
      <c r="A80" s="21">
        <v>2009</v>
      </c>
      <c r="B80" s="22" t="s">
        <v>38</v>
      </c>
      <c r="C80" s="23">
        <v>7464</v>
      </c>
      <c r="D80" s="23">
        <v>926528</v>
      </c>
      <c r="E80" s="23">
        <v>3439</v>
      </c>
      <c r="F80" s="23">
        <v>1238040</v>
      </c>
      <c r="G80" s="23">
        <v>0</v>
      </c>
      <c r="H80" s="23">
        <v>0</v>
      </c>
      <c r="I80" s="23">
        <v>0</v>
      </c>
      <c r="J80" s="23">
        <v>48000</v>
      </c>
      <c r="K80" s="23">
        <v>2760000</v>
      </c>
      <c r="L80" s="23">
        <v>543775.57000000007</v>
      </c>
      <c r="M80" s="23">
        <v>5014568</v>
      </c>
      <c r="N80" s="23">
        <v>4479096</v>
      </c>
      <c r="O80" s="26">
        <v>18445106.93</v>
      </c>
      <c r="S80" s="21"/>
    </row>
    <row r="81" spans="1:19" ht="15.75" hidden="1" thickBot="1" x14ac:dyDescent="0.3">
      <c r="A81" s="21"/>
      <c r="B81" s="22" t="s">
        <v>27</v>
      </c>
      <c r="C81" s="23">
        <v>8538</v>
      </c>
      <c r="D81" s="23">
        <v>1111030</v>
      </c>
      <c r="E81" s="23">
        <v>3280</v>
      </c>
      <c r="F81" s="23">
        <v>1528560</v>
      </c>
      <c r="G81" s="23">
        <v>0</v>
      </c>
      <c r="H81" s="23">
        <v>0</v>
      </c>
      <c r="I81" s="23">
        <v>12000</v>
      </c>
      <c r="J81" s="23">
        <v>48000</v>
      </c>
      <c r="K81" s="23">
        <v>2760000</v>
      </c>
      <c r="L81" s="23">
        <v>550832</v>
      </c>
      <c r="M81" s="23">
        <v>5447590</v>
      </c>
      <c r="N81" s="23">
        <v>4016209</v>
      </c>
      <c r="O81" s="26">
        <v>20240992.519999996</v>
      </c>
      <c r="S81" s="21"/>
    </row>
    <row r="82" spans="1:19" ht="15.75" hidden="1" thickBot="1" x14ac:dyDescent="0.3">
      <c r="A82" s="21"/>
      <c r="B82" s="22" t="s">
        <v>28</v>
      </c>
      <c r="C82" s="23">
        <v>7456</v>
      </c>
      <c r="D82" s="23">
        <v>970160</v>
      </c>
      <c r="E82" s="23">
        <v>3428</v>
      </c>
      <c r="F82" s="23">
        <v>1595520</v>
      </c>
      <c r="G82" s="23">
        <v>0</v>
      </c>
      <c r="H82" s="23">
        <v>0</v>
      </c>
      <c r="I82" s="23">
        <v>0</v>
      </c>
      <c r="J82" s="23">
        <v>44000</v>
      </c>
      <c r="K82" s="23">
        <v>2760000</v>
      </c>
      <c r="L82" s="23">
        <v>502180</v>
      </c>
      <c r="M82" s="23">
        <v>5369680</v>
      </c>
      <c r="N82" s="23">
        <v>5326798</v>
      </c>
      <c r="O82" s="26">
        <v>20604896.519999996</v>
      </c>
      <c r="S82" s="21"/>
    </row>
    <row r="83" spans="1:19" ht="15.75" hidden="1" thickBot="1" x14ac:dyDescent="0.3">
      <c r="A83" s="21"/>
      <c r="B83" s="22" t="s">
        <v>29</v>
      </c>
      <c r="C83" s="23">
        <v>5077</v>
      </c>
      <c r="D83" s="23">
        <v>713918</v>
      </c>
      <c r="E83" s="23">
        <v>2238</v>
      </c>
      <c r="F83" s="23">
        <v>884520</v>
      </c>
      <c r="G83" s="23">
        <v>0</v>
      </c>
      <c r="H83" s="23">
        <v>0</v>
      </c>
      <c r="I83" s="23">
        <v>0</v>
      </c>
      <c r="J83" s="23">
        <v>48000</v>
      </c>
      <c r="K83" s="23">
        <v>2760000</v>
      </c>
      <c r="L83" s="23">
        <v>579844</v>
      </c>
      <c r="M83" s="23">
        <v>4410438</v>
      </c>
      <c r="N83" s="23">
        <v>5660345.9589999998</v>
      </c>
      <c r="O83" s="26">
        <v>19565182.500999995</v>
      </c>
      <c r="S83" s="21"/>
    </row>
    <row r="84" spans="1:19" ht="15.75" hidden="1" thickBot="1" x14ac:dyDescent="0.3">
      <c r="A84" s="21"/>
      <c r="B84" s="22" t="s">
        <v>30</v>
      </c>
      <c r="C84" s="23">
        <v>4491</v>
      </c>
      <c r="D84" s="23">
        <v>655674</v>
      </c>
      <c r="E84" s="23">
        <v>1073</v>
      </c>
      <c r="F84" s="23">
        <v>386280</v>
      </c>
      <c r="G84" s="23">
        <v>0</v>
      </c>
      <c r="H84" s="23">
        <v>0</v>
      </c>
      <c r="I84" s="23">
        <v>0</v>
      </c>
      <c r="J84" s="23">
        <v>60000</v>
      </c>
      <c r="K84" s="23">
        <v>2760000</v>
      </c>
      <c r="L84" s="23">
        <v>466105</v>
      </c>
      <c r="M84" s="23">
        <v>3861954</v>
      </c>
      <c r="N84" s="23">
        <v>2924305</v>
      </c>
      <c r="O84" s="26">
        <v>21061718.500999995</v>
      </c>
      <c r="S84" s="21"/>
    </row>
    <row r="85" spans="1:19" ht="15.75" hidden="1" thickBot="1" x14ac:dyDescent="0.3">
      <c r="A85" s="21"/>
      <c r="B85" s="22" t="s">
        <v>31</v>
      </c>
      <c r="C85" s="23">
        <v>5934</v>
      </c>
      <c r="D85" s="23">
        <v>866364</v>
      </c>
      <c r="E85" s="23">
        <v>737</v>
      </c>
      <c r="F85" s="23">
        <v>265320</v>
      </c>
      <c r="G85" s="23">
        <v>0</v>
      </c>
      <c r="H85" s="23">
        <v>0</v>
      </c>
      <c r="I85" s="23">
        <v>0</v>
      </c>
      <c r="J85" s="23">
        <v>60000</v>
      </c>
      <c r="K85" s="23">
        <v>2770000</v>
      </c>
      <c r="L85" s="23">
        <v>491222</v>
      </c>
      <c r="M85" s="23">
        <v>3986698</v>
      </c>
      <c r="N85" s="23">
        <v>4312775</v>
      </c>
      <c r="O85" s="26">
        <v>20720071.500999995</v>
      </c>
      <c r="S85" s="21"/>
    </row>
    <row r="86" spans="1:19" ht="15.75" hidden="1" thickBot="1" x14ac:dyDescent="0.3">
      <c r="A86" s="21"/>
      <c r="B86" s="22" t="s">
        <v>32</v>
      </c>
      <c r="C86" s="23">
        <v>4864</v>
      </c>
      <c r="D86" s="23">
        <v>710144</v>
      </c>
      <c r="E86" s="23">
        <v>347</v>
      </c>
      <c r="F86" s="23">
        <v>124920</v>
      </c>
      <c r="G86" s="23">
        <v>0</v>
      </c>
      <c r="H86" s="23">
        <v>0</v>
      </c>
      <c r="I86" s="23">
        <v>12000</v>
      </c>
      <c r="J86" s="23">
        <v>68000</v>
      </c>
      <c r="K86" s="23">
        <v>2760000</v>
      </c>
      <c r="L86" s="23">
        <v>482501</v>
      </c>
      <c r="M86" s="23">
        <v>3959064</v>
      </c>
      <c r="N86" s="23">
        <v>3753933</v>
      </c>
      <c r="O86" s="26">
        <v>24293910.500999995</v>
      </c>
      <c r="S86" s="21"/>
    </row>
    <row r="87" spans="1:19" ht="15.75" hidden="1" thickBot="1" x14ac:dyDescent="0.3">
      <c r="A87" s="21"/>
      <c r="B87" s="22" t="s">
        <v>33</v>
      </c>
      <c r="C87" s="23">
        <v>4673</v>
      </c>
      <c r="D87" s="23">
        <v>682258</v>
      </c>
      <c r="E87" s="23">
        <v>-5498</v>
      </c>
      <c r="F87" s="23">
        <v>-1979280</v>
      </c>
      <c r="G87" s="23">
        <v>0</v>
      </c>
      <c r="H87" s="23">
        <v>0</v>
      </c>
      <c r="I87" s="23">
        <v>0</v>
      </c>
      <c r="J87" s="23">
        <v>60000</v>
      </c>
      <c r="K87" s="23">
        <v>3330000</v>
      </c>
      <c r="L87" s="23">
        <v>478089</v>
      </c>
      <c r="M87" s="23">
        <v>1792978</v>
      </c>
      <c r="N87" s="23">
        <v>3488931</v>
      </c>
      <c r="O87" s="26">
        <v>24847428.500999995</v>
      </c>
      <c r="S87" s="21"/>
    </row>
    <row r="88" spans="1:19" ht="15.75" hidden="1" thickBot="1" x14ac:dyDescent="0.3">
      <c r="A88" s="21"/>
      <c r="B88" s="22" t="s">
        <v>34</v>
      </c>
      <c r="C88" s="23">
        <v>6746</v>
      </c>
      <c r="D88" s="23">
        <v>984916</v>
      </c>
      <c r="E88" s="23">
        <v>838</v>
      </c>
      <c r="F88" s="23">
        <v>328860</v>
      </c>
      <c r="G88" s="23">
        <v>0</v>
      </c>
      <c r="H88" s="23">
        <v>0</v>
      </c>
      <c r="I88" s="23">
        <v>0</v>
      </c>
      <c r="J88" s="23">
        <v>48000</v>
      </c>
      <c r="K88" s="23">
        <v>2770000</v>
      </c>
      <c r="L88" s="23">
        <v>521582</v>
      </c>
      <c r="M88" s="23">
        <v>4131776</v>
      </c>
      <c r="N88" s="23">
        <v>2974471</v>
      </c>
      <c r="O88" s="26">
        <v>26394853.500999995</v>
      </c>
      <c r="S88" s="21"/>
    </row>
    <row r="89" spans="1:19" ht="15.75" hidden="1" thickBot="1" x14ac:dyDescent="0.3">
      <c r="A89" s="21"/>
      <c r="B89" s="22" t="s">
        <v>35</v>
      </c>
      <c r="C89" s="23">
        <v>5633</v>
      </c>
      <c r="D89" s="23">
        <v>835801</v>
      </c>
      <c r="E89" s="23">
        <v>1965</v>
      </c>
      <c r="F89" s="23">
        <v>755280</v>
      </c>
      <c r="G89" s="23">
        <v>0</v>
      </c>
      <c r="H89" s="23">
        <v>0</v>
      </c>
      <c r="I89" s="23">
        <v>0</v>
      </c>
      <c r="J89" s="23">
        <v>52000</v>
      </c>
      <c r="K89" s="23">
        <v>2770000</v>
      </c>
      <c r="L89" s="23">
        <v>485840</v>
      </c>
      <c r="M89" s="23">
        <v>4413081</v>
      </c>
      <c r="N89" s="23">
        <v>4126239</v>
      </c>
      <c r="O89" s="26">
        <v>26903661.500999995</v>
      </c>
      <c r="S89" s="21"/>
    </row>
    <row r="90" spans="1:19" ht="15.75" hidden="1" thickBot="1" x14ac:dyDescent="0.3">
      <c r="A90" s="21"/>
      <c r="B90" s="22" t="s">
        <v>36</v>
      </c>
      <c r="C90" s="23">
        <v>5894</v>
      </c>
      <c r="D90" s="23">
        <v>860524</v>
      </c>
      <c r="E90" s="23">
        <v>2587</v>
      </c>
      <c r="F90" s="23">
        <v>1028160</v>
      </c>
      <c r="G90" s="23">
        <v>0</v>
      </c>
      <c r="H90" s="23">
        <v>0</v>
      </c>
      <c r="I90" s="23">
        <v>0</v>
      </c>
      <c r="J90" s="23">
        <v>56000</v>
      </c>
      <c r="K90" s="23">
        <v>2769000</v>
      </c>
      <c r="L90" s="23">
        <v>711597</v>
      </c>
      <c r="M90" s="23">
        <v>4730078</v>
      </c>
      <c r="N90" s="23">
        <v>4350499</v>
      </c>
      <c r="O90" s="26">
        <v>27808982.300999995</v>
      </c>
      <c r="S90" s="21"/>
    </row>
    <row r="91" spans="1:19" ht="15.75" hidden="1" thickBot="1" x14ac:dyDescent="0.3">
      <c r="A91" s="21"/>
      <c r="B91" s="22" t="s">
        <v>37</v>
      </c>
      <c r="C91" s="23">
        <v>7627</v>
      </c>
      <c r="D91" s="23">
        <v>1113542</v>
      </c>
      <c r="E91" s="23">
        <v>4520</v>
      </c>
      <c r="F91" s="23">
        <v>2010060</v>
      </c>
      <c r="G91" s="23">
        <v>0</v>
      </c>
      <c r="H91" s="23">
        <v>0</v>
      </c>
      <c r="I91" s="23">
        <v>0</v>
      </c>
      <c r="J91" s="23">
        <v>56000</v>
      </c>
      <c r="K91" s="23">
        <v>2769000</v>
      </c>
      <c r="L91" s="23">
        <v>597725</v>
      </c>
      <c r="M91" s="23">
        <v>5948602</v>
      </c>
      <c r="N91" s="23">
        <v>5232496</v>
      </c>
      <c r="O91" s="26">
        <v>29015585.441</v>
      </c>
      <c r="S91" s="21"/>
    </row>
    <row r="92" spans="1:19" ht="15.75" hidden="1" thickBot="1" x14ac:dyDescent="0.3">
      <c r="A92">
        <v>2010</v>
      </c>
      <c r="B92" s="22" t="s">
        <v>38</v>
      </c>
      <c r="C92" s="23">
        <v>7460</v>
      </c>
      <c r="D92" s="23">
        <v>1089160</v>
      </c>
      <c r="E92" s="23">
        <v>4168</v>
      </c>
      <c r="F92" s="23">
        <v>1536120</v>
      </c>
      <c r="G92" s="23">
        <v>0</v>
      </c>
      <c r="H92" s="23">
        <v>0</v>
      </c>
      <c r="I92" s="23">
        <v>100000</v>
      </c>
      <c r="J92" s="23">
        <v>56000</v>
      </c>
      <c r="K92" s="23">
        <v>3282000</v>
      </c>
      <c r="L92" s="23">
        <v>720214</v>
      </c>
      <c r="M92" s="23">
        <v>6263280</v>
      </c>
      <c r="N92" s="23">
        <v>5914765</v>
      </c>
      <c r="O92" s="26">
        <v>30330428.419</v>
      </c>
    </row>
    <row r="93" spans="1:19" ht="15.75" hidden="1" thickBot="1" x14ac:dyDescent="0.3">
      <c r="B93" s="22" t="s">
        <v>27</v>
      </c>
      <c r="C93" s="23">
        <v>7992</v>
      </c>
      <c r="D93" s="23">
        <v>1166832</v>
      </c>
      <c r="E93" s="23">
        <v>4026</v>
      </c>
      <c r="F93" s="23">
        <v>1455300</v>
      </c>
      <c r="G93" s="23">
        <v>0</v>
      </c>
      <c r="H93" s="23">
        <v>0</v>
      </c>
      <c r="I93" s="23">
        <v>50000</v>
      </c>
      <c r="J93" s="23">
        <v>56000</v>
      </c>
      <c r="K93" s="23">
        <v>3291000</v>
      </c>
      <c r="L93" s="23">
        <v>772937</v>
      </c>
      <c r="M93" s="23">
        <v>6269132</v>
      </c>
      <c r="N93" s="23">
        <v>5484245</v>
      </c>
      <c r="O93" s="26">
        <v>32670116.519000001</v>
      </c>
    </row>
    <row r="94" spans="1:19" ht="15.75" hidden="1" thickBot="1" x14ac:dyDescent="0.3">
      <c r="B94" s="22" t="s">
        <v>28</v>
      </c>
      <c r="C94" s="23">
        <v>5489</v>
      </c>
      <c r="D94" s="23">
        <v>801394</v>
      </c>
      <c r="E94" s="23">
        <v>2992</v>
      </c>
      <c r="F94" s="23">
        <v>1003500</v>
      </c>
      <c r="G94" s="23">
        <v>0</v>
      </c>
      <c r="H94" s="23">
        <v>0</v>
      </c>
      <c r="I94" s="23">
        <v>50000</v>
      </c>
      <c r="J94" s="23">
        <v>56000</v>
      </c>
      <c r="K94" s="23">
        <v>3300000</v>
      </c>
      <c r="L94" s="23">
        <v>712631</v>
      </c>
      <c r="M94" s="23">
        <v>5460894</v>
      </c>
      <c r="N94" s="23">
        <v>5543533</v>
      </c>
      <c r="O94" s="26">
        <v>33400352.519000001</v>
      </c>
    </row>
    <row r="95" spans="1:19" ht="15.75" hidden="1" thickBot="1" x14ac:dyDescent="0.3">
      <c r="B95" s="22" t="s">
        <v>29</v>
      </c>
      <c r="C95" s="23">
        <v>5305</v>
      </c>
      <c r="D95" s="23">
        <v>774530</v>
      </c>
      <c r="E95" s="23">
        <v>2184</v>
      </c>
      <c r="F95" s="23">
        <v>842580</v>
      </c>
      <c r="G95" s="23">
        <v>0</v>
      </c>
      <c r="H95" s="23">
        <v>0</v>
      </c>
      <c r="I95" s="23">
        <v>50000</v>
      </c>
      <c r="J95" s="23">
        <v>52000</v>
      </c>
      <c r="K95" s="23">
        <v>3300000</v>
      </c>
      <c r="L95" s="23">
        <v>550344</v>
      </c>
      <c r="M95" s="23">
        <v>5269110</v>
      </c>
      <c r="N95" s="23">
        <v>4814396</v>
      </c>
      <c r="O95" s="26">
        <v>34492920.749000005</v>
      </c>
    </row>
    <row r="96" spans="1:19" ht="15.75" hidden="1" thickBot="1" x14ac:dyDescent="0.3">
      <c r="B96" s="22" t="s">
        <v>30</v>
      </c>
      <c r="C96" s="23">
        <v>4314</v>
      </c>
      <c r="D96" s="23">
        <v>629844</v>
      </c>
      <c r="E96" s="23">
        <v>1061</v>
      </c>
      <c r="F96" s="23">
        <v>407160</v>
      </c>
      <c r="G96" s="23">
        <v>0</v>
      </c>
      <c r="H96" s="23">
        <v>0</v>
      </c>
      <c r="I96" s="23">
        <v>50000</v>
      </c>
      <c r="J96" s="23">
        <v>56000</v>
      </c>
      <c r="K96" s="23">
        <v>3300000</v>
      </c>
      <c r="L96" s="23">
        <v>766929</v>
      </c>
      <c r="M96" s="23">
        <v>4693004</v>
      </c>
      <c r="N96" s="23">
        <v>4859355</v>
      </c>
      <c r="O96" s="26">
        <v>35496044.749000005</v>
      </c>
    </row>
    <row r="97" spans="1:19" ht="15.75" hidden="1" thickBot="1" x14ac:dyDescent="0.3">
      <c r="B97" s="22" t="s">
        <v>31</v>
      </c>
      <c r="C97" s="23">
        <v>4446</v>
      </c>
      <c r="D97" s="23">
        <v>649116</v>
      </c>
      <c r="E97" s="23">
        <v>488</v>
      </c>
      <c r="F97" s="23">
        <v>175320</v>
      </c>
      <c r="G97" s="23">
        <v>0</v>
      </c>
      <c r="H97" s="23">
        <v>0</v>
      </c>
      <c r="I97" s="23">
        <v>0</v>
      </c>
      <c r="J97" s="23">
        <v>56000</v>
      </c>
      <c r="K97" s="23">
        <v>3300000</v>
      </c>
      <c r="L97" s="23">
        <v>508848</v>
      </c>
      <c r="M97" s="23">
        <v>4180436</v>
      </c>
      <c r="N97" s="23">
        <v>3361324</v>
      </c>
      <c r="O97" s="26">
        <v>36803486.149000004</v>
      </c>
    </row>
    <row r="98" spans="1:19" ht="15.75" hidden="1" thickBot="1" x14ac:dyDescent="0.3">
      <c r="A98" s="21"/>
      <c r="B98" s="22" t="s">
        <v>32</v>
      </c>
      <c r="C98" s="23">
        <v>5420</v>
      </c>
      <c r="D98" s="23">
        <v>791320</v>
      </c>
      <c r="E98" s="23">
        <v>356</v>
      </c>
      <c r="F98" s="23">
        <v>128160</v>
      </c>
      <c r="G98" s="23">
        <v>0</v>
      </c>
      <c r="H98" s="23">
        <v>0</v>
      </c>
      <c r="I98" s="23">
        <v>59000</v>
      </c>
      <c r="J98" s="23">
        <v>144246</v>
      </c>
      <c r="K98" s="23">
        <v>3555574.3</v>
      </c>
      <c r="L98" s="23">
        <v>834870.3</v>
      </c>
      <c r="M98" s="23">
        <v>5130284</v>
      </c>
      <c r="N98" s="23">
        <v>4429905</v>
      </c>
      <c r="O98" s="26">
        <v>32271683.149</v>
      </c>
      <c r="S98" s="21"/>
    </row>
    <row r="99" spans="1:19" ht="15.75" hidden="1" thickBot="1" x14ac:dyDescent="0.3">
      <c r="A99" s="21"/>
      <c r="B99" s="22" t="s">
        <v>33</v>
      </c>
      <c r="C99" s="23">
        <v>4572</v>
      </c>
      <c r="D99" s="23">
        <v>667512</v>
      </c>
      <c r="E99" s="23">
        <v>402</v>
      </c>
      <c r="F99" s="23">
        <v>144720</v>
      </c>
      <c r="G99" s="23">
        <v>0</v>
      </c>
      <c r="H99" s="23">
        <v>55000</v>
      </c>
      <c r="I99" s="23">
        <v>40500</v>
      </c>
      <c r="J99" s="23">
        <v>189174</v>
      </c>
      <c r="K99" s="23">
        <v>3555874.3</v>
      </c>
      <c r="L99" s="23">
        <v>657136.30000000005</v>
      </c>
      <c r="M99" s="23">
        <v>4791646</v>
      </c>
      <c r="N99" s="23">
        <v>11376347</v>
      </c>
      <c r="O99" s="26">
        <v>25771552.148999996</v>
      </c>
      <c r="S99" s="21"/>
    </row>
    <row r="100" spans="1:19" ht="15.75" hidden="1" thickBot="1" x14ac:dyDescent="0.3">
      <c r="A100" s="21"/>
      <c r="B100" s="22" t="s">
        <v>34</v>
      </c>
      <c r="C100" s="23">
        <v>7319</v>
      </c>
      <c r="D100" s="23">
        <v>1068574</v>
      </c>
      <c r="E100" s="23">
        <v>1344</v>
      </c>
      <c r="F100" s="23">
        <v>500400</v>
      </c>
      <c r="G100" s="23">
        <v>0</v>
      </c>
      <c r="H100" s="23">
        <v>0</v>
      </c>
      <c r="I100" s="23">
        <v>44000</v>
      </c>
      <c r="J100" s="23">
        <v>197334</v>
      </c>
      <c r="K100" s="23">
        <v>3594474.3</v>
      </c>
      <c r="L100" s="23">
        <v>678513.3</v>
      </c>
      <c r="M100" s="23">
        <v>5409580</v>
      </c>
      <c r="N100" s="23">
        <v>3993155</v>
      </c>
      <c r="O100" s="26">
        <v>27363030.149</v>
      </c>
      <c r="S100" s="21"/>
    </row>
    <row r="101" spans="1:19" ht="15.75" hidden="1" thickBot="1" x14ac:dyDescent="0.3">
      <c r="A101" s="21"/>
      <c r="B101" s="22" t="s">
        <v>35</v>
      </c>
      <c r="C101" s="23">
        <v>-7747</v>
      </c>
      <c r="D101" s="23">
        <v>-1131062</v>
      </c>
      <c r="E101" s="23">
        <v>-1713</v>
      </c>
      <c r="F101" s="23">
        <v>-532440</v>
      </c>
      <c r="G101" s="23">
        <v>0</v>
      </c>
      <c r="H101" s="23">
        <v>0</v>
      </c>
      <c r="I101" s="23">
        <v>4000</v>
      </c>
      <c r="J101" s="23">
        <v>-3219270</v>
      </c>
      <c r="K101" s="23">
        <v>3647562.3</v>
      </c>
      <c r="L101" s="23">
        <v>-2697303.7</v>
      </c>
      <c r="M101" s="23">
        <v>5595172</v>
      </c>
      <c r="N101" s="23">
        <v>5942619</v>
      </c>
      <c r="O101" s="26">
        <v>23756911.149</v>
      </c>
      <c r="S101" s="21"/>
    </row>
    <row r="102" spans="1:19" ht="15.75" hidden="1" thickBot="1" x14ac:dyDescent="0.3">
      <c r="A102" s="21"/>
      <c r="B102" s="22" t="s">
        <v>36</v>
      </c>
      <c r="C102" s="23">
        <v>18993</v>
      </c>
      <c r="D102" s="23">
        <v>2772978</v>
      </c>
      <c r="E102" s="23">
        <v>7354</v>
      </c>
      <c r="F102" s="23">
        <v>2932920</v>
      </c>
      <c r="G102" s="23">
        <v>0</v>
      </c>
      <c r="H102" s="23">
        <v>0</v>
      </c>
      <c r="I102" s="23">
        <v>4000</v>
      </c>
      <c r="J102" s="23">
        <v>3528626</v>
      </c>
      <c r="K102" s="23">
        <v>240768.29999999981</v>
      </c>
      <c r="L102" s="23">
        <v>633155.29999999981</v>
      </c>
      <c r="M102" s="23">
        <v>6178366</v>
      </c>
      <c r="N102" s="23">
        <v>6220404</v>
      </c>
      <c r="O102" s="26">
        <v>27188946.148999996</v>
      </c>
      <c r="S102" s="21"/>
    </row>
    <row r="103" spans="1:19" ht="15.75" hidden="1" thickBot="1" x14ac:dyDescent="0.3">
      <c r="A103" s="21"/>
      <c r="B103" s="22" t="s">
        <v>37</v>
      </c>
      <c r="C103" s="23">
        <v>5508</v>
      </c>
      <c r="D103" s="23">
        <v>804168</v>
      </c>
      <c r="E103" s="23">
        <v>4427</v>
      </c>
      <c r="F103" s="23">
        <v>2093400</v>
      </c>
      <c r="G103" s="23">
        <v>0</v>
      </c>
      <c r="H103" s="23">
        <v>0</v>
      </c>
      <c r="I103" s="23">
        <v>4000</v>
      </c>
      <c r="J103" s="23">
        <v>234248</v>
      </c>
      <c r="K103" s="23">
        <v>3437704.3</v>
      </c>
      <c r="L103" s="23">
        <v>462179.29999999981</v>
      </c>
      <c r="M103" s="23">
        <v>6621847</v>
      </c>
      <c r="N103" s="23">
        <v>6707733</v>
      </c>
      <c r="O103" s="26">
        <v>27282466.148999996</v>
      </c>
      <c r="S103" s="21"/>
    </row>
    <row r="104" spans="1:19" ht="15.75" hidden="1" thickBot="1" x14ac:dyDescent="0.3">
      <c r="A104" s="21">
        <v>2011</v>
      </c>
      <c r="B104" s="22" t="s">
        <v>38</v>
      </c>
      <c r="C104" s="23">
        <v>17002</v>
      </c>
      <c r="D104" s="23">
        <v>2482292</v>
      </c>
      <c r="E104" s="23">
        <v>7591</v>
      </c>
      <c r="F104" s="23">
        <v>3335400</v>
      </c>
      <c r="G104" s="23">
        <v>29649</v>
      </c>
      <c r="H104" s="23">
        <v>0</v>
      </c>
      <c r="I104" s="23">
        <v>4000</v>
      </c>
      <c r="J104" s="23">
        <v>60000</v>
      </c>
      <c r="K104" s="23">
        <v>3625600</v>
      </c>
      <c r="L104" s="23">
        <v>263500</v>
      </c>
      <c r="M104" s="23">
        <v>9796441</v>
      </c>
      <c r="N104" s="23">
        <v>5633265</v>
      </c>
      <c r="O104" s="26">
        <v>31492466.148999996</v>
      </c>
      <c r="S104" s="21"/>
    </row>
    <row r="105" spans="1:19" ht="15.75" hidden="1" thickBot="1" x14ac:dyDescent="0.3">
      <c r="A105" s="21"/>
      <c r="B105" s="22" t="s">
        <v>27</v>
      </c>
      <c r="C105" s="23">
        <v>6726</v>
      </c>
      <c r="D105" s="23">
        <v>981996</v>
      </c>
      <c r="E105" s="23">
        <v>4755</v>
      </c>
      <c r="F105" s="23">
        <v>2343510</v>
      </c>
      <c r="G105" s="23">
        <v>0</v>
      </c>
      <c r="H105" s="23">
        <v>0</v>
      </c>
      <c r="I105" s="23">
        <v>4000</v>
      </c>
      <c r="J105" s="23">
        <v>60000</v>
      </c>
      <c r="K105" s="23">
        <v>3625600</v>
      </c>
      <c r="L105" s="23">
        <v>273216</v>
      </c>
      <c r="M105" s="23">
        <v>7284322</v>
      </c>
      <c r="N105" s="23">
        <v>6358866</v>
      </c>
      <c r="O105" s="26">
        <v>29926484.149</v>
      </c>
      <c r="S105" s="21"/>
    </row>
    <row r="106" spans="1:19" ht="15.75" hidden="1" thickBot="1" x14ac:dyDescent="0.3">
      <c r="A106" s="21"/>
      <c r="B106" s="22" t="s">
        <v>28</v>
      </c>
      <c r="C106" s="23">
        <v>5952</v>
      </c>
      <c r="D106" s="23">
        <v>868992</v>
      </c>
      <c r="E106" s="23">
        <v>3558</v>
      </c>
      <c r="F106" s="23">
        <v>1519200</v>
      </c>
      <c r="G106" s="23">
        <v>0</v>
      </c>
      <c r="H106" s="23">
        <v>0</v>
      </c>
      <c r="I106" s="23">
        <v>4000</v>
      </c>
      <c r="J106" s="23">
        <v>56000</v>
      </c>
      <c r="K106" s="23">
        <v>3625600</v>
      </c>
      <c r="L106" s="23">
        <v>316099</v>
      </c>
      <c r="M106" s="23">
        <v>6345729</v>
      </c>
      <c r="N106" s="23">
        <v>5544421</v>
      </c>
      <c r="O106" s="26">
        <v>30682398.149</v>
      </c>
      <c r="S106" s="21"/>
    </row>
    <row r="107" spans="1:19" ht="15.75" hidden="1" thickBot="1" x14ac:dyDescent="0.3">
      <c r="A107" s="21"/>
      <c r="B107" s="22" t="s">
        <v>29</v>
      </c>
      <c r="C107" s="23">
        <v>6297</v>
      </c>
      <c r="D107" s="23">
        <v>919362</v>
      </c>
      <c r="E107" s="23">
        <v>2882</v>
      </c>
      <c r="F107" s="23">
        <v>1186740</v>
      </c>
      <c r="G107" s="23">
        <v>0</v>
      </c>
      <c r="H107" s="23">
        <v>0</v>
      </c>
      <c r="I107" s="23">
        <v>4000</v>
      </c>
      <c r="J107" s="23">
        <v>56000</v>
      </c>
      <c r="K107" s="23">
        <v>3625600</v>
      </c>
      <c r="L107" s="23">
        <v>271868</v>
      </c>
      <c r="M107" s="23">
        <v>6059570</v>
      </c>
      <c r="N107" s="23">
        <v>8409508</v>
      </c>
      <c r="O107" s="26">
        <v>28276472.148999996</v>
      </c>
      <c r="S107" s="21"/>
    </row>
    <row r="108" spans="1:19" ht="15.75" hidden="1" thickBot="1" x14ac:dyDescent="0.3">
      <c r="A108" s="21"/>
      <c r="B108" s="22" t="s">
        <v>30</v>
      </c>
      <c r="C108" s="23">
        <v>4069</v>
      </c>
      <c r="D108" s="23">
        <v>594074</v>
      </c>
      <c r="E108" s="23">
        <v>1146</v>
      </c>
      <c r="F108" s="23">
        <v>450720</v>
      </c>
      <c r="G108" s="23">
        <v>0</v>
      </c>
      <c r="H108" s="23">
        <v>0</v>
      </c>
      <c r="I108" s="23">
        <v>4000</v>
      </c>
      <c r="J108" s="23">
        <v>56000</v>
      </c>
      <c r="K108" s="23">
        <v>3625600</v>
      </c>
      <c r="L108" s="23">
        <v>274218</v>
      </c>
      <c r="M108" s="23">
        <v>5000612</v>
      </c>
      <c r="N108" s="23">
        <v>4432575</v>
      </c>
      <c r="O108" s="26">
        <v>28998053.148999996</v>
      </c>
      <c r="S108" s="21"/>
    </row>
    <row r="109" spans="1:19" ht="15.75" hidden="1" thickBot="1" x14ac:dyDescent="0.3">
      <c r="A109" s="21"/>
      <c r="B109" s="22" t="s">
        <v>31</v>
      </c>
      <c r="C109" s="23">
        <v>3984</v>
      </c>
      <c r="D109" s="23">
        <v>581664</v>
      </c>
      <c r="E109" s="23">
        <v>868</v>
      </c>
      <c r="F109" s="23">
        <v>312480</v>
      </c>
      <c r="G109" s="23">
        <v>0</v>
      </c>
      <c r="H109" s="23">
        <v>0</v>
      </c>
      <c r="I109" s="23">
        <v>4000</v>
      </c>
      <c r="J109" s="23">
        <v>56000</v>
      </c>
      <c r="K109" s="23">
        <v>3625600</v>
      </c>
      <c r="L109" s="23">
        <v>334785</v>
      </c>
      <c r="M109" s="23">
        <v>4910529</v>
      </c>
      <c r="N109" s="23">
        <v>3373824</v>
      </c>
      <c r="O109" s="26">
        <v>30538758.148999996</v>
      </c>
      <c r="S109" s="21"/>
    </row>
    <row r="110" spans="1:19" ht="15.75" hidden="1" thickBot="1" x14ac:dyDescent="0.3">
      <c r="A110" s="21"/>
      <c r="B110" s="22" t="s">
        <v>32</v>
      </c>
      <c r="C110" s="23">
        <v>4922</v>
      </c>
      <c r="D110" s="23">
        <v>718612</v>
      </c>
      <c r="E110" s="23">
        <v>511</v>
      </c>
      <c r="F110" s="23">
        <v>183960</v>
      </c>
      <c r="G110" s="23">
        <v>0</v>
      </c>
      <c r="H110" s="23">
        <v>0</v>
      </c>
      <c r="I110" s="23">
        <v>8000</v>
      </c>
      <c r="J110" s="23">
        <v>68000</v>
      </c>
      <c r="K110" s="23">
        <v>3625600</v>
      </c>
      <c r="L110" s="23">
        <v>307258</v>
      </c>
      <c r="M110" s="23">
        <v>4903430</v>
      </c>
      <c r="N110" s="23">
        <v>4734936</v>
      </c>
      <c r="O110" s="26">
        <v>30657580.148999996</v>
      </c>
      <c r="S110" s="21"/>
    </row>
    <row r="111" spans="1:19" ht="15.75" hidden="1" thickBot="1" x14ac:dyDescent="0.3">
      <c r="A111" s="21"/>
      <c r="B111" s="22" t="s">
        <v>33</v>
      </c>
      <c r="C111" s="23">
        <v>4109</v>
      </c>
      <c r="D111" s="23">
        <v>599914</v>
      </c>
      <c r="E111" s="23">
        <v>458</v>
      </c>
      <c r="F111" s="23">
        <v>164880</v>
      </c>
      <c r="G111" s="23">
        <v>0</v>
      </c>
      <c r="H111" s="23">
        <v>0</v>
      </c>
      <c r="I111" s="23">
        <v>8000</v>
      </c>
      <c r="J111" s="23">
        <v>68000</v>
      </c>
      <c r="K111" s="23">
        <v>3625600</v>
      </c>
      <c r="L111" s="23">
        <v>350956</v>
      </c>
      <c r="M111" s="23">
        <v>4809350</v>
      </c>
      <c r="N111" s="23">
        <v>3390323</v>
      </c>
      <c r="O111" s="26">
        <v>32146279.148999996</v>
      </c>
      <c r="S111" s="21"/>
    </row>
    <row r="112" spans="1:19" ht="15.75" hidden="1" thickBot="1" x14ac:dyDescent="0.3">
      <c r="A112" s="21"/>
      <c r="B112" s="22" t="s">
        <v>34</v>
      </c>
      <c r="C112" s="23">
        <v>5121</v>
      </c>
      <c r="D112" s="23">
        <v>747666</v>
      </c>
      <c r="E112" s="23">
        <v>1082</v>
      </c>
      <c r="F112" s="23">
        <v>389520</v>
      </c>
      <c r="G112" s="23">
        <v>0</v>
      </c>
      <c r="H112" s="23">
        <v>0</v>
      </c>
      <c r="I112" s="23">
        <v>8000</v>
      </c>
      <c r="J112" s="23">
        <v>68000</v>
      </c>
      <c r="K112" s="23">
        <v>3625600</v>
      </c>
      <c r="L112" s="23">
        <v>360293</v>
      </c>
      <c r="M112" s="23">
        <v>5191079</v>
      </c>
      <c r="N112" s="23">
        <v>4384746</v>
      </c>
      <c r="O112" s="26">
        <v>32964612.148999996</v>
      </c>
      <c r="S112" s="21"/>
    </row>
    <row r="113" spans="1:19" ht="15.75" hidden="1" thickBot="1" x14ac:dyDescent="0.3">
      <c r="A113" s="21"/>
      <c r="B113" s="22" t="s">
        <v>35</v>
      </c>
      <c r="C113" s="23">
        <v>5120</v>
      </c>
      <c r="D113" s="23">
        <v>747520</v>
      </c>
      <c r="E113" s="23">
        <v>2020</v>
      </c>
      <c r="F113" s="23">
        <v>747360</v>
      </c>
      <c r="G113" s="23">
        <v>0</v>
      </c>
      <c r="H113" s="23">
        <v>0</v>
      </c>
      <c r="I113" s="23">
        <v>8000</v>
      </c>
      <c r="J113" s="23">
        <v>68000</v>
      </c>
      <c r="K113" s="23">
        <v>3625600</v>
      </c>
      <c r="L113" s="23">
        <v>309473</v>
      </c>
      <c r="M113" s="23">
        <v>5497953</v>
      </c>
      <c r="N113" s="23">
        <v>4615660</v>
      </c>
      <c r="O113" s="26">
        <v>33858905.148999996</v>
      </c>
      <c r="S113" s="21"/>
    </row>
    <row r="114" spans="1:19" ht="15.75" hidden="1" thickBot="1" x14ac:dyDescent="0.3">
      <c r="A114" s="21"/>
      <c r="B114" s="22" t="s">
        <v>36</v>
      </c>
      <c r="C114" s="23">
        <v>6171</v>
      </c>
      <c r="D114" s="23">
        <v>900966</v>
      </c>
      <c r="E114" s="23">
        <v>2973</v>
      </c>
      <c r="F114" s="23">
        <v>1358820</v>
      </c>
      <c r="G114" s="23">
        <v>0</v>
      </c>
      <c r="H114" s="23">
        <v>0</v>
      </c>
      <c r="I114" s="23">
        <v>8000</v>
      </c>
      <c r="J114" s="23">
        <v>68000</v>
      </c>
      <c r="K114" s="23">
        <v>3627809</v>
      </c>
      <c r="L114" s="23">
        <v>324404</v>
      </c>
      <c r="M114" s="23">
        <v>6266582</v>
      </c>
      <c r="N114" s="23">
        <v>6591078</v>
      </c>
      <c r="O114" s="26">
        <v>33503030.148999996</v>
      </c>
      <c r="S114" s="21"/>
    </row>
    <row r="115" spans="1:19" ht="15.75" hidden="1" thickBot="1" x14ac:dyDescent="0.3">
      <c r="A115" s="21"/>
      <c r="B115" s="22" t="s">
        <v>37</v>
      </c>
      <c r="C115" s="23">
        <v>7386</v>
      </c>
      <c r="D115" s="23">
        <v>1078356</v>
      </c>
      <c r="E115" s="23">
        <v>4734</v>
      </c>
      <c r="F115" s="23">
        <v>2310840</v>
      </c>
      <c r="G115" s="23">
        <v>0</v>
      </c>
      <c r="H115" s="23">
        <v>0</v>
      </c>
      <c r="I115" s="23">
        <v>8000</v>
      </c>
      <c r="J115" s="23">
        <v>68000</v>
      </c>
      <c r="K115" s="23">
        <v>3627809</v>
      </c>
      <c r="L115" s="23">
        <v>388941</v>
      </c>
      <c r="M115" s="23">
        <v>7473946</v>
      </c>
      <c r="N115" s="23">
        <v>7333028</v>
      </c>
      <c r="O115" s="26">
        <v>33712744.148999996</v>
      </c>
      <c r="S115" s="21"/>
    </row>
    <row r="116" spans="1:19" ht="15.75" hidden="1" thickBot="1" x14ac:dyDescent="0.3">
      <c r="A116" s="21">
        <v>2012</v>
      </c>
      <c r="B116" s="22" t="s">
        <v>38</v>
      </c>
      <c r="C116" s="23">
        <v>8492</v>
      </c>
      <c r="D116" s="23">
        <v>1239832</v>
      </c>
      <c r="E116" s="23">
        <v>5008</v>
      </c>
      <c r="F116" s="23">
        <v>2416680</v>
      </c>
      <c r="G116" s="23">
        <v>0</v>
      </c>
      <c r="H116" s="23">
        <v>0</v>
      </c>
      <c r="I116" s="23">
        <v>33466</v>
      </c>
      <c r="J116" s="23">
        <v>131665</v>
      </c>
      <c r="K116" s="23">
        <v>3766976</v>
      </c>
      <c r="L116" s="23">
        <v>369910</v>
      </c>
      <c r="M116" s="23">
        <v>7950529</v>
      </c>
      <c r="N116" s="23">
        <v>6052319</v>
      </c>
      <c r="O116" s="26">
        <v>35622954.148999996</v>
      </c>
      <c r="S116" s="21"/>
    </row>
    <row r="117" spans="1:19" ht="15.75" hidden="1" thickBot="1" x14ac:dyDescent="0.3">
      <c r="A117" s="21"/>
      <c r="B117" s="22" t="s">
        <v>27</v>
      </c>
      <c r="C117" s="23">
        <v>7794</v>
      </c>
      <c r="D117" s="23">
        <v>1137924</v>
      </c>
      <c r="E117" s="23">
        <v>4307</v>
      </c>
      <c r="F117" s="23">
        <v>1917720</v>
      </c>
      <c r="G117" s="23">
        <v>0</v>
      </c>
      <c r="H117" s="23">
        <v>0</v>
      </c>
      <c r="I117" s="23">
        <v>8000</v>
      </c>
      <c r="J117" s="23">
        <v>68000</v>
      </c>
      <c r="K117" s="23">
        <v>3766976</v>
      </c>
      <c r="L117" s="23">
        <v>385246</v>
      </c>
      <c r="M117" s="23">
        <v>7251413</v>
      </c>
      <c r="N117" s="23">
        <v>6048894</v>
      </c>
      <c r="O117" s="26">
        <v>36874659.149000004</v>
      </c>
      <c r="S117" s="21"/>
    </row>
    <row r="118" spans="1:19" ht="15.75" hidden="1" thickBot="1" x14ac:dyDescent="0.3">
      <c r="A118" s="21"/>
      <c r="B118" s="22" t="s">
        <v>28</v>
      </c>
      <c r="C118" s="23">
        <v>7614</v>
      </c>
      <c r="D118" s="23">
        <v>1111644</v>
      </c>
      <c r="E118" s="23">
        <v>4078</v>
      </c>
      <c r="F118" s="23">
        <v>1768500</v>
      </c>
      <c r="G118" s="23">
        <v>0</v>
      </c>
      <c r="H118" s="23">
        <v>0</v>
      </c>
      <c r="I118" s="23">
        <v>8000</v>
      </c>
      <c r="J118" s="23">
        <v>68000</v>
      </c>
      <c r="K118" s="23">
        <v>3766976</v>
      </c>
      <c r="L118" s="23">
        <v>392731</v>
      </c>
      <c r="M118" s="23">
        <v>7107851</v>
      </c>
      <c r="N118" s="23">
        <v>6495359</v>
      </c>
      <c r="O118" s="26">
        <v>37499151.149000004</v>
      </c>
      <c r="S118" s="21"/>
    </row>
    <row r="119" spans="1:19" ht="15.75" hidden="1" thickBot="1" x14ac:dyDescent="0.3">
      <c r="A119" s="21"/>
      <c r="B119" s="22" t="s">
        <v>29</v>
      </c>
      <c r="C119" s="23">
        <v>5931</v>
      </c>
      <c r="D119" s="23">
        <v>865926</v>
      </c>
      <c r="E119" s="23">
        <v>2770</v>
      </c>
      <c r="F119" s="23">
        <v>1060560</v>
      </c>
      <c r="G119" s="23">
        <v>0</v>
      </c>
      <c r="H119" s="23">
        <v>0</v>
      </c>
      <c r="I119" s="23">
        <v>71432</v>
      </c>
      <c r="J119" s="23">
        <v>68000</v>
      </c>
      <c r="K119" s="23">
        <v>3766976</v>
      </c>
      <c r="L119" s="23">
        <v>372044</v>
      </c>
      <c r="M119" s="23">
        <v>6165888</v>
      </c>
      <c r="N119" s="23">
        <v>5314576</v>
      </c>
      <c r="O119" s="26">
        <v>38334654.149000004</v>
      </c>
      <c r="S119" s="21"/>
    </row>
    <row r="120" spans="1:19" ht="15.75" hidden="1" thickBot="1" x14ac:dyDescent="0.3">
      <c r="A120" s="21"/>
      <c r="B120" s="22" t="s">
        <v>30</v>
      </c>
      <c r="C120" s="23">
        <v>7483</v>
      </c>
      <c r="D120" s="23">
        <v>1092518</v>
      </c>
      <c r="E120" s="23">
        <v>2826</v>
      </c>
      <c r="F120" s="23">
        <v>1362240</v>
      </c>
      <c r="G120" s="23">
        <v>0</v>
      </c>
      <c r="H120" s="23">
        <v>0</v>
      </c>
      <c r="I120" s="23">
        <v>188000</v>
      </c>
      <c r="J120" s="23">
        <v>68000</v>
      </c>
      <c r="K120" s="23">
        <v>3766976</v>
      </c>
      <c r="L120" s="23">
        <v>379256</v>
      </c>
      <c r="M120" s="23">
        <v>6728990</v>
      </c>
      <c r="N120" s="23">
        <v>6052094</v>
      </c>
      <c r="O120" s="26">
        <v>39282409.149000004</v>
      </c>
      <c r="S120" s="21"/>
    </row>
    <row r="121" spans="1:19" ht="15.75" hidden="1" thickBot="1" x14ac:dyDescent="0.3">
      <c r="A121" s="21"/>
      <c r="B121" s="22" t="s">
        <v>31</v>
      </c>
      <c r="C121" s="23">
        <v>2175</v>
      </c>
      <c r="D121" s="23">
        <v>707662</v>
      </c>
      <c r="E121" s="23">
        <v>427</v>
      </c>
      <c r="F121" s="23">
        <v>153720</v>
      </c>
      <c r="G121" s="23">
        <v>0</v>
      </c>
      <c r="H121" s="23">
        <v>0</v>
      </c>
      <c r="I121" s="23">
        <v>88000</v>
      </c>
      <c r="J121" s="23">
        <v>72000</v>
      </c>
      <c r="K121" s="23">
        <v>3766976</v>
      </c>
      <c r="L121" s="23">
        <v>353852</v>
      </c>
      <c r="M121" s="23">
        <v>5114595</v>
      </c>
      <c r="N121" s="23">
        <v>6144996</v>
      </c>
      <c r="O121" s="26">
        <v>38224764.148999996</v>
      </c>
      <c r="S121" s="21"/>
    </row>
    <row r="122" spans="1:19" ht="15.75" hidden="1" thickBot="1" x14ac:dyDescent="0.3">
      <c r="A122" s="21"/>
      <c r="B122" s="22" t="s">
        <v>32</v>
      </c>
      <c r="C122" s="23">
        <v>7614</v>
      </c>
      <c r="D122" s="23">
        <v>721532</v>
      </c>
      <c r="E122" s="23">
        <v>504</v>
      </c>
      <c r="F122" s="23">
        <v>181440</v>
      </c>
      <c r="G122" s="23">
        <v>0</v>
      </c>
      <c r="H122" s="23">
        <v>63432</v>
      </c>
      <c r="I122" s="23">
        <v>67432</v>
      </c>
      <c r="J122" s="23">
        <v>76000</v>
      </c>
      <c r="K122" s="23">
        <v>3766976</v>
      </c>
      <c r="L122" s="23">
        <v>389043</v>
      </c>
      <c r="M122" s="23">
        <v>5198423</v>
      </c>
      <c r="N122" s="23">
        <v>4975041</v>
      </c>
      <c r="O122" s="26">
        <v>38531294.148999996</v>
      </c>
      <c r="S122" s="21"/>
    </row>
    <row r="123" spans="1:19" ht="15.75" hidden="1" thickBot="1" x14ac:dyDescent="0.3">
      <c r="A123" s="21"/>
      <c r="B123" s="22" t="s">
        <v>33</v>
      </c>
      <c r="C123" s="23">
        <v>4973</v>
      </c>
      <c r="D123" s="23">
        <v>726058</v>
      </c>
      <c r="E123" s="23">
        <v>578</v>
      </c>
      <c r="F123" s="23">
        <v>208080</v>
      </c>
      <c r="G123" s="23">
        <v>0</v>
      </c>
      <c r="H123" s="23">
        <v>0</v>
      </c>
      <c r="I123" s="23">
        <v>0</v>
      </c>
      <c r="J123" s="23">
        <v>215000</v>
      </c>
      <c r="K123" s="23">
        <v>3766976</v>
      </c>
      <c r="L123" s="23">
        <v>352914</v>
      </c>
      <c r="M123" s="23">
        <v>5269028</v>
      </c>
      <c r="N123" s="23">
        <v>4378318</v>
      </c>
      <c r="O123" s="26">
        <v>39469147.148999996</v>
      </c>
      <c r="S123" s="21"/>
    </row>
    <row r="124" spans="1:19" ht="15.75" hidden="1" thickBot="1" x14ac:dyDescent="0.3">
      <c r="A124" s="21"/>
      <c r="B124" s="22" t="s">
        <v>34</v>
      </c>
      <c r="C124" s="23">
        <v>5709</v>
      </c>
      <c r="D124" s="23">
        <v>833514</v>
      </c>
      <c r="E124" s="23">
        <v>1371</v>
      </c>
      <c r="F124" s="23">
        <v>493560</v>
      </c>
      <c r="G124" s="23">
        <v>0</v>
      </c>
      <c r="H124" s="23">
        <v>0</v>
      </c>
      <c r="I124" s="23">
        <v>0</v>
      </c>
      <c r="J124" s="23">
        <v>225000</v>
      </c>
      <c r="K124" s="23">
        <v>3766976</v>
      </c>
      <c r="L124" s="23">
        <v>391993</v>
      </c>
      <c r="M124" s="23">
        <v>5694182</v>
      </c>
      <c r="N124" s="23">
        <v>5507917</v>
      </c>
      <c r="O124" s="26">
        <v>39672273.148999996</v>
      </c>
      <c r="S124" s="21"/>
    </row>
    <row r="125" spans="1:19" ht="15.75" hidden="1" thickBot="1" x14ac:dyDescent="0.3">
      <c r="A125" s="21"/>
      <c r="B125" s="22" t="s">
        <v>35</v>
      </c>
      <c r="C125" s="23">
        <v>2682</v>
      </c>
      <c r="D125" s="23">
        <v>781684</v>
      </c>
      <c r="E125" s="23">
        <v>1753</v>
      </c>
      <c r="F125" s="23">
        <v>634320</v>
      </c>
      <c r="G125" s="23">
        <v>0</v>
      </c>
      <c r="H125" s="23">
        <v>0</v>
      </c>
      <c r="I125" s="23">
        <v>0</v>
      </c>
      <c r="J125" s="23">
        <v>215000</v>
      </c>
      <c r="K125" s="23">
        <v>3766976</v>
      </c>
      <c r="L125" s="23">
        <v>318262</v>
      </c>
      <c r="M125" s="23">
        <v>5716242</v>
      </c>
      <c r="N125" s="23">
        <v>4826808</v>
      </c>
      <c r="O125" s="26">
        <v>40499940.148999996</v>
      </c>
      <c r="S125" s="21"/>
    </row>
    <row r="126" spans="1:19" ht="15.75" hidden="1" thickBot="1" x14ac:dyDescent="0.3">
      <c r="A126" s="21"/>
      <c r="B126" s="22" t="s">
        <v>36</v>
      </c>
      <c r="C126" s="23">
        <v>5653</v>
      </c>
      <c r="D126" s="23">
        <v>825338</v>
      </c>
      <c r="E126" s="23">
        <v>4242</v>
      </c>
      <c r="F126" s="23">
        <v>2157120</v>
      </c>
      <c r="G126" s="23">
        <v>0</v>
      </c>
      <c r="H126" s="23">
        <v>0</v>
      </c>
      <c r="I126" s="23">
        <v>139912</v>
      </c>
      <c r="J126" s="23">
        <v>215000</v>
      </c>
      <c r="K126" s="23">
        <v>3767851</v>
      </c>
      <c r="L126" s="23">
        <v>563946</v>
      </c>
      <c r="M126" s="23">
        <v>7583028</v>
      </c>
      <c r="N126" s="23">
        <v>5602386</v>
      </c>
      <c r="O126" s="26">
        <v>42654525.848999999</v>
      </c>
      <c r="S126" s="21"/>
    </row>
    <row r="127" spans="1:19" ht="15.75" hidden="1" thickBot="1" x14ac:dyDescent="0.3">
      <c r="A127" s="21"/>
      <c r="B127" s="22" t="s">
        <v>37</v>
      </c>
      <c r="C127" s="23">
        <v>6048</v>
      </c>
      <c r="D127" s="23">
        <v>883008</v>
      </c>
      <c r="E127" s="23">
        <v>4091</v>
      </c>
      <c r="F127" s="23">
        <v>1530720</v>
      </c>
      <c r="G127" s="23">
        <v>0</v>
      </c>
      <c r="H127" s="23">
        <v>0</v>
      </c>
      <c r="I127" s="23">
        <v>12288</v>
      </c>
      <c r="J127" s="23">
        <v>215000</v>
      </c>
      <c r="K127" s="23">
        <v>3767851</v>
      </c>
      <c r="L127" s="23">
        <v>335890</v>
      </c>
      <c r="M127" s="23">
        <v>6744757</v>
      </c>
      <c r="N127" s="23">
        <v>7408239</v>
      </c>
      <c r="O127" s="26">
        <v>41932184.949000001</v>
      </c>
      <c r="S127" s="21"/>
    </row>
    <row r="128" spans="1:19" ht="15.75" hidden="1" thickBot="1" x14ac:dyDescent="0.3">
      <c r="A128" s="21">
        <v>2013</v>
      </c>
      <c r="B128" s="22" t="s">
        <v>38</v>
      </c>
      <c r="C128" s="23">
        <v>9146</v>
      </c>
      <c r="D128" s="23">
        <v>1337944</v>
      </c>
      <c r="E128" s="23">
        <v>5393</v>
      </c>
      <c r="F128" s="23">
        <v>2593440</v>
      </c>
      <c r="G128" s="23">
        <v>0</v>
      </c>
      <c r="H128" s="23">
        <v>0</v>
      </c>
      <c r="I128" s="23">
        <v>0</v>
      </c>
      <c r="J128" s="23">
        <v>215000</v>
      </c>
      <c r="K128" s="23">
        <v>3822976</v>
      </c>
      <c r="L128" s="23">
        <v>494722</v>
      </c>
      <c r="M128" s="23">
        <v>8392469</v>
      </c>
      <c r="N128" s="23">
        <v>7329047</v>
      </c>
      <c r="O128" s="26">
        <v>43004448.949000001</v>
      </c>
      <c r="S128" s="21"/>
    </row>
    <row r="129" spans="1:19" ht="15.75" hidden="1" thickBot="1" x14ac:dyDescent="0.3">
      <c r="A129" s="21"/>
      <c r="B129" s="22" t="s">
        <v>27</v>
      </c>
      <c r="C129" s="23">
        <v>8749</v>
      </c>
      <c r="D129" s="23">
        <v>1277354</v>
      </c>
      <c r="E129" s="23">
        <v>4485</v>
      </c>
      <c r="F129" s="23">
        <v>1911780</v>
      </c>
      <c r="G129" s="23">
        <v>0</v>
      </c>
      <c r="H129" s="23">
        <v>565248</v>
      </c>
      <c r="I129" s="23">
        <v>147456</v>
      </c>
      <c r="J129" s="23">
        <v>205000</v>
      </c>
      <c r="K129" s="23">
        <v>3822976</v>
      </c>
      <c r="L129" s="23">
        <v>414314</v>
      </c>
      <c r="M129" s="23">
        <v>8153023</v>
      </c>
      <c r="N129" s="23">
        <v>6931446</v>
      </c>
      <c r="O129" s="26">
        <v>44639772.949000001</v>
      </c>
      <c r="S129" s="21"/>
    </row>
    <row r="130" spans="1:19" ht="15.75" hidden="1" thickBot="1" x14ac:dyDescent="0.3">
      <c r="A130" s="21"/>
      <c r="B130" s="22" t="s">
        <v>28</v>
      </c>
      <c r="C130" s="23">
        <v>6973</v>
      </c>
      <c r="D130" s="23">
        <v>1018058</v>
      </c>
      <c r="E130" s="23">
        <v>3992</v>
      </c>
      <c r="F130" s="23">
        <v>1842840</v>
      </c>
      <c r="G130" s="23">
        <v>0</v>
      </c>
      <c r="H130" s="23">
        <v>0</v>
      </c>
      <c r="I130" s="23">
        <v>0</v>
      </c>
      <c r="J130" s="23">
        <v>205000</v>
      </c>
      <c r="K130" s="23">
        <v>3822976</v>
      </c>
      <c r="L130" s="23">
        <v>538235</v>
      </c>
      <c r="M130" s="23">
        <v>7427109</v>
      </c>
      <c r="N130" s="23">
        <v>7492844</v>
      </c>
      <c r="O130" s="26">
        <v>44514305.949000001</v>
      </c>
      <c r="S130" s="21"/>
    </row>
    <row r="131" spans="1:19" ht="15.75" hidden="1" thickBot="1" x14ac:dyDescent="0.3">
      <c r="A131" s="21"/>
      <c r="B131" s="22" t="s">
        <v>29</v>
      </c>
      <c r="C131" s="23">
        <v>6518</v>
      </c>
      <c r="D131" s="23">
        <v>951628</v>
      </c>
      <c r="E131" s="23">
        <v>3161</v>
      </c>
      <c r="F131" s="23">
        <v>1312200</v>
      </c>
      <c r="G131" s="23">
        <v>0</v>
      </c>
      <c r="H131" s="23">
        <v>0</v>
      </c>
      <c r="I131" s="23">
        <v>0</v>
      </c>
      <c r="J131" s="23">
        <v>210000</v>
      </c>
      <c r="K131" s="23">
        <v>3822976</v>
      </c>
      <c r="L131" s="23">
        <v>408063</v>
      </c>
      <c r="M131" s="23">
        <v>6704867</v>
      </c>
      <c r="N131" s="23">
        <v>4791475</v>
      </c>
      <c r="O131" s="26">
        <v>46434208.949000001</v>
      </c>
      <c r="S131" s="21"/>
    </row>
    <row r="132" spans="1:19" ht="15.75" hidden="1" thickBot="1" x14ac:dyDescent="0.3">
      <c r="A132" s="21"/>
      <c r="B132" s="22" t="s">
        <v>30</v>
      </c>
      <c r="C132" s="23">
        <v>7072</v>
      </c>
      <c r="D132" s="23">
        <v>1037038</v>
      </c>
      <c r="E132" s="23">
        <v>1534</v>
      </c>
      <c r="F132" s="23">
        <v>560880</v>
      </c>
      <c r="G132" s="23">
        <v>0</v>
      </c>
      <c r="H132" s="23">
        <v>0</v>
      </c>
      <c r="I132" s="23">
        <v>0</v>
      </c>
      <c r="J132" s="23">
        <v>200000</v>
      </c>
      <c r="K132" s="23">
        <v>3822976</v>
      </c>
      <c r="L132" s="23">
        <v>584900</v>
      </c>
      <c r="M132" s="23">
        <v>6145782</v>
      </c>
      <c r="N132" s="23">
        <v>5262651</v>
      </c>
      <c r="O132" s="26">
        <v>47282443.949000001</v>
      </c>
      <c r="S132" s="21"/>
    </row>
    <row r="133" spans="1:19" ht="15.75" hidden="1" thickBot="1" x14ac:dyDescent="0.3">
      <c r="A133" s="21"/>
      <c r="B133" s="22" t="s">
        <v>31</v>
      </c>
      <c r="C133" s="23">
        <v>5600</v>
      </c>
      <c r="D133" s="23">
        <v>817600</v>
      </c>
      <c r="E133" s="23">
        <v>424</v>
      </c>
      <c r="F133" s="23">
        <v>152640</v>
      </c>
      <c r="G133" s="23">
        <v>0</v>
      </c>
      <c r="H133" s="23">
        <v>0</v>
      </c>
      <c r="I133" s="23">
        <v>0</v>
      </c>
      <c r="J133" s="23">
        <v>200000</v>
      </c>
      <c r="K133" s="23">
        <v>3822976</v>
      </c>
      <c r="L133" s="23">
        <v>501473</v>
      </c>
      <c r="M133" s="23">
        <v>5494689</v>
      </c>
      <c r="N133" s="23">
        <v>21617885</v>
      </c>
      <c r="O133" s="26">
        <v>31086086.948999997</v>
      </c>
      <c r="S133" s="21"/>
    </row>
    <row r="134" spans="1:19" ht="15.75" hidden="1" thickBot="1" x14ac:dyDescent="0.3">
      <c r="A134" s="21"/>
      <c r="B134" s="22" t="s">
        <v>32</v>
      </c>
      <c r="C134" s="23">
        <v>5498</v>
      </c>
      <c r="D134" s="23">
        <v>827090</v>
      </c>
      <c r="E134" s="23">
        <v>410</v>
      </c>
      <c r="F134" s="23">
        <v>147600</v>
      </c>
      <c r="G134" s="23">
        <v>0</v>
      </c>
      <c r="H134" s="23">
        <v>0</v>
      </c>
      <c r="I134" s="23">
        <v>0</v>
      </c>
      <c r="J134" s="23">
        <v>200000</v>
      </c>
      <c r="K134" s="23">
        <v>3822976</v>
      </c>
      <c r="L134" s="23">
        <v>304811</v>
      </c>
      <c r="M134" s="23">
        <v>5302477</v>
      </c>
      <c r="N134" s="23">
        <v>3916008</v>
      </c>
      <c r="O134" s="26">
        <v>32383495.948999997</v>
      </c>
      <c r="S134" s="21"/>
    </row>
    <row r="135" spans="1:19" ht="15.75" hidden="1" thickBot="1" x14ac:dyDescent="0.3">
      <c r="A135" s="21"/>
      <c r="B135" s="22" t="s">
        <v>33</v>
      </c>
      <c r="C135" s="23">
        <v>5364</v>
      </c>
      <c r="D135" s="23">
        <v>783144</v>
      </c>
      <c r="E135" s="23">
        <v>730</v>
      </c>
      <c r="F135" s="23">
        <v>262800</v>
      </c>
      <c r="G135" s="23">
        <v>15075</v>
      </c>
      <c r="H135" s="23">
        <v>0</v>
      </c>
      <c r="I135" s="23">
        <v>149960</v>
      </c>
      <c r="J135" s="23">
        <v>200000</v>
      </c>
      <c r="K135" s="23">
        <v>3822976</v>
      </c>
      <c r="L135" s="23">
        <v>509504</v>
      </c>
      <c r="M135" s="23">
        <v>5743459</v>
      </c>
      <c r="N135" s="23">
        <v>5023601</v>
      </c>
      <c r="O135" s="26">
        <v>33043626.948999997</v>
      </c>
      <c r="S135" s="21"/>
    </row>
    <row r="136" spans="1:19" ht="15.75" hidden="1" thickBot="1" x14ac:dyDescent="0.3">
      <c r="A136" s="21"/>
      <c r="B136" s="22" t="s">
        <v>34</v>
      </c>
      <c r="C136" s="23">
        <v>6448</v>
      </c>
      <c r="D136" s="23">
        <v>941408</v>
      </c>
      <c r="E136" s="23">
        <v>1158</v>
      </c>
      <c r="F136" s="23">
        <v>416880</v>
      </c>
      <c r="G136" s="23">
        <v>0</v>
      </c>
      <c r="H136" s="23">
        <v>0</v>
      </c>
      <c r="I136" s="23">
        <v>54470</v>
      </c>
      <c r="J136" s="23">
        <v>200000</v>
      </c>
      <c r="K136" s="23">
        <v>3822976</v>
      </c>
      <c r="L136" s="23">
        <v>250230</v>
      </c>
      <c r="M136" s="23">
        <v>5685964</v>
      </c>
      <c r="N136" s="23">
        <v>13933234</v>
      </c>
      <c r="O136" s="26">
        <v>20830944.949000001</v>
      </c>
      <c r="S136" s="21"/>
    </row>
    <row r="137" spans="1:19" ht="15.75" hidden="1" thickBot="1" x14ac:dyDescent="0.3">
      <c r="A137" s="21"/>
      <c r="B137" s="22" t="s">
        <v>35</v>
      </c>
      <c r="C137" s="23">
        <v>6526</v>
      </c>
      <c r="D137" s="23">
        <v>952796</v>
      </c>
      <c r="E137" s="23">
        <v>3290</v>
      </c>
      <c r="F137" s="23">
        <v>1292220</v>
      </c>
      <c r="G137" s="23">
        <v>0</v>
      </c>
      <c r="H137" s="23">
        <v>49330</v>
      </c>
      <c r="I137" s="23">
        <v>12570</v>
      </c>
      <c r="J137" s="23">
        <v>202500</v>
      </c>
      <c r="K137" s="23">
        <v>3822976</v>
      </c>
      <c r="L137" s="23">
        <v>356065</v>
      </c>
      <c r="M137" s="23">
        <v>6659127</v>
      </c>
      <c r="N137" s="23">
        <v>5844237</v>
      </c>
      <c r="O137" s="26">
        <v>21615439.948999997</v>
      </c>
      <c r="S137" s="21"/>
    </row>
    <row r="138" spans="1:19" ht="15.75" hidden="1" thickBot="1" x14ac:dyDescent="0.3">
      <c r="A138" s="21"/>
      <c r="B138" s="22" t="s">
        <v>36</v>
      </c>
      <c r="C138" s="23">
        <v>6543</v>
      </c>
      <c r="D138" s="23">
        <v>955278</v>
      </c>
      <c r="E138" s="23">
        <v>3448</v>
      </c>
      <c r="F138" s="23">
        <v>1463580</v>
      </c>
      <c r="G138" s="23">
        <v>0</v>
      </c>
      <c r="H138" s="23">
        <v>5000</v>
      </c>
      <c r="I138" s="23">
        <v>0</v>
      </c>
      <c r="J138" s="23">
        <v>205000</v>
      </c>
      <c r="K138" s="23">
        <v>3824778</v>
      </c>
      <c r="L138" s="23">
        <v>270397</v>
      </c>
      <c r="M138" s="23">
        <v>6724033</v>
      </c>
      <c r="N138" s="23">
        <v>5817575</v>
      </c>
      <c r="O138" s="26">
        <v>22445805.948999997</v>
      </c>
      <c r="S138" s="21"/>
    </row>
    <row r="139" spans="1:19" ht="15.75" hidden="1" thickBot="1" x14ac:dyDescent="0.3">
      <c r="A139" s="21"/>
      <c r="B139" s="22" t="s">
        <v>37</v>
      </c>
      <c r="C139" s="23">
        <v>6434</v>
      </c>
      <c r="D139" s="23">
        <v>939364</v>
      </c>
      <c r="E139" s="23">
        <v>5478</v>
      </c>
      <c r="F139" s="23">
        <v>2814120</v>
      </c>
      <c r="G139" s="23">
        <v>0</v>
      </c>
      <c r="H139" s="23">
        <v>1085000</v>
      </c>
      <c r="I139" s="23">
        <v>202154</v>
      </c>
      <c r="J139" s="23">
        <v>205000</v>
      </c>
      <c r="K139" s="23">
        <v>3824778</v>
      </c>
      <c r="L139" s="23">
        <v>312434</v>
      </c>
      <c r="M139" s="23">
        <v>9102850</v>
      </c>
      <c r="N139" s="23">
        <v>9368385</v>
      </c>
      <c r="O139" s="26">
        <v>22640329.948999997</v>
      </c>
      <c r="S139" s="21"/>
    </row>
    <row r="140" spans="1:19" ht="15.75" hidden="1" thickBot="1" x14ac:dyDescent="0.3">
      <c r="A140" s="21">
        <v>2014</v>
      </c>
      <c r="B140" s="22" t="s">
        <v>38</v>
      </c>
      <c r="C140" s="23">
        <v>8117</v>
      </c>
      <c r="D140" s="23">
        <v>1185082</v>
      </c>
      <c r="E140" s="23">
        <v>4651</v>
      </c>
      <c r="F140" s="23">
        <v>3411000</v>
      </c>
      <c r="G140" s="23">
        <v>0</v>
      </c>
      <c r="H140" s="23">
        <v>275000</v>
      </c>
      <c r="I140" s="23">
        <v>135869</v>
      </c>
      <c r="J140" s="23">
        <v>205000</v>
      </c>
      <c r="K140" s="23">
        <v>3938304</v>
      </c>
      <c r="L140" s="23">
        <v>305430</v>
      </c>
      <c r="M140" s="23">
        <v>9372960</v>
      </c>
      <c r="N140" s="23">
        <v>8711441</v>
      </c>
      <c r="O140" s="26">
        <v>23401114.948999997</v>
      </c>
      <c r="S140" s="21"/>
    </row>
    <row r="141" spans="1:19" ht="15.75" hidden="1" thickBot="1" x14ac:dyDescent="0.3">
      <c r="A141" s="21"/>
      <c r="B141" s="22" t="s">
        <v>27</v>
      </c>
      <c r="C141" s="23">
        <v>8288</v>
      </c>
      <c r="D141" s="23">
        <v>1210048</v>
      </c>
      <c r="E141" s="23">
        <v>3296</v>
      </c>
      <c r="F141" s="23">
        <v>1652400</v>
      </c>
      <c r="G141" s="23">
        <v>0</v>
      </c>
      <c r="H141" s="23">
        <v>275000</v>
      </c>
      <c r="I141" s="23">
        <v>16541</v>
      </c>
      <c r="J141" s="23">
        <v>205000</v>
      </c>
      <c r="K141" s="23">
        <v>3938304</v>
      </c>
      <c r="L141" s="23">
        <v>296470</v>
      </c>
      <c r="M141" s="23">
        <v>7507222</v>
      </c>
      <c r="N141" s="23">
        <v>7145729</v>
      </c>
      <c r="O141" s="26">
        <v>23775926.948999997</v>
      </c>
      <c r="S141" s="21"/>
    </row>
    <row r="142" spans="1:19" ht="15.75" hidden="1" thickBot="1" x14ac:dyDescent="0.3">
      <c r="A142" s="21"/>
      <c r="B142" s="22" t="s">
        <v>28</v>
      </c>
      <c r="C142" s="23">
        <v>6918</v>
      </c>
      <c r="D142" s="23">
        <v>1010028</v>
      </c>
      <c r="E142" s="23">
        <v>3047</v>
      </c>
      <c r="F142" s="23">
        <v>1568160</v>
      </c>
      <c r="G142" s="23">
        <v>0</v>
      </c>
      <c r="H142" s="23">
        <v>275000</v>
      </c>
      <c r="I142" s="23">
        <v>16541</v>
      </c>
      <c r="J142" s="23">
        <v>210000</v>
      </c>
      <c r="K142" s="23">
        <v>3938304</v>
      </c>
      <c r="L142" s="23">
        <v>312042</v>
      </c>
      <c r="M142" s="23">
        <v>7260075</v>
      </c>
      <c r="N142" s="23">
        <v>15817157</v>
      </c>
      <c r="O142" s="26">
        <v>15370446.949000001</v>
      </c>
      <c r="S142" s="21"/>
    </row>
    <row r="143" spans="1:19" ht="15.75" hidden="1" thickBot="1" x14ac:dyDescent="0.3">
      <c r="A143" s="21"/>
      <c r="B143" s="22" t="s">
        <v>29</v>
      </c>
      <c r="C143" s="23">
        <v>6615</v>
      </c>
      <c r="D143" s="23">
        <v>965790</v>
      </c>
      <c r="E143" s="23">
        <v>2838</v>
      </c>
      <c r="F143" s="23">
        <v>1148940</v>
      </c>
      <c r="G143" s="23">
        <v>0</v>
      </c>
      <c r="H143" s="23">
        <v>275000</v>
      </c>
      <c r="I143" s="23">
        <v>0</v>
      </c>
      <c r="J143" s="23">
        <v>205000</v>
      </c>
      <c r="K143" s="23">
        <v>3938304</v>
      </c>
      <c r="L143" s="23">
        <v>313152</v>
      </c>
      <c r="M143" s="23">
        <v>6776186</v>
      </c>
      <c r="N143" s="23">
        <v>5357483</v>
      </c>
      <c r="O143" s="26">
        <v>16859149.949000001</v>
      </c>
      <c r="S143" s="21"/>
    </row>
    <row r="144" spans="1:19" ht="15.75" hidden="1" thickBot="1" x14ac:dyDescent="0.3">
      <c r="A144" s="21"/>
      <c r="B144" s="22" t="s">
        <v>30</v>
      </c>
      <c r="C144" s="23">
        <v>5748</v>
      </c>
      <c r="D144" s="23">
        <v>839208</v>
      </c>
      <c r="E144" s="23">
        <v>1329</v>
      </c>
      <c r="F144" s="23">
        <v>512640</v>
      </c>
      <c r="G144" s="23">
        <v>0</v>
      </c>
      <c r="H144" s="23">
        <v>280000</v>
      </c>
      <c r="I144" s="23">
        <v>55000</v>
      </c>
      <c r="J144" s="23">
        <v>205000</v>
      </c>
      <c r="K144" s="23">
        <v>3938304</v>
      </c>
      <c r="L144" s="23">
        <v>317176</v>
      </c>
      <c r="M144" s="23">
        <v>6133328</v>
      </c>
      <c r="N144" s="23">
        <v>6446294</v>
      </c>
      <c r="O144" s="26">
        <v>16631183.949000001</v>
      </c>
      <c r="S144" s="21"/>
    </row>
    <row r="145" spans="1:19" ht="15.75" hidden="1" thickBot="1" x14ac:dyDescent="0.3">
      <c r="A145" s="21"/>
      <c r="B145" s="22" t="s">
        <v>31</v>
      </c>
      <c r="C145" s="23">
        <v>4679</v>
      </c>
      <c r="D145" s="23">
        <v>683134</v>
      </c>
      <c r="E145" s="23">
        <v>579</v>
      </c>
      <c r="F145" s="23">
        <v>208440</v>
      </c>
      <c r="G145" s="23">
        <v>0</v>
      </c>
      <c r="H145" s="23">
        <v>285000</v>
      </c>
      <c r="I145" s="23">
        <v>0</v>
      </c>
      <c r="J145" s="23">
        <v>225000</v>
      </c>
      <c r="K145" s="23">
        <v>3938304</v>
      </c>
      <c r="L145" s="23">
        <v>302603</v>
      </c>
      <c r="M145" s="23">
        <v>5572481</v>
      </c>
      <c r="N145" s="23">
        <v>4729958</v>
      </c>
      <c r="O145" s="26">
        <v>14463332.949000001</v>
      </c>
      <c r="S145" s="21"/>
    </row>
    <row r="146" spans="1:19" ht="15.75" hidden="1" thickBot="1" x14ac:dyDescent="0.3">
      <c r="A146" s="21"/>
      <c r="B146" s="22" t="s">
        <v>32</v>
      </c>
      <c r="C146" s="23">
        <v>5954</v>
      </c>
      <c r="D146" s="23">
        <v>869284</v>
      </c>
      <c r="E146" s="23">
        <v>464</v>
      </c>
      <c r="F146" s="23">
        <v>167040</v>
      </c>
      <c r="G146" s="23">
        <v>0</v>
      </c>
      <c r="H146" s="23">
        <v>275000</v>
      </c>
      <c r="I146" s="23">
        <v>0</v>
      </c>
      <c r="J146" s="23">
        <v>225000</v>
      </c>
      <c r="K146" s="23">
        <v>3938304</v>
      </c>
      <c r="L146" s="23">
        <v>254186</v>
      </c>
      <c r="M146" s="23">
        <v>5658814</v>
      </c>
      <c r="N146" s="23">
        <v>6883770</v>
      </c>
      <c r="O146" s="26">
        <v>13308376.949000001</v>
      </c>
      <c r="S146" s="21"/>
    </row>
    <row r="147" spans="1:19" ht="15.75" hidden="1" thickBot="1" x14ac:dyDescent="0.3">
      <c r="A147" s="21"/>
      <c r="B147" s="22" t="s">
        <v>33</v>
      </c>
      <c r="C147" s="23">
        <v>4792</v>
      </c>
      <c r="D147" s="23">
        <v>699632</v>
      </c>
      <c r="E147" s="23">
        <v>489</v>
      </c>
      <c r="F147" s="23">
        <v>176040</v>
      </c>
      <c r="G147" s="23">
        <v>0</v>
      </c>
      <c r="H147" s="23">
        <v>275000</v>
      </c>
      <c r="I147" s="23">
        <v>0</v>
      </c>
      <c r="J147" s="23">
        <v>215000</v>
      </c>
      <c r="K147" s="23">
        <v>3938304</v>
      </c>
      <c r="L147" s="23">
        <v>332731</v>
      </c>
      <c r="M147" s="23">
        <v>5508716</v>
      </c>
      <c r="N147" s="23">
        <v>5347416</v>
      </c>
      <c r="O147" s="26">
        <v>13597667.949000001</v>
      </c>
      <c r="S147" s="21"/>
    </row>
    <row r="148" spans="1:19" ht="15.75" hidden="1" thickBot="1" x14ac:dyDescent="0.3">
      <c r="A148" s="21"/>
      <c r="B148" s="22" t="s">
        <v>34</v>
      </c>
      <c r="C148" s="23">
        <v>6051</v>
      </c>
      <c r="D148" s="23">
        <v>883446</v>
      </c>
      <c r="E148" s="23">
        <v>734</v>
      </c>
      <c r="F148" s="23">
        <v>264240</v>
      </c>
      <c r="G148" s="23">
        <v>0</v>
      </c>
      <c r="H148" s="23">
        <v>275000</v>
      </c>
      <c r="I148" s="23">
        <v>0</v>
      </c>
      <c r="J148" s="23">
        <v>215000</v>
      </c>
      <c r="K148" s="23">
        <v>3938304</v>
      </c>
      <c r="L148" s="23">
        <v>288185</v>
      </c>
      <c r="M148" s="23">
        <v>5794175</v>
      </c>
      <c r="N148" s="23">
        <v>13207210</v>
      </c>
      <c r="O148" s="26">
        <v>6254632.949000001</v>
      </c>
      <c r="S148" s="21"/>
    </row>
    <row r="149" spans="1:19" ht="15.75" hidden="1" thickBot="1" x14ac:dyDescent="0.3">
      <c r="A149" s="21"/>
      <c r="B149" s="22" t="s">
        <v>35</v>
      </c>
      <c r="C149" s="23">
        <v>6354</v>
      </c>
      <c r="D149" s="23">
        <v>927684</v>
      </c>
      <c r="E149" s="23">
        <v>1667</v>
      </c>
      <c r="F149" s="23">
        <v>615780</v>
      </c>
      <c r="G149" s="23">
        <v>0</v>
      </c>
      <c r="H149" s="23">
        <v>277000</v>
      </c>
      <c r="I149" s="23">
        <v>0</v>
      </c>
      <c r="J149" s="23">
        <v>215000</v>
      </c>
      <c r="K149" s="23">
        <v>3938304</v>
      </c>
      <c r="L149" s="23">
        <v>437886</v>
      </c>
      <c r="M149" s="23">
        <v>6293000</v>
      </c>
      <c r="N149" s="23">
        <v>5977611</v>
      </c>
      <c r="O149" s="26">
        <v>6688675.949000001</v>
      </c>
      <c r="S149" s="21"/>
    </row>
    <row r="150" spans="1:19" ht="15.75" hidden="1" thickBot="1" x14ac:dyDescent="0.3">
      <c r="A150" s="21"/>
      <c r="B150" s="22" t="s">
        <v>36</v>
      </c>
      <c r="C150" s="23">
        <v>7256</v>
      </c>
      <c r="D150" s="23">
        <v>1059376</v>
      </c>
      <c r="E150" s="23">
        <v>3534</v>
      </c>
      <c r="F150" s="23">
        <v>1959480</v>
      </c>
      <c r="G150" s="23">
        <v>0</v>
      </c>
      <c r="H150" s="23">
        <v>277000</v>
      </c>
      <c r="I150" s="23">
        <v>37311</v>
      </c>
      <c r="J150" s="23">
        <v>215000</v>
      </c>
      <c r="K150" s="23">
        <v>3941163</v>
      </c>
      <c r="L150" s="23">
        <v>392856</v>
      </c>
      <c r="M150" s="23">
        <v>7763079</v>
      </c>
      <c r="N150" s="23">
        <v>7480459</v>
      </c>
      <c r="O150" s="26">
        <v>7090602.949000001</v>
      </c>
      <c r="S150" s="21"/>
    </row>
    <row r="151" spans="1:19" ht="15.75" hidden="1" thickBot="1" x14ac:dyDescent="0.3">
      <c r="A151" s="21"/>
      <c r="B151" s="22" t="s">
        <v>37</v>
      </c>
      <c r="C151" s="23">
        <v>-1357</v>
      </c>
      <c r="D151" s="23">
        <v>1045360</v>
      </c>
      <c r="E151" s="23">
        <v>3132</v>
      </c>
      <c r="F151" s="23">
        <v>1371240</v>
      </c>
      <c r="G151" s="23">
        <v>0</v>
      </c>
      <c r="H151" s="23">
        <v>385000</v>
      </c>
      <c r="I151" s="23">
        <v>0</v>
      </c>
      <c r="J151" s="23">
        <v>210000</v>
      </c>
      <c r="K151" s="23">
        <v>3941163</v>
      </c>
      <c r="L151" s="23">
        <v>394032</v>
      </c>
      <c r="M151" s="23">
        <v>7248795</v>
      </c>
      <c r="N151" s="23">
        <v>7461119</v>
      </c>
      <c r="O151" s="26">
        <v>6976078.949000001</v>
      </c>
      <c r="S151" s="21"/>
    </row>
    <row r="152" spans="1:19" ht="15.75" hidden="1" thickBot="1" x14ac:dyDescent="0.3">
      <c r="A152" s="21">
        <v>2015</v>
      </c>
      <c r="B152" s="22" t="s">
        <v>38</v>
      </c>
      <c r="C152" s="23">
        <v>8587</v>
      </c>
      <c r="D152" s="23">
        <v>1253702</v>
      </c>
      <c r="E152" s="23">
        <v>4029</v>
      </c>
      <c r="F152" s="23">
        <v>2370600</v>
      </c>
      <c r="G152" s="23">
        <v>0</v>
      </c>
      <c r="H152" s="23">
        <v>389959</v>
      </c>
      <c r="I152" s="23">
        <v>0</v>
      </c>
      <c r="J152" s="23">
        <v>202500</v>
      </c>
      <c r="K152" s="23">
        <v>4121280</v>
      </c>
      <c r="L152" s="23">
        <v>313798</v>
      </c>
      <c r="M152" s="23">
        <v>8553839</v>
      </c>
      <c r="N152" s="23">
        <v>8208134</v>
      </c>
      <c r="O152" s="26">
        <v>7419783.949000001</v>
      </c>
      <c r="S152" s="21"/>
    </row>
    <row r="153" spans="1:19" ht="15.75" hidden="1" thickBot="1" x14ac:dyDescent="0.3">
      <c r="A153" s="21"/>
      <c r="B153" s="22" t="s">
        <v>27</v>
      </c>
      <c r="C153" s="23">
        <v>9077</v>
      </c>
      <c r="D153" s="23">
        <v>1325242</v>
      </c>
      <c r="E153" s="23">
        <v>4189</v>
      </c>
      <c r="F153" s="23">
        <v>2499120</v>
      </c>
      <c r="G153" s="23">
        <v>0</v>
      </c>
      <c r="H153" s="23">
        <v>389959</v>
      </c>
      <c r="I153" s="23">
        <v>0</v>
      </c>
      <c r="J153" s="23">
        <v>190000</v>
      </c>
      <c r="K153" s="23">
        <v>4121280</v>
      </c>
      <c r="L153" s="23">
        <v>392720</v>
      </c>
      <c r="M153" s="23">
        <v>8771231</v>
      </c>
      <c r="N153" s="23">
        <v>7547219</v>
      </c>
      <c r="O153" s="26">
        <v>8790885.949000001</v>
      </c>
      <c r="S153" s="21"/>
    </row>
    <row r="154" spans="1:19" ht="15.75" hidden="1" thickBot="1" x14ac:dyDescent="0.3">
      <c r="A154" s="21"/>
      <c r="B154" s="22" t="s">
        <v>28</v>
      </c>
      <c r="C154" s="23">
        <v>7289</v>
      </c>
      <c r="D154" s="23">
        <v>1064194</v>
      </c>
      <c r="E154" s="23">
        <v>3167</v>
      </c>
      <c r="F154" s="23">
        <v>1496700</v>
      </c>
      <c r="G154" s="23">
        <v>0</v>
      </c>
      <c r="H154" s="23">
        <v>551126</v>
      </c>
      <c r="I154" s="23">
        <v>7438</v>
      </c>
      <c r="J154" s="23">
        <v>190000</v>
      </c>
      <c r="K154" s="23">
        <v>4123759</v>
      </c>
      <c r="L154" s="23">
        <v>443214</v>
      </c>
      <c r="M154" s="23">
        <v>7672157</v>
      </c>
      <c r="N154" s="23">
        <v>6678476</v>
      </c>
      <c r="O154" s="26">
        <v>9988840.949000001</v>
      </c>
      <c r="S154" s="21"/>
    </row>
    <row r="155" spans="1:19" ht="15.75" hidden="1" thickBot="1" x14ac:dyDescent="0.3">
      <c r="A155" s="21"/>
      <c r="B155" s="22" t="s">
        <v>29</v>
      </c>
      <c r="C155" s="23">
        <v>7232</v>
      </c>
      <c r="D155" s="23">
        <v>1055872</v>
      </c>
      <c r="E155" s="23">
        <v>2687</v>
      </c>
      <c r="F155" s="23">
        <v>1102320</v>
      </c>
      <c r="G155" s="23">
        <v>0</v>
      </c>
      <c r="H155" s="23">
        <v>551126</v>
      </c>
      <c r="I155" s="23">
        <v>7438</v>
      </c>
      <c r="J155" s="23">
        <v>190000</v>
      </c>
      <c r="K155" s="23">
        <v>4123759</v>
      </c>
      <c r="L155" s="23">
        <v>445581</v>
      </c>
      <c r="M155" s="23">
        <v>7271559</v>
      </c>
      <c r="N155" s="23">
        <v>7635899</v>
      </c>
      <c r="O155" s="26">
        <v>9829037.949000001</v>
      </c>
      <c r="S155" s="21"/>
    </row>
    <row r="156" spans="1:19" ht="15.75" hidden="1" thickBot="1" x14ac:dyDescent="0.3">
      <c r="A156" s="21"/>
      <c r="B156" s="22" t="s">
        <v>30</v>
      </c>
      <c r="C156" s="23">
        <v>6634</v>
      </c>
      <c r="D156" s="23">
        <v>968564</v>
      </c>
      <c r="E156" s="23">
        <v>2346</v>
      </c>
      <c r="F156" s="23">
        <v>853290</v>
      </c>
      <c r="G156" s="23">
        <v>0</v>
      </c>
      <c r="H156" s="23">
        <v>551126</v>
      </c>
      <c r="I156" s="23">
        <v>7438</v>
      </c>
      <c r="J156" s="23">
        <v>180000</v>
      </c>
      <c r="K156" s="23">
        <v>4123759</v>
      </c>
      <c r="L156" s="23">
        <v>448290</v>
      </c>
      <c r="M156" s="23">
        <v>6977439</v>
      </c>
      <c r="N156" s="23">
        <v>5857035</v>
      </c>
      <c r="O156" s="26">
        <v>11104469.949000001</v>
      </c>
      <c r="S156" s="21"/>
    </row>
    <row r="157" spans="1:19" ht="15.75" hidden="1" thickBot="1" x14ac:dyDescent="0.3">
      <c r="A157" s="21"/>
      <c r="B157" s="22" t="s">
        <v>31</v>
      </c>
      <c r="C157" s="23">
        <v>6046</v>
      </c>
      <c r="D157" s="23">
        <v>883884</v>
      </c>
      <c r="E157" s="23">
        <v>975</v>
      </c>
      <c r="F157" s="23">
        <v>501030</v>
      </c>
      <c r="G157" s="23">
        <v>0</v>
      </c>
      <c r="H157" s="23">
        <v>551126</v>
      </c>
      <c r="I157" s="23">
        <v>7438</v>
      </c>
      <c r="J157" s="23">
        <v>180000</v>
      </c>
      <c r="K157" s="23">
        <v>4123759</v>
      </c>
      <c r="L157" s="23">
        <v>449694</v>
      </c>
      <c r="M157" s="23">
        <v>6491937</v>
      </c>
      <c r="N157" s="23">
        <v>7228844</v>
      </c>
      <c r="O157" s="26">
        <v>10572556.949000001</v>
      </c>
      <c r="S157" s="21"/>
    </row>
    <row r="158" spans="1:19" ht="15.75" hidden="1" thickBot="1" x14ac:dyDescent="0.3">
      <c r="A158" s="21"/>
      <c r="B158" s="22" t="s">
        <v>32</v>
      </c>
      <c r="C158" s="23">
        <v>6738</v>
      </c>
      <c r="D158" s="23">
        <v>983748</v>
      </c>
      <c r="E158" s="23">
        <v>773</v>
      </c>
      <c r="F158" s="23">
        <v>423270</v>
      </c>
      <c r="G158" s="23">
        <v>0</v>
      </c>
      <c r="H158" s="23">
        <v>551126</v>
      </c>
      <c r="I158" s="23">
        <v>7438</v>
      </c>
      <c r="J158" s="23">
        <v>180000</v>
      </c>
      <c r="K158" s="23">
        <v>4123759</v>
      </c>
      <c r="L158" s="23">
        <v>551903</v>
      </c>
      <c r="M158" s="23">
        <v>6616043</v>
      </c>
      <c r="N158" s="23">
        <v>5435792</v>
      </c>
      <c r="O158" s="26">
        <v>11958008.949000001</v>
      </c>
      <c r="S158" s="21"/>
    </row>
    <row r="159" spans="1:19" ht="15.75" hidden="1" thickBot="1" x14ac:dyDescent="0.3">
      <c r="A159" s="21"/>
      <c r="B159" s="22" t="s">
        <v>33</v>
      </c>
      <c r="C159" s="23">
        <v>5725</v>
      </c>
      <c r="D159" s="23">
        <v>835850</v>
      </c>
      <c r="E159" s="23">
        <v>560</v>
      </c>
      <c r="F159" s="23">
        <v>353430</v>
      </c>
      <c r="G159" s="23">
        <v>0</v>
      </c>
      <c r="H159" s="23">
        <v>551126</v>
      </c>
      <c r="I159" s="23">
        <v>7438</v>
      </c>
      <c r="J159" s="23">
        <v>180000</v>
      </c>
      <c r="K159" s="23">
        <v>4123759</v>
      </c>
      <c r="L159" s="23">
        <v>539880</v>
      </c>
      <c r="M159" s="23">
        <v>6400455</v>
      </c>
      <c r="N159" s="23">
        <v>5758528</v>
      </c>
      <c r="O159" s="26">
        <v>12790963.949000001</v>
      </c>
      <c r="S159" s="21"/>
    </row>
    <row r="160" spans="1:19" ht="15.75" hidden="1" thickBot="1" x14ac:dyDescent="0.3">
      <c r="A160" s="21"/>
      <c r="B160" s="22" t="s">
        <v>34</v>
      </c>
      <c r="C160" s="23">
        <v>6837</v>
      </c>
      <c r="D160" s="23">
        <v>998202</v>
      </c>
      <c r="E160" s="23">
        <v>871</v>
      </c>
      <c r="F160" s="23">
        <v>313560</v>
      </c>
      <c r="G160" s="23">
        <v>0</v>
      </c>
      <c r="H160" s="23">
        <v>551126</v>
      </c>
      <c r="I160" s="23">
        <v>7438</v>
      </c>
      <c r="J160" s="23">
        <v>180000</v>
      </c>
      <c r="K160" s="23">
        <v>4123759</v>
      </c>
      <c r="L160" s="23">
        <v>710010</v>
      </c>
      <c r="M160" s="23">
        <v>6729067</v>
      </c>
      <c r="N160" s="23">
        <v>6260141</v>
      </c>
      <c r="O160" s="26">
        <v>13414917.949000001</v>
      </c>
      <c r="S160" s="21"/>
    </row>
    <row r="161" spans="1:19" ht="15.75" hidden="1" thickBot="1" x14ac:dyDescent="0.3">
      <c r="A161" s="21"/>
      <c r="B161" s="22" t="s">
        <v>35</v>
      </c>
      <c r="C161" s="23">
        <v>7458</v>
      </c>
      <c r="D161" s="23">
        <v>1088868</v>
      </c>
      <c r="E161" s="23">
        <v>855</v>
      </c>
      <c r="F161" s="23">
        <v>308340</v>
      </c>
      <c r="G161" s="23">
        <v>0</v>
      </c>
      <c r="H161" s="23">
        <v>550832</v>
      </c>
      <c r="I161" s="23">
        <v>7438</v>
      </c>
      <c r="J161" s="23">
        <v>180000</v>
      </c>
      <c r="K161" s="23">
        <v>4123759</v>
      </c>
      <c r="L161" s="23">
        <v>458820</v>
      </c>
      <c r="M161" s="23">
        <v>6563029</v>
      </c>
      <c r="N161" s="23">
        <v>6130853</v>
      </c>
      <c r="O161" s="26">
        <v>14002121.949000001</v>
      </c>
      <c r="S161" s="21"/>
    </row>
    <row r="162" spans="1:19" ht="15.75" hidden="1" thickBot="1" x14ac:dyDescent="0.3">
      <c r="A162" s="21"/>
      <c r="B162" s="22" t="s">
        <v>36</v>
      </c>
      <c r="C162" s="23">
        <v>7431</v>
      </c>
      <c r="D162" s="23">
        <v>1084926</v>
      </c>
      <c r="E162" s="23">
        <v>2079</v>
      </c>
      <c r="F162" s="23">
        <v>807480</v>
      </c>
      <c r="G162" s="23">
        <v>0</v>
      </c>
      <c r="H162" s="23">
        <v>550832</v>
      </c>
      <c r="I162" s="23">
        <v>7438</v>
      </c>
      <c r="J162" s="23">
        <v>180000</v>
      </c>
      <c r="K162" s="23">
        <v>4133759</v>
      </c>
      <c r="L162" s="23">
        <v>409576</v>
      </c>
      <c r="M162" s="23">
        <v>7018983</v>
      </c>
      <c r="N162" s="23">
        <v>6958478</v>
      </c>
      <c r="O162" s="26">
        <v>14217654.949000001</v>
      </c>
      <c r="S162" s="21"/>
    </row>
    <row r="163" spans="1:19" ht="15.75" hidden="1" thickBot="1" x14ac:dyDescent="0.3">
      <c r="A163" s="21"/>
      <c r="B163" s="22" t="s">
        <v>37</v>
      </c>
      <c r="C163" s="23">
        <v>10305</v>
      </c>
      <c r="D163" s="23">
        <v>1504530</v>
      </c>
      <c r="E163" s="23">
        <v>3256</v>
      </c>
      <c r="F163" s="23">
        <v>1351980</v>
      </c>
      <c r="G163" s="23">
        <v>0</v>
      </c>
      <c r="H163" s="23">
        <v>543610</v>
      </c>
      <c r="I163" s="23">
        <v>6998</v>
      </c>
      <c r="J163" s="23">
        <v>178333</v>
      </c>
      <c r="K163" s="23">
        <v>4133613</v>
      </c>
      <c r="L163" s="23">
        <v>358806</v>
      </c>
      <c r="M163" s="23">
        <v>7923890</v>
      </c>
      <c r="N163" s="23">
        <v>9576457</v>
      </c>
      <c r="O163" s="26">
        <v>12719067.949000001</v>
      </c>
      <c r="S163" s="21"/>
    </row>
    <row r="164" spans="1:19" ht="15.75" hidden="1" thickBot="1" x14ac:dyDescent="0.3">
      <c r="A164" s="21">
        <v>2016</v>
      </c>
      <c r="B164" s="22" t="s">
        <v>38</v>
      </c>
      <c r="C164" s="23">
        <v>7953</v>
      </c>
      <c r="D164" s="23">
        <v>1160408</v>
      </c>
      <c r="E164" s="23">
        <v>2640</v>
      </c>
      <c r="F164" s="23">
        <v>979560</v>
      </c>
      <c r="G164" s="23">
        <v>0</v>
      </c>
      <c r="H164" s="23">
        <v>543610</v>
      </c>
      <c r="I164" s="23">
        <v>6998</v>
      </c>
      <c r="J164" s="23">
        <v>170000</v>
      </c>
      <c r="K164" s="23">
        <v>4763613</v>
      </c>
      <c r="L164" s="23">
        <v>358806</v>
      </c>
      <c r="M164" s="23">
        <v>7777757</v>
      </c>
      <c r="N164" s="23">
        <v>6747830</v>
      </c>
      <c r="O164" s="26">
        <v>13954232.949000001</v>
      </c>
      <c r="S164" s="21"/>
    </row>
    <row r="165" spans="1:19" ht="15.75" hidden="1" thickBot="1" x14ac:dyDescent="0.3">
      <c r="A165" s="21"/>
      <c r="B165" s="22" t="s">
        <v>27</v>
      </c>
      <c r="C165" s="23">
        <v>8972</v>
      </c>
      <c r="D165" s="23">
        <v>1309912</v>
      </c>
      <c r="E165" s="23">
        <v>2766</v>
      </c>
      <c r="F165" s="23">
        <v>1044720</v>
      </c>
      <c r="G165" s="23">
        <v>0</v>
      </c>
      <c r="H165" s="23">
        <v>543654</v>
      </c>
      <c r="I165" s="23">
        <v>6998</v>
      </c>
      <c r="J165" s="23">
        <v>170000</v>
      </c>
      <c r="K165" s="23">
        <v>4763613</v>
      </c>
      <c r="L165" s="23">
        <v>308610</v>
      </c>
      <c r="M165" s="23">
        <v>7942092</v>
      </c>
      <c r="N165" s="23">
        <v>7599503</v>
      </c>
      <c r="O165" s="26">
        <v>14502236.949000001</v>
      </c>
      <c r="S165" s="21"/>
    </row>
    <row r="166" spans="1:19" ht="15.75" hidden="1" thickBot="1" x14ac:dyDescent="0.3">
      <c r="A166" s="21"/>
      <c r="B166" s="22" t="s">
        <v>28</v>
      </c>
      <c r="C166" s="23">
        <v>8063</v>
      </c>
      <c r="D166" s="23">
        <v>1177198</v>
      </c>
      <c r="E166" s="23">
        <v>2911</v>
      </c>
      <c r="F166" s="23">
        <v>1704420</v>
      </c>
      <c r="G166" s="23">
        <v>0</v>
      </c>
      <c r="H166" s="23">
        <v>543654</v>
      </c>
      <c r="I166" s="23">
        <v>6998</v>
      </c>
      <c r="J166" s="23">
        <v>170000</v>
      </c>
      <c r="K166" s="23">
        <v>4763613</v>
      </c>
      <c r="L166" s="23">
        <v>258120</v>
      </c>
      <c r="M166" s="23">
        <v>8470023</v>
      </c>
      <c r="N166" s="23">
        <v>6744022</v>
      </c>
      <c r="O166" s="26">
        <v>16382217.948999999</v>
      </c>
      <c r="S166" s="21"/>
    </row>
    <row r="167" spans="1:19" ht="15.75" hidden="1" thickBot="1" x14ac:dyDescent="0.3">
      <c r="A167" s="21"/>
      <c r="B167" s="22" t="s">
        <v>29</v>
      </c>
      <c r="C167" s="23">
        <v>8053</v>
      </c>
      <c r="D167" s="23">
        <v>1183330</v>
      </c>
      <c r="E167" s="23">
        <v>1331</v>
      </c>
      <c r="F167" s="23">
        <v>496260</v>
      </c>
      <c r="G167" s="23">
        <v>0</v>
      </c>
      <c r="H167" s="23">
        <v>545106</v>
      </c>
      <c r="I167" s="23">
        <v>7064</v>
      </c>
      <c r="J167" s="23">
        <v>160000</v>
      </c>
      <c r="K167" s="23">
        <v>4763635</v>
      </c>
      <c r="L167" s="23">
        <v>155442</v>
      </c>
      <c r="M167" s="23">
        <v>7156329</v>
      </c>
      <c r="N167" s="23">
        <v>8391574</v>
      </c>
      <c r="O167" s="26">
        <v>15301480.949000001</v>
      </c>
      <c r="S167" s="21"/>
    </row>
    <row r="168" spans="1:19" ht="15.75" hidden="1" thickBot="1" x14ac:dyDescent="0.3">
      <c r="A168" s="21"/>
      <c r="B168" s="22" t="s">
        <v>30</v>
      </c>
      <c r="C168" s="23">
        <v>5685</v>
      </c>
      <c r="D168" s="23">
        <v>830010</v>
      </c>
      <c r="E168" s="23">
        <v>498</v>
      </c>
      <c r="F168" s="23">
        <v>179280</v>
      </c>
      <c r="G168" s="23">
        <v>0</v>
      </c>
      <c r="H168" s="23">
        <v>544712</v>
      </c>
      <c r="I168" s="23">
        <v>7064</v>
      </c>
      <c r="J168" s="23">
        <v>160000</v>
      </c>
      <c r="K168" s="23">
        <v>4763635</v>
      </c>
      <c r="L168" s="23">
        <v>207944</v>
      </c>
      <c r="M168" s="23">
        <v>6538137</v>
      </c>
      <c r="N168" s="23">
        <v>7009464</v>
      </c>
      <c r="O168" s="26">
        <v>14984661.949000001</v>
      </c>
      <c r="S168" s="21"/>
    </row>
    <row r="169" spans="1:19" ht="15.75" hidden="1" thickBot="1" x14ac:dyDescent="0.3">
      <c r="A169" s="21"/>
      <c r="B169" s="22" t="s">
        <v>31</v>
      </c>
      <c r="C169" s="23">
        <v>7386</v>
      </c>
      <c r="D169" s="23">
        <v>1188099</v>
      </c>
      <c r="E169" s="23">
        <v>357</v>
      </c>
      <c r="F169" s="23">
        <v>128520</v>
      </c>
      <c r="G169" s="23">
        <v>0</v>
      </c>
      <c r="H169" s="23">
        <v>544082</v>
      </c>
      <c r="I169" s="23">
        <v>7064</v>
      </c>
      <c r="J169" s="23">
        <v>160000</v>
      </c>
      <c r="K169" s="23">
        <v>4763635</v>
      </c>
      <c r="L169" s="23">
        <v>260520</v>
      </c>
      <c r="M169" s="23">
        <v>6897412</v>
      </c>
      <c r="N169" s="23">
        <v>6889823</v>
      </c>
      <c r="O169" s="26">
        <v>15146758.949000001</v>
      </c>
      <c r="S169" s="21"/>
    </row>
    <row r="170" spans="1:19" ht="15.75" hidden="1" thickBot="1" x14ac:dyDescent="0.3">
      <c r="A170" s="21"/>
      <c r="B170" s="22" t="s">
        <v>32</v>
      </c>
      <c r="C170" s="23">
        <v>6120</v>
      </c>
      <c r="D170" s="23">
        <v>893520</v>
      </c>
      <c r="E170" s="23">
        <v>374</v>
      </c>
      <c r="F170" s="23">
        <v>134640</v>
      </c>
      <c r="G170" s="23">
        <v>0</v>
      </c>
      <c r="H170" s="23">
        <v>527395</v>
      </c>
      <c r="I170" s="23">
        <v>6473</v>
      </c>
      <c r="J170" s="23">
        <v>160000</v>
      </c>
      <c r="K170" s="23">
        <v>4763438</v>
      </c>
      <c r="L170" s="23">
        <v>313698</v>
      </c>
      <c r="M170" s="23">
        <v>6649384</v>
      </c>
      <c r="N170" s="23">
        <v>5740022</v>
      </c>
      <c r="O170" s="26">
        <v>16205900.949000001</v>
      </c>
      <c r="S170" s="21"/>
    </row>
    <row r="171" spans="1:19" ht="15.75" hidden="1" thickBot="1" x14ac:dyDescent="0.3">
      <c r="A171" s="21"/>
      <c r="B171" s="22" t="s">
        <v>33</v>
      </c>
      <c r="C171" s="23">
        <v>5957</v>
      </c>
      <c r="D171" s="23">
        <v>869722</v>
      </c>
      <c r="E171" s="23">
        <v>509</v>
      </c>
      <c r="F171" s="23">
        <v>205020</v>
      </c>
      <c r="G171" s="23">
        <v>0</v>
      </c>
      <c r="H171" s="23">
        <v>527395</v>
      </c>
      <c r="I171" s="23">
        <v>6473</v>
      </c>
      <c r="J171" s="23">
        <v>160000</v>
      </c>
      <c r="K171" s="23">
        <v>4763438</v>
      </c>
      <c r="L171" s="23">
        <v>262090</v>
      </c>
      <c r="M171" s="23">
        <v>6644358</v>
      </c>
      <c r="N171" s="23">
        <v>6106103</v>
      </c>
      <c r="O171" s="26">
        <v>16893935.949000001</v>
      </c>
      <c r="S171" s="21"/>
    </row>
    <row r="172" spans="1:19" ht="15.75" hidden="1" thickBot="1" x14ac:dyDescent="0.3">
      <c r="A172" s="21"/>
      <c r="B172" s="22" t="s">
        <v>34</v>
      </c>
      <c r="C172" s="23">
        <v>6884</v>
      </c>
      <c r="D172" s="23">
        <v>1005064</v>
      </c>
      <c r="E172" s="23">
        <v>1252</v>
      </c>
      <c r="F172" s="23">
        <v>451920</v>
      </c>
      <c r="G172" s="23">
        <v>0</v>
      </c>
      <c r="H172" s="23">
        <v>385000</v>
      </c>
      <c r="I172" s="23">
        <v>0</v>
      </c>
      <c r="J172" s="23">
        <v>160000</v>
      </c>
      <c r="K172" s="23">
        <v>4761280</v>
      </c>
      <c r="L172" s="23">
        <v>314688</v>
      </c>
      <c r="M172" s="23">
        <v>6986952</v>
      </c>
      <c r="N172" s="23">
        <v>6420192</v>
      </c>
      <c r="O172" s="26">
        <v>17551695.949000001</v>
      </c>
      <c r="S172" s="21"/>
    </row>
    <row r="173" spans="1:19" ht="15.75" hidden="1" thickBot="1" x14ac:dyDescent="0.3">
      <c r="A173" s="21"/>
      <c r="B173" s="22" t="s">
        <v>35</v>
      </c>
      <c r="C173" s="23">
        <v>5814</v>
      </c>
      <c r="D173" s="23">
        <v>848844</v>
      </c>
      <c r="E173" s="23">
        <v>1485</v>
      </c>
      <c r="F173" s="23">
        <v>541260</v>
      </c>
      <c r="G173" s="23">
        <v>0</v>
      </c>
      <c r="H173" s="23">
        <v>385000</v>
      </c>
      <c r="I173" s="23">
        <v>0</v>
      </c>
      <c r="J173" s="23">
        <v>160000</v>
      </c>
      <c r="K173" s="23">
        <v>4761280</v>
      </c>
      <c r="L173" s="23">
        <v>262615</v>
      </c>
      <c r="M173" s="23">
        <v>6867999</v>
      </c>
      <c r="N173" s="23">
        <v>7093788</v>
      </c>
      <c r="O173" s="26">
        <v>17416906.949000001</v>
      </c>
      <c r="S173" s="21"/>
    </row>
    <row r="174" spans="1:19" ht="15.75" hidden="1" thickBot="1" x14ac:dyDescent="0.3">
      <c r="A174" s="21"/>
      <c r="B174" s="22" t="s">
        <v>36</v>
      </c>
      <c r="C174" s="23">
        <v>6511</v>
      </c>
      <c r="D174" s="23">
        <v>968418</v>
      </c>
      <c r="E174" s="23">
        <v>2576</v>
      </c>
      <c r="F174" s="23">
        <v>1114494</v>
      </c>
      <c r="G174" s="23">
        <v>3731</v>
      </c>
      <c r="H174" s="23">
        <v>385000</v>
      </c>
      <c r="I174" s="23">
        <v>0</v>
      </c>
      <c r="J174" s="23">
        <v>160000</v>
      </c>
      <c r="K174" s="23">
        <v>4763295</v>
      </c>
      <c r="L174" s="23">
        <v>157881</v>
      </c>
      <c r="M174" s="23">
        <v>7461819</v>
      </c>
      <c r="N174" s="23">
        <v>9029611</v>
      </c>
      <c r="O174" s="26">
        <v>15940114.949000001</v>
      </c>
      <c r="S174" s="21"/>
    </row>
    <row r="175" spans="1:19" ht="15.75" hidden="1" thickBot="1" x14ac:dyDescent="0.3">
      <c r="A175" s="21"/>
      <c r="B175" s="22" t="s">
        <v>37</v>
      </c>
      <c r="C175" s="23">
        <v>8295</v>
      </c>
      <c r="D175" s="23">
        <v>1211070</v>
      </c>
      <c r="E175" s="23">
        <v>3040</v>
      </c>
      <c r="F175" s="23">
        <v>1228353</v>
      </c>
      <c r="G175" s="23">
        <v>3731</v>
      </c>
      <c r="H175" s="23">
        <v>385000</v>
      </c>
      <c r="I175" s="23">
        <v>0</v>
      </c>
      <c r="J175" s="23">
        <v>160000</v>
      </c>
      <c r="K175" s="23">
        <v>4763295</v>
      </c>
      <c r="L175" s="23">
        <v>158088</v>
      </c>
      <c r="M175" s="23">
        <v>7818537</v>
      </c>
      <c r="N175" s="23">
        <v>8005284</v>
      </c>
      <c r="O175" s="26">
        <v>15844367.949000001</v>
      </c>
      <c r="S175" s="21"/>
    </row>
    <row r="176" spans="1:19" ht="15.75" hidden="1" thickBot="1" x14ac:dyDescent="0.3">
      <c r="A176" s="21">
        <v>2017</v>
      </c>
      <c r="B176" s="22" t="s">
        <v>38</v>
      </c>
      <c r="C176" s="46">
        <f>SUM([5]inicio:final!E175)</f>
        <v>4782</v>
      </c>
      <c r="D176" s="23">
        <f>SUM([5]inicio:final!G175)</f>
        <v>698172</v>
      </c>
      <c r="E176" s="46">
        <f>SUM([5]inicio:final!J175)</f>
        <v>1188</v>
      </c>
      <c r="F176" s="23">
        <f>SUM([5]inicio:final!L175)</f>
        <v>709272</v>
      </c>
      <c r="G176" s="23">
        <f>SUM([6]inicio:final!M175)</f>
        <v>208936</v>
      </c>
      <c r="H176" s="23">
        <f>SUM([6]inicio:final!N175)</f>
        <v>294000</v>
      </c>
      <c r="I176" s="23">
        <f>SUM([6]inicio:final!O175)</f>
        <v>0</v>
      </c>
      <c r="J176" s="23">
        <f>SUM([6]inicio:final!P175)</f>
        <v>93667</v>
      </c>
      <c r="K176" s="23">
        <f>SUM([6]inicio:final!Q175)</f>
        <v>4202550</v>
      </c>
      <c r="L176" s="23">
        <f>SUM([6]inicio:final!R175)</f>
        <v>164908</v>
      </c>
      <c r="M176" s="23">
        <f>SUM([5]inicio:final!S175)</f>
        <v>6371505</v>
      </c>
      <c r="N176" s="23">
        <f>SUM([5]inicio:final!V175)</f>
        <v>5254551</v>
      </c>
      <c r="O176" s="26">
        <f>SUM([6]inicio:final!W175)</f>
        <v>2542046.6</v>
      </c>
      <c r="S176" s="21"/>
    </row>
    <row r="177" spans="1:19" ht="15.75" hidden="1" thickBot="1" x14ac:dyDescent="0.3">
      <c r="A177" s="21"/>
      <c r="B177" s="22" t="s">
        <v>27</v>
      </c>
      <c r="C177" s="46">
        <f>SUM([5]inicio:final!E176)</f>
        <v>3541</v>
      </c>
      <c r="D177" s="23">
        <f>SUM([5]inicio:final!G176)</f>
        <v>516986</v>
      </c>
      <c r="E177" s="46">
        <f>SUM([5]inicio:final!J176)</f>
        <v>712</v>
      </c>
      <c r="F177" s="23">
        <f>SUM([5]inicio:final!L176)</f>
        <v>400168</v>
      </c>
      <c r="G177" s="23">
        <f>SUM([6]inicio:final!M176)</f>
        <v>208936</v>
      </c>
      <c r="H177" s="23">
        <f>SUM([6]inicio:final!N176)</f>
        <v>301000</v>
      </c>
      <c r="I177" s="23">
        <f>SUM([6]inicio:final!O176)</f>
        <v>0</v>
      </c>
      <c r="J177" s="23">
        <f>SUM([6]inicio:final!P176)</f>
        <v>90000</v>
      </c>
      <c r="K177" s="23">
        <f>SUM([6]inicio:final!Q176)</f>
        <v>4202550</v>
      </c>
      <c r="L177" s="23">
        <f>SUM([6]inicio:final!R176)</f>
        <v>215136</v>
      </c>
      <c r="M177" s="23">
        <f>SUM([5]inicio:final!S176)</f>
        <v>5934776</v>
      </c>
      <c r="N177" s="23">
        <f>SUM([5]inicio:final!V176)</f>
        <v>5890027</v>
      </c>
      <c r="O177" s="26">
        <f>SUM([6]inicio:final!W176)</f>
        <v>2012652.6</v>
      </c>
      <c r="S177" s="21"/>
    </row>
    <row r="178" spans="1:19" ht="15.75" hidden="1" thickBot="1" x14ac:dyDescent="0.3">
      <c r="A178" s="21"/>
      <c r="B178" s="22" t="s">
        <v>28</v>
      </c>
      <c r="C178" s="46">
        <f>SUM([5]inicio:final!E177)</f>
        <v>4265</v>
      </c>
      <c r="D178" s="23">
        <f>SUM([5]inicio:final!G177)</f>
        <v>622690</v>
      </c>
      <c r="E178" s="46">
        <f>SUM([5]inicio:final!J177)</f>
        <v>732</v>
      </c>
      <c r="F178" s="23">
        <f>SUM([5]inicio:final!L177)</f>
        <v>409188</v>
      </c>
      <c r="G178" s="23">
        <f>SUM([6]inicio:final!M177)</f>
        <v>208936</v>
      </c>
      <c r="H178" s="23">
        <f>SUM([6]inicio:final!N177)</f>
        <v>301000</v>
      </c>
      <c r="I178" s="23">
        <f>SUM([6]inicio:final!O177)</f>
        <v>0</v>
      </c>
      <c r="J178" s="23">
        <f>SUM([6]inicio:final!P177)</f>
        <v>90000</v>
      </c>
      <c r="K178" s="23">
        <f>SUM([6]inicio:final!Q177)</f>
        <v>4202550</v>
      </c>
      <c r="L178" s="23">
        <f>SUM([6]inicio:final!R177)</f>
        <v>211776</v>
      </c>
      <c r="M178" s="23">
        <f>SUM([5]inicio:final!S177)</f>
        <v>6046140</v>
      </c>
      <c r="N178" s="23">
        <f>SUM([5]inicio:final!V177)</f>
        <v>5815507</v>
      </c>
      <c r="O178" s="26">
        <f>SUM([6]inicio:final!W177)</f>
        <v>2247016.6</v>
      </c>
      <c r="S178" s="21"/>
    </row>
    <row r="179" spans="1:19" ht="15.75" hidden="1" thickBot="1" x14ac:dyDescent="0.3">
      <c r="A179" s="21"/>
      <c r="B179" s="22" t="s">
        <v>29</v>
      </c>
      <c r="C179" s="46">
        <f>SUM([5]inicio:final!E178)</f>
        <v>3646</v>
      </c>
      <c r="D179" s="23">
        <f>SUM([5]inicio:final!G178)</f>
        <v>532316</v>
      </c>
      <c r="E179" s="46">
        <f>SUM([5]inicio:final!J178)</f>
        <v>715</v>
      </c>
      <c r="F179" s="23">
        <f>SUM([5]inicio:final!L178)</f>
        <v>399685</v>
      </c>
      <c r="G179" s="23">
        <f>SUM([6]inicio:final!M178)</f>
        <v>208936</v>
      </c>
      <c r="H179" s="23">
        <f>SUM([6]inicio:final!N178)</f>
        <v>301000</v>
      </c>
      <c r="I179" s="23">
        <f>SUM([6]inicio:final!O178)</f>
        <v>0</v>
      </c>
      <c r="J179" s="23">
        <f>SUM([6]inicio:final!P178)</f>
        <v>90000</v>
      </c>
      <c r="K179" s="23">
        <f>SUM([6]inicio:final!Q178)</f>
        <v>4202550</v>
      </c>
      <c r="L179" s="23">
        <f>SUM([6]inicio:final!R178)</f>
        <v>212492</v>
      </c>
      <c r="M179" s="23">
        <f>SUM([5]inicio:final!S178)</f>
        <v>5946979</v>
      </c>
      <c r="N179" s="23">
        <f>SUM([5]inicio:final!V178)</f>
        <v>6545519</v>
      </c>
      <c r="O179" s="26">
        <f>SUM([6]inicio:final!W178)</f>
        <v>1652207.6</v>
      </c>
      <c r="S179" s="21"/>
    </row>
    <row r="180" spans="1:19" ht="15.75" hidden="1" thickBot="1" x14ac:dyDescent="0.3">
      <c r="A180" s="21"/>
      <c r="B180" s="22" t="s">
        <v>30</v>
      </c>
      <c r="C180" s="46">
        <f>SUM([5]inicio:final!E179)</f>
        <v>2741</v>
      </c>
      <c r="D180" s="23">
        <f>SUM([5]inicio:final!G179)</f>
        <v>456250</v>
      </c>
      <c r="E180" s="46">
        <f>SUM([5]inicio:final!J179)</f>
        <v>232</v>
      </c>
      <c r="F180" s="23">
        <f>SUM([5]inicio:final!L179)</f>
        <v>129688</v>
      </c>
      <c r="G180" s="23">
        <f>SUM([6]inicio:final!M179)</f>
        <v>212667</v>
      </c>
      <c r="H180" s="23">
        <f>SUM([6]inicio:final!N179)</f>
        <v>301000</v>
      </c>
      <c r="I180" s="23">
        <f>SUM([6]inicio:final!O179)</f>
        <v>76410</v>
      </c>
      <c r="J180" s="23">
        <f>SUM([6]inicio:final!P179)</f>
        <v>90000</v>
      </c>
      <c r="K180" s="23">
        <f>SUM([6]inicio:final!Q179)</f>
        <v>4278960</v>
      </c>
      <c r="L180" s="23">
        <f>SUM([6]inicio:final!R179)</f>
        <v>213048</v>
      </c>
      <c r="M180" s="23">
        <f>SUM([5]inicio:final!S179)</f>
        <v>5758023</v>
      </c>
      <c r="N180" s="23">
        <f>SUM([5]inicio:final!V179)</f>
        <v>4974780</v>
      </c>
      <c r="O180" s="26">
        <f>SUM([6]inicio:final!W179)</f>
        <v>2439181.6</v>
      </c>
      <c r="S180" s="21"/>
    </row>
    <row r="181" spans="1:19" ht="15.75" hidden="1" thickBot="1" x14ac:dyDescent="0.3">
      <c r="A181" s="21"/>
      <c r="B181" s="22" t="s">
        <v>31</v>
      </c>
      <c r="C181" s="46">
        <f>SUM([5]inicio:final!E180)</f>
        <v>3134</v>
      </c>
      <c r="D181" s="23">
        <f>SUM([5]inicio:final!G180)</f>
        <v>457564</v>
      </c>
      <c r="E181" s="46">
        <f>SUM([5]inicio:final!J180)</f>
        <v>231</v>
      </c>
      <c r="F181" s="23">
        <f>SUM([5]inicio:final!L180)</f>
        <v>129129</v>
      </c>
      <c r="G181" s="23">
        <f>SUM([6]inicio:final!M180)</f>
        <v>212667</v>
      </c>
      <c r="H181" s="23">
        <f>SUM([6]inicio:final!N180)</f>
        <v>301000</v>
      </c>
      <c r="I181" s="23">
        <f>SUM([6]inicio:final!O180)</f>
        <v>0</v>
      </c>
      <c r="J181" s="23">
        <f>SUM([6]inicio:final!P180)</f>
        <v>90000</v>
      </c>
      <c r="K181" s="23">
        <f>SUM([6]inicio:final!Q180)</f>
        <v>4278960</v>
      </c>
      <c r="L181" s="23">
        <f>SUM([6]inicio:final!R180)</f>
        <v>213320</v>
      </c>
      <c r="M181" s="23">
        <f>SUM([5]inicio:final!S180)</f>
        <v>5682640</v>
      </c>
      <c r="N181" s="23">
        <f>SUM([5]inicio:final!V180)</f>
        <v>5353675</v>
      </c>
      <c r="O181" s="26">
        <f>SUM([6]inicio:final!W180)</f>
        <v>2771877.6</v>
      </c>
      <c r="S181" s="21"/>
    </row>
    <row r="182" spans="1:19" ht="15.75" hidden="1" thickBot="1" x14ac:dyDescent="0.3">
      <c r="A182" s="21"/>
      <c r="B182" s="22" t="s">
        <v>32</v>
      </c>
      <c r="C182" s="46">
        <f>SUM([5]inicio:final!E181)</f>
        <v>2320</v>
      </c>
      <c r="D182" s="23">
        <f>SUM([5]inicio:final!G181)</f>
        <v>338720</v>
      </c>
      <c r="E182" s="46">
        <f>SUM([5]inicio:final!J181)</f>
        <v>95</v>
      </c>
      <c r="F182" s="23">
        <f>SUM([5]inicio:final!L181)</f>
        <v>53105</v>
      </c>
      <c r="G182" s="23">
        <f>SUM([6]inicio:final!M181)</f>
        <v>212667</v>
      </c>
      <c r="H182" s="23">
        <f>SUM([6]inicio:final!N181)</f>
        <v>301000</v>
      </c>
      <c r="I182" s="23">
        <f>SUM([6]inicio:final!O181)</f>
        <v>24900</v>
      </c>
      <c r="J182" s="23">
        <f>SUM([6]inicio:final!P181)</f>
        <v>85000</v>
      </c>
      <c r="K182" s="23">
        <f>SUM([6]inicio:final!Q181)</f>
        <v>4278960</v>
      </c>
      <c r="L182" s="23">
        <f>SUM([6]inicio:final!R181)</f>
        <v>159585</v>
      </c>
      <c r="M182" s="23">
        <f>SUM([5]inicio:final!S181)</f>
        <v>5453937</v>
      </c>
      <c r="N182" s="23">
        <f>SUM([5]inicio:final!V181)</f>
        <v>4942536</v>
      </c>
      <c r="O182" s="26">
        <f>SUM([6]inicio:final!W181)</f>
        <v>3287009.6</v>
      </c>
      <c r="S182" s="21"/>
    </row>
    <row r="183" spans="1:19" ht="15.75" hidden="1" thickBot="1" x14ac:dyDescent="0.3">
      <c r="A183" s="21"/>
      <c r="B183" s="22" t="s">
        <v>33</v>
      </c>
      <c r="C183" s="46">
        <f>SUM([5]inicio:final!E182)</f>
        <v>3211</v>
      </c>
      <c r="D183" s="23">
        <f>SUM([5]inicio:final!G182)</f>
        <v>468806</v>
      </c>
      <c r="E183" s="46">
        <f>SUM([5]inicio:final!J182)</f>
        <v>160</v>
      </c>
      <c r="F183" s="23">
        <f>SUM([5]inicio:final!L182)</f>
        <v>89440</v>
      </c>
      <c r="G183" s="23">
        <f>SUM([6]inicio:final!M182)</f>
        <v>212667</v>
      </c>
      <c r="H183" s="23">
        <f>SUM([6]inicio:final!N182)</f>
        <v>343183</v>
      </c>
      <c r="I183" s="23">
        <f>SUM([6]inicio:final!O182)</f>
        <v>0</v>
      </c>
      <c r="J183" s="23">
        <f>SUM([6]inicio:final!P182)</f>
        <v>75000</v>
      </c>
      <c r="K183" s="23">
        <f>SUM([6]inicio:final!Q182)</f>
        <v>4278960</v>
      </c>
      <c r="L183" s="23">
        <f>SUM([6]inicio:final!R182)</f>
        <v>159624</v>
      </c>
      <c r="M183" s="23">
        <f>SUM([5]inicio:final!S182)</f>
        <v>5627680</v>
      </c>
      <c r="N183" s="23">
        <f>SUM([5]inicio:final!V182)</f>
        <v>6041931</v>
      </c>
      <c r="O183" s="26">
        <f>SUM([6]inicio:final!W182)</f>
        <v>2800751.6</v>
      </c>
      <c r="S183" s="21"/>
    </row>
    <row r="184" spans="1:19" ht="15.75" hidden="1" thickBot="1" x14ac:dyDescent="0.3">
      <c r="B184" s="22" t="s">
        <v>34</v>
      </c>
      <c r="C184" s="46">
        <f>SUM([5]inicio:final!E183)</f>
        <v>2789</v>
      </c>
      <c r="D184" s="23">
        <f>SUM([5]inicio:final!G183)</f>
        <v>407194</v>
      </c>
      <c r="E184" s="46">
        <f>SUM([5]inicio:final!J183)</f>
        <v>228</v>
      </c>
      <c r="F184" s="23">
        <f>SUM([5]inicio:final!L183)</f>
        <v>127452</v>
      </c>
      <c r="G184" s="23">
        <f>SUM([6]inicio:final!M183)</f>
        <v>212667</v>
      </c>
      <c r="H184" s="23">
        <f>SUM([6]inicio:final!N183)</f>
        <v>351868</v>
      </c>
      <c r="I184" s="23">
        <f>SUM([6]inicio:final!O183)</f>
        <v>0</v>
      </c>
      <c r="J184" s="23">
        <f>SUM([6]inicio:final!P183)</f>
        <v>70000</v>
      </c>
      <c r="K184" s="23">
        <f>SUM([6]inicio:final!Q183)</f>
        <v>4278960</v>
      </c>
      <c r="L184" s="23">
        <f>SUM([6]inicio:final!R183)</f>
        <v>106628</v>
      </c>
      <c r="M184" s="23">
        <f>SUM([5]inicio:final!S183)</f>
        <v>5554769</v>
      </c>
      <c r="N184" s="23">
        <f>SUM([5]inicio:final!V183)</f>
        <v>5947360</v>
      </c>
      <c r="O184" s="26">
        <f>SUM([6]inicio:final!W183)</f>
        <v>2488160.6</v>
      </c>
    </row>
    <row r="185" spans="1:19" ht="15.75" hidden="1" thickBot="1" x14ac:dyDescent="0.3">
      <c r="B185" s="22" t="s">
        <v>35</v>
      </c>
      <c r="C185" s="46">
        <f>SUM([5]inicio:final!E184)</f>
        <v>2674</v>
      </c>
      <c r="D185" s="23">
        <f>SUM([5]inicio:final!G184)</f>
        <v>390404</v>
      </c>
      <c r="E185" s="46">
        <f>SUM([5]inicio:final!J184)</f>
        <v>280</v>
      </c>
      <c r="F185" s="23">
        <f>SUM([5]inicio:final!L184)</f>
        <v>156520</v>
      </c>
      <c r="G185" s="23">
        <f>SUM([6]inicio:final!M184)</f>
        <v>212667</v>
      </c>
      <c r="H185" s="23">
        <f>SUM([6]inicio:final!N184)</f>
        <v>351560</v>
      </c>
      <c r="I185" s="23">
        <f>SUM([6]inicio:final!O184)</f>
        <v>0</v>
      </c>
      <c r="J185" s="23">
        <f>SUM([6]inicio:final!P184)</f>
        <v>70000</v>
      </c>
      <c r="K185" s="23">
        <f>SUM([6]inicio:final!Q184)</f>
        <v>4278960</v>
      </c>
      <c r="L185" s="23">
        <f>SUM([6]inicio:final!R184)</f>
        <v>106540</v>
      </c>
      <c r="M185" s="23">
        <f>SUM([5]inicio:final!S184)</f>
        <v>5513381</v>
      </c>
      <c r="N185" s="23">
        <f>SUM([5]inicio:final!V184)</f>
        <v>6939329</v>
      </c>
      <c r="O185" s="26">
        <f>SUM([6]inicio:final!W184)</f>
        <v>1115432.6000000001</v>
      </c>
    </row>
    <row r="186" spans="1:19" ht="15.75" hidden="1" thickBot="1" x14ac:dyDescent="0.3">
      <c r="B186" s="22" t="s">
        <v>36</v>
      </c>
      <c r="C186" s="46">
        <f>SUM([5]inicio:final!E185)</f>
        <v>3609</v>
      </c>
      <c r="D186" s="23">
        <f>SUM([5]inicio:final!G185)</f>
        <v>526914</v>
      </c>
      <c r="E186" s="46">
        <f>SUM([5]inicio:final!J185)</f>
        <v>850</v>
      </c>
      <c r="F186" s="23">
        <f>SUM([5]inicio:final!L185)</f>
        <v>487030</v>
      </c>
      <c r="G186" s="23">
        <f>SUM([6]inicio:final!M185)</f>
        <v>212667</v>
      </c>
      <c r="H186" s="23">
        <f>SUM([6]inicio:final!N185)</f>
        <v>352836</v>
      </c>
      <c r="I186" s="23">
        <f>SUM([6]inicio:final!O185)</f>
        <v>0</v>
      </c>
      <c r="J186" s="23">
        <f>SUM([6]inicio:final!P185)</f>
        <v>70000</v>
      </c>
      <c r="K186" s="23">
        <f>SUM([6]inicio:final!Q185)</f>
        <v>4278960</v>
      </c>
      <c r="L186" s="23">
        <f>SUM([6]inicio:final!R185)</f>
        <v>320772</v>
      </c>
      <c r="M186" s="23">
        <f>SUM([5]inicio:final!S185)</f>
        <v>6142255</v>
      </c>
      <c r="N186" s="23">
        <f>SUM([5]inicio:final!V185)</f>
        <v>6312648</v>
      </c>
      <c r="O186" s="26">
        <f>SUM([6]inicio:final!W185)</f>
        <v>1051963.6000000001</v>
      </c>
    </row>
    <row r="187" spans="1:19" ht="15.75" hidden="1" thickBot="1" x14ac:dyDescent="0.3">
      <c r="B187" s="22" t="s">
        <v>37</v>
      </c>
      <c r="C187" s="46">
        <f>SUM([5]inicio:final!E186)</f>
        <v>4453</v>
      </c>
      <c r="D187" s="23">
        <f>SUM([5]inicio:final!G186)</f>
        <v>650138</v>
      </c>
      <c r="E187" s="46">
        <f>SUM([5]inicio:final!J186)</f>
        <v>829</v>
      </c>
      <c r="F187" s="23">
        <f>SUM([5]inicio:final!L186)</f>
        <v>463411</v>
      </c>
      <c r="G187" s="23">
        <f>SUM([6]inicio:final!M186)</f>
        <v>212667</v>
      </c>
      <c r="H187" s="23">
        <f>SUM([6]inicio:final!N186)</f>
        <v>353716</v>
      </c>
      <c r="I187" s="23">
        <f>SUM([6]inicio:final!O186)</f>
        <v>122464</v>
      </c>
      <c r="J187" s="23">
        <f>SUM([6]inicio:final!P186)</f>
        <v>70000</v>
      </c>
      <c r="K187" s="23">
        <f>SUM([6]inicio:final!Q186)</f>
        <v>4278960</v>
      </c>
      <c r="L187" s="23">
        <f>SUM([6]inicio:final!R186)</f>
        <v>429200</v>
      </c>
      <c r="M187" s="23">
        <f>SUM([5]inicio:final!S186)</f>
        <v>6473256</v>
      </c>
      <c r="N187" s="23">
        <f>SUM([5]inicio:final!V186)</f>
        <v>5734820</v>
      </c>
      <c r="O187" s="26">
        <f>SUM([6]inicio:final!W186)</f>
        <v>1897699.6</v>
      </c>
    </row>
    <row r="188" spans="1:19" ht="15.75" hidden="1" thickBot="1" x14ac:dyDescent="0.3">
      <c r="A188">
        <v>2018</v>
      </c>
      <c r="B188" s="22" t="s">
        <v>38</v>
      </c>
      <c r="C188" s="46">
        <f>SUM([5]inicio:final!E187)</f>
        <v>4941</v>
      </c>
      <c r="D188" s="23">
        <f>SUM([5]inicio:final!G187)</f>
        <v>721386</v>
      </c>
      <c r="E188" s="46">
        <f>SUM([5]inicio:final!J187)</f>
        <v>906</v>
      </c>
      <c r="F188" s="23">
        <f>SUM([5]inicio:final!L187)</f>
        <v>510594</v>
      </c>
      <c r="G188" s="23">
        <f>SUM([6]inicio:final!M187)</f>
        <v>212667</v>
      </c>
      <c r="H188" s="23">
        <f>SUM([6]inicio:final!N187)</f>
        <v>354068</v>
      </c>
      <c r="I188" s="23">
        <f>SUM([6]inicio:final!O187)</f>
        <v>0</v>
      </c>
      <c r="J188" s="23">
        <f>SUM([6]inicio:final!P187)</f>
        <v>70000</v>
      </c>
      <c r="K188" s="23">
        <f>SUM([6]inicio:final!Q187)</f>
        <v>4376064</v>
      </c>
      <c r="L188" s="23">
        <f>SUM([6]inicio:final!R187)</f>
        <v>376929</v>
      </c>
      <c r="M188" s="23">
        <f>SUM([5]inicio:final!S187)</f>
        <v>6514014</v>
      </c>
      <c r="N188" s="23">
        <f>SUM([5]inicio:final!V187)</f>
        <v>5537090</v>
      </c>
      <c r="O188" s="26">
        <f>SUM([6]inicio:final!W187)</f>
        <v>2982317.6</v>
      </c>
    </row>
    <row r="189" spans="1:19" ht="15.75" hidden="1" thickBot="1" x14ac:dyDescent="0.3">
      <c r="B189" s="22" t="s">
        <v>27</v>
      </c>
      <c r="C189" s="46">
        <f>SUM([5]inicio:final!E188)</f>
        <v>3931</v>
      </c>
      <c r="D189" s="23">
        <f>SUM([5]inicio:final!G188)</f>
        <v>573926</v>
      </c>
      <c r="E189" s="46">
        <f>SUM([5]inicio:final!J188)</f>
        <v>547</v>
      </c>
      <c r="F189" s="23">
        <f>SUM([5]inicio:final!L188)</f>
        <v>305773</v>
      </c>
      <c r="G189" s="23">
        <f>SUM([6]inicio:final!M188)</f>
        <v>212667</v>
      </c>
      <c r="H189" s="23">
        <f>SUM([6]inicio:final!N188)</f>
        <v>355388</v>
      </c>
      <c r="I189" s="23">
        <f>SUM([6]inicio:final!O188)</f>
        <v>0</v>
      </c>
      <c r="J189" s="23">
        <f>SUM([6]inicio:final!P188)</f>
        <v>60000</v>
      </c>
      <c r="K189" s="23">
        <f>SUM([6]inicio:final!Q188)</f>
        <v>4376064</v>
      </c>
      <c r="L189" s="23">
        <f>SUM([6]inicio:final!R188)</f>
        <v>215736</v>
      </c>
      <c r="M189" s="23">
        <f>SUM([5]inicio:final!S188)</f>
        <v>6045620</v>
      </c>
      <c r="N189" s="23">
        <f>SUM([5]inicio:final!V188)</f>
        <v>6695258</v>
      </c>
      <c r="O189" s="26">
        <f>SUM([6]inicio:final!W188)</f>
        <v>2172384.6</v>
      </c>
    </row>
    <row r="190" spans="1:19" ht="15.75" hidden="1" thickBot="1" x14ac:dyDescent="0.3">
      <c r="B190" s="22" t="s">
        <v>28</v>
      </c>
      <c r="C190" s="46">
        <f>SUM([5]inicio:final!E189)</f>
        <v>4788</v>
      </c>
      <c r="D190" s="23">
        <f>SUM([5]inicio:final!G189)</f>
        <v>699048</v>
      </c>
      <c r="E190" s="46">
        <f>SUM([5]inicio:final!J189)</f>
        <v>720</v>
      </c>
      <c r="F190" s="23">
        <f>SUM([5]inicio:final!L189)</f>
        <v>402480</v>
      </c>
      <c r="G190" s="23">
        <f>SUM([6]inicio:final!M189)</f>
        <v>212667</v>
      </c>
      <c r="H190" s="23">
        <f>SUM([6]inicio:final!N189)</f>
        <v>355960</v>
      </c>
      <c r="I190" s="23">
        <f>SUM([6]inicio:final!O189)</f>
        <v>0</v>
      </c>
      <c r="J190" s="23">
        <f>SUM([6]inicio:final!P189)</f>
        <v>66774</v>
      </c>
      <c r="K190" s="23">
        <f>SUM([6]inicio:final!Q189)</f>
        <v>4376064</v>
      </c>
      <c r="L190" s="23">
        <f>SUM([6]inicio:final!R189)</f>
        <v>216036</v>
      </c>
      <c r="M190" s="23">
        <f>SUM([5]inicio:final!S189)</f>
        <v>6275020</v>
      </c>
      <c r="N190" s="23">
        <f>SUM([5]inicio:final!V189)</f>
        <v>4583823</v>
      </c>
      <c r="O190" s="26">
        <f>SUM([6]inicio:final!W189)</f>
        <v>3917590.6</v>
      </c>
    </row>
    <row r="191" spans="1:19" ht="15.75" hidden="1" thickBot="1" x14ac:dyDescent="0.3">
      <c r="B191" s="22" t="s">
        <v>29</v>
      </c>
      <c r="C191" s="46">
        <f>SUM([5]inicio:final!E190)</f>
        <v>3973</v>
      </c>
      <c r="D191" s="23">
        <f>SUM([5]inicio:final!G190)</f>
        <v>580058</v>
      </c>
      <c r="E191" s="46">
        <f>SUM([5]inicio:final!J190)</f>
        <v>589</v>
      </c>
      <c r="F191" s="23">
        <f>SUM([5]inicio:final!L190)</f>
        <v>329251</v>
      </c>
      <c r="G191" s="23">
        <f>SUM([6]inicio:final!M190)</f>
        <v>212667</v>
      </c>
      <c r="H191" s="23">
        <f>SUM([6]inicio:final!N190)</f>
        <v>356444</v>
      </c>
      <c r="I191" s="23">
        <f>SUM([6]inicio:final!O190)</f>
        <v>0</v>
      </c>
      <c r="J191" s="23">
        <f>SUM([6]inicio:final!P190)</f>
        <v>70000</v>
      </c>
      <c r="K191" s="23">
        <f>SUM([6]inicio:final!Q190)</f>
        <v>4376064</v>
      </c>
      <c r="L191" s="23">
        <f>SUM([6]inicio:final!R190)</f>
        <v>270785</v>
      </c>
      <c r="M191" s="23">
        <f>SUM([5]inicio:final!S190)</f>
        <v>6141112</v>
      </c>
      <c r="N191" s="23">
        <f>SUM([5]inicio:final!V190)</f>
        <v>6559236</v>
      </c>
      <c r="O191" s="26">
        <f>SUM([6]inicio:final!W190)</f>
        <v>3553623.6</v>
      </c>
    </row>
    <row r="192" spans="1:19" ht="15.75" hidden="1" thickBot="1" x14ac:dyDescent="0.3">
      <c r="B192" s="22" t="s">
        <v>30</v>
      </c>
      <c r="C192" s="46">
        <f>SUM([5]inicio:final!E191)</f>
        <v>3584</v>
      </c>
      <c r="D192" s="23">
        <f>SUM([5]inicio:final!G191)</f>
        <v>523264</v>
      </c>
      <c r="E192" s="46">
        <f>SUM([5]inicio:final!J191)</f>
        <v>509</v>
      </c>
      <c r="F192" s="23">
        <f>SUM([5]inicio:final!L191)</f>
        <v>284531</v>
      </c>
      <c r="G192" s="23">
        <f>SUM([6]inicio:final!M191)</f>
        <v>212667</v>
      </c>
      <c r="H192" s="23">
        <f>SUM([6]inicio:final!N191)</f>
        <v>357412</v>
      </c>
      <c r="I192" s="23">
        <f>SUM([6]inicio:final!O191)</f>
        <v>0</v>
      </c>
      <c r="J192" s="23">
        <f>SUM([6]inicio:final!P191)</f>
        <v>70000</v>
      </c>
      <c r="K192" s="23">
        <f>SUM([6]inicio:final!Q191)</f>
        <v>4376064</v>
      </c>
      <c r="L192" s="23">
        <f>SUM([6]inicio:final!R191)</f>
        <v>325908</v>
      </c>
      <c r="M192" s="23">
        <f>SUM([5]inicio:final!S191)</f>
        <v>6095528</v>
      </c>
      <c r="N192" s="23">
        <f>SUM([5]inicio:final!V191)</f>
        <v>4340897</v>
      </c>
      <c r="O192" s="26">
        <f>SUM([6]inicio:final!W191)</f>
        <v>5362572.5999999996</v>
      </c>
    </row>
    <row r="193" spans="1:15" ht="15.75" hidden="1" thickBot="1" x14ac:dyDescent="0.3">
      <c r="B193" s="22" t="s">
        <v>31</v>
      </c>
      <c r="C193" s="46">
        <f>SUM([5]inicio:final!E192)</f>
        <v>3055</v>
      </c>
      <c r="D193" s="23">
        <f>SUM([5]inicio:final!G192)</f>
        <v>446030</v>
      </c>
      <c r="E193" s="46">
        <f>SUM([5]inicio:final!J192)</f>
        <v>162</v>
      </c>
      <c r="F193" s="23">
        <f>SUM([5]inicio:final!L192)</f>
        <v>90558</v>
      </c>
      <c r="G193" s="23">
        <f>SUM([6]inicio:final!M192)</f>
        <v>212667</v>
      </c>
      <c r="H193" s="23">
        <f>SUM([6]inicio:final!N192)</f>
        <v>358512</v>
      </c>
      <c r="I193" s="23">
        <f>SUM([6]inicio:final!O192)</f>
        <v>0</v>
      </c>
      <c r="J193" s="23">
        <f>SUM([6]inicio:final!P192)</f>
        <v>56500</v>
      </c>
      <c r="K193" s="23">
        <f>SUM([6]inicio:final!Q192)</f>
        <v>4376064</v>
      </c>
      <c r="L193" s="23">
        <f>SUM([6]inicio:final!R192)</f>
        <v>217620</v>
      </c>
      <c r="M193" s="23">
        <f>SUM([5]inicio:final!S192)</f>
        <v>5703546</v>
      </c>
      <c r="N193" s="23">
        <f>SUM([5]inicio:final!V192)</f>
        <v>6126033</v>
      </c>
      <c r="O193" s="26">
        <f>SUM([6]inicio:final!W192)</f>
        <v>4994490.5999999996</v>
      </c>
    </row>
    <row r="194" spans="1:15" ht="15.75" hidden="1" thickBot="1" x14ac:dyDescent="0.3">
      <c r="B194" s="22" t="s">
        <v>32</v>
      </c>
      <c r="C194" s="46">
        <f>SUM([5]inicio:final!E193)</f>
        <v>3244</v>
      </c>
      <c r="D194" s="23">
        <f>SUM([5]inicio:final!G193)</f>
        <v>473624</v>
      </c>
      <c r="E194" s="46">
        <f>SUM([5]inicio:final!J193)</f>
        <v>177</v>
      </c>
      <c r="F194" s="23">
        <f>SUM([5]inicio:final!L193)</f>
        <v>98943</v>
      </c>
      <c r="G194" s="23">
        <f>SUM([6]inicio:final!M193)</f>
        <v>212667</v>
      </c>
      <c r="H194" s="23">
        <f>SUM([6]inicio:final!N193)</f>
        <v>359084</v>
      </c>
      <c r="I194" s="23">
        <f>SUM([6]inicio:final!O193)</f>
        <v>0</v>
      </c>
      <c r="J194" s="23">
        <f>SUM([6]inicio:final!P193)</f>
        <v>15000</v>
      </c>
      <c r="K194" s="23">
        <f>SUM([6]inicio:final!Q193)</f>
        <v>4376064</v>
      </c>
      <c r="L194" s="23">
        <f>SUM([6]inicio:final!R193)</f>
        <v>218300</v>
      </c>
      <c r="M194" s="23">
        <f>SUM([5]inicio:final!S193)</f>
        <v>5753682</v>
      </c>
      <c r="N194" s="23">
        <f>SUM([5]inicio:final!V193)</f>
        <v>4615762</v>
      </c>
      <c r="O194" s="26">
        <f>SUM([6]inicio:final!W193)</f>
        <v>6132410.5999999996</v>
      </c>
    </row>
    <row r="195" spans="1:15" ht="15.75" hidden="1" thickBot="1" x14ac:dyDescent="0.3">
      <c r="B195" s="22" t="s">
        <v>33</v>
      </c>
      <c r="C195" s="46">
        <f>SUM([5]inicio:final!E194)</f>
        <v>3235</v>
      </c>
      <c r="D195" s="23">
        <f>SUM([5]inicio:final!G194)</f>
        <v>472310</v>
      </c>
      <c r="E195" s="46">
        <f>SUM([5]inicio:final!J194)</f>
        <v>184</v>
      </c>
      <c r="F195" s="23">
        <f>SUM([5]inicio:final!L194)</f>
        <v>102856</v>
      </c>
      <c r="G195" s="23">
        <f>SUM([6]inicio:final!M194)</f>
        <v>212667</v>
      </c>
      <c r="H195" s="23">
        <f>SUM([6]inicio:final!N194)</f>
        <v>360184</v>
      </c>
      <c r="I195" s="23">
        <f>SUM([6]inicio:final!O194)</f>
        <v>0</v>
      </c>
      <c r="J195" s="23">
        <f>SUM([6]inicio:final!P194)</f>
        <v>15000</v>
      </c>
      <c r="K195" s="23">
        <f>SUM([6]inicio:final!Q194)</f>
        <v>4376064</v>
      </c>
      <c r="L195" s="23">
        <f>SUM([6]inicio:final!R194)</f>
        <v>273575</v>
      </c>
      <c r="M195" s="23">
        <f>SUM([5]inicio:final!S194)</f>
        <v>5812656</v>
      </c>
      <c r="N195" s="23">
        <f>SUM([5]inicio:final!V194)</f>
        <v>6353551</v>
      </c>
      <c r="O195" s="26">
        <f>SUM([6]inicio:final!W194)</f>
        <v>5591515.5999999996</v>
      </c>
    </row>
    <row r="196" spans="1:15" ht="15.75" hidden="1" thickBot="1" x14ac:dyDescent="0.3">
      <c r="B196" s="22" t="s">
        <v>34</v>
      </c>
      <c r="C196" s="46">
        <f>SUM([5]inicio:final!E195)</f>
        <v>3177</v>
      </c>
      <c r="D196" s="23">
        <f>SUM([5]inicio:final!G195)</f>
        <v>463842</v>
      </c>
      <c r="E196" s="46">
        <f>SUM([5]inicio:final!J195)</f>
        <v>264</v>
      </c>
      <c r="F196" s="23">
        <f>SUM([5]inicio:final!L195)</f>
        <v>147576</v>
      </c>
      <c r="G196" s="23">
        <f>SUM([6]inicio:final!M195)</f>
        <v>212667</v>
      </c>
      <c r="H196" s="23">
        <f>SUM([6]inicio:final!N195)</f>
        <v>361108</v>
      </c>
      <c r="I196" s="23">
        <f>SUM([6]inicio:final!O195)</f>
        <v>0</v>
      </c>
      <c r="J196" s="23">
        <f>SUM([6]inicio:final!P195)</f>
        <v>15000</v>
      </c>
      <c r="K196" s="23">
        <f>SUM([6]inicio:final!Q195)</f>
        <v>4376064</v>
      </c>
      <c r="L196" s="23">
        <f>SUM([6]inicio:final!R195)</f>
        <v>329184</v>
      </c>
      <c r="M196" s="23">
        <f>SUM([5]inicio:final!S195)</f>
        <v>5905441</v>
      </c>
      <c r="N196" s="23">
        <f>SUM([5]inicio:final!V195)</f>
        <v>4716900</v>
      </c>
      <c r="O196" s="26">
        <f>SUM([6]inicio:final!W195)</f>
        <v>6780056.5999999996</v>
      </c>
    </row>
    <row r="197" spans="1:15" ht="15.75" hidden="1" thickBot="1" x14ac:dyDescent="0.3">
      <c r="B197" s="22" t="s">
        <v>35</v>
      </c>
      <c r="C197" s="46">
        <f>SUM([5]inicio:final!E196)</f>
        <v>3315</v>
      </c>
      <c r="D197" s="23">
        <f>SUM([5]inicio:final!G196)</f>
        <v>483990</v>
      </c>
      <c r="E197" s="46">
        <f>SUM([5]inicio:final!J196)</f>
        <v>367</v>
      </c>
      <c r="F197" s="23">
        <f>SUM([5]inicio:final!L196)</f>
        <v>207853</v>
      </c>
      <c r="G197" s="23">
        <f>SUM([6]inicio:final!M196)</f>
        <v>212667</v>
      </c>
      <c r="H197" s="23">
        <f>SUM([6]inicio:final!N196)</f>
        <v>362120</v>
      </c>
      <c r="I197" s="23">
        <f>SUM([6]inicio:final!O196)</f>
        <v>0</v>
      </c>
      <c r="J197" s="23">
        <f>SUM([6]inicio:final!P196)</f>
        <v>15000</v>
      </c>
      <c r="K197" s="23">
        <f>SUM([6]inicio:final!Q196)</f>
        <v>4376064</v>
      </c>
      <c r="L197" s="23">
        <f>SUM([6]inicio:final!R196)</f>
        <v>440528</v>
      </c>
      <c r="M197" s="23">
        <f>SUM([5]inicio:final!S196)</f>
        <v>6098222</v>
      </c>
      <c r="N197" s="23">
        <f>SUM([5]inicio:final!V196)</f>
        <v>6381792</v>
      </c>
      <c r="O197" s="26">
        <f>SUM([6]inicio:final!W196)</f>
        <v>6496486.5999999996</v>
      </c>
    </row>
    <row r="198" spans="1:15" ht="15.75" hidden="1" thickBot="1" x14ac:dyDescent="0.3">
      <c r="B198" s="22" t="s">
        <v>36</v>
      </c>
      <c r="C198" s="46">
        <f>SUM([5]inicio:final!E197)</f>
        <v>3561</v>
      </c>
      <c r="D198" s="23">
        <f>SUM([5]inicio:final!G197)</f>
        <v>519906</v>
      </c>
      <c r="E198" s="46">
        <f>SUM([5]inicio:final!J197)</f>
        <v>728</v>
      </c>
      <c r="F198" s="23">
        <f>SUM([5]inicio:final!L197)</f>
        <v>407132</v>
      </c>
      <c r="G198" s="23">
        <f>SUM([6]inicio:final!M197)</f>
        <v>212667</v>
      </c>
      <c r="H198" s="23">
        <f>SUM([6]inicio:final!N197)</f>
        <v>363440</v>
      </c>
      <c r="I198" s="23">
        <f>SUM([6]inicio:final!O197)</f>
        <v>95200</v>
      </c>
      <c r="J198" s="23">
        <f>SUM([6]inicio:final!P197)</f>
        <v>15000</v>
      </c>
      <c r="K198" s="23">
        <f>SUM([6]inicio:final!Q197)</f>
        <v>4376064</v>
      </c>
      <c r="L198" s="23">
        <f>SUM([6]inicio:final!R197)</f>
        <v>551320</v>
      </c>
      <c r="M198" s="23">
        <f>SUM([5]inicio:final!S197)</f>
        <v>6540729</v>
      </c>
      <c r="N198" s="23">
        <f>SUM([5]inicio:final!V197)</f>
        <v>6311139</v>
      </c>
      <c r="O198" s="26">
        <f>SUM([6]inicio:final!W197)</f>
        <v>7046076.5999999996</v>
      </c>
    </row>
    <row r="199" spans="1:15" ht="15.75" hidden="1" thickBot="1" x14ac:dyDescent="0.3">
      <c r="B199" s="22" t="s">
        <v>37</v>
      </c>
      <c r="C199" s="46">
        <f>SUM([5]inicio:final!E198)</f>
        <v>3979</v>
      </c>
      <c r="D199" s="23">
        <f>SUM([5]inicio:final!G198)</f>
        <v>580934</v>
      </c>
      <c r="E199" s="46">
        <f>SUM([5]inicio:final!J198)</f>
        <v>782</v>
      </c>
      <c r="F199" s="23">
        <f>SUM([5]inicio:final!L198)</f>
        <v>438578</v>
      </c>
      <c r="G199" s="23">
        <f>SUM([6]inicio:final!M198)</f>
        <v>212667</v>
      </c>
      <c r="H199" s="23">
        <f>SUM([6]inicio:final!N198)</f>
        <v>363880</v>
      </c>
      <c r="I199" s="23">
        <f>SUM([6]inicio:final!O198)</f>
        <v>0</v>
      </c>
      <c r="J199" s="23">
        <f>SUM([6]inicio:final!P198)</f>
        <v>15000</v>
      </c>
      <c r="K199" s="23">
        <f>SUM([6]inicio:final!Q198)</f>
        <v>4376064</v>
      </c>
      <c r="L199" s="23">
        <f>SUM([6]inicio:final!R198)</f>
        <v>330552</v>
      </c>
      <c r="M199" s="23">
        <f>SUM([5]inicio:final!S198)</f>
        <v>6427859</v>
      </c>
      <c r="N199" s="23">
        <f>SUM([5]inicio:final!V198)</f>
        <v>6186204</v>
      </c>
      <c r="O199" s="26">
        <f>SUM([6]inicio:final!W198)</f>
        <v>7641318.5999999996</v>
      </c>
    </row>
    <row r="200" spans="1:15" ht="15.75" thickBot="1" x14ac:dyDescent="0.3">
      <c r="A200">
        <v>2019</v>
      </c>
      <c r="B200" s="22" t="s">
        <v>38</v>
      </c>
      <c r="C200" s="46">
        <f>SUM([5]inicio:final!E199)</f>
        <v>4676</v>
      </c>
      <c r="D200" s="23">
        <f>SUM([5]inicio:final!G199)</f>
        <v>682696</v>
      </c>
      <c r="E200" s="46">
        <f>SUM([5]inicio:final!J199)</f>
        <v>733</v>
      </c>
      <c r="F200" s="23">
        <f>SUM([5]inicio:final!L199)</f>
        <v>409927</v>
      </c>
      <c r="G200" s="23">
        <f>SUM([6]inicio:final!M199)</f>
        <v>218196</v>
      </c>
      <c r="H200" s="23">
        <f>SUM([6]inicio:final!N199)</f>
        <v>363616</v>
      </c>
      <c r="I200" s="23">
        <f>SUM([6]inicio:final!O199)</f>
        <v>0</v>
      </c>
      <c r="J200" s="23">
        <f>SUM([6]inicio:final!P199)</f>
        <v>15000</v>
      </c>
      <c r="K200" s="23">
        <f>SUM([6]inicio:final!Q199)</f>
        <v>4490396</v>
      </c>
      <c r="L200" s="23">
        <f>SUM([6]inicio:final!R199)</f>
        <v>275658</v>
      </c>
      <c r="M200" s="23">
        <f>SUM([5]inicio:final!S199)</f>
        <v>6785501</v>
      </c>
      <c r="N200" s="23">
        <f>SUM([5]inicio:final!V199)</f>
        <v>5853972</v>
      </c>
      <c r="O200" s="26">
        <f>SUM([6]inicio:final!W199)</f>
        <v>13887568.6</v>
      </c>
    </row>
    <row r="201" spans="1:15" ht="15.75" thickBot="1" x14ac:dyDescent="0.3">
      <c r="B201" s="22" t="s">
        <v>27</v>
      </c>
      <c r="C201" s="46">
        <f>SUM([5]inicio:final!E200)</f>
        <v>4434</v>
      </c>
      <c r="D201" s="23">
        <f>SUM([5]inicio:final!G200)</f>
        <v>647364</v>
      </c>
      <c r="E201" s="46">
        <f>SUM([5]inicio:final!J200)</f>
        <v>737</v>
      </c>
      <c r="F201" s="23">
        <f>SUM([5]inicio:final!L200)</f>
        <v>411983</v>
      </c>
      <c r="G201" s="23">
        <f>SUM([6]inicio:final!M200)</f>
        <v>218196</v>
      </c>
      <c r="H201" s="23">
        <f>SUM([6]inicio:final!N200)</f>
        <v>363748</v>
      </c>
      <c r="I201" s="23">
        <f>SUM([6]inicio:final!O200)</f>
        <v>0</v>
      </c>
      <c r="J201" s="23">
        <f>SUM([6]inicio:final!P200)</f>
        <v>15000</v>
      </c>
      <c r="K201" s="23">
        <f>SUM([6]inicio:final!Q200)</f>
        <v>4489856</v>
      </c>
      <c r="L201" s="23">
        <f>SUM([6]inicio:final!R200)</f>
        <v>496026</v>
      </c>
      <c r="M201" s="23">
        <f>SUM([5]inicio:final!S200)</f>
        <v>6642173</v>
      </c>
      <c r="N201" s="23">
        <f>SUM([5]inicio:final!V200)</f>
        <v>5233334</v>
      </c>
      <c r="O201" s="26">
        <f>SUM([6]inicio:final!W200)</f>
        <v>8876317.5999999996</v>
      </c>
    </row>
    <row r="202" spans="1:15" ht="15.75" thickBot="1" x14ac:dyDescent="0.3">
      <c r="B202" s="22" t="s">
        <v>28</v>
      </c>
      <c r="C202" s="46">
        <f>SUM([5]inicio:final!E201)</f>
        <v>3651</v>
      </c>
      <c r="D202" s="23">
        <f>SUM([5]inicio:final!G201)</f>
        <v>533046</v>
      </c>
      <c r="E202" s="46">
        <f>SUM([5]inicio:final!J201)</f>
        <v>620</v>
      </c>
      <c r="F202" s="23">
        <f>SUM([5]inicio:final!L201)</f>
        <v>346580</v>
      </c>
      <c r="G202" s="23">
        <f>SUM([6]inicio:final!M201)</f>
        <v>218196</v>
      </c>
      <c r="H202" s="23">
        <f>SUM([6]inicio:final!N201)</f>
        <v>363880</v>
      </c>
      <c r="I202" s="23">
        <f>SUM([6]inicio:final!O201)</f>
        <v>0</v>
      </c>
      <c r="J202" s="23">
        <f>SUM([6]inicio:final!P201)</f>
        <v>15000</v>
      </c>
      <c r="K202" s="23">
        <f>SUM([6]inicio:final!Q201)</f>
        <v>4489856</v>
      </c>
      <c r="L202" s="23">
        <f>SUM([6]inicio:final!R201)</f>
        <v>441056</v>
      </c>
      <c r="M202" s="23">
        <f>SUM([5]inicio:final!S201)</f>
        <v>6407614</v>
      </c>
      <c r="N202" s="23">
        <f>SUM([5]inicio:final!V201)</f>
        <v>6398248</v>
      </c>
      <c r="O202" s="26">
        <f>SUM([6]inicio:final!W201)</f>
        <v>8885683.5999999996</v>
      </c>
    </row>
    <row r="203" spans="1:15" ht="15.75" thickBot="1" x14ac:dyDescent="0.3">
      <c r="B203" s="22" t="s">
        <v>29</v>
      </c>
      <c r="C203" s="46">
        <f>SUM([5]inicio:final!E202)</f>
        <v>3151</v>
      </c>
      <c r="D203" s="23">
        <f>SUM([5]inicio:final!G202)</f>
        <v>460046</v>
      </c>
      <c r="E203" s="46">
        <f>SUM([5]inicio:final!J202)</f>
        <v>508</v>
      </c>
      <c r="F203" s="23">
        <f>SUM([5]inicio:final!L202)</f>
        <v>283972</v>
      </c>
      <c r="G203" s="23">
        <f>SUM([6]inicio:final!M202)</f>
        <v>218196</v>
      </c>
      <c r="H203" s="23">
        <f>SUM([6]inicio:final!N202)</f>
        <v>365156</v>
      </c>
      <c r="I203" s="23">
        <f>SUM([6]inicio:final!O202)</f>
        <v>0</v>
      </c>
      <c r="J203" s="23">
        <f>SUM([6]inicio:final!P202)</f>
        <v>15000</v>
      </c>
      <c r="K203" s="23">
        <f>SUM([6]inicio:final!Q202)</f>
        <v>4489856</v>
      </c>
      <c r="L203" s="23">
        <f>SUM([6]inicio:final!R202)</f>
        <v>276620</v>
      </c>
      <c r="M203" s="23">
        <f>SUM([5]inicio:final!S202)</f>
        <v>6108846</v>
      </c>
      <c r="N203" s="23">
        <f>SUM([5]inicio:final!V202)</f>
        <v>7249740</v>
      </c>
      <c r="O203" s="26">
        <f>SUM([6]inicio:final!W202)</f>
        <v>7744789.5999999996</v>
      </c>
    </row>
    <row r="204" spans="1:15" ht="15.75" thickBot="1" x14ac:dyDescent="0.3">
      <c r="B204" s="22" t="s">
        <v>30</v>
      </c>
      <c r="C204" s="46">
        <f>SUM([5]inicio:final!E203)</f>
        <v>3725</v>
      </c>
      <c r="D204" s="23">
        <f>SUM([5]inicio:final!G203)</f>
        <v>543850</v>
      </c>
      <c r="E204" s="46">
        <f>SUM([5]inicio:final!J203)</f>
        <v>517</v>
      </c>
      <c r="F204" s="23">
        <f>SUM([5]inicio:final!L203)</f>
        <v>289003</v>
      </c>
      <c r="G204" s="23">
        <f>SUM([6]inicio:final!M203)</f>
        <v>218196</v>
      </c>
      <c r="H204" s="23">
        <f>SUM([6]inicio:final!N203)</f>
        <v>366476</v>
      </c>
      <c r="I204" s="23">
        <f>SUM([6]inicio:final!O203)</f>
        <v>0</v>
      </c>
      <c r="J204" s="23">
        <f>SUM([6]inicio:final!P203)</f>
        <v>15000</v>
      </c>
      <c r="K204" s="23">
        <f>SUM([6]inicio:final!Q203)</f>
        <v>4489856</v>
      </c>
      <c r="L204" s="23">
        <f>SUM([6]inicio:final!R203)</f>
        <v>0</v>
      </c>
      <c r="M204" s="23">
        <f>SUM([5]inicio:final!S203)</f>
        <v>5922381</v>
      </c>
      <c r="N204" s="23">
        <f>SUM([5]inicio:final!V203)</f>
        <v>669447</v>
      </c>
      <c r="O204" s="26">
        <f>SUM([6]inicio:final!W203)</f>
        <v>12997723.6</v>
      </c>
    </row>
    <row r="205" spans="1:15" ht="15.75" thickBot="1" x14ac:dyDescent="0.3">
      <c r="B205" s="22" t="s">
        <v>31</v>
      </c>
      <c r="C205" s="46">
        <f>SUM([5]inicio:final!E204)</f>
        <v>-6</v>
      </c>
      <c r="D205" s="23">
        <f>SUM([5]inicio:final!G204)</f>
        <v>-876</v>
      </c>
      <c r="E205" s="46">
        <f>SUM([5]inicio:final!J204)</f>
        <v>-186</v>
      </c>
      <c r="F205" s="23">
        <f>SUM([5]inicio:final!L204)</f>
        <v>-103974</v>
      </c>
      <c r="G205" s="23">
        <f>SUM([6]inicio:final!M204)</f>
        <v>218196</v>
      </c>
      <c r="H205" s="23">
        <f>SUM([6]inicio:final!N204)</f>
        <v>0</v>
      </c>
      <c r="I205" s="23">
        <f>SUM([6]inicio:final!O204)</f>
        <v>0</v>
      </c>
      <c r="J205" s="23">
        <f>SUM([6]inicio:final!P204)</f>
        <v>15000</v>
      </c>
      <c r="K205" s="23">
        <f>SUM([6]inicio:final!Q204)</f>
        <v>4489856</v>
      </c>
      <c r="L205" s="23">
        <f>SUM([6]inicio:final!R204)</f>
        <v>0</v>
      </c>
      <c r="M205" s="23">
        <f>SUM([5]inicio:final!S204)</f>
        <v>4618202</v>
      </c>
      <c r="N205" s="23">
        <f>SUM([5]inicio:final!V204)</f>
        <v>176337</v>
      </c>
      <c r="O205" s="26">
        <f>SUM([6]inicio:final!W204)</f>
        <v>17439588.600000001</v>
      </c>
    </row>
    <row r="206" spans="1:15" ht="15.75" thickBot="1" x14ac:dyDescent="0.3">
      <c r="B206" s="22" t="s">
        <v>32</v>
      </c>
      <c r="C206" s="46">
        <f>SUM([5]inicio:final!E205)</f>
        <v>0</v>
      </c>
      <c r="D206" s="23">
        <f>SUM([5]inicio:final!G205)</f>
        <v>0</v>
      </c>
      <c r="E206" s="46">
        <f>SUM([5]inicio:final!J205)</f>
        <v>0</v>
      </c>
      <c r="F206" s="23">
        <f>SUM([5]inicio:final!L205)</f>
        <v>0</v>
      </c>
      <c r="G206" s="23">
        <f>SUM([6]inicio:final!M205)</f>
        <v>218196</v>
      </c>
      <c r="H206" s="23">
        <f>SUM([6]inicio:final!N205)</f>
        <v>0</v>
      </c>
      <c r="I206" s="23">
        <f>SUM([6]inicio:final!O205)</f>
        <v>0</v>
      </c>
      <c r="J206" s="23">
        <f>SUM([6]inicio:final!P205)</f>
        <v>15000</v>
      </c>
      <c r="K206" s="23">
        <f>SUM([6]inicio:final!Q205)</f>
        <v>4489856</v>
      </c>
      <c r="L206" s="23">
        <f>SUM([6]inicio:final!R205)</f>
        <v>0</v>
      </c>
      <c r="M206" s="23">
        <f>SUM([5]inicio:final!S205)</f>
        <v>4723052</v>
      </c>
      <c r="N206" s="23">
        <f>SUM([5]inicio:final!V205)</f>
        <v>0</v>
      </c>
      <c r="O206" s="26">
        <f>SUM([6]inicio:final!W205)</f>
        <v>22162640.600000001</v>
      </c>
    </row>
    <row r="207" spans="1:15" ht="15.75" thickBot="1" x14ac:dyDescent="0.3">
      <c r="B207" s="22" t="s">
        <v>33</v>
      </c>
      <c r="C207" s="46">
        <f>SUM([5]inicio:final!E206)</f>
        <v>0</v>
      </c>
      <c r="D207" s="23">
        <f>SUM([5]inicio:final!G206)</f>
        <v>0</v>
      </c>
      <c r="E207" s="46">
        <f>SUM([5]inicio:final!J206)</f>
        <v>0</v>
      </c>
      <c r="F207" s="23">
        <f>SUM([5]inicio:final!L206)</f>
        <v>0</v>
      </c>
      <c r="G207" s="23">
        <f>SUM([6]inicio:final!M206)</f>
        <v>218196</v>
      </c>
      <c r="H207" s="23">
        <f>SUM([6]inicio:final!N206)</f>
        <v>0</v>
      </c>
      <c r="I207" s="23">
        <f>SUM([6]inicio:final!O206)</f>
        <v>0</v>
      </c>
      <c r="J207" s="23">
        <f>SUM([6]inicio:final!P206)</f>
        <v>15000</v>
      </c>
      <c r="K207" s="23">
        <f>SUM([6]inicio:final!Q206)</f>
        <v>4489856</v>
      </c>
      <c r="L207" s="23">
        <f>SUM([6]inicio:final!R206)</f>
        <v>0</v>
      </c>
      <c r="M207" s="23">
        <f>SUM([5]inicio:final!S206)</f>
        <v>4723052</v>
      </c>
      <c r="N207" s="23">
        <f>SUM([5]inicio:final!V206)</f>
        <v>0</v>
      </c>
      <c r="O207" s="26">
        <f>SUM([6]inicio:final!W206)</f>
        <v>26885692.600000001</v>
      </c>
    </row>
    <row r="208" spans="1:15" ht="15.75" thickBot="1" x14ac:dyDescent="0.3">
      <c r="B208" s="22" t="s">
        <v>34</v>
      </c>
      <c r="C208" s="46">
        <f>SUM([5]inicio:final!E207)</f>
        <v>0</v>
      </c>
      <c r="D208" s="23">
        <f>SUM([5]inicio:final!G207)</f>
        <v>0</v>
      </c>
      <c r="E208" s="46">
        <f>SUM([5]inicio:final!J207)</f>
        <v>0</v>
      </c>
      <c r="F208" s="23">
        <f>SUM([5]inicio:final!L207)</f>
        <v>0</v>
      </c>
      <c r="G208" s="23">
        <f>SUM([6]inicio:final!M207)</f>
        <v>218196</v>
      </c>
      <c r="H208" s="23">
        <f>SUM([6]inicio:final!N207)</f>
        <v>0</v>
      </c>
      <c r="I208" s="23">
        <f>SUM([6]inicio:final!O207)</f>
        <v>0</v>
      </c>
      <c r="J208" s="23">
        <f>SUM([6]inicio:final!P207)</f>
        <v>15000</v>
      </c>
      <c r="K208" s="23">
        <f>SUM([6]inicio:final!Q207)</f>
        <v>4489856</v>
      </c>
      <c r="L208" s="23">
        <f>SUM([6]inicio:final!R207)</f>
        <v>0</v>
      </c>
      <c r="M208" s="23">
        <f>SUM([5]inicio:final!S207)</f>
        <v>4723052</v>
      </c>
      <c r="N208" s="23">
        <f>SUM([5]inicio:final!V207)</f>
        <v>0</v>
      </c>
      <c r="O208" s="26">
        <f>SUM([6]inicio:final!W207)</f>
        <v>31608744.600000001</v>
      </c>
    </row>
    <row r="209" spans="2:15" ht="15.75" thickBot="1" x14ac:dyDescent="0.3">
      <c r="B209" s="22" t="s">
        <v>35</v>
      </c>
      <c r="C209" s="46">
        <f>SUM([5]inicio:final!E208)</f>
        <v>0</v>
      </c>
      <c r="D209" s="23">
        <f>SUM([5]inicio:final!G208)</f>
        <v>0</v>
      </c>
      <c r="E209" s="46">
        <f>SUM([5]inicio:final!J208)</f>
        <v>0</v>
      </c>
      <c r="F209" s="23">
        <f>SUM([5]inicio:final!L208)</f>
        <v>0</v>
      </c>
      <c r="G209" s="23">
        <f>SUM([6]inicio:final!M208)</f>
        <v>218196</v>
      </c>
      <c r="H209" s="23">
        <f>SUM([6]inicio:final!N208)</f>
        <v>0</v>
      </c>
      <c r="I209" s="23">
        <f>SUM([6]inicio:final!O208)</f>
        <v>0</v>
      </c>
      <c r="J209" s="23">
        <f>SUM([6]inicio:final!P208)</f>
        <v>15000</v>
      </c>
      <c r="K209" s="23">
        <f>SUM([6]inicio:final!Q208)</f>
        <v>4489856</v>
      </c>
      <c r="L209" s="23">
        <f>SUM([6]inicio:final!R208)</f>
        <v>0</v>
      </c>
      <c r="M209" s="23">
        <f>SUM([5]inicio:final!S208)</f>
        <v>4723052</v>
      </c>
      <c r="N209" s="23">
        <f>SUM([5]inicio:final!V208)</f>
        <v>0</v>
      </c>
      <c r="O209" s="26">
        <f>SUM([6]inicio:final!W208)</f>
        <v>36331796.600000001</v>
      </c>
    </row>
    <row r="210" spans="2:15" ht="15.75" thickBot="1" x14ac:dyDescent="0.3">
      <c r="B210" s="22" t="s">
        <v>36</v>
      </c>
      <c r="C210" s="46">
        <f>SUM([5]inicio:final!E209)</f>
        <v>0</v>
      </c>
      <c r="D210" s="23">
        <f>SUM([5]inicio:final!G209)</f>
        <v>0</v>
      </c>
      <c r="E210" s="46">
        <f>SUM([5]inicio:final!J209)</f>
        <v>0</v>
      </c>
      <c r="F210" s="23">
        <f>SUM([5]inicio:final!L209)</f>
        <v>0</v>
      </c>
      <c r="G210" s="23">
        <f>SUM([6]inicio:final!M209)</f>
        <v>218196</v>
      </c>
      <c r="H210" s="23">
        <f>SUM([6]inicio:final!N209)</f>
        <v>0</v>
      </c>
      <c r="I210" s="23">
        <f>SUM([6]inicio:final!O209)</f>
        <v>0</v>
      </c>
      <c r="J210" s="23">
        <f>SUM([6]inicio:final!P209)</f>
        <v>15000</v>
      </c>
      <c r="K210" s="23">
        <f>SUM([6]inicio:final!Q209)</f>
        <v>4489856</v>
      </c>
      <c r="L210" s="23">
        <f>SUM([6]inicio:final!R209)</f>
        <v>0</v>
      </c>
      <c r="M210" s="23">
        <f>SUM([5]inicio:final!S209)</f>
        <v>4723052</v>
      </c>
      <c r="N210" s="23">
        <f>SUM([5]inicio:final!V209)</f>
        <v>0</v>
      </c>
      <c r="O210" s="26">
        <f>SUM([6]inicio:final!W209)</f>
        <v>41054848.600000001</v>
      </c>
    </row>
    <row r="211" spans="2:15" ht="15.75" thickBot="1" x14ac:dyDescent="0.3">
      <c r="B211" s="22" t="s">
        <v>37</v>
      </c>
      <c r="C211" s="46">
        <f>SUM([5]inicio:final!E210)</f>
        <v>0</v>
      </c>
      <c r="D211" s="23">
        <f>SUM([5]inicio:final!G210)</f>
        <v>0</v>
      </c>
      <c r="E211" s="46">
        <f>SUM([5]inicio:final!J210)</f>
        <v>0</v>
      </c>
      <c r="F211" s="23">
        <f>SUM([5]inicio:final!L210)</f>
        <v>0</v>
      </c>
      <c r="G211" s="23">
        <f>SUM([6]inicio:final!M210)</f>
        <v>218196</v>
      </c>
      <c r="H211" s="23">
        <f>SUM([6]inicio:final!N210)</f>
        <v>0</v>
      </c>
      <c r="I211" s="23">
        <f>SUM([6]inicio:final!O210)</f>
        <v>0</v>
      </c>
      <c r="J211" s="23">
        <f>SUM([6]inicio:final!P210)</f>
        <v>15000</v>
      </c>
      <c r="K211" s="23">
        <f>SUM([6]inicio:final!Q210)</f>
        <v>4489856</v>
      </c>
      <c r="L211" s="23">
        <f>SUM([6]inicio:final!R210)</f>
        <v>0</v>
      </c>
      <c r="M211" s="23">
        <f>SUM([5]inicio:final!S210)</f>
        <v>4723052</v>
      </c>
      <c r="N211" s="23">
        <f>SUM([5]inicio:final!V210)</f>
        <v>0</v>
      </c>
      <c r="O211" s="26">
        <f>SUM([6]inicio:final!W210)</f>
        <v>45777900.600000001</v>
      </c>
    </row>
    <row r="212" spans="2:15" x14ac:dyDescent="0.25">
      <c r="B212" s="51"/>
      <c r="C212" s="52"/>
      <c r="D212" s="53"/>
      <c r="E212" s="52"/>
      <c r="F212" s="53"/>
      <c r="G212" s="53"/>
      <c r="H212" s="53"/>
      <c r="I212" s="53"/>
      <c r="J212" s="53"/>
      <c r="K212" s="53"/>
      <c r="L212" s="53"/>
      <c r="M212" s="53"/>
      <c r="N212" s="53"/>
      <c r="O212" s="65"/>
    </row>
    <row r="215" spans="2:15" ht="15.75" hidden="1" thickBot="1" x14ac:dyDescent="0.3">
      <c r="B215" s="76" t="s">
        <v>62</v>
      </c>
      <c r="C215" s="77"/>
      <c r="D215" s="78"/>
    </row>
    <row r="216" spans="2:15" hidden="1" x14ac:dyDescent="0.25">
      <c r="B216" s="88" t="s">
        <v>25</v>
      </c>
      <c r="C216" s="88" t="s">
        <v>9</v>
      </c>
      <c r="D216" s="79" t="s">
        <v>49</v>
      </c>
    </row>
    <row r="217" spans="2:15" ht="15.75" hidden="1" thickBot="1" x14ac:dyDescent="0.3">
      <c r="B217" s="89"/>
      <c r="C217" s="89"/>
      <c r="D217" s="80"/>
    </row>
    <row r="218" spans="2:15" ht="15.75" hidden="1" thickBot="1" x14ac:dyDescent="0.3">
      <c r="B218" s="37" t="s">
        <v>50</v>
      </c>
      <c r="C218" s="38">
        <f>[5]Resumen!$C$245</f>
        <v>5703546</v>
      </c>
      <c r="D218" s="38">
        <f>[5]Resumen!$D$245</f>
        <v>6126033</v>
      </c>
    </row>
    <row r="219" spans="2:15" ht="15.75" hidden="1" thickBot="1" x14ac:dyDescent="0.3">
      <c r="B219" s="35" t="s">
        <v>51</v>
      </c>
      <c r="C219" s="38">
        <f>[5]Resumen!$C$246</f>
        <v>5753682</v>
      </c>
      <c r="D219" s="38">
        <f>[5]Resumen!$D$246</f>
        <v>4615762</v>
      </c>
    </row>
    <row r="220" spans="2:15" ht="15.75" hidden="1" thickBot="1" x14ac:dyDescent="0.3">
      <c r="B220" s="35" t="s">
        <v>52</v>
      </c>
      <c r="C220" s="38">
        <f>[5]Resumen!$C$247</f>
        <v>5812656</v>
      </c>
      <c r="D220" s="38">
        <f>[5]Resumen!$D$247</f>
        <v>6353551</v>
      </c>
    </row>
    <row r="221" spans="2:15" ht="15.75" hidden="1" thickBot="1" x14ac:dyDescent="0.3">
      <c r="B221" s="35" t="s">
        <v>53</v>
      </c>
      <c r="C221" s="38">
        <f>[5]Resumen!$C$248</f>
        <v>5905441</v>
      </c>
      <c r="D221" s="38">
        <f>[5]Resumen!$D$248</f>
        <v>4716900</v>
      </c>
    </row>
    <row r="222" spans="2:15" ht="15.75" hidden="1" thickBot="1" x14ac:dyDescent="0.3">
      <c r="B222" s="35" t="s">
        <v>54</v>
      </c>
      <c r="C222" s="38">
        <f>[5]Resumen!$C$249</f>
        <v>6098222</v>
      </c>
      <c r="D222" s="38">
        <f>[5]Resumen!$D$249</f>
        <v>6381792</v>
      </c>
    </row>
    <row r="223" spans="2:15" ht="15.75" hidden="1" thickBot="1" x14ac:dyDescent="0.3">
      <c r="B223" s="35" t="s">
        <v>55</v>
      </c>
      <c r="C223" s="38">
        <f>[5]Resumen!$C$250</f>
        <v>6540729</v>
      </c>
      <c r="D223" s="38">
        <f>[5]Resumen!$D$250</f>
        <v>6311139</v>
      </c>
    </row>
    <row r="224" spans="2:15" ht="15.75" hidden="1" thickBot="1" x14ac:dyDescent="0.3">
      <c r="B224" s="35" t="s">
        <v>56</v>
      </c>
      <c r="C224" s="38">
        <f>[5]Resumen!$C$251</f>
        <v>6427859</v>
      </c>
      <c r="D224" s="38">
        <f>[5]Resumen!$D$251</f>
        <v>6186204</v>
      </c>
    </row>
    <row r="225" spans="2:4" ht="15.75" hidden="1" thickBot="1" x14ac:dyDescent="0.3">
      <c r="B225" s="35" t="s">
        <v>57</v>
      </c>
      <c r="C225" s="38">
        <f>[5]Resumen!$C$252</f>
        <v>0</v>
      </c>
      <c r="D225" s="38">
        <f>[5]Resumen!$D$252</f>
        <v>0</v>
      </c>
    </row>
    <row r="226" spans="2:4" ht="15.75" hidden="1" thickBot="1" x14ac:dyDescent="0.3">
      <c r="B226" s="35" t="s">
        <v>58</v>
      </c>
      <c r="C226" s="38">
        <f>[5]Resumen!$C$253</f>
        <v>0</v>
      </c>
      <c r="D226" s="38">
        <f>[5]Resumen!$D$253</f>
        <v>0</v>
      </c>
    </row>
    <row r="227" spans="2:4" ht="15.75" hidden="1" thickBot="1" x14ac:dyDescent="0.3">
      <c r="B227" s="35" t="s">
        <v>59</v>
      </c>
      <c r="C227" s="38">
        <f>[5]Resumen!$C$254</f>
        <v>0</v>
      </c>
      <c r="D227" s="38">
        <f>[5]Resumen!$D$254</f>
        <v>0</v>
      </c>
    </row>
    <row r="228" spans="2:4" ht="15.75" hidden="1" thickBot="1" x14ac:dyDescent="0.3">
      <c r="B228" s="35" t="s">
        <v>60</v>
      </c>
      <c r="C228" s="38">
        <f>[5]Resumen!$C$255</f>
        <v>0</v>
      </c>
      <c r="D228" s="38">
        <f>[5]Resumen!$D$255</f>
        <v>0</v>
      </c>
    </row>
    <row r="229" spans="2:4" ht="15.75" hidden="1" thickBot="1" x14ac:dyDescent="0.3">
      <c r="B229" s="35" t="s">
        <v>61</v>
      </c>
      <c r="C229" s="38">
        <f>[5]Resumen!$C$256</f>
        <v>0</v>
      </c>
      <c r="D229" s="38">
        <f>[5]Resumen!$D$256</f>
        <v>0</v>
      </c>
    </row>
    <row r="230" spans="2:4" hidden="1" x14ac:dyDescent="0.25"/>
    <row r="231" spans="2:4" hidden="1" x14ac:dyDescent="0.25"/>
    <row r="232" spans="2:4" hidden="1" x14ac:dyDescent="0.25"/>
    <row r="233" spans="2:4" hidden="1" x14ac:dyDescent="0.25"/>
  </sheetData>
  <mergeCells count="7">
    <mergeCell ref="C5:D5"/>
    <mergeCell ref="G5:K5"/>
    <mergeCell ref="L5:O5"/>
    <mergeCell ref="B215:D215"/>
    <mergeCell ref="B216:B217"/>
    <mergeCell ref="C216:C217"/>
    <mergeCell ref="D216:D217"/>
  </mergeCells>
  <conditionalFormatting sqref="O8:O212">
    <cfRule type="cellIs" dxfId="5" priority="3" stopIfTrue="1" operator="lessThan">
      <formula>-0.999999</formula>
    </cfRule>
    <cfRule type="cellIs" dxfId="4" priority="4" stopIfTrue="1" operator="greaterThan">
      <formula>0.9999999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R231"/>
  <sheetViews>
    <sheetView workbookViewId="0">
      <selection activeCell="C200" sqref="C200:O211"/>
    </sheetView>
  </sheetViews>
  <sheetFormatPr baseColWidth="10" defaultRowHeight="15" x14ac:dyDescent="0.25"/>
  <cols>
    <col min="4" max="4" width="12.28515625" customWidth="1"/>
    <col min="6" max="6" width="12.85546875" customWidth="1"/>
    <col min="7" max="7" width="14.42578125" bestFit="1" customWidth="1"/>
    <col min="10" max="10" width="9.7109375" customWidth="1"/>
    <col min="11" max="11" width="12.140625" customWidth="1"/>
    <col min="12" max="12" width="12.42578125" customWidth="1"/>
    <col min="13" max="15" width="15.42578125" customWidth="1"/>
  </cols>
  <sheetData>
    <row r="1" spans="1:18" x14ac:dyDescent="0.25">
      <c r="D1" s="1"/>
      <c r="E1" s="1"/>
      <c r="F1" s="1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</row>
    <row r="2" spans="1:18" ht="18.75" x14ac:dyDescent="0.3">
      <c r="B2" s="4" t="s">
        <v>0</v>
      </c>
      <c r="C2" s="4"/>
      <c r="G2" s="2"/>
      <c r="H2" s="3"/>
      <c r="I2" s="3"/>
      <c r="J2" s="3"/>
      <c r="L2" s="2"/>
      <c r="M2" s="2"/>
      <c r="N2" s="2"/>
      <c r="O2" s="2"/>
      <c r="P2" s="2"/>
      <c r="Q2" s="2"/>
      <c r="R2" s="2"/>
    </row>
    <row r="3" spans="1:18" ht="19.5" thickBot="1" x14ac:dyDescent="0.35">
      <c r="B3" s="34" t="s">
        <v>45</v>
      </c>
      <c r="C3" s="1"/>
      <c r="D3" s="4" t="s">
        <v>46</v>
      </c>
      <c r="E3" s="5"/>
      <c r="F3" s="5"/>
      <c r="G3" s="2"/>
      <c r="H3" s="3"/>
      <c r="I3" s="3"/>
      <c r="J3" s="3"/>
      <c r="K3" s="3"/>
      <c r="L3" s="2"/>
      <c r="M3" s="2"/>
      <c r="N3" s="2"/>
      <c r="O3" s="2"/>
      <c r="P3" s="2"/>
    </row>
    <row r="4" spans="1:18" ht="15.75" thickBot="1" x14ac:dyDescent="0.3">
      <c r="B4" s="6"/>
      <c r="C4" s="71" t="s">
        <v>3</v>
      </c>
      <c r="D4" s="82"/>
      <c r="E4" s="7" t="s">
        <v>4</v>
      </c>
      <c r="F4" s="8"/>
      <c r="G4" s="83" t="s">
        <v>5</v>
      </c>
      <c r="H4" s="69"/>
      <c r="I4" s="69"/>
      <c r="J4" s="69"/>
      <c r="K4" s="70"/>
      <c r="L4" s="68" t="s">
        <v>6</v>
      </c>
      <c r="M4" s="69"/>
      <c r="N4" s="69"/>
      <c r="O4" s="70"/>
      <c r="P4" s="33"/>
    </row>
    <row r="5" spans="1:18" x14ac:dyDescent="0.25">
      <c r="B5" s="9" t="s">
        <v>7</v>
      </c>
      <c r="C5" s="9" t="s">
        <v>8</v>
      </c>
      <c r="D5" s="9" t="s">
        <v>9</v>
      </c>
      <c r="E5" s="9" t="s">
        <v>8</v>
      </c>
      <c r="F5" s="9" t="s">
        <v>9</v>
      </c>
      <c r="G5" s="10" t="s">
        <v>10</v>
      </c>
      <c r="H5" s="9" t="s">
        <v>11</v>
      </c>
      <c r="I5" s="11" t="s">
        <v>12</v>
      </c>
      <c r="J5" s="12" t="s">
        <v>13</v>
      </c>
      <c r="K5" s="10" t="s">
        <v>14</v>
      </c>
      <c r="L5" s="13" t="s">
        <v>15</v>
      </c>
      <c r="M5" s="10" t="s">
        <v>9</v>
      </c>
      <c r="N5" s="10"/>
      <c r="O5" s="14" t="s">
        <v>16</v>
      </c>
    </row>
    <row r="6" spans="1:18" ht="15.75" thickBot="1" x14ac:dyDescent="0.3">
      <c r="B6" s="15" t="s">
        <v>17</v>
      </c>
      <c r="C6" s="15" t="s">
        <v>18</v>
      </c>
      <c r="D6" s="15" t="s">
        <v>19</v>
      </c>
      <c r="E6" s="15" t="s">
        <v>20</v>
      </c>
      <c r="F6" s="15" t="s">
        <v>21</v>
      </c>
      <c r="G6" s="16" t="s">
        <v>22</v>
      </c>
      <c r="H6" s="15" t="s">
        <v>23</v>
      </c>
      <c r="I6" s="17"/>
      <c r="J6" s="17"/>
      <c r="K6" s="18" t="s">
        <v>24</v>
      </c>
      <c r="L6" s="19"/>
      <c r="M6" s="16" t="s">
        <v>25</v>
      </c>
      <c r="N6" s="18" t="s">
        <v>26</v>
      </c>
      <c r="O6" s="20" t="s">
        <v>25</v>
      </c>
    </row>
    <row r="7" spans="1:18" ht="15.75" hidden="1" thickBot="1" x14ac:dyDescent="0.3">
      <c r="A7" s="21">
        <v>2003</v>
      </c>
      <c r="B7" s="22"/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5">
        <v>394141.60000000003</v>
      </c>
    </row>
    <row r="8" spans="1:18" ht="15.75" hidden="1" thickBot="1" x14ac:dyDescent="0.3">
      <c r="A8" s="21"/>
      <c r="B8" s="22" t="s">
        <v>27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6">
        <v>472969.92000000004</v>
      </c>
    </row>
    <row r="9" spans="1:18" ht="15.75" hidden="1" thickBot="1" x14ac:dyDescent="0.3">
      <c r="A9" s="21"/>
      <c r="B9" s="22" t="s">
        <v>28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6">
        <v>551798.24</v>
      </c>
    </row>
    <row r="10" spans="1:18" ht="15.75" hidden="1" thickBot="1" x14ac:dyDescent="0.3">
      <c r="A10" s="21"/>
      <c r="B10" s="22" t="s">
        <v>29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6">
        <v>630626.55999999994</v>
      </c>
    </row>
    <row r="11" spans="1:18" ht="15.75" hidden="1" thickBot="1" x14ac:dyDescent="0.3">
      <c r="A11" s="21"/>
      <c r="B11" s="22" t="s">
        <v>30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78000</v>
      </c>
      <c r="L11" s="23">
        <v>0</v>
      </c>
      <c r="M11" s="23">
        <v>78000</v>
      </c>
      <c r="N11" s="23">
        <v>0</v>
      </c>
      <c r="O11" s="26">
        <v>709454.87999999989</v>
      </c>
    </row>
    <row r="12" spans="1:18" ht="15.75" hidden="1" thickBot="1" x14ac:dyDescent="0.3">
      <c r="A12" s="21"/>
      <c r="B12" s="22" t="s">
        <v>31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78000</v>
      </c>
      <c r="L12" s="23">
        <v>0</v>
      </c>
      <c r="M12" s="23">
        <v>1131000</v>
      </c>
      <c r="N12" s="23">
        <v>79518</v>
      </c>
      <c r="O12" s="26">
        <v>788283.19999999984</v>
      </c>
    </row>
    <row r="13" spans="1:18" ht="15.75" hidden="1" thickBot="1" x14ac:dyDescent="0.3">
      <c r="A13" s="21"/>
      <c r="B13" s="22" t="s">
        <v>32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1326000</v>
      </c>
      <c r="L13" s="23">
        <v>0</v>
      </c>
      <c r="M13" s="23">
        <v>2067000</v>
      </c>
      <c r="N13" s="23">
        <v>0</v>
      </c>
      <c r="O13" s="26">
        <v>906111.51999999979</v>
      </c>
    </row>
    <row r="14" spans="1:18" ht="15.75" hidden="1" thickBot="1" x14ac:dyDescent="0.3">
      <c r="A14" s="21"/>
      <c r="B14" s="22" t="s">
        <v>33</v>
      </c>
      <c r="C14" s="23">
        <v>6120.2000000000007</v>
      </c>
      <c r="D14" s="23">
        <v>385572.60000000003</v>
      </c>
      <c r="E14" s="23">
        <v>3750.9459999999999</v>
      </c>
      <c r="F14" s="23">
        <v>1125283.8</v>
      </c>
      <c r="G14" s="23">
        <v>0</v>
      </c>
      <c r="H14" s="23">
        <v>0</v>
      </c>
      <c r="I14" s="23">
        <v>0</v>
      </c>
      <c r="J14" s="23">
        <v>0</v>
      </c>
      <c r="K14" s="23">
        <v>1326000</v>
      </c>
      <c r="L14" s="23">
        <v>0</v>
      </c>
      <c r="M14" s="23">
        <v>3577856.4000000004</v>
      </c>
      <c r="N14" s="23">
        <v>0</v>
      </c>
      <c r="O14" s="26">
        <v>1023939.8399999997</v>
      </c>
    </row>
    <row r="15" spans="1:18" ht="15.75" hidden="1" thickBot="1" x14ac:dyDescent="0.3">
      <c r="A15" s="21"/>
      <c r="B15" s="22" t="s">
        <v>34</v>
      </c>
      <c r="C15" s="23">
        <v>0</v>
      </c>
      <c r="D15" s="23">
        <v>0</v>
      </c>
      <c r="E15" s="23">
        <v>1.3590000000000018</v>
      </c>
      <c r="F15" s="23">
        <v>407.7000000000005</v>
      </c>
      <c r="G15" s="23">
        <v>0</v>
      </c>
      <c r="H15" s="23">
        <v>0</v>
      </c>
      <c r="I15" s="23">
        <v>0</v>
      </c>
      <c r="J15" s="23">
        <v>0</v>
      </c>
      <c r="K15" s="23">
        <v>1326000</v>
      </c>
      <c r="L15" s="23">
        <v>0</v>
      </c>
      <c r="M15" s="23">
        <v>2067407.7</v>
      </c>
      <c r="N15" s="23">
        <v>0</v>
      </c>
      <c r="O15" s="26">
        <v>1141768.1599999997</v>
      </c>
    </row>
    <row r="16" spans="1:18" ht="15.75" hidden="1" thickBot="1" x14ac:dyDescent="0.3">
      <c r="A16" s="21"/>
      <c r="B16" s="22" t="s">
        <v>35</v>
      </c>
      <c r="C16" s="23">
        <v>27453.600000000002</v>
      </c>
      <c r="D16" s="23">
        <v>1729576.8</v>
      </c>
      <c r="E16" s="23">
        <v>13882.565999999999</v>
      </c>
      <c r="F16" s="23">
        <v>4164769.8000000003</v>
      </c>
      <c r="G16" s="23">
        <v>0</v>
      </c>
      <c r="H16" s="23">
        <v>0</v>
      </c>
      <c r="I16" s="23">
        <v>0</v>
      </c>
      <c r="J16" s="23">
        <v>0</v>
      </c>
      <c r="K16" s="23">
        <v>1326000</v>
      </c>
      <c r="L16" s="23">
        <v>0</v>
      </c>
      <c r="M16" s="23">
        <v>7961346.5999999987</v>
      </c>
      <c r="N16" s="23">
        <v>0</v>
      </c>
      <c r="O16" s="26">
        <v>1259596.4799999997</v>
      </c>
    </row>
    <row r="17" spans="1:15" ht="15.75" hidden="1" thickBot="1" x14ac:dyDescent="0.3">
      <c r="A17" s="21"/>
      <c r="B17" s="22" t="s">
        <v>36</v>
      </c>
      <c r="C17" s="23">
        <v>2340.9000000000005</v>
      </c>
      <c r="D17" s="23">
        <v>147476.70000000001</v>
      </c>
      <c r="E17" s="23">
        <v>1355.7759999999989</v>
      </c>
      <c r="F17" s="23">
        <v>406732.7999999997</v>
      </c>
      <c r="G17" s="23">
        <v>0</v>
      </c>
      <c r="H17" s="23">
        <v>0</v>
      </c>
      <c r="I17" s="23">
        <v>0</v>
      </c>
      <c r="J17" s="23">
        <v>0</v>
      </c>
      <c r="K17" s="23">
        <v>1326000</v>
      </c>
      <c r="L17" s="23">
        <v>0</v>
      </c>
      <c r="M17" s="23">
        <v>2621209.5</v>
      </c>
      <c r="N17" s="23">
        <v>0</v>
      </c>
      <c r="O17" s="26">
        <v>1377424.7999999998</v>
      </c>
    </row>
    <row r="18" spans="1:15" ht="15.75" hidden="1" thickBot="1" x14ac:dyDescent="0.3">
      <c r="A18" s="21"/>
      <c r="B18" s="22" t="s">
        <v>37</v>
      </c>
      <c r="C18" s="23">
        <v>5159.0999999999995</v>
      </c>
      <c r="D18" s="23">
        <v>325023.30000000005</v>
      </c>
      <c r="E18" s="23">
        <v>3170.933</v>
      </c>
      <c r="F18" s="23">
        <v>951279.90000000014</v>
      </c>
      <c r="G18" s="23">
        <v>0</v>
      </c>
      <c r="H18" s="23">
        <v>0</v>
      </c>
      <c r="I18" s="23">
        <v>0</v>
      </c>
      <c r="J18" s="23">
        <v>0</v>
      </c>
      <c r="K18" s="23">
        <v>1326000</v>
      </c>
      <c r="L18" s="23">
        <v>0</v>
      </c>
      <c r="M18" s="23">
        <v>3343303.1999999997</v>
      </c>
      <c r="N18" s="23">
        <v>0</v>
      </c>
      <c r="O18" s="26">
        <v>1573253.1199999999</v>
      </c>
    </row>
    <row r="19" spans="1:15" ht="15.75" hidden="1" thickBot="1" x14ac:dyDescent="0.3">
      <c r="A19" s="21">
        <v>2004</v>
      </c>
      <c r="B19" s="22" t="s">
        <v>38</v>
      </c>
      <c r="C19" s="23">
        <v>2563.2999999999997</v>
      </c>
      <c r="D19" s="23">
        <v>161487.89999999997</v>
      </c>
      <c r="E19" s="23">
        <v>1873.0900000000001</v>
      </c>
      <c r="F19" s="23">
        <v>561927</v>
      </c>
      <c r="G19" s="23">
        <v>0</v>
      </c>
      <c r="H19" s="23">
        <v>0</v>
      </c>
      <c r="I19" s="23">
        <v>0</v>
      </c>
      <c r="J19" s="23">
        <v>0</v>
      </c>
      <c r="K19" s="23">
        <v>1326000</v>
      </c>
      <c r="L19" s="23">
        <v>0</v>
      </c>
      <c r="M19" s="23">
        <v>3037614.8999999994</v>
      </c>
      <c r="N19" s="23">
        <v>0</v>
      </c>
      <c r="O19" s="26">
        <v>1769081.44</v>
      </c>
    </row>
    <row r="20" spans="1:15" ht="15.75" hidden="1" thickBot="1" x14ac:dyDescent="0.3">
      <c r="A20" s="21"/>
      <c r="B20" s="22" t="s">
        <v>27</v>
      </c>
      <c r="C20" s="23">
        <v>3820.5000000000018</v>
      </c>
      <c r="D20" s="23">
        <v>240691.50000000009</v>
      </c>
      <c r="E20" s="23">
        <v>3965.3100000000004</v>
      </c>
      <c r="F20" s="23">
        <v>1217067</v>
      </c>
      <c r="G20" s="23">
        <v>0</v>
      </c>
      <c r="H20" s="23">
        <v>0</v>
      </c>
      <c r="I20" s="23">
        <v>0</v>
      </c>
      <c r="J20" s="23">
        <v>0</v>
      </c>
      <c r="K20" s="23">
        <v>1326000</v>
      </c>
      <c r="L20" s="23">
        <v>0</v>
      </c>
      <c r="M20" s="23">
        <v>3530158.5</v>
      </c>
      <c r="N20" s="23">
        <v>39000</v>
      </c>
      <c r="O20" s="26">
        <v>1925909.76</v>
      </c>
    </row>
    <row r="21" spans="1:15" ht="15.75" hidden="1" thickBot="1" x14ac:dyDescent="0.3">
      <c r="A21" s="21"/>
      <c r="B21" s="22" t="s">
        <v>28</v>
      </c>
      <c r="C21" s="23">
        <v>4241.7999999999975</v>
      </c>
      <c r="D21" s="23">
        <v>267233.39999999979</v>
      </c>
      <c r="E21" s="23">
        <v>1839.0900000000001</v>
      </c>
      <c r="F21" s="23">
        <v>554895.00000000012</v>
      </c>
      <c r="G21" s="23">
        <v>0</v>
      </c>
      <c r="H21" s="23">
        <v>0</v>
      </c>
      <c r="I21" s="23">
        <v>0</v>
      </c>
      <c r="J21" s="23">
        <v>0</v>
      </c>
      <c r="K21" s="23">
        <v>1326000</v>
      </c>
      <c r="L21" s="23">
        <v>0</v>
      </c>
      <c r="M21" s="23">
        <v>2889128.4</v>
      </c>
      <c r="N21" s="23">
        <v>0</v>
      </c>
      <c r="O21" s="26">
        <v>2201205.98</v>
      </c>
    </row>
    <row r="22" spans="1:15" ht="15.75" hidden="1" thickBot="1" x14ac:dyDescent="0.3">
      <c r="A22" s="21"/>
      <c r="B22" s="22" t="s">
        <v>29</v>
      </c>
      <c r="C22" s="23">
        <v>2856.4000000000019</v>
      </c>
      <c r="D22" s="23">
        <v>179953.20000000013</v>
      </c>
      <c r="E22" s="23">
        <v>690.50999999999931</v>
      </c>
      <c r="F22" s="23">
        <v>248583.59999999974</v>
      </c>
      <c r="G22" s="23">
        <v>0</v>
      </c>
      <c r="H22" s="23">
        <v>0</v>
      </c>
      <c r="I22" s="23">
        <v>0</v>
      </c>
      <c r="J22" s="23">
        <v>0</v>
      </c>
      <c r="K22" s="23">
        <v>1326000</v>
      </c>
      <c r="L22" s="23">
        <v>0</v>
      </c>
      <c r="M22" s="23">
        <v>2495536.8000000003</v>
      </c>
      <c r="N22" s="23">
        <v>0</v>
      </c>
      <c r="O22" s="26">
        <v>2514884.8000000003</v>
      </c>
    </row>
    <row r="23" spans="1:15" ht="15.75" hidden="1" thickBot="1" x14ac:dyDescent="0.3">
      <c r="A23" s="21"/>
      <c r="B23" s="22" t="s">
        <v>30</v>
      </c>
      <c r="C23" s="23">
        <v>2942.5999999999981</v>
      </c>
      <c r="D23" s="23">
        <v>185383.79999999987</v>
      </c>
      <c r="E23" s="23">
        <v>618.50000000000011</v>
      </c>
      <c r="F23" s="23">
        <v>222660.00000000003</v>
      </c>
      <c r="G23" s="23">
        <v>0</v>
      </c>
      <c r="H23" s="23">
        <v>0</v>
      </c>
      <c r="I23" s="23">
        <v>0</v>
      </c>
      <c r="J23" s="23">
        <v>0</v>
      </c>
      <c r="K23" s="23">
        <v>2067000</v>
      </c>
      <c r="L23" s="23">
        <v>33872</v>
      </c>
      <c r="M23" s="23">
        <v>2475043.7999999998</v>
      </c>
      <c r="N23" s="23">
        <v>0</v>
      </c>
      <c r="O23" s="26">
        <v>3306864.3200000003</v>
      </c>
    </row>
    <row r="24" spans="1:15" ht="15.75" hidden="1" thickBot="1" x14ac:dyDescent="0.3">
      <c r="A24" s="21"/>
      <c r="B24" s="22" t="s">
        <v>31</v>
      </c>
      <c r="C24" s="23">
        <v>2709.5000000000009</v>
      </c>
      <c r="D24" s="23">
        <v>170698.50000000006</v>
      </c>
      <c r="E24" s="23">
        <v>401.70000000000056</v>
      </c>
      <c r="F24" s="23">
        <v>144612.0000000002</v>
      </c>
      <c r="G24" s="23">
        <v>0</v>
      </c>
      <c r="H24" s="23">
        <v>0</v>
      </c>
      <c r="I24" s="23">
        <v>0</v>
      </c>
      <c r="J24" s="23">
        <v>0</v>
      </c>
      <c r="K24" s="23">
        <v>2067000</v>
      </c>
      <c r="L24" s="23">
        <v>34030</v>
      </c>
      <c r="M24" s="23">
        <v>2382310.5000000009</v>
      </c>
      <c r="N24" s="23">
        <v>378000</v>
      </c>
      <c r="O24" s="26">
        <v>3878975.54</v>
      </c>
    </row>
    <row r="25" spans="1:15" ht="15.75" hidden="1" thickBot="1" x14ac:dyDescent="0.3">
      <c r="A25" s="21"/>
      <c r="B25" s="22" t="s">
        <v>32</v>
      </c>
      <c r="C25" s="23">
        <v>3505.2999999999984</v>
      </c>
      <c r="D25" s="23">
        <v>220833.89999999991</v>
      </c>
      <c r="E25" s="23">
        <v>338.50000000000011</v>
      </c>
      <c r="F25" s="23">
        <v>121860.00000000004</v>
      </c>
      <c r="G25" s="23">
        <v>0</v>
      </c>
      <c r="H25" s="23">
        <v>0</v>
      </c>
      <c r="I25" s="23">
        <v>0</v>
      </c>
      <c r="J25" s="23">
        <v>0</v>
      </c>
      <c r="K25" s="23">
        <v>2067000</v>
      </c>
      <c r="L25" s="23">
        <v>34178</v>
      </c>
      <c r="M25" s="23">
        <v>2409693.9</v>
      </c>
      <c r="N25" s="23">
        <v>585000</v>
      </c>
      <c r="O25" s="26">
        <v>4971361.8600000003</v>
      </c>
    </row>
    <row r="26" spans="1:15" ht="15.75" hidden="1" thickBot="1" x14ac:dyDescent="0.3">
      <c r="A26" s="21"/>
      <c r="B26" s="22" t="s">
        <v>33</v>
      </c>
      <c r="C26" s="23">
        <v>3102.1000000000022</v>
      </c>
      <c r="D26" s="23">
        <v>195432.30000000013</v>
      </c>
      <c r="E26" s="23">
        <v>412.49999999999955</v>
      </c>
      <c r="F26" s="23">
        <v>148499.99999999983</v>
      </c>
      <c r="G26" s="23">
        <v>0</v>
      </c>
      <c r="H26" s="23">
        <v>0</v>
      </c>
      <c r="I26" s="23">
        <v>0</v>
      </c>
      <c r="J26" s="23">
        <v>0</v>
      </c>
      <c r="K26" s="23">
        <v>2067000</v>
      </c>
      <c r="L26" s="23">
        <v>34266</v>
      </c>
      <c r="M26" s="23">
        <v>2410932.3000000003</v>
      </c>
      <c r="N26" s="23">
        <v>1440118</v>
      </c>
      <c r="O26" s="26">
        <v>5738906.9800000014</v>
      </c>
    </row>
    <row r="27" spans="1:15" ht="15.75" hidden="1" thickBot="1" x14ac:dyDescent="0.3">
      <c r="A27" s="21"/>
      <c r="B27" s="22" t="s">
        <v>34</v>
      </c>
      <c r="C27" s="23">
        <v>3402.9</v>
      </c>
      <c r="D27" s="23">
        <v>214382.7</v>
      </c>
      <c r="E27" s="23">
        <v>918.89999999999986</v>
      </c>
      <c r="F27" s="23">
        <v>330803.99999999994</v>
      </c>
      <c r="G27" s="23">
        <v>0</v>
      </c>
      <c r="H27" s="23">
        <v>0</v>
      </c>
      <c r="I27" s="23">
        <v>0</v>
      </c>
      <c r="J27" s="23">
        <v>0</v>
      </c>
      <c r="K27" s="23">
        <v>2067000</v>
      </c>
      <c r="L27" s="23">
        <v>34382</v>
      </c>
      <c r="M27" s="23">
        <v>2612186.6999999997</v>
      </c>
      <c r="N27" s="23">
        <v>1967881</v>
      </c>
      <c r="O27" s="26">
        <v>6237258.4000000004</v>
      </c>
    </row>
    <row r="28" spans="1:15" ht="15.75" hidden="1" thickBot="1" x14ac:dyDescent="0.3">
      <c r="A28" s="21"/>
      <c r="B28" s="22" t="s">
        <v>35</v>
      </c>
      <c r="C28" s="23">
        <v>2757.8999999999996</v>
      </c>
      <c r="D28" s="23">
        <v>173747.69999999998</v>
      </c>
      <c r="E28" s="23">
        <v>1223</v>
      </c>
      <c r="F28" s="23">
        <v>440280</v>
      </c>
      <c r="G28" s="23">
        <v>0</v>
      </c>
      <c r="H28" s="23">
        <v>0</v>
      </c>
      <c r="I28" s="23">
        <v>0</v>
      </c>
      <c r="J28" s="23">
        <v>0</v>
      </c>
      <c r="K28" s="23">
        <v>2067000</v>
      </c>
      <c r="L28" s="23">
        <v>68894</v>
      </c>
      <c r="M28" s="23">
        <v>2681027.7000000007</v>
      </c>
      <c r="N28" s="23">
        <v>2877043</v>
      </c>
      <c r="O28" s="26">
        <v>6255044.4200000009</v>
      </c>
    </row>
    <row r="29" spans="1:15" ht="15.75" hidden="1" thickBot="1" x14ac:dyDescent="0.3">
      <c r="A29" s="21"/>
      <c r="B29" s="22" t="s">
        <v>36</v>
      </c>
      <c r="C29" s="23">
        <v>3506.8</v>
      </c>
      <c r="D29" s="23">
        <v>220928.39999999994</v>
      </c>
      <c r="E29" s="23">
        <v>1586.7000000000007</v>
      </c>
      <c r="F29" s="23">
        <v>571212.00000000023</v>
      </c>
      <c r="G29" s="23">
        <v>0</v>
      </c>
      <c r="H29" s="23">
        <v>0</v>
      </c>
      <c r="I29" s="23">
        <v>0</v>
      </c>
      <c r="J29" s="23">
        <v>0</v>
      </c>
      <c r="K29" s="23">
        <v>2106000</v>
      </c>
      <c r="L29" s="23">
        <v>69060</v>
      </c>
      <c r="M29" s="23">
        <v>2898140.4</v>
      </c>
      <c r="N29" s="23">
        <v>2237157</v>
      </c>
      <c r="O29" s="26">
        <v>7031129.1400000006</v>
      </c>
    </row>
    <row r="30" spans="1:15" ht="15.75" hidden="1" thickBot="1" x14ac:dyDescent="0.3">
      <c r="A30" s="21"/>
      <c r="B30" s="22" t="s">
        <v>37</v>
      </c>
      <c r="C30" s="23">
        <v>2803.6000000000004</v>
      </c>
      <c r="D30" s="23">
        <v>176626.80000000002</v>
      </c>
      <c r="E30" s="23">
        <v>1606.3999999999996</v>
      </c>
      <c r="F30" s="23">
        <v>578304</v>
      </c>
      <c r="G30" s="23">
        <v>0</v>
      </c>
      <c r="H30" s="23">
        <v>0</v>
      </c>
      <c r="I30" s="23">
        <v>0</v>
      </c>
      <c r="J30" s="23">
        <v>0</v>
      </c>
      <c r="K30" s="23">
        <v>2106000</v>
      </c>
      <c r="L30" s="23">
        <v>69268</v>
      </c>
      <c r="M30" s="23">
        <v>2860930.8</v>
      </c>
      <c r="N30" s="23">
        <v>2512020</v>
      </c>
      <c r="O30" s="26">
        <v>7254047.2599999998</v>
      </c>
    </row>
    <row r="31" spans="1:15" ht="15.75" hidden="1" thickBot="1" x14ac:dyDescent="0.3">
      <c r="A31" s="21">
        <v>2005</v>
      </c>
      <c r="B31" s="22" t="s">
        <v>38</v>
      </c>
      <c r="C31" s="23">
        <v>7712.2999999999993</v>
      </c>
      <c r="D31" s="23">
        <v>485874.9</v>
      </c>
      <c r="E31" s="23">
        <v>2949.1000000000004</v>
      </c>
      <c r="F31" s="23">
        <v>1061676</v>
      </c>
      <c r="G31" s="23">
        <v>0</v>
      </c>
      <c r="H31" s="23">
        <v>0</v>
      </c>
      <c r="I31" s="23">
        <v>0</v>
      </c>
      <c r="J31" s="23">
        <v>0</v>
      </c>
      <c r="K31" s="23">
        <v>2106000</v>
      </c>
      <c r="L31" s="23">
        <v>69132</v>
      </c>
      <c r="M31" s="23">
        <v>4667550.8999999994</v>
      </c>
      <c r="N31" s="23">
        <v>1645290</v>
      </c>
      <c r="O31" s="26">
        <v>10070181.48</v>
      </c>
    </row>
    <row r="32" spans="1:15" ht="15.75" hidden="1" thickBot="1" x14ac:dyDescent="0.3">
      <c r="A32" s="21"/>
      <c r="B32" s="22" t="s">
        <v>27</v>
      </c>
      <c r="C32" s="23">
        <v>5422</v>
      </c>
      <c r="D32" s="23">
        <v>341586</v>
      </c>
      <c r="E32" s="23">
        <v>2664.1000000000004</v>
      </c>
      <c r="F32" s="23">
        <v>959076</v>
      </c>
      <c r="G32" s="23">
        <v>4000</v>
      </c>
      <c r="H32" s="23">
        <v>0</v>
      </c>
      <c r="I32" s="23">
        <v>234000</v>
      </c>
      <c r="J32" s="23">
        <v>52000</v>
      </c>
      <c r="K32" s="23">
        <v>2067000</v>
      </c>
      <c r="L32" s="23">
        <v>68910</v>
      </c>
      <c r="M32" s="23">
        <v>3423662</v>
      </c>
      <c r="N32" s="23">
        <v>2651289</v>
      </c>
      <c r="O32" s="26">
        <v>11108403.800000001</v>
      </c>
    </row>
    <row r="33" spans="1:15" ht="15.75" hidden="1" thickBot="1" x14ac:dyDescent="0.3">
      <c r="A33" s="21"/>
      <c r="B33" s="22" t="s">
        <v>28</v>
      </c>
      <c r="C33" s="23">
        <v>4325</v>
      </c>
      <c r="D33" s="23">
        <v>272475</v>
      </c>
      <c r="E33" s="23">
        <v>2112.2999999999997</v>
      </c>
      <c r="F33" s="23">
        <v>760427.99999999988</v>
      </c>
      <c r="G33" s="23">
        <v>4000</v>
      </c>
      <c r="H33" s="23">
        <v>0</v>
      </c>
      <c r="I33" s="23">
        <v>0</v>
      </c>
      <c r="J33" s="23">
        <v>52000</v>
      </c>
      <c r="K33" s="23">
        <v>2106000</v>
      </c>
      <c r="L33" s="23">
        <v>68796</v>
      </c>
      <c r="M33" s="23">
        <v>3194903</v>
      </c>
      <c r="N33" s="23">
        <v>3965741</v>
      </c>
      <c r="O33" s="26">
        <v>10390568.120000001</v>
      </c>
    </row>
    <row r="34" spans="1:15" ht="15.75" hidden="1" thickBot="1" x14ac:dyDescent="0.3">
      <c r="A34" s="21"/>
      <c r="B34" s="22" t="s">
        <v>29</v>
      </c>
      <c r="C34" s="23">
        <v>4912.8999999999996</v>
      </c>
      <c r="D34" s="23">
        <v>309512.7</v>
      </c>
      <c r="E34" s="23">
        <v>1621.9</v>
      </c>
      <c r="F34" s="23">
        <v>583884</v>
      </c>
      <c r="G34" s="23">
        <v>4000</v>
      </c>
      <c r="H34" s="23">
        <v>0</v>
      </c>
      <c r="I34" s="23">
        <v>0</v>
      </c>
      <c r="J34" s="23">
        <v>52000</v>
      </c>
      <c r="K34" s="23">
        <v>2106000</v>
      </c>
      <c r="L34" s="23">
        <v>69064</v>
      </c>
      <c r="M34" s="23">
        <v>3075396.7</v>
      </c>
      <c r="N34" s="23">
        <v>2657531</v>
      </c>
      <c r="O34" s="26">
        <v>10670317.140000001</v>
      </c>
    </row>
    <row r="35" spans="1:15" ht="15.75" hidden="1" thickBot="1" x14ac:dyDescent="0.3">
      <c r="A35" s="21"/>
      <c r="B35" s="22" t="s">
        <v>30</v>
      </c>
      <c r="C35" s="23">
        <v>4707.2</v>
      </c>
      <c r="D35" s="23">
        <v>296553.59999999998</v>
      </c>
      <c r="E35" s="23">
        <v>729.05</v>
      </c>
      <c r="F35" s="23">
        <v>262458</v>
      </c>
      <c r="G35" s="23">
        <v>4000</v>
      </c>
      <c r="H35" s="23">
        <v>0</v>
      </c>
      <c r="I35" s="23">
        <v>0</v>
      </c>
      <c r="J35" s="23">
        <v>152000</v>
      </c>
      <c r="K35" s="23">
        <v>2106000</v>
      </c>
      <c r="L35" s="23">
        <v>69630</v>
      </c>
      <c r="M35" s="23">
        <v>2741011.6</v>
      </c>
      <c r="N35" s="23">
        <v>2780228</v>
      </c>
      <c r="O35" s="26">
        <v>10672227.060000001</v>
      </c>
    </row>
    <row r="36" spans="1:15" ht="15.75" hidden="1" thickBot="1" x14ac:dyDescent="0.3">
      <c r="A36" s="21"/>
      <c r="B36" s="22" t="s">
        <v>31</v>
      </c>
      <c r="C36" s="23">
        <v>4815.6000000000004</v>
      </c>
      <c r="D36" s="23">
        <v>303382.80000000005</v>
      </c>
      <c r="E36" s="23">
        <v>424.21</v>
      </c>
      <c r="F36" s="23">
        <v>152715.59999999998</v>
      </c>
      <c r="G36" s="23">
        <v>4000</v>
      </c>
      <c r="H36" s="23">
        <v>0</v>
      </c>
      <c r="I36" s="23">
        <v>0</v>
      </c>
      <c r="J36" s="23">
        <v>148000</v>
      </c>
      <c r="K36" s="23">
        <v>2106000</v>
      </c>
      <c r="L36" s="23">
        <v>69958</v>
      </c>
      <c r="M36" s="23">
        <v>2634098.3999999994</v>
      </c>
      <c r="N36" s="23">
        <v>1927223</v>
      </c>
      <c r="O36" s="26">
        <v>11438513.979999999</v>
      </c>
    </row>
    <row r="37" spans="1:15" ht="15.75" hidden="1" thickBot="1" x14ac:dyDescent="0.3">
      <c r="A37" s="21"/>
      <c r="B37" s="22" t="s">
        <v>32</v>
      </c>
      <c r="C37" s="23">
        <v>4351</v>
      </c>
      <c r="D37" s="23">
        <v>274113</v>
      </c>
      <c r="E37" s="23">
        <v>457.24000000000132</v>
      </c>
      <c r="F37" s="23">
        <v>164606.40000000049</v>
      </c>
      <c r="G37" s="23">
        <v>4000</v>
      </c>
      <c r="H37" s="23">
        <v>0</v>
      </c>
      <c r="I37" s="23">
        <v>0</v>
      </c>
      <c r="J37" s="23">
        <v>148000</v>
      </c>
      <c r="K37" s="23">
        <v>2106000</v>
      </c>
      <c r="L37" s="23">
        <v>70218</v>
      </c>
      <c r="M37" s="23">
        <v>2616719.4000000004</v>
      </c>
      <c r="N37" s="23">
        <v>1738428</v>
      </c>
      <c r="O37" s="26">
        <v>12228039.300000001</v>
      </c>
    </row>
    <row r="38" spans="1:15" ht="15.75" hidden="1" thickBot="1" x14ac:dyDescent="0.3">
      <c r="A38" s="21"/>
      <c r="B38" s="22" t="s">
        <v>33</v>
      </c>
      <c r="C38" s="23">
        <v>4403.7000000000007</v>
      </c>
      <c r="D38" s="23">
        <v>277433.10000000009</v>
      </c>
      <c r="E38" s="23">
        <v>490.59999999999906</v>
      </c>
      <c r="F38" s="23">
        <v>176615.99999999965</v>
      </c>
      <c r="G38" s="23">
        <v>4000</v>
      </c>
      <c r="H38" s="23">
        <v>0</v>
      </c>
      <c r="I38" s="23">
        <v>0</v>
      </c>
      <c r="J38" s="23">
        <v>148000</v>
      </c>
      <c r="K38" s="23">
        <v>2106000</v>
      </c>
      <c r="L38" s="23">
        <v>70600</v>
      </c>
      <c r="M38" s="23">
        <v>2632049.0999999996</v>
      </c>
      <c r="N38" s="23">
        <v>4177637</v>
      </c>
      <c r="O38" s="26">
        <v>10599814.92</v>
      </c>
    </row>
    <row r="39" spans="1:15" ht="15.75" hidden="1" thickBot="1" x14ac:dyDescent="0.3">
      <c r="A39" s="21"/>
      <c r="B39" s="22" t="s">
        <v>34</v>
      </c>
      <c r="C39" s="23">
        <v>4124.7999999999984</v>
      </c>
      <c r="D39" s="23">
        <v>259862.39999999991</v>
      </c>
      <c r="E39" s="23">
        <v>593.89999999999964</v>
      </c>
      <c r="F39" s="23">
        <v>213803.99999999988</v>
      </c>
      <c r="G39" s="23">
        <v>4000</v>
      </c>
      <c r="H39" s="23">
        <v>0</v>
      </c>
      <c r="I39" s="23">
        <v>0</v>
      </c>
      <c r="J39" s="23">
        <v>148000</v>
      </c>
      <c r="K39" s="23">
        <v>2093000</v>
      </c>
      <c r="L39" s="23">
        <v>70870</v>
      </c>
      <c r="M39" s="23">
        <v>2638666.4</v>
      </c>
      <c r="N39" s="23">
        <v>1481816</v>
      </c>
      <c r="O39" s="26">
        <v>11195800.639999999</v>
      </c>
    </row>
    <row r="40" spans="1:15" ht="15.75" hidden="1" thickBot="1" x14ac:dyDescent="0.3">
      <c r="A40" s="21"/>
      <c r="B40" s="22" t="s">
        <v>35</v>
      </c>
      <c r="C40" s="23">
        <v>5611</v>
      </c>
      <c r="D40" s="23">
        <v>353493</v>
      </c>
      <c r="E40" s="23">
        <v>965</v>
      </c>
      <c r="F40" s="23">
        <v>347400</v>
      </c>
      <c r="G40" s="23">
        <v>4000</v>
      </c>
      <c r="H40" s="23">
        <v>0</v>
      </c>
      <c r="I40" s="23">
        <v>0</v>
      </c>
      <c r="J40" s="23">
        <v>144000</v>
      </c>
      <c r="K40" s="23">
        <v>2145000</v>
      </c>
      <c r="L40" s="23">
        <v>71436</v>
      </c>
      <c r="M40" s="23">
        <v>2952893</v>
      </c>
      <c r="N40" s="23">
        <v>2030873</v>
      </c>
      <c r="O40" s="26">
        <v>12325406.959999999</v>
      </c>
    </row>
    <row r="41" spans="1:15" ht="15.75" hidden="1" thickBot="1" x14ac:dyDescent="0.3">
      <c r="A41" s="21"/>
      <c r="B41" s="22" t="s">
        <v>36</v>
      </c>
      <c r="C41" s="23">
        <v>3674</v>
      </c>
      <c r="D41" s="23">
        <v>231462</v>
      </c>
      <c r="E41" s="23">
        <v>1833</v>
      </c>
      <c r="F41" s="23">
        <v>659880</v>
      </c>
      <c r="G41" s="23">
        <v>4000</v>
      </c>
      <c r="H41" s="23">
        <v>0</v>
      </c>
      <c r="I41" s="23">
        <v>0</v>
      </c>
      <c r="J41" s="23">
        <v>144000</v>
      </c>
      <c r="K41" s="23">
        <v>2184000</v>
      </c>
      <c r="L41" s="23">
        <v>71894</v>
      </c>
      <c r="M41" s="23">
        <v>3143342</v>
      </c>
      <c r="N41" s="23">
        <v>1750681</v>
      </c>
      <c r="O41" s="26">
        <v>13712498.979999997</v>
      </c>
    </row>
    <row r="42" spans="1:15" ht="15.75" hidden="1" thickBot="1" x14ac:dyDescent="0.3">
      <c r="A42" s="21"/>
      <c r="B42" s="22" t="s">
        <v>37</v>
      </c>
      <c r="C42" s="23">
        <v>30751</v>
      </c>
      <c r="D42" s="23">
        <v>1937313</v>
      </c>
      <c r="E42" s="23">
        <v>2005</v>
      </c>
      <c r="F42" s="23">
        <v>721800</v>
      </c>
      <c r="G42" s="23">
        <v>4000</v>
      </c>
      <c r="H42" s="23">
        <v>0</v>
      </c>
      <c r="I42" s="23">
        <v>0</v>
      </c>
      <c r="J42" s="23">
        <v>144000</v>
      </c>
      <c r="K42" s="23">
        <v>2184000</v>
      </c>
      <c r="L42" s="23">
        <v>71900</v>
      </c>
      <c r="M42" s="23">
        <v>4911113</v>
      </c>
      <c r="N42" s="23">
        <v>3136538</v>
      </c>
      <c r="O42" s="26">
        <v>13451382.299999997</v>
      </c>
    </row>
    <row r="43" spans="1:15" ht="15.75" hidden="1" thickBot="1" x14ac:dyDescent="0.3">
      <c r="A43" s="21">
        <v>2006</v>
      </c>
      <c r="B43" s="22" t="s">
        <v>38</v>
      </c>
      <c r="C43" s="23">
        <v>9378</v>
      </c>
      <c r="D43" s="23">
        <v>590814</v>
      </c>
      <c r="E43" s="23">
        <v>3796</v>
      </c>
      <c r="F43" s="23">
        <v>1366560</v>
      </c>
      <c r="G43" s="23">
        <v>4000</v>
      </c>
      <c r="H43" s="23">
        <v>0</v>
      </c>
      <c r="I43" s="23">
        <v>0</v>
      </c>
      <c r="J43" s="23">
        <v>144000</v>
      </c>
      <c r="K43" s="23">
        <v>2145000</v>
      </c>
      <c r="L43" s="23">
        <v>71704</v>
      </c>
      <c r="M43" s="23">
        <v>4170374</v>
      </c>
      <c r="N43" s="23">
        <v>2766617</v>
      </c>
      <c r="O43" s="26">
        <v>15069148.619999997</v>
      </c>
    </row>
    <row r="44" spans="1:15" ht="15.75" hidden="1" thickBot="1" x14ac:dyDescent="0.3">
      <c r="A44" s="21"/>
      <c r="B44" s="22" t="s">
        <v>27</v>
      </c>
      <c r="C44" s="23">
        <v>6987</v>
      </c>
      <c r="D44" s="23">
        <v>440181</v>
      </c>
      <c r="E44" s="23">
        <v>3022</v>
      </c>
      <c r="F44" s="23">
        <v>1087920</v>
      </c>
      <c r="G44" s="23">
        <v>4000</v>
      </c>
      <c r="H44" s="23">
        <v>0</v>
      </c>
      <c r="I44" s="23">
        <v>0</v>
      </c>
      <c r="J44" s="23">
        <v>144000</v>
      </c>
      <c r="K44" s="23">
        <v>2145000</v>
      </c>
      <c r="L44" s="23">
        <v>71690</v>
      </c>
      <c r="M44" s="23">
        <v>3741101</v>
      </c>
      <c r="N44" s="23">
        <v>2313262</v>
      </c>
      <c r="O44" s="26">
        <v>17038381.939999998</v>
      </c>
    </row>
    <row r="45" spans="1:15" ht="15.75" hidden="1" thickBot="1" x14ac:dyDescent="0.3">
      <c r="A45" s="21"/>
      <c r="B45" s="22" t="s">
        <v>28</v>
      </c>
      <c r="C45" s="23">
        <v>4059</v>
      </c>
      <c r="D45" s="23">
        <v>255717</v>
      </c>
      <c r="E45" s="23">
        <v>2413</v>
      </c>
      <c r="F45" s="23">
        <v>868680</v>
      </c>
      <c r="G45" s="23">
        <v>4000</v>
      </c>
      <c r="H45" s="23">
        <v>0</v>
      </c>
      <c r="I45" s="23">
        <v>0</v>
      </c>
      <c r="J45" s="23">
        <v>144000</v>
      </c>
      <c r="K45" s="23">
        <v>2184000</v>
      </c>
      <c r="L45" s="23">
        <v>71662</v>
      </c>
      <c r="M45" s="23">
        <v>3376397</v>
      </c>
      <c r="N45" s="23">
        <v>4257898</v>
      </c>
      <c r="O45" s="26">
        <v>16042480.259999998</v>
      </c>
    </row>
    <row r="46" spans="1:15" ht="15.75" hidden="1" thickBot="1" x14ac:dyDescent="0.3">
      <c r="A46" s="21"/>
      <c r="B46" s="22" t="s">
        <v>29</v>
      </c>
      <c r="C46" s="23">
        <v>4574</v>
      </c>
      <c r="D46" s="23">
        <v>288162</v>
      </c>
      <c r="E46" s="23">
        <v>2520</v>
      </c>
      <c r="F46" s="23">
        <v>907200</v>
      </c>
      <c r="G46" s="23">
        <v>4000</v>
      </c>
      <c r="H46" s="23">
        <v>0</v>
      </c>
      <c r="I46" s="23">
        <v>0</v>
      </c>
      <c r="J46" s="23">
        <v>144000</v>
      </c>
      <c r="K46" s="23">
        <v>2184000</v>
      </c>
      <c r="L46" s="23">
        <v>71942</v>
      </c>
      <c r="M46" s="23">
        <v>3447362</v>
      </c>
      <c r="N46" s="23">
        <v>2712800</v>
      </c>
      <c r="O46" s="26">
        <v>16715466.579999996</v>
      </c>
    </row>
    <row r="47" spans="1:15" ht="15.75" hidden="1" thickBot="1" x14ac:dyDescent="0.3">
      <c r="A47" s="21"/>
      <c r="B47" s="22" t="s">
        <v>30</v>
      </c>
      <c r="C47" s="23">
        <v>4903</v>
      </c>
      <c r="D47" s="23">
        <v>308889</v>
      </c>
      <c r="E47" s="23">
        <v>1666</v>
      </c>
      <c r="F47" s="23">
        <v>599760</v>
      </c>
      <c r="G47" s="23">
        <v>4000</v>
      </c>
      <c r="H47" s="23">
        <v>0</v>
      </c>
      <c r="I47" s="23">
        <v>0</v>
      </c>
      <c r="J47" s="23">
        <v>144000</v>
      </c>
      <c r="K47" s="23">
        <v>2184000</v>
      </c>
      <c r="L47" s="23">
        <v>72378</v>
      </c>
      <c r="M47" s="23">
        <v>3160649</v>
      </c>
      <c r="N47" s="23">
        <v>2404904</v>
      </c>
      <c r="O47" s="26">
        <v>17334743.899999999</v>
      </c>
    </row>
    <row r="48" spans="1:15" ht="15.75" hidden="1" thickBot="1" x14ac:dyDescent="0.3">
      <c r="A48" s="21"/>
      <c r="B48" s="22" t="s">
        <v>31</v>
      </c>
      <c r="C48" s="23">
        <v>4849</v>
      </c>
      <c r="D48" s="23">
        <v>305487</v>
      </c>
      <c r="E48" s="23">
        <v>509</v>
      </c>
      <c r="F48" s="23">
        <v>183240</v>
      </c>
      <c r="G48" s="23">
        <v>4000</v>
      </c>
      <c r="H48" s="23">
        <v>0</v>
      </c>
      <c r="I48" s="23">
        <v>0</v>
      </c>
      <c r="J48" s="23">
        <v>144000</v>
      </c>
      <c r="K48" s="23">
        <v>2184000</v>
      </c>
      <c r="L48" s="23">
        <v>72606</v>
      </c>
      <c r="M48" s="23">
        <v>2740727</v>
      </c>
      <c r="N48" s="23">
        <v>3621557</v>
      </c>
      <c r="O48" s="26">
        <v>16367874.219999997</v>
      </c>
    </row>
    <row r="49" spans="1:15" ht="15.75" hidden="1" thickBot="1" x14ac:dyDescent="0.3">
      <c r="A49" s="21"/>
      <c r="B49" s="22" t="s">
        <v>32</v>
      </c>
      <c r="C49" s="23">
        <v>3158</v>
      </c>
      <c r="D49" s="23">
        <v>198954</v>
      </c>
      <c r="E49" s="23">
        <v>275</v>
      </c>
      <c r="F49" s="23">
        <v>99000</v>
      </c>
      <c r="G49" s="23">
        <v>4000</v>
      </c>
      <c r="H49" s="23">
        <v>0</v>
      </c>
      <c r="I49" s="23">
        <v>0</v>
      </c>
      <c r="J49" s="23">
        <v>144000</v>
      </c>
      <c r="K49" s="23">
        <v>2184000</v>
      </c>
      <c r="L49" s="23">
        <v>72958</v>
      </c>
      <c r="M49" s="23">
        <v>2549954</v>
      </c>
      <c r="N49" s="23">
        <v>3043733</v>
      </c>
      <c r="O49" s="26">
        <v>15505901.539999995</v>
      </c>
    </row>
    <row r="50" spans="1:15" ht="15.75" hidden="1" thickBot="1" x14ac:dyDescent="0.3">
      <c r="A50" s="21"/>
      <c r="B50" s="22" t="s">
        <v>33</v>
      </c>
      <c r="C50" s="23">
        <v>4032</v>
      </c>
      <c r="D50" s="23">
        <v>254016</v>
      </c>
      <c r="E50" s="23">
        <v>386</v>
      </c>
      <c r="F50" s="23">
        <v>138960</v>
      </c>
      <c r="G50" s="23">
        <v>4000</v>
      </c>
      <c r="H50" s="23">
        <v>0</v>
      </c>
      <c r="I50" s="23">
        <v>0</v>
      </c>
      <c r="J50" s="23">
        <v>144000</v>
      </c>
      <c r="K50" s="23">
        <v>2184000</v>
      </c>
      <c r="L50" s="23">
        <v>73344</v>
      </c>
      <c r="M50" s="23">
        <v>2644976</v>
      </c>
      <c r="N50" s="23">
        <v>1747785</v>
      </c>
      <c r="O50" s="26">
        <v>16097134.539999995</v>
      </c>
    </row>
    <row r="51" spans="1:15" ht="15.75" hidden="1" thickBot="1" x14ac:dyDescent="0.3">
      <c r="A51" s="21"/>
      <c r="B51" s="22" t="s">
        <v>34</v>
      </c>
      <c r="C51" s="23">
        <v>5495</v>
      </c>
      <c r="D51" s="23">
        <v>346185</v>
      </c>
      <c r="E51" s="23">
        <v>930</v>
      </c>
      <c r="F51" s="23">
        <v>334800</v>
      </c>
      <c r="G51" s="23">
        <v>4000</v>
      </c>
      <c r="H51" s="23">
        <v>0</v>
      </c>
      <c r="I51" s="23">
        <v>0</v>
      </c>
      <c r="J51" s="23">
        <v>144000</v>
      </c>
      <c r="K51" s="23">
        <v>2184000</v>
      </c>
      <c r="L51" s="23">
        <v>73604</v>
      </c>
      <c r="M51" s="23">
        <v>2932985</v>
      </c>
      <c r="N51" s="23">
        <v>4979603</v>
      </c>
      <c r="O51" s="26">
        <v>13879578.539999997</v>
      </c>
    </row>
    <row r="52" spans="1:15" ht="15.75" hidden="1" thickBot="1" x14ac:dyDescent="0.3">
      <c r="A52" s="21"/>
      <c r="B52" s="22" t="s">
        <v>35</v>
      </c>
      <c r="C52" s="23">
        <v>5276</v>
      </c>
      <c r="D52" s="23">
        <v>332388</v>
      </c>
      <c r="E52" s="23">
        <v>2151</v>
      </c>
      <c r="F52" s="23">
        <v>774360</v>
      </c>
      <c r="G52" s="23">
        <v>4000</v>
      </c>
      <c r="H52" s="23">
        <v>0</v>
      </c>
      <c r="I52" s="23">
        <v>0</v>
      </c>
      <c r="J52" s="23">
        <v>144000</v>
      </c>
      <c r="K52" s="23">
        <v>2184000</v>
      </c>
      <c r="L52" s="23">
        <v>73670</v>
      </c>
      <c r="M52" s="23">
        <v>3358748</v>
      </c>
      <c r="N52" s="23">
        <v>2109495</v>
      </c>
      <c r="O52" s="26">
        <v>14186815.539999997</v>
      </c>
    </row>
    <row r="53" spans="1:15" ht="15.75" hidden="1" thickBot="1" x14ac:dyDescent="0.3">
      <c r="A53" s="21"/>
      <c r="B53" s="22" t="s">
        <v>36</v>
      </c>
      <c r="C53" s="23">
        <v>5130</v>
      </c>
      <c r="D53" s="23">
        <v>323190</v>
      </c>
      <c r="E53" s="23">
        <v>3484</v>
      </c>
      <c r="F53" s="23">
        <v>1254240</v>
      </c>
      <c r="G53" s="23">
        <v>4000</v>
      </c>
      <c r="H53" s="23">
        <v>0</v>
      </c>
      <c r="I53" s="23">
        <v>0</v>
      </c>
      <c r="J53" s="23">
        <v>144000</v>
      </c>
      <c r="K53" s="23">
        <v>2184000</v>
      </c>
      <c r="L53" s="23">
        <v>73516</v>
      </c>
      <c r="M53" s="23">
        <v>3829430</v>
      </c>
      <c r="N53" s="23">
        <v>1837786</v>
      </c>
      <c r="O53" s="26">
        <v>16057686.539999995</v>
      </c>
    </row>
    <row r="54" spans="1:15" ht="15.75" hidden="1" thickBot="1" x14ac:dyDescent="0.3">
      <c r="A54" s="21"/>
      <c r="B54" s="22" t="s">
        <v>37</v>
      </c>
      <c r="C54" s="23">
        <v>3053</v>
      </c>
      <c r="D54" s="23">
        <v>192339</v>
      </c>
      <c r="E54" s="23">
        <v>1914</v>
      </c>
      <c r="F54" s="23">
        <v>689040</v>
      </c>
      <c r="G54" s="23">
        <v>4000</v>
      </c>
      <c r="H54" s="23">
        <v>0</v>
      </c>
      <c r="I54" s="23">
        <v>0</v>
      </c>
      <c r="J54" s="23">
        <v>144000</v>
      </c>
      <c r="K54" s="23">
        <v>2191000</v>
      </c>
      <c r="L54" s="23">
        <v>73346</v>
      </c>
      <c r="M54" s="23">
        <v>3336379</v>
      </c>
      <c r="N54" s="23">
        <v>3092983</v>
      </c>
      <c r="O54" s="26">
        <v>16056914.539999999</v>
      </c>
    </row>
    <row r="55" spans="1:15" ht="15.75" hidden="1" thickBot="1" x14ac:dyDescent="0.3">
      <c r="A55" s="21">
        <v>2007</v>
      </c>
      <c r="B55" s="22" t="s">
        <v>38</v>
      </c>
      <c r="C55" s="23">
        <v>8910</v>
      </c>
      <c r="D55" s="23">
        <v>561330</v>
      </c>
      <c r="E55" s="23">
        <v>3867</v>
      </c>
      <c r="F55" s="23">
        <v>1392120</v>
      </c>
      <c r="G55" s="23">
        <v>4000</v>
      </c>
      <c r="H55" s="23">
        <v>0</v>
      </c>
      <c r="I55" s="23">
        <v>0</v>
      </c>
      <c r="J55" s="23">
        <v>144000</v>
      </c>
      <c r="K55" s="23">
        <v>2615000</v>
      </c>
      <c r="L55" s="23">
        <v>73354</v>
      </c>
      <c r="M55" s="23">
        <v>4636450</v>
      </c>
      <c r="N55" s="23">
        <v>5819569</v>
      </c>
      <c r="O55" s="26">
        <v>17025441.539999999</v>
      </c>
    </row>
    <row r="56" spans="1:15" ht="15.75" hidden="1" thickBot="1" x14ac:dyDescent="0.3">
      <c r="A56" s="21"/>
      <c r="B56" s="22" t="s">
        <v>27</v>
      </c>
      <c r="C56" s="23">
        <v>7475</v>
      </c>
      <c r="D56" s="23">
        <v>470925</v>
      </c>
      <c r="E56" s="23">
        <v>3268</v>
      </c>
      <c r="F56" s="23">
        <v>1176480</v>
      </c>
      <c r="G56" s="23">
        <v>4000</v>
      </c>
      <c r="H56" s="23">
        <v>0</v>
      </c>
      <c r="I56" s="23">
        <v>0</v>
      </c>
      <c r="J56" s="23">
        <v>144000</v>
      </c>
      <c r="K56" s="23">
        <v>2615000</v>
      </c>
      <c r="L56" s="23">
        <v>73526</v>
      </c>
      <c r="M56" s="23">
        <v>4330405</v>
      </c>
      <c r="N56" s="23">
        <v>2470539</v>
      </c>
      <c r="O56" s="26">
        <v>18442992.539999995</v>
      </c>
    </row>
    <row r="57" spans="1:15" ht="15.75" hidden="1" thickBot="1" x14ac:dyDescent="0.3">
      <c r="A57" s="21"/>
      <c r="B57" s="22" t="s">
        <v>28</v>
      </c>
      <c r="C57" s="23">
        <v>4532</v>
      </c>
      <c r="D57" s="23">
        <v>285516</v>
      </c>
      <c r="E57" s="23">
        <v>2051</v>
      </c>
      <c r="F57" s="23">
        <v>738360</v>
      </c>
      <c r="G57" s="23">
        <v>4000</v>
      </c>
      <c r="H57" s="23">
        <v>0</v>
      </c>
      <c r="I57" s="23">
        <v>0</v>
      </c>
      <c r="J57" s="23">
        <v>144000</v>
      </c>
      <c r="K57" s="23">
        <v>2576000</v>
      </c>
      <c r="L57" s="23">
        <v>73492</v>
      </c>
      <c r="M57" s="23">
        <v>3667876</v>
      </c>
      <c r="N57" s="23">
        <v>5565324</v>
      </c>
      <c r="O57" s="26">
        <v>16419669.539999997</v>
      </c>
    </row>
    <row r="58" spans="1:15" ht="15.75" hidden="1" thickBot="1" x14ac:dyDescent="0.3">
      <c r="A58" s="21"/>
      <c r="B58" s="22" t="s">
        <v>29</v>
      </c>
      <c r="C58" s="23">
        <v>5264</v>
      </c>
      <c r="D58" s="23">
        <v>331632</v>
      </c>
      <c r="E58" s="23">
        <v>2002</v>
      </c>
      <c r="F58" s="23">
        <v>720720</v>
      </c>
      <c r="G58" s="23">
        <v>4000</v>
      </c>
      <c r="H58" s="23">
        <v>0</v>
      </c>
      <c r="I58" s="23">
        <v>0</v>
      </c>
      <c r="J58" s="23">
        <v>144000</v>
      </c>
      <c r="K58" s="23">
        <v>2622000</v>
      </c>
      <c r="L58" s="23">
        <v>73654</v>
      </c>
      <c r="M58" s="23">
        <v>3742352</v>
      </c>
      <c r="N58" s="23">
        <v>3937025</v>
      </c>
      <c r="O58" s="26">
        <v>14751745.5</v>
      </c>
    </row>
    <row r="59" spans="1:15" ht="15.75" hidden="1" thickBot="1" x14ac:dyDescent="0.3">
      <c r="A59" s="21"/>
      <c r="B59" s="22" t="s">
        <v>30</v>
      </c>
      <c r="C59" s="23">
        <v>4197</v>
      </c>
      <c r="D59" s="23">
        <v>264411</v>
      </c>
      <c r="E59" s="23">
        <v>909</v>
      </c>
      <c r="F59" s="23">
        <v>327600</v>
      </c>
      <c r="G59" s="23">
        <v>4000</v>
      </c>
      <c r="H59" s="23">
        <v>0</v>
      </c>
      <c r="I59" s="23">
        <v>0</v>
      </c>
      <c r="J59" s="23">
        <v>144000</v>
      </c>
      <c r="K59" s="23">
        <v>2622000</v>
      </c>
      <c r="L59" s="23">
        <v>74056</v>
      </c>
      <c r="M59" s="23">
        <v>3282011</v>
      </c>
      <c r="N59" s="23">
        <v>3575065</v>
      </c>
      <c r="O59" s="26">
        <v>14262019.5</v>
      </c>
    </row>
    <row r="60" spans="1:15" ht="15.75" hidden="1" thickBot="1" x14ac:dyDescent="0.3">
      <c r="A60" s="21"/>
      <c r="B60" s="22" t="s">
        <v>31</v>
      </c>
      <c r="C60" s="23">
        <v>3887</v>
      </c>
      <c r="D60" s="23">
        <v>244881</v>
      </c>
      <c r="E60" s="23">
        <v>289</v>
      </c>
      <c r="F60" s="23">
        <v>104040</v>
      </c>
      <c r="G60" s="23">
        <v>4000</v>
      </c>
      <c r="H60" s="23">
        <v>0</v>
      </c>
      <c r="I60" s="23">
        <v>0</v>
      </c>
      <c r="J60" s="23">
        <v>144000</v>
      </c>
      <c r="K60" s="23">
        <v>2622000</v>
      </c>
      <c r="L60" s="23">
        <v>74496</v>
      </c>
      <c r="M60" s="23">
        <v>3038921</v>
      </c>
      <c r="N60" s="23">
        <v>2574046</v>
      </c>
      <c r="O60" s="26">
        <v>14301336.82</v>
      </c>
    </row>
    <row r="61" spans="1:15" ht="15.75" hidden="1" thickBot="1" x14ac:dyDescent="0.3">
      <c r="A61" s="21"/>
      <c r="B61" s="22" t="s">
        <v>32</v>
      </c>
      <c r="C61" s="23">
        <v>3912</v>
      </c>
      <c r="D61" s="23">
        <v>246456</v>
      </c>
      <c r="E61" s="23">
        <v>311</v>
      </c>
      <c r="F61" s="23">
        <v>111960</v>
      </c>
      <c r="G61" s="23">
        <v>4000</v>
      </c>
      <c r="H61" s="23">
        <v>0</v>
      </c>
      <c r="I61" s="23">
        <v>0</v>
      </c>
      <c r="J61" s="23">
        <v>144000</v>
      </c>
      <c r="K61" s="23">
        <v>2622000</v>
      </c>
      <c r="L61" s="23">
        <v>75106</v>
      </c>
      <c r="M61" s="23">
        <v>3074416</v>
      </c>
      <c r="N61" s="23">
        <v>3291693</v>
      </c>
      <c r="O61" s="26">
        <v>14100785.140000001</v>
      </c>
    </row>
    <row r="62" spans="1:15" ht="15.75" hidden="1" thickBot="1" x14ac:dyDescent="0.3">
      <c r="A62" s="21"/>
      <c r="B62" s="22" t="s">
        <v>33</v>
      </c>
      <c r="C62" s="23">
        <v>3266</v>
      </c>
      <c r="D62" s="23">
        <v>205806</v>
      </c>
      <c r="E62" s="23">
        <v>251</v>
      </c>
      <c r="F62" s="23">
        <v>90360</v>
      </c>
      <c r="G62" s="23">
        <v>4000</v>
      </c>
      <c r="H62" s="23">
        <v>0</v>
      </c>
      <c r="I62" s="23">
        <v>0</v>
      </c>
      <c r="J62" s="23">
        <v>44000</v>
      </c>
      <c r="K62" s="23">
        <v>2668000</v>
      </c>
      <c r="L62" s="23">
        <v>75890</v>
      </c>
      <c r="M62" s="23">
        <v>3012166</v>
      </c>
      <c r="N62" s="23">
        <v>4230829</v>
      </c>
      <c r="O62" s="26">
        <v>12763343.459999999</v>
      </c>
    </row>
    <row r="63" spans="1:15" ht="15.75" hidden="1" thickBot="1" x14ac:dyDescent="0.3">
      <c r="A63" s="21"/>
      <c r="B63" s="22" t="s">
        <v>34</v>
      </c>
      <c r="C63" s="23">
        <v>4290</v>
      </c>
      <c r="D63" s="23">
        <v>270270</v>
      </c>
      <c r="E63" s="23">
        <v>947</v>
      </c>
      <c r="F63" s="23">
        <v>340920</v>
      </c>
      <c r="G63" s="23">
        <v>4000</v>
      </c>
      <c r="H63" s="23">
        <v>0</v>
      </c>
      <c r="I63" s="23">
        <v>0</v>
      </c>
      <c r="J63" s="23">
        <v>44000</v>
      </c>
      <c r="K63" s="23">
        <v>2668000</v>
      </c>
      <c r="L63" s="23">
        <v>76716</v>
      </c>
      <c r="M63" s="23">
        <v>3327190</v>
      </c>
      <c r="N63" s="23">
        <v>5397799</v>
      </c>
      <c r="O63" s="26">
        <v>11212412.779999999</v>
      </c>
    </row>
    <row r="64" spans="1:15" ht="15.75" hidden="1" thickBot="1" x14ac:dyDescent="0.3">
      <c r="A64" s="21"/>
      <c r="B64" s="22" t="s">
        <v>35</v>
      </c>
      <c r="C64" s="23">
        <v>3802</v>
      </c>
      <c r="D64" s="23">
        <v>296854</v>
      </c>
      <c r="E64" s="23">
        <v>1866</v>
      </c>
      <c r="F64" s="23">
        <v>671760</v>
      </c>
      <c r="G64" s="23">
        <v>4000</v>
      </c>
      <c r="H64" s="23">
        <v>0</v>
      </c>
      <c r="I64" s="23">
        <v>0</v>
      </c>
      <c r="J64" s="23">
        <v>44000</v>
      </c>
      <c r="K64" s="23">
        <v>2668000</v>
      </c>
      <c r="L64" s="23">
        <v>126082</v>
      </c>
      <c r="M64" s="23">
        <v>3684614</v>
      </c>
      <c r="N64" s="23">
        <v>2886533</v>
      </c>
      <c r="O64" s="26">
        <v>12089165.1</v>
      </c>
    </row>
    <row r="65" spans="1:15" ht="15.75" hidden="1" thickBot="1" x14ac:dyDescent="0.3">
      <c r="A65" s="21"/>
      <c r="B65" s="22" t="s">
        <v>36</v>
      </c>
      <c r="C65" s="23">
        <v>6022</v>
      </c>
      <c r="D65" s="23">
        <v>470826</v>
      </c>
      <c r="E65" s="23">
        <v>3260</v>
      </c>
      <c r="F65" s="23">
        <v>1173600</v>
      </c>
      <c r="G65" s="23">
        <v>4000</v>
      </c>
      <c r="H65" s="23">
        <v>0</v>
      </c>
      <c r="I65" s="23">
        <v>0</v>
      </c>
      <c r="J65" s="23">
        <v>48000</v>
      </c>
      <c r="K65" s="23">
        <v>2668000</v>
      </c>
      <c r="L65" s="23">
        <v>165000</v>
      </c>
      <c r="M65" s="23">
        <v>4364426</v>
      </c>
      <c r="N65" s="23">
        <v>2645481</v>
      </c>
      <c r="O65" s="26">
        <v>13686665.42</v>
      </c>
    </row>
    <row r="66" spans="1:15" ht="15.75" hidden="1" thickBot="1" x14ac:dyDescent="0.3">
      <c r="A66" s="21"/>
      <c r="B66" s="22" t="s">
        <v>37</v>
      </c>
      <c r="C66" s="23">
        <v>4098</v>
      </c>
      <c r="D66" s="23">
        <v>319878</v>
      </c>
      <c r="E66" s="23">
        <v>2505</v>
      </c>
      <c r="F66" s="23">
        <v>901800</v>
      </c>
      <c r="G66" s="23">
        <v>4000</v>
      </c>
      <c r="H66" s="23">
        <v>0</v>
      </c>
      <c r="I66" s="23">
        <v>0</v>
      </c>
      <c r="J66" s="23">
        <v>48000</v>
      </c>
      <c r="K66" s="23">
        <v>2668000</v>
      </c>
      <c r="L66" s="23">
        <v>193669</v>
      </c>
      <c r="M66" s="23">
        <v>3941678</v>
      </c>
      <c r="N66" s="23">
        <v>2940678</v>
      </c>
      <c r="O66" s="26">
        <v>14753928.74</v>
      </c>
    </row>
    <row r="67" spans="1:15" ht="15.75" hidden="1" thickBot="1" x14ac:dyDescent="0.3">
      <c r="A67" s="21">
        <v>2008</v>
      </c>
      <c r="B67" s="22" t="s">
        <v>38</v>
      </c>
      <c r="C67" s="23">
        <v>10017</v>
      </c>
      <c r="D67" s="23">
        <v>876879</v>
      </c>
      <c r="E67" s="23">
        <v>5769</v>
      </c>
      <c r="F67" s="23">
        <v>2076840</v>
      </c>
      <c r="G67" s="23">
        <v>4000</v>
      </c>
      <c r="H67" s="23">
        <v>0</v>
      </c>
      <c r="I67" s="23">
        <v>0</v>
      </c>
      <c r="J67" s="23">
        <v>48000</v>
      </c>
      <c r="K67" s="23">
        <v>2760000</v>
      </c>
      <c r="L67" s="23">
        <v>200530</v>
      </c>
      <c r="M67" s="23">
        <v>5765719</v>
      </c>
      <c r="N67" s="23">
        <v>5014803</v>
      </c>
      <c r="O67" s="26">
        <v>15538344.059999999</v>
      </c>
    </row>
    <row r="68" spans="1:15" ht="15.75" hidden="1" thickBot="1" x14ac:dyDescent="0.3">
      <c r="A68" s="21"/>
      <c r="B68" s="22" t="s">
        <v>27</v>
      </c>
      <c r="C68" s="23">
        <v>4879</v>
      </c>
      <c r="D68" s="23">
        <v>434426</v>
      </c>
      <c r="E68" s="23">
        <v>2333</v>
      </c>
      <c r="F68" s="23">
        <v>839880</v>
      </c>
      <c r="G68" s="23">
        <v>4000</v>
      </c>
      <c r="H68" s="23">
        <v>0</v>
      </c>
      <c r="I68" s="23">
        <v>0</v>
      </c>
      <c r="J68" s="23">
        <v>48000</v>
      </c>
      <c r="K68" s="23">
        <v>2760000</v>
      </c>
      <c r="L68" s="23">
        <v>183400</v>
      </c>
      <c r="M68" s="23">
        <v>4086306</v>
      </c>
      <c r="N68" s="23">
        <v>3403278</v>
      </c>
      <c r="O68" s="26">
        <v>16362208.380000001</v>
      </c>
    </row>
    <row r="69" spans="1:15" ht="15.75" hidden="1" thickBot="1" x14ac:dyDescent="0.3">
      <c r="A69" s="21"/>
      <c r="B69" s="22" t="s">
        <v>28</v>
      </c>
      <c r="C69" s="23">
        <v>5016</v>
      </c>
      <c r="D69" s="23">
        <v>554145</v>
      </c>
      <c r="E69" s="23">
        <v>2323</v>
      </c>
      <c r="F69" s="23">
        <v>836280</v>
      </c>
      <c r="G69" s="23">
        <v>4000</v>
      </c>
      <c r="H69" s="23">
        <v>0</v>
      </c>
      <c r="I69" s="23">
        <v>0</v>
      </c>
      <c r="J69" s="23">
        <v>48000</v>
      </c>
      <c r="K69" s="23">
        <v>2760000</v>
      </c>
      <c r="L69" s="23">
        <v>192991</v>
      </c>
      <c r="M69" s="23">
        <v>4202425</v>
      </c>
      <c r="N69" s="23">
        <v>4963782</v>
      </c>
      <c r="O69" s="26">
        <v>15476913.699999999</v>
      </c>
    </row>
    <row r="70" spans="1:15" ht="15.75" hidden="1" thickBot="1" x14ac:dyDescent="0.3">
      <c r="A70" s="21"/>
      <c r="B70" s="22" t="s">
        <v>29</v>
      </c>
      <c r="C70" s="23">
        <v>6296</v>
      </c>
      <c r="D70" s="23">
        <v>776542</v>
      </c>
      <c r="E70" s="23">
        <v>2746</v>
      </c>
      <c r="F70" s="23">
        <v>988560</v>
      </c>
      <c r="G70" s="23">
        <v>4000</v>
      </c>
      <c r="H70" s="23">
        <v>0</v>
      </c>
      <c r="I70" s="23">
        <v>0</v>
      </c>
      <c r="J70" s="23">
        <v>48000</v>
      </c>
      <c r="K70" s="23">
        <v>2760000</v>
      </c>
      <c r="L70" s="23">
        <v>202551</v>
      </c>
      <c r="M70" s="23">
        <v>4577102</v>
      </c>
      <c r="N70" s="23">
        <v>4799319</v>
      </c>
      <c r="O70" s="26">
        <v>14796152.699999999</v>
      </c>
    </row>
    <row r="71" spans="1:15" ht="15.75" hidden="1" thickBot="1" x14ac:dyDescent="0.3">
      <c r="A71" s="21"/>
      <c r="B71" s="22" t="s">
        <v>30</v>
      </c>
      <c r="C71" s="23">
        <v>3996</v>
      </c>
      <c r="D71" s="23">
        <v>401476</v>
      </c>
      <c r="E71" s="23">
        <v>564</v>
      </c>
      <c r="F71" s="23">
        <v>203040</v>
      </c>
      <c r="G71" s="23">
        <v>4000</v>
      </c>
      <c r="H71" s="23">
        <v>0</v>
      </c>
      <c r="I71" s="23">
        <v>0</v>
      </c>
      <c r="J71" s="23">
        <v>48000</v>
      </c>
      <c r="K71" s="23">
        <v>2760000</v>
      </c>
      <c r="L71" s="23">
        <v>180386</v>
      </c>
      <c r="M71" s="23">
        <v>3416516</v>
      </c>
      <c r="N71" s="23">
        <v>3799080</v>
      </c>
      <c r="O71" s="26">
        <v>14634800.699999999</v>
      </c>
    </row>
    <row r="72" spans="1:15" ht="15.75" hidden="1" thickBot="1" x14ac:dyDescent="0.3">
      <c r="A72" s="21"/>
      <c r="B72" s="22" t="s">
        <v>31</v>
      </c>
      <c r="C72" s="23">
        <v>3834</v>
      </c>
      <c r="D72" s="23">
        <v>398571</v>
      </c>
      <c r="E72" s="23">
        <v>331</v>
      </c>
      <c r="F72" s="23">
        <v>119160</v>
      </c>
      <c r="G72" s="23">
        <v>4000</v>
      </c>
      <c r="H72" s="23">
        <v>0</v>
      </c>
      <c r="I72" s="23">
        <v>0</v>
      </c>
      <c r="J72" s="23">
        <v>48000</v>
      </c>
      <c r="K72" s="23">
        <v>2760000</v>
      </c>
      <c r="L72" s="23">
        <v>186683</v>
      </c>
      <c r="M72" s="23">
        <v>3329731</v>
      </c>
      <c r="N72" s="23">
        <v>2687276</v>
      </c>
      <c r="O72" s="26">
        <v>14805372.699999999</v>
      </c>
    </row>
    <row r="73" spans="1:15" ht="15.75" hidden="1" thickBot="1" x14ac:dyDescent="0.3">
      <c r="A73" s="21"/>
      <c r="B73" s="22" t="s">
        <v>32</v>
      </c>
      <c r="C73" s="23">
        <v>4640</v>
      </c>
      <c r="D73" s="23">
        <v>519208</v>
      </c>
      <c r="E73" s="23">
        <v>252</v>
      </c>
      <c r="F73" s="23">
        <v>90720</v>
      </c>
      <c r="G73" s="23">
        <v>0</v>
      </c>
      <c r="H73" s="23">
        <v>0</v>
      </c>
      <c r="I73" s="23">
        <v>0</v>
      </c>
      <c r="J73" s="23">
        <v>48000</v>
      </c>
      <c r="K73" s="23">
        <v>2760000</v>
      </c>
      <c r="L73" s="23">
        <v>203406</v>
      </c>
      <c r="M73" s="23">
        <v>3417928</v>
      </c>
      <c r="N73" s="23">
        <v>3155641</v>
      </c>
      <c r="O73" s="26">
        <v>15158272.699999999</v>
      </c>
    </row>
    <row r="74" spans="1:15" ht="15.75" hidden="1" thickBot="1" x14ac:dyDescent="0.3">
      <c r="A74" s="21"/>
      <c r="B74" s="22" t="s">
        <v>33</v>
      </c>
      <c r="C74" s="23">
        <v>3569</v>
      </c>
      <c r="D74" s="23">
        <v>384078</v>
      </c>
      <c r="E74" s="23">
        <v>428</v>
      </c>
      <c r="F74" s="23">
        <v>154080</v>
      </c>
      <c r="G74" s="23">
        <v>0</v>
      </c>
      <c r="H74" s="23">
        <v>0</v>
      </c>
      <c r="I74" s="23">
        <v>0</v>
      </c>
      <c r="J74" s="23">
        <v>48000</v>
      </c>
      <c r="K74" s="23">
        <v>2760000</v>
      </c>
      <c r="L74" s="23">
        <v>222192</v>
      </c>
      <c r="M74" s="23">
        <v>3346158</v>
      </c>
      <c r="N74" s="23">
        <v>2320017</v>
      </c>
      <c r="O74" s="26">
        <v>16263653.699999999</v>
      </c>
    </row>
    <row r="75" spans="1:15" ht="15.75" hidden="1" thickBot="1" x14ac:dyDescent="0.3">
      <c r="A75" s="21"/>
      <c r="B75" s="22" t="s">
        <v>34</v>
      </c>
      <c r="C75" s="23">
        <v>4260</v>
      </c>
      <c r="D75" s="23">
        <v>469191</v>
      </c>
      <c r="E75" s="23">
        <v>782</v>
      </c>
      <c r="F75" s="23">
        <v>281520</v>
      </c>
      <c r="G75" s="23">
        <v>0</v>
      </c>
      <c r="H75" s="23">
        <v>0</v>
      </c>
      <c r="I75" s="23">
        <v>0</v>
      </c>
      <c r="J75" s="23">
        <v>48000</v>
      </c>
      <c r="K75" s="23">
        <v>2760000</v>
      </c>
      <c r="L75" s="23">
        <v>220682</v>
      </c>
      <c r="M75" s="23">
        <v>3558711</v>
      </c>
      <c r="N75" s="23">
        <v>3077075</v>
      </c>
      <c r="O75" s="26">
        <v>16787000.699999999</v>
      </c>
    </row>
    <row r="76" spans="1:15" ht="15.75" hidden="1" thickBot="1" x14ac:dyDescent="0.3">
      <c r="A76" s="21"/>
      <c r="B76" s="22" t="s">
        <v>35</v>
      </c>
      <c r="C76" s="23">
        <v>5016</v>
      </c>
      <c r="D76" s="23">
        <v>629252</v>
      </c>
      <c r="E76" s="23">
        <v>2409</v>
      </c>
      <c r="F76" s="23">
        <v>867240</v>
      </c>
      <c r="G76" s="23">
        <v>0</v>
      </c>
      <c r="H76" s="23">
        <v>0</v>
      </c>
      <c r="I76" s="23">
        <v>0</v>
      </c>
      <c r="J76" s="23">
        <v>48000</v>
      </c>
      <c r="K76" s="23">
        <v>2760000</v>
      </c>
      <c r="L76" s="23">
        <v>372525</v>
      </c>
      <c r="M76" s="23">
        <v>4304492</v>
      </c>
      <c r="N76" s="23">
        <v>3736840</v>
      </c>
      <c r="O76" s="26">
        <v>17574712.699999999</v>
      </c>
    </row>
    <row r="77" spans="1:15" ht="15.75" hidden="1" thickBot="1" x14ac:dyDescent="0.3">
      <c r="A77" s="21"/>
      <c r="B77" s="22" t="s">
        <v>36</v>
      </c>
      <c r="C77" s="23">
        <v>4255</v>
      </c>
      <c r="D77" s="23">
        <v>506342</v>
      </c>
      <c r="E77" s="23">
        <v>2545</v>
      </c>
      <c r="F77" s="23">
        <v>916200</v>
      </c>
      <c r="G77" s="23">
        <v>0</v>
      </c>
      <c r="H77" s="23">
        <v>0</v>
      </c>
      <c r="I77" s="23">
        <v>0</v>
      </c>
      <c r="J77" s="23">
        <v>48000</v>
      </c>
      <c r="K77" s="23">
        <v>2760000</v>
      </c>
      <c r="L77" s="23">
        <v>382240</v>
      </c>
      <c r="M77" s="23">
        <v>4230542</v>
      </c>
      <c r="N77" s="23">
        <v>3795800</v>
      </c>
      <c r="O77" s="26">
        <v>18233910.719999999</v>
      </c>
    </row>
    <row r="78" spans="1:15" ht="15.75" hidden="1" thickBot="1" x14ac:dyDescent="0.3">
      <c r="A78" s="21"/>
      <c r="B78" s="22" t="s">
        <v>37</v>
      </c>
      <c r="C78" s="23">
        <v>7685</v>
      </c>
      <c r="D78" s="23">
        <v>899923</v>
      </c>
      <c r="E78" s="23">
        <v>3693</v>
      </c>
      <c r="F78" s="23">
        <v>1340280</v>
      </c>
      <c r="G78" s="23">
        <v>0</v>
      </c>
      <c r="H78" s="23">
        <v>0</v>
      </c>
      <c r="I78" s="23">
        <v>0</v>
      </c>
      <c r="J78" s="23">
        <v>48000</v>
      </c>
      <c r="K78" s="23">
        <v>2760000</v>
      </c>
      <c r="L78" s="23">
        <v>432991.67000000004</v>
      </c>
      <c r="M78" s="23">
        <v>5048203</v>
      </c>
      <c r="N78" s="23">
        <v>4987049.6900000004</v>
      </c>
      <c r="O78" s="26">
        <v>18816449.579999998</v>
      </c>
    </row>
    <row r="79" spans="1:15" ht="15.75" hidden="1" thickBot="1" x14ac:dyDescent="0.3">
      <c r="A79" s="21">
        <v>2009</v>
      </c>
      <c r="B79" s="22" t="s">
        <v>38</v>
      </c>
      <c r="C79" s="23">
        <v>7464</v>
      </c>
      <c r="D79" s="23">
        <v>926528</v>
      </c>
      <c r="E79" s="23">
        <v>3439</v>
      </c>
      <c r="F79" s="23">
        <v>1238040</v>
      </c>
      <c r="G79" s="23">
        <v>0</v>
      </c>
      <c r="H79" s="23">
        <v>0</v>
      </c>
      <c r="I79" s="23">
        <v>0</v>
      </c>
      <c r="J79" s="23">
        <v>48000</v>
      </c>
      <c r="K79" s="23">
        <v>2760000</v>
      </c>
      <c r="L79" s="23">
        <v>543775.57000000007</v>
      </c>
      <c r="M79" s="23">
        <v>5014568</v>
      </c>
      <c r="N79" s="23">
        <v>4479096</v>
      </c>
      <c r="O79" s="26">
        <v>18445106.93</v>
      </c>
    </row>
    <row r="80" spans="1:15" ht="15.75" hidden="1" thickBot="1" x14ac:dyDescent="0.3">
      <c r="A80" s="21"/>
      <c r="B80" s="22" t="s">
        <v>27</v>
      </c>
      <c r="C80" s="23">
        <v>8538</v>
      </c>
      <c r="D80" s="23">
        <v>1111030</v>
      </c>
      <c r="E80" s="23">
        <v>3280</v>
      </c>
      <c r="F80" s="23">
        <v>1528560</v>
      </c>
      <c r="G80" s="23">
        <v>0</v>
      </c>
      <c r="H80" s="23">
        <v>0</v>
      </c>
      <c r="I80" s="23">
        <v>12000</v>
      </c>
      <c r="J80" s="23">
        <v>48000</v>
      </c>
      <c r="K80" s="23">
        <v>2760000</v>
      </c>
      <c r="L80" s="23">
        <v>550832</v>
      </c>
      <c r="M80" s="23">
        <v>5447590</v>
      </c>
      <c r="N80" s="23">
        <v>4016209</v>
      </c>
      <c r="O80" s="26">
        <v>20240992.519999996</v>
      </c>
    </row>
    <row r="81" spans="1:15" ht="15.75" hidden="1" thickBot="1" x14ac:dyDescent="0.3">
      <c r="A81" s="21"/>
      <c r="B81" s="22" t="s">
        <v>28</v>
      </c>
      <c r="C81" s="23">
        <v>7456</v>
      </c>
      <c r="D81" s="23">
        <v>970160</v>
      </c>
      <c r="E81" s="23">
        <v>3428</v>
      </c>
      <c r="F81" s="23">
        <v>1595520</v>
      </c>
      <c r="G81" s="23">
        <v>0</v>
      </c>
      <c r="H81" s="23">
        <v>0</v>
      </c>
      <c r="I81" s="23">
        <v>0</v>
      </c>
      <c r="J81" s="23">
        <v>44000</v>
      </c>
      <c r="K81" s="23">
        <v>2760000</v>
      </c>
      <c r="L81" s="23">
        <v>502180</v>
      </c>
      <c r="M81" s="23">
        <v>5369680</v>
      </c>
      <c r="N81" s="23">
        <v>5326798</v>
      </c>
      <c r="O81" s="26">
        <v>20604896.519999996</v>
      </c>
    </row>
    <row r="82" spans="1:15" ht="15.75" hidden="1" thickBot="1" x14ac:dyDescent="0.3">
      <c r="A82" s="21"/>
      <c r="B82" s="22" t="s">
        <v>29</v>
      </c>
      <c r="C82" s="23">
        <v>5077</v>
      </c>
      <c r="D82" s="23">
        <v>713918</v>
      </c>
      <c r="E82" s="23">
        <v>2238</v>
      </c>
      <c r="F82" s="23">
        <v>884520</v>
      </c>
      <c r="G82" s="23">
        <v>0</v>
      </c>
      <c r="H82" s="23">
        <v>0</v>
      </c>
      <c r="I82" s="23">
        <v>0</v>
      </c>
      <c r="J82" s="23">
        <v>48000</v>
      </c>
      <c r="K82" s="23">
        <v>2760000</v>
      </c>
      <c r="L82" s="23">
        <v>579844</v>
      </c>
      <c r="M82" s="23">
        <v>4410438</v>
      </c>
      <c r="N82" s="23">
        <v>5660345.9589999998</v>
      </c>
      <c r="O82" s="26">
        <v>19565182.500999995</v>
      </c>
    </row>
    <row r="83" spans="1:15" ht="15.75" hidden="1" thickBot="1" x14ac:dyDescent="0.3">
      <c r="A83" s="21"/>
      <c r="B83" s="22" t="s">
        <v>30</v>
      </c>
      <c r="C83" s="23">
        <v>4491</v>
      </c>
      <c r="D83" s="23">
        <v>655674</v>
      </c>
      <c r="E83" s="23">
        <v>1073</v>
      </c>
      <c r="F83" s="23">
        <v>386280</v>
      </c>
      <c r="G83" s="23">
        <v>0</v>
      </c>
      <c r="H83" s="23">
        <v>0</v>
      </c>
      <c r="I83" s="23">
        <v>0</v>
      </c>
      <c r="J83" s="23">
        <v>60000</v>
      </c>
      <c r="K83" s="23">
        <v>2760000</v>
      </c>
      <c r="L83" s="23">
        <v>466105</v>
      </c>
      <c r="M83" s="23">
        <v>3861954</v>
      </c>
      <c r="N83" s="23">
        <v>2924305</v>
      </c>
      <c r="O83" s="26">
        <v>21061718.500999995</v>
      </c>
    </row>
    <row r="84" spans="1:15" ht="15.75" hidden="1" thickBot="1" x14ac:dyDescent="0.3">
      <c r="A84" s="21"/>
      <c r="B84" s="22" t="s">
        <v>31</v>
      </c>
      <c r="C84" s="23">
        <v>5934</v>
      </c>
      <c r="D84" s="23">
        <v>866364</v>
      </c>
      <c r="E84" s="23">
        <v>737</v>
      </c>
      <c r="F84" s="23">
        <v>265320</v>
      </c>
      <c r="G84" s="23">
        <v>0</v>
      </c>
      <c r="H84" s="23">
        <v>0</v>
      </c>
      <c r="I84" s="23">
        <v>0</v>
      </c>
      <c r="J84" s="23">
        <v>60000</v>
      </c>
      <c r="K84" s="23">
        <v>2770000</v>
      </c>
      <c r="L84" s="23">
        <v>491222</v>
      </c>
      <c r="M84" s="23">
        <v>3986698</v>
      </c>
      <c r="N84" s="23">
        <v>4312775</v>
      </c>
      <c r="O84" s="26">
        <v>20720071.500999995</v>
      </c>
    </row>
    <row r="85" spans="1:15" ht="15.75" hidden="1" thickBot="1" x14ac:dyDescent="0.3">
      <c r="A85" s="21"/>
      <c r="B85" s="22" t="s">
        <v>32</v>
      </c>
      <c r="C85" s="23">
        <v>4864</v>
      </c>
      <c r="D85" s="23">
        <v>710144</v>
      </c>
      <c r="E85" s="23">
        <v>347</v>
      </c>
      <c r="F85" s="23">
        <v>124920</v>
      </c>
      <c r="G85" s="23">
        <v>0</v>
      </c>
      <c r="H85" s="23">
        <v>0</v>
      </c>
      <c r="I85" s="23">
        <v>12000</v>
      </c>
      <c r="J85" s="23">
        <v>68000</v>
      </c>
      <c r="K85" s="23">
        <v>2760000</v>
      </c>
      <c r="L85" s="23">
        <v>482501</v>
      </c>
      <c r="M85" s="23">
        <v>3959064</v>
      </c>
      <c r="N85" s="23">
        <v>3753933</v>
      </c>
      <c r="O85" s="26">
        <v>24293910.500999995</v>
      </c>
    </row>
    <row r="86" spans="1:15" ht="15.75" hidden="1" thickBot="1" x14ac:dyDescent="0.3">
      <c r="A86" s="21"/>
      <c r="B86" s="22" t="s">
        <v>33</v>
      </c>
      <c r="C86" s="23">
        <v>4673</v>
      </c>
      <c r="D86" s="23">
        <v>682258</v>
      </c>
      <c r="E86" s="23">
        <v>-5498</v>
      </c>
      <c r="F86" s="23">
        <v>-1979280</v>
      </c>
      <c r="G86" s="23">
        <v>0</v>
      </c>
      <c r="H86" s="23">
        <v>0</v>
      </c>
      <c r="I86" s="23">
        <v>0</v>
      </c>
      <c r="J86" s="23">
        <v>60000</v>
      </c>
      <c r="K86" s="23">
        <v>3330000</v>
      </c>
      <c r="L86" s="23">
        <v>478089</v>
      </c>
      <c r="M86" s="23">
        <v>1792978</v>
      </c>
      <c r="N86" s="23">
        <v>3488931</v>
      </c>
      <c r="O86" s="26">
        <v>24847428.500999995</v>
      </c>
    </row>
    <row r="87" spans="1:15" ht="15.75" hidden="1" thickBot="1" x14ac:dyDescent="0.3">
      <c r="A87" s="21"/>
      <c r="B87" s="22" t="s">
        <v>34</v>
      </c>
      <c r="C87" s="23">
        <v>6746</v>
      </c>
      <c r="D87" s="23">
        <v>984916</v>
      </c>
      <c r="E87" s="23">
        <v>838</v>
      </c>
      <c r="F87" s="23">
        <v>328860</v>
      </c>
      <c r="G87" s="23">
        <v>0</v>
      </c>
      <c r="H87" s="23">
        <v>0</v>
      </c>
      <c r="I87" s="23">
        <v>0</v>
      </c>
      <c r="J87" s="23">
        <v>48000</v>
      </c>
      <c r="K87" s="23">
        <v>2770000</v>
      </c>
      <c r="L87" s="23">
        <v>521582</v>
      </c>
      <c r="M87" s="23">
        <v>4131776</v>
      </c>
      <c r="N87" s="23">
        <v>2974471</v>
      </c>
      <c r="O87" s="26">
        <v>26394853.500999995</v>
      </c>
    </row>
    <row r="88" spans="1:15" ht="15.75" hidden="1" thickBot="1" x14ac:dyDescent="0.3">
      <c r="A88" s="21"/>
      <c r="B88" s="22" t="s">
        <v>35</v>
      </c>
      <c r="C88" s="23">
        <v>5633</v>
      </c>
      <c r="D88" s="23">
        <v>835801</v>
      </c>
      <c r="E88" s="23">
        <v>1965</v>
      </c>
      <c r="F88" s="23">
        <v>755280</v>
      </c>
      <c r="G88" s="23">
        <v>0</v>
      </c>
      <c r="H88" s="23">
        <v>0</v>
      </c>
      <c r="I88" s="23">
        <v>0</v>
      </c>
      <c r="J88" s="23">
        <v>52000</v>
      </c>
      <c r="K88" s="23">
        <v>2770000</v>
      </c>
      <c r="L88" s="23">
        <v>485840</v>
      </c>
      <c r="M88" s="23">
        <v>4413081</v>
      </c>
      <c r="N88" s="23">
        <v>4126239</v>
      </c>
      <c r="O88" s="26">
        <v>26903661.500999995</v>
      </c>
    </row>
    <row r="89" spans="1:15" ht="15.75" hidden="1" thickBot="1" x14ac:dyDescent="0.3">
      <c r="A89" s="21"/>
      <c r="B89" s="22" t="s">
        <v>36</v>
      </c>
      <c r="C89" s="23">
        <v>5894</v>
      </c>
      <c r="D89" s="23">
        <v>860524</v>
      </c>
      <c r="E89" s="23">
        <v>2587</v>
      </c>
      <c r="F89" s="23">
        <v>1028160</v>
      </c>
      <c r="G89" s="23">
        <v>0</v>
      </c>
      <c r="H89" s="23">
        <v>0</v>
      </c>
      <c r="I89" s="23">
        <v>0</v>
      </c>
      <c r="J89" s="23">
        <v>56000</v>
      </c>
      <c r="K89" s="23">
        <v>2769000</v>
      </c>
      <c r="L89" s="23">
        <v>711597</v>
      </c>
      <c r="M89" s="23">
        <v>4730078</v>
      </c>
      <c r="N89" s="23">
        <v>4350499</v>
      </c>
      <c r="O89" s="26">
        <v>27808982.300999995</v>
      </c>
    </row>
    <row r="90" spans="1:15" ht="15.75" hidden="1" thickBot="1" x14ac:dyDescent="0.3">
      <c r="A90" s="21"/>
      <c r="B90" s="22" t="s">
        <v>37</v>
      </c>
      <c r="C90" s="23">
        <v>7627</v>
      </c>
      <c r="D90" s="23">
        <v>1113542</v>
      </c>
      <c r="E90" s="23">
        <v>4520</v>
      </c>
      <c r="F90" s="23">
        <v>2010060</v>
      </c>
      <c r="G90" s="23">
        <v>0</v>
      </c>
      <c r="H90" s="23">
        <v>0</v>
      </c>
      <c r="I90" s="23">
        <v>0</v>
      </c>
      <c r="J90" s="23">
        <v>56000</v>
      </c>
      <c r="K90" s="23">
        <v>2769000</v>
      </c>
      <c r="L90" s="23">
        <v>597725</v>
      </c>
      <c r="M90" s="23">
        <v>5948602</v>
      </c>
      <c r="N90" s="23">
        <v>5232496</v>
      </c>
      <c r="O90" s="26">
        <v>29015585.441</v>
      </c>
    </row>
    <row r="91" spans="1:15" ht="15.75" hidden="1" thickBot="1" x14ac:dyDescent="0.3">
      <c r="A91">
        <v>2010</v>
      </c>
      <c r="B91" s="22" t="s">
        <v>38</v>
      </c>
      <c r="C91" s="23">
        <v>7460</v>
      </c>
      <c r="D91" s="23">
        <v>1089160</v>
      </c>
      <c r="E91" s="23">
        <v>4168</v>
      </c>
      <c r="F91" s="23">
        <v>1536120</v>
      </c>
      <c r="G91" s="23">
        <v>0</v>
      </c>
      <c r="H91" s="23">
        <v>0</v>
      </c>
      <c r="I91" s="23">
        <v>100000</v>
      </c>
      <c r="J91" s="23">
        <v>56000</v>
      </c>
      <c r="K91" s="23">
        <v>3282000</v>
      </c>
      <c r="L91" s="23">
        <v>720214</v>
      </c>
      <c r="M91" s="23">
        <v>6263280</v>
      </c>
      <c r="N91" s="23">
        <v>5914765</v>
      </c>
      <c r="O91" s="26">
        <v>30330428.419</v>
      </c>
    </row>
    <row r="92" spans="1:15" ht="15.75" hidden="1" thickBot="1" x14ac:dyDescent="0.3">
      <c r="B92" s="22" t="s">
        <v>27</v>
      </c>
      <c r="C92" s="23">
        <v>7992</v>
      </c>
      <c r="D92" s="23">
        <v>1166832</v>
      </c>
      <c r="E92" s="23">
        <v>4026</v>
      </c>
      <c r="F92" s="23">
        <v>1455300</v>
      </c>
      <c r="G92" s="23">
        <v>0</v>
      </c>
      <c r="H92" s="23">
        <v>0</v>
      </c>
      <c r="I92" s="23">
        <v>50000</v>
      </c>
      <c r="J92" s="23">
        <v>56000</v>
      </c>
      <c r="K92" s="23">
        <v>3291000</v>
      </c>
      <c r="L92" s="23">
        <v>772937</v>
      </c>
      <c r="M92" s="23">
        <v>6269132</v>
      </c>
      <c r="N92" s="23">
        <v>5484245</v>
      </c>
      <c r="O92" s="26">
        <v>32670116.519000001</v>
      </c>
    </row>
    <row r="93" spans="1:15" ht="15.75" hidden="1" thickBot="1" x14ac:dyDescent="0.3">
      <c r="B93" s="22" t="s">
        <v>28</v>
      </c>
      <c r="C93" s="23">
        <v>5489</v>
      </c>
      <c r="D93" s="23">
        <v>801394</v>
      </c>
      <c r="E93" s="23">
        <v>2992</v>
      </c>
      <c r="F93" s="23">
        <v>1003500</v>
      </c>
      <c r="G93" s="23">
        <v>0</v>
      </c>
      <c r="H93" s="23">
        <v>0</v>
      </c>
      <c r="I93" s="23">
        <v>50000</v>
      </c>
      <c r="J93" s="23">
        <v>56000</v>
      </c>
      <c r="K93" s="23">
        <v>3300000</v>
      </c>
      <c r="L93" s="23">
        <v>712631</v>
      </c>
      <c r="M93" s="23">
        <v>5460894</v>
      </c>
      <c r="N93" s="23">
        <v>5543533</v>
      </c>
      <c r="O93" s="26">
        <v>33400352.519000001</v>
      </c>
    </row>
    <row r="94" spans="1:15" ht="15.75" hidden="1" thickBot="1" x14ac:dyDescent="0.3">
      <c r="B94" s="22" t="s">
        <v>29</v>
      </c>
      <c r="C94" s="23">
        <v>5305</v>
      </c>
      <c r="D94" s="23">
        <v>774530</v>
      </c>
      <c r="E94" s="23">
        <v>2184</v>
      </c>
      <c r="F94" s="23">
        <v>842580</v>
      </c>
      <c r="G94" s="23">
        <v>0</v>
      </c>
      <c r="H94" s="23">
        <v>0</v>
      </c>
      <c r="I94" s="23">
        <v>50000</v>
      </c>
      <c r="J94" s="23">
        <v>52000</v>
      </c>
      <c r="K94" s="23">
        <v>3300000</v>
      </c>
      <c r="L94" s="23">
        <v>550344</v>
      </c>
      <c r="M94" s="23">
        <v>5269110</v>
      </c>
      <c r="N94" s="23">
        <v>4814396</v>
      </c>
      <c r="O94" s="26">
        <v>34492920.749000005</v>
      </c>
    </row>
    <row r="95" spans="1:15" ht="15.75" hidden="1" thickBot="1" x14ac:dyDescent="0.3">
      <c r="B95" s="22" t="s">
        <v>30</v>
      </c>
      <c r="C95" s="23">
        <v>4314</v>
      </c>
      <c r="D95" s="23">
        <v>629844</v>
      </c>
      <c r="E95" s="23">
        <v>1061</v>
      </c>
      <c r="F95" s="23">
        <v>407160</v>
      </c>
      <c r="G95" s="23">
        <v>0</v>
      </c>
      <c r="H95" s="23">
        <v>0</v>
      </c>
      <c r="I95" s="23">
        <v>50000</v>
      </c>
      <c r="J95" s="23">
        <v>56000</v>
      </c>
      <c r="K95" s="23">
        <v>3300000</v>
      </c>
      <c r="L95" s="23">
        <v>766929</v>
      </c>
      <c r="M95" s="23">
        <v>4693004</v>
      </c>
      <c r="N95" s="23">
        <v>4859355</v>
      </c>
      <c r="O95" s="26">
        <v>35496044.749000005</v>
      </c>
    </row>
    <row r="96" spans="1:15" ht="15.75" hidden="1" thickBot="1" x14ac:dyDescent="0.3">
      <c r="B96" s="22" t="s">
        <v>31</v>
      </c>
      <c r="C96" s="23">
        <v>4446</v>
      </c>
      <c r="D96" s="23">
        <v>649116</v>
      </c>
      <c r="E96" s="23">
        <v>488</v>
      </c>
      <c r="F96" s="23">
        <v>175320</v>
      </c>
      <c r="G96" s="23">
        <v>0</v>
      </c>
      <c r="H96" s="23">
        <v>0</v>
      </c>
      <c r="I96" s="23">
        <v>0</v>
      </c>
      <c r="J96" s="23">
        <v>56000</v>
      </c>
      <c r="K96" s="23">
        <v>3300000</v>
      </c>
      <c r="L96" s="23">
        <v>508848</v>
      </c>
      <c r="M96" s="23">
        <v>4180436</v>
      </c>
      <c r="N96" s="23">
        <v>3361324</v>
      </c>
      <c r="O96" s="26">
        <v>36803486.149000004</v>
      </c>
    </row>
    <row r="97" spans="1:15" ht="15.75" hidden="1" thickBot="1" x14ac:dyDescent="0.3">
      <c r="A97" s="21"/>
      <c r="B97" s="22" t="s">
        <v>32</v>
      </c>
      <c r="C97" s="23">
        <v>5420</v>
      </c>
      <c r="D97" s="23">
        <v>791320</v>
      </c>
      <c r="E97" s="23">
        <v>356</v>
      </c>
      <c r="F97" s="23">
        <v>128160</v>
      </c>
      <c r="G97" s="23">
        <v>0</v>
      </c>
      <c r="H97" s="23">
        <v>0</v>
      </c>
      <c r="I97" s="23">
        <v>59000</v>
      </c>
      <c r="J97" s="23">
        <v>144246</v>
      </c>
      <c r="K97" s="23">
        <v>3555574.3</v>
      </c>
      <c r="L97" s="23">
        <v>834870.3</v>
      </c>
      <c r="M97" s="23">
        <v>5130284</v>
      </c>
      <c r="N97" s="23">
        <v>4429905</v>
      </c>
      <c r="O97" s="26">
        <v>32271683.149</v>
      </c>
    </row>
    <row r="98" spans="1:15" ht="15.75" hidden="1" thickBot="1" x14ac:dyDescent="0.3">
      <c r="A98" s="21"/>
      <c r="B98" s="22" t="s">
        <v>33</v>
      </c>
      <c r="C98" s="23">
        <v>4572</v>
      </c>
      <c r="D98" s="23">
        <v>667512</v>
      </c>
      <c r="E98" s="23">
        <v>402</v>
      </c>
      <c r="F98" s="23">
        <v>144720</v>
      </c>
      <c r="G98" s="23">
        <v>0</v>
      </c>
      <c r="H98" s="23">
        <v>55000</v>
      </c>
      <c r="I98" s="23">
        <v>40500</v>
      </c>
      <c r="J98" s="23">
        <v>189174</v>
      </c>
      <c r="K98" s="23">
        <v>3555874.3</v>
      </c>
      <c r="L98" s="23">
        <v>657136.30000000005</v>
      </c>
      <c r="M98" s="23">
        <v>4791646</v>
      </c>
      <c r="N98" s="23">
        <v>11376347</v>
      </c>
      <c r="O98" s="26">
        <v>25771552.148999996</v>
      </c>
    </row>
    <row r="99" spans="1:15" ht="15.75" hidden="1" thickBot="1" x14ac:dyDescent="0.3">
      <c r="A99" s="21"/>
      <c r="B99" s="22" t="s">
        <v>34</v>
      </c>
      <c r="C99" s="23">
        <v>7319</v>
      </c>
      <c r="D99" s="23">
        <v>1068574</v>
      </c>
      <c r="E99" s="23">
        <v>1344</v>
      </c>
      <c r="F99" s="23">
        <v>500400</v>
      </c>
      <c r="G99" s="23">
        <v>0</v>
      </c>
      <c r="H99" s="23">
        <v>0</v>
      </c>
      <c r="I99" s="23">
        <v>44000</v>
      </c>
      <c r="J99" s="23">
        <v>197334</v>
      </c>
      <c r="K99" s="23">
        <v>3594474.3</v>
      </c>
      <c r="L99" s="23">
        <v>678513.3</v>
      </c>
      <c r="M99" s="23">
        <v>5409580</v>
      </c>
      <c r="N99" s="23">
        <v>3993155</v>
      </c>
      <c r="O99" s="26">
        <v>27363030.149</v>
      </c>
    </row>
    <row r="100" spans="1:15" ht="15.75" hidden="1" thickBot="1" x14ac:dyDescent="0.3">
      <c r="A100" s="21"/>
      <c r="B100" s="22" t="s">
        <v>35</v>
      </c>
      <c r="C100" s="23">
        <v>-7747</v>
      </c>
      <c r="D100" s="23">
        <v>-1131062</v>
      </c>
      <c r="E100" s="23">
        <v>-1713</v>
      </c>
      <c r="F100" s="23">
        <v>-532440</v>
      </c>
      <c r="G100" s="23">
        <v>0</v>
      </c>
      <c r="H100" s="23">
        <v>0</v>
      </c>
      <c r="I100" s="23">
        <v>4000</v>
      </c>
      <c r="J100" s="23">
        <v>-3219270</v>
      </c>
      <c r="K100" s="23">
        <v>3647562.3</v>
      </c>
      <c r="L100" s="23">
        <v>-2697303.7</v>
      </c>
      <c r="M100" s="23">
        <v>5595172</v>
      </c>
      <c r="N100" s="23">
        <v>5942619</v>
      </c>
      <c r="O100" s="26">
        <v>23756911.149</v>
      </c>
    </row>
    <row r="101" spans="1:15" ht="15.75" hidden="1" thickBot="1" x14ac:dyDescent="0.3">
      <c r="A101" s="21"/>
      <c r="B101" s="22" t="s">
        <v>36</v>
      </c>
      <c r="C101" s="23">
        <v>18993</v>
      </c>
      <c r="D101" s="23">
        <v>2772978</v>
      </c>
      <c r="E101" s="23">
        <v>7354</v>
      </c>
      <c r="F101" s="23">
        <v>2932920</v>
      </c>
      <c r="G101" s="23">
        <v>0</v>
      </c>
      <c r="H101" s="23">
        <v>0</v>
      </c>
      <c r="I101" s="23">
        <v>4000</v>
      </c>
      <c r="J101" s="23">
        <v>3528626</v>
      </c>
      <c r="K101" s="23">
        <v>240768.29999999981</v>
      </c>
      <c r="L101" s="23">
        <v>633155.29999999981</v>
      </c>
      <c r="M101" s="23">
        <v>6178366</v>
      </c>
      <c r="N101" s="23">
        <v>6220404</v>
      </c>
      <c r="O101" s="26">
        <v>27188946.148999996</v>
      </c>
    </row>
    <row r="102" spans="1:15" ht="15.75" hidden="1" thickBot="1" x14ac:dyDescent="0.3">
      <c r="A102" s="21"/>
      <c r="B102" s="22" t="s">
        <v>37</v>
      </c>
      <c r="C102" s="23">
        <v>5508</v>
      </c>
      <c r="D102" s="23">
        <v>804168</v>
      </c>
      <c r="E102" s="23">
        <v>4427</v>
      </c>
      <c r="F102" s="23">
        <v>2093400</v>
      </c>
      <c r="G102" s="23">
        <v>0</v>
      </c>
      <c r="H102" s="23">
        <v>0</v>
      </c>
      <c r="I102" s="23">
        <v>4000</v>
      </c>
      <c r="J102" s="23">
        <v>234248</v>
      </c>
      <c r="K102" s="23">
        <v>3437704.3</v>
      </c>
      <c r="L102" s="23">
        <v>462179.29999999981</v>
      </c>
      <c r="M102" s="23">
        <v>6621847</v>
      </c>
      <c r="N102" s="23">
        <v>6707733</v>
      </c>
      <c r="O102" s="26">
        <v>27282466.148999996</v>
      </c>
    </row>
    <row r="103" spans="1:15" ht="15.75" hidden="1" thickBot="1" x14ac:dyDescent="0.3">
      <c r="A103" s="21">
        <v>2011</v>
      </c>
      <c r="B103" s="22" t="s">
        <v>38</v>
      </c>
      <c r="C103" s="23">
        <v>17002</v>
      </c>
      <c r="D103" s="23">
        <v>2482292</v>
      </c>
      <c r="E103" s="23">
        <v>7591</v>
      </c>
      <c r="F103" s="23">
        <v>3335400</v>
      </c>
      <c r="G103" s="23">
        <v>29649</v>
      </c>
      <c r="H103" s="23">
        <v>0</v>
      </c>
      <c r="I103" s="23">
        <v>4000</v>
      </c>
      <c r="J103" s="23">
        <v>60000</v>
      </c>
      <c r="K103" s="23">
        <v>3625600</v>
      </c>
      <c r="L103" s="23">
        <v>263500</v>
      </c>
      <c r="M103" s="23">
        <v>9796441</v>
      </c>
      <c r="N103" s="23">
        <v>5633265</v>
      </c>
      <c r="O103" s="26">
        <v>31492466.148999996</v>
      </c>
    </row>
    <row r="104" spans="1:15" ht="15.75" hidden="1" thickBot="1" x14ac:dyDescent="0.3">
      <c r="A104" s="21"/>
      <c r="B104" s="22" t="s">
        <v>27</v>
      </c>
      <c r="C104" s="23">
        <v>6726</v>
      </c>
      <c r="D104" s="23">
        <v>981996</v>
      </c>
      <c r="E104" s="23">
        <v>4755</v>
      </c>
      <c r="F104" s="23">
        <v>2343510</v>
      </c>
      <c r="G104" s="23">
        <v>0</v>
      </c>
      <c r="H104" s="23">
        <v>0</v>
      </c>
      <c r="I104" s="23">
        <v>4000</v>
      </c>
      <c r="J104" s="23">
        <v>60000</v>
      </c>
      <c r="K104" s="23">
        <v>3625600</v>
      </c>
      <c r="L104" s="23">
        <v>273216</v>
      </c>
      <c r="M104" s="23">
        <v>7284322</v>
      </c>
      <c r="N104" s="23">
        <v>6358866</v>
      </c>
      <c r="O104" s="26">
        <v>29926484.149</v>
      </c>
    </row>
    <row r="105" spans="1:15" ht="15.75" hidden="1" thickBot="1" x14ac:dyDescent="0.3">
      <c r="A105" s="21"/>
      <c r="B105" s="22" t="s">
        <v>28</v>
      </c>
      <c r="C105" s="23">
        <v>5952</v>
      </c>
      <c r="D105" s="23">
        <v>868992</v>
      </c>
      <c r="E105" s="23">
        <v>3558</v>
      </c>
      <c r="F105" s="23">
        <v>1519200</v>
      </c>
      <c r="G105" s="23">
        <v>0</v>
      </c>
      <c r="H105" s="23">
        <v>0</v>
      </c>
      <c r="I105" s="23">
        <v>4000</v>
      </c>
      <c r="J105" s="23">
        <v>56000</v>
      </c>
      <c r="K105" s="23">
        <v>3625600</v>
      </c>
      <c r="L105" s="23">
        <v>316099</v>
      </c>
      <c r="M105" s="23">
        <v>6345729</v>
      </c>
      <c r="N105" s="23">
        <v>5544421</v>
      </c>
      <c r="O105" s="26">
        <v>30682398.149</v>
      </c>
    </row>
    <row r="106" spans="1:15" ht="15.75" hidden="1" thickBot="1" x14ac:dyDescent="0.3">
      <c r="A106" s="21"/>
      <c r="B106" s="22" t="s">
        <v>29</v>
      </c>
      <c r="C106" s="23">
        <v>6297</v>
      </c>
      <c r="D106" s="23">
        <v>919362</v>
      </c>
      <c r="E106" s="23">
        <v>2882</v>
      </c>
      <c r="F106" s="23">
        <v>1186740</v>
      </c>
      <c r="G106" s="23">
        <v>0</v>
      </c>
      <c r="H106" s="23">
        <v>0</v>
      </c>
      <c r="I106" s="23">
        <v>4000</v>
      </c>
      <c r="J106" s="23">
        <v>56000</v>
      </c>
      <c r="K106" s="23">
        <v>3625600</v>
      </c>
      <c r="L106" s="23">
        <v>271868</v>
      </c>
      <c r="M106" s="23">
        <v>6059570</v>
      </c>
      <c r="N106" s="23">
        <v>8409508</v>
      </c>
      <c r="O106" s="26">
        <v>28276472.148999996</v>
      </c>
    </row>
    <row r="107" spans="1:15" ht="15.75" hidden="1" thickBot="1" x14ac:dyDescent="0.3">
      <c r="A107" s="21"/>
      <c r="B107" s="22" t="s">
        <v>30</v>
      </c>
      <c r="C107" s="23">
        <v>4069</v>
      </c>
      <c r="D107" s="23">
        <v>594074</v>
      </c>
      <c r="E107" s="23">
        <v>1146</v>
      </c>
      <c r="F107" s="23">
        <v>450720</v>
      </c>
      <c r="G107" s="23">
        <v>0</v>
      </c>
      <c r="H107" s="23">
        <v>0</v>
      </c>
      <c r="I107" s="23">
        <v>4000</v>
      </c>
      <c r="J107" s="23">
        <v>56000</v>
      </c>
      <c r="K107" s="23">
        <v>3625600</v>
      </c>
      <c r="L107" s="23">
        <v>274218</v>
      </c>
      <c r="M107" s="23">
        <v>5000612</v>
      </c>
      <c r="N107" s="23">
        <v>4432575</v>
      </c>
      <c r="O107" s="26">
        <v>28998053.148999996</v>
      </c>
    </row>
    <row r="108" spans="1:15" ht="15.75" hidden="1" thickBot="1" x14ac:dyDescent="0.3">
      <c r="A108" s="21"/>
      <c r="B108" s="22" t="s">
        <v>31</v>
      </c>
      <c r="C108" s="23">
        <v>3984</v>
      </c>
      <c r="D108" s="23">
        <v>581664</v>
      </c>
      <c r="E108" s="23">
        <v>868</v>
      </c>
      <c r="F108" s="23">
        <v>312480</v>
      </c>
      <c r="G108" s="23">
        <v>0</v>
      </c>
      <c r="H108" s="23">
        <v>0</v>
      </c>
      <c r="I108" s="23">
        <v>4000</v>
      </c>
      <c r="J108" s="23">
        <v>56000</v>
      </c>
      <c r="K108" s="23">
        <v>3625600</v>
      </c>
      <c r="L108" s="23">
        <v>334785</v>
      </c>
      <c r="M108" s="23">
        <v>4910529</v>
      </c>
      <c r="N108" s="23">
        <v>3373824</v>
      </c>
      <c r="O108" s="26">
        <v>30538758.148999996</v>
      </c>
    </row>
    <row r="109" spans="1:15" ht="15.75" hidden="1" thickBot="1" x14ac:dyDescent="0.3">
      <c r="A109" s="21"/>
      <c r="B109" s="22" t="s">
        <v>32</v>
      </c>
      <c r="C109" s="23">
        <v>4922</v>
      </c>
      <c r="D109" s="23">
        <v>718612</v>
      </c>
      <c r="E109" s="23">
        <v>511</v>
      </c>
      <c r="F109" s="23">
        <v>183960</v>
      </c>
      <c r="G109" s="23">
        <v>0</v>
      </c>
      <c r="H109" s="23">
        <v>0</v>
      </c>
      <c r="I109" s="23">
        <v>8000</v>
      </c>
      <c r="J109" s="23">
        <v>68000</v>
      </c>
      <c r="K109" s="23">
        <v>3625600</v>
      </c>
      <c r="L109" s="23">
        <v>307258</v>
      </c>
      <c r="M109" s="23">
        <v>4903430</v>
      </c>
      <c r="N109" s="23">
        <v>4734936</v>
      </c>
      <c r="O109" s="26">
        <v>30657580.148999996</v>
      </c>
    </row>
    <row r="110" spans="1:15" ht="15.75" hidden="1" thickBot="1" x14ac:dyDescent="0.3">
      <c r="A110" s="21"/>
      <c r="B110" s="22" t="s">
        <v>33</v>
      </c>
      <c r="C110" s="23">
        <v>4109</v>
      </c>
      <c r="D110" s="23">
        <v>599914</v>
      </c>
      <c r="E110" s="23">
        <v>458</v>
      </c>
      <c r="F110" s="23">
        <v>164880</v>
      </c>
      <c r="G110" s="23">
        <v>0</v>
      </c>
      <c r="H110" s="23">
        <v>0</v>
      </c>
      <c r="I110" s="23">
        <v>8000</v>
      </c>
      <c r="J110" s="23">
        <v>68000</v>
      </c>
      <c r="K110" s="23">
        <v>3625600</v>
      </c>
      <c r="L110" s="23">
        <v>350956</v>
      </c>
      <c r="M110" s="23">
        <v>4809350</v>
      </c>
      <c r="N110" s="23">
        <v>3390323</v>
      </c>
      <c r="O110" s="26">
        <v>32146279.148999996</v>
      </c>
    </row>
    <row r="111" spans="1:15" ht="15.75" hidden="1" thickBot="1" x14ac:dyDescent="0.3">
      <c r="A111" s="21"/>
      <c r="B111" s="22" t="s">
        <v>34</v>
      </c>
      <c r="C111" s="23">
        <v>5121</v>
      </c>
      <c r="D111" s="23">
        <v>747666</v>
      </c>
      <c r="E111" s="23">
        <v>1082</v>
      </c>
      <c r="F111" s="23">
        <v>389520</v>
      </c>
      <c r="G111" s="23">
        <v>0</v>
      </c>
      <c r="H111" s="23">
        <v>0</v>
      </c>
      <c r="I111" s="23">
        <v>8000</v>
      </c>
      <c r="J111" s="23">
        <v>68000</v>
      </c>
      <c r="K111" s="23">
        <v>3625600</v>
      </c>
      <c r="L111" s="23">
        <v>360293</v>
      </c>
      <c r="M111" s="23">
        <v>5191079</v>
      </c>
      <c r="N111" s="23">
        <v>4384746</v>
      </c>
      <c r="O111" s="26">
        <v>32964612.148999996</v>
      </c>
    </row>
    <row r="112" spans="1:15" ht="15.75" hidden="1" thickBot="1" x14ac:dyDescent="0.3">
      <c r="A112" s="21"/>
      <c r="B112" s="22" t="s">
        <v>35</v>
      </c>
      <c r="C112" s="23">
        <v>5120</v>
      </c>
      <c r="D112" s="23">
        <v>747520</v>
      </c>
      <c r="E112" s="23">
        <v>2020</v>
      </c>
      <c r="F112" s="23">
        <v>747360</v>
      </c>
      <c r="G112" s="23">
        <v>0</v>
      </c>
      <c r="H112" s="23">
        <v>0</v>
      </c>
      <c r="I112" s="23">
        <v>8000</v>
      </c>
      <c r="J112" s="23">
        <v>68000</v>
      </c>
      <c r="K112" s="23">
        <v>3625600</v>
      </c>
      <c r="L112" s="23">
        <v>309473</v>
      </c>
      <c r="M112" s="23">
        <v>5497953</v>
      </c>
      <c r="N112" s="23">
        <v>4615660</v>
      </c>
      <c r="O112" s="26">
        <v>33858905.148999996</v>
      </c>
    </row>
    <row r="113" spans="1:15" ht="15.75" hidden="1" thickBot="1" x14ac:dyDescent="0.3">
      <c r="A113" s="21"/>
      <c r="B113" s="22" t="s">
        <v>36</v>
      </c>
      <c r="C113" s="23">
        <v>6171</v>
      </c>
      <c r="D113" s="23">
        <v>900966</v>
      </c>
      <c r="E113" s="23">
        <v>2973</v>
      </c>
      <c r="F113" s="23">
        <v>1358820</v>
      </c>
      <c r="G113" s="23">
        <v>0</v>
      </c>
      <c r="H113" s="23">
        <v>0</v>
      </c>
      <c r="I113" s="23">
        <v>8000</v>
      </c>
      <c r="J113" s="23">
        <v>68000</v>
      </c>
      <c r="K113" s="23">
        <v>3627809</v>
      </c>
      <c r="L113" s="23">
        <v>324404</v>
      </c>
      <c r="M113" s="23">
        <v>6266582</v>
      </c>
      <c r="N113" s="23">
        <v>6591078</v>
      </c>
      <c r="O113" s="26">
        <v>33503030.148999996</v>
      </c>
    </row>
    <row r="114" spans="1:15" ht="15.75" hidden="1" thickBot="1" x14ac:dyDescent="0.3">
      <c r="A114" s="21"/>
      <c r="B114" s="22" t="s">
        <v>37</v>
      </c>
      <c r="C114" s="23">
        <v>7386</v>
      </c>
      <c r="D114" s="23">
        <v>1078356</v>
      </c>
      <c r="E114" s="23">
        <v>4734</v>
      </c>
      <c r="F114" s="23">
        <v>2310840</v>
      </c>
      <c r="G114" s="23">
        <v>0</v>
      </c>
      <c r="H114" s="23">
        <v>0</v>
      </c>
      <c r="I114" s="23">
        <v>8000</v>
      </c>
      <c r="J114" s="23">
        <v>68000</v>
      </c>
      <c r="K114" s="23">
        <v>3627809</v>
      </c>
      <c r="L114" s="23">
        <v>388941</v>
      </c>
      <c r="M114" s="23">
        <v>7473946</v>
      </c>
      <c r="N114" s="23">
        <v>7333028</v>
      </c>
      <c r="O114" s="26">
        <v>33712744.148999996</v>
      </c>
    </row>
    <row r="115" spans="1:15" ht="15.75" hidden="1" thickBot="1" x14ac:dyDescent="0.3">
      <c r="A115" s="21">
        <v>2012</v>
      </c>
      <c r="B115" s="22" t="s">
        <v>38</v>
      </c>
      <c r="C115" s="23">
        <v>8492</v>
      </c>
      <c r="D115" s="23">
        <v>1239832</v>
      </c>
      <c r="E115" s="23">
        <v>5008</v>
      </c>
      <c r="F115" s="23">
        <v>2416680</v>
      </c>
      <c r="G115" s="23">
        <v>0</v>
      </c>
      <c r="H115" s="23">
        <v>0</v>
      </c>
      <c r="I115" s="23">
        <v>33466</v>
      </c>
      <c r="J115" s="23">
        <v>131665</v>
      </c>
      <c r="K115" s="23">
        <v>3766976</v>
      </c>
      <c r="L115" s="23">
        <v>369910</v>
      </c>
      <c r="M115" s="23">
        <v>7950529</v>
      </c>
      <c r="N115" s="23">
        <v>6052319</v>
      </c>
      <c r="O115" s="26">
        <v>35622954.148999996</v>
      </c>
    </row>
    <row r="116" spans="1:15" ht="15.75" hidden="1" thickBot="1" x14ac:dyDescent="0.3">
      <c r="A116" s="21"/>
      <c r="B116" s="22" t="s">
        <v>27</v>
      </c>
      <c r="C116" s="23">
        <v>7794</v>
      </c>
      <c r="D116" s="23">
        <v>1137924</v>
      </c>
      <c r="E116" s="23">
        <v>4307</v>
      </c>
      <c r="F116" s="23">
        <v>1917720</v>
      </c>
      <c r="G116" s="23">
        <v>0</v>
      </c>
      <c r="H116" s="23">
        <v>0</v>
      </c>
      <c r="I116" s="23">
        <v>8000</v>
      </c>
      <c r="J116" s="23">
        <v>68000</v>
      </c>
      <c r="K116" s="23">
        <v>3766976</v>
      </c>
      <c r="L116" s="23">
        <v>385246</v>
      </c>
      <c r="M116" s="23">
        <v>7251413</v>
      </c>
      <c r="N116" s="23">
        <v>6048894</v>
      </c>
      <c r="O116" s="26">
        <v>36874659.149000004</v>
      </c>
    </row>
    <row r="117" spans="1:15" ht="15.75" hidden="1" thickBot="1" x14ac:dyDescent="0.3">
      <c r="A117" s="21"/>
      <c r="B117" s="22" t="s">
        <v>28</v>
      </c>
      <c r="C117" s="23">
        <v>7614</v>
      </c>
      <c r="D117" s="23">
        <v>1111644</v>
      </c>
      <c r="E117" s="23">
        <v>4078</v>
      </c>
      <c r="F117" s="23">
        <v>1768500</v>
      </c>
      <c r="G117" s="23">
        <v>0</v>
      </c>
      <c r="H117" s="23">
        <v>0</v>
      </c>
      <c r="I117" s="23">
        <v>8000</v>
      </c>
      <c r="J117" s="23">
        <v>68000</v>
      </c>
      <c r="K117" s="23">
        <v>3766976</v>
      </c>
      <c r="L117" s="23">
        <v>392731</v>
      </c>
      <c r="M117" s="23">
        <v>7107851</v>
      </c>
      <c r="N117" s="23">
        <v>6495359</v>
      </c>
      <c r="O117" s="26">
        <v>37499151.149000004</v>
      </c>
    </row>
    <row r="118" spans="1:15" ht="15.75" hidden="1" thickBot="1" x14ac:dyDescent="0.3">
      <c r="A118" s="21"/>
      <c r="B118" s="22" t="s">
        <v>29</v>
      </c>
      <c r="C118" s="23">
        <v>5931</v>
      </c>
      <c r="D118" s="23">
        <v>865926</v>
      </c>
      <c r="E118" s="23">
        <v>2770</v>
      </c>
      <c r="F118" s="23">
        <v>1060560</v>
      </c>
      <c r="G118" s="23">
        <v>0</v>
      </c>
      <c r="H118" s="23">
        <v>0</v>
      </c>
      <c r="I118" s="23">
        <v>71432</v>
      </c>
      <c r="J118" s="23">
        <v>68000</v>
      </c>
      <c r="K118" s="23">
        <v>3766976</v>
      </c>
      <c r="L118" s="23">
        <v>372044</v>
      </c>
      <c r="M118" s="23">
        <v>6165888</v>
      </c>
      <c r="N118" s="23">
        <v>5314576</v>
      </c>
      <c r="O118" s="26">
        <v>38334654.149000004</v>
      </c>
    </row>
    <row r="119" spans="1:15" ht="15.75" hidden="1" thickBot="1" x14ac:dyDescent="0.3">
      <c r="A119" s="21"/>
      <c r="B119" s="22" t="s">
        <v>30</v>
      </c>
      <c r="C119" s="23">
        <v>7483</v>
      </c>
      <c r="D119" s="23">
        <v>1092518</v>
      </c>
      <c r="E119" s="23">
        <v>2826</v>
      </c>
      <c r="F119" s="23">
        <v>1362240</v>
      </c>
      <c r="G119" s="23">
        <v>0</v>
      </c>
      <c r="H119" s="23">
        <v>0</v>
      </c>
      <c r="I119" s="23">
        <v>188000</v>
      </c>
      <c r="J119" s="23">
        <v>68000</v>
      </c>
      <c r="K119" s="23">
        <v>3766976</v>
      </c>
      <c r="L119" s="23">
        <v>379256</v>
      </c>
      <c r="M119" s="23">
        <v>6728990</v>
      </c>
      <c r="N119" s="23">
        <v>6052094</v>
      </c>
      <c r="O119" s="26">
        <v>39282409.149000004</v>
      </c>
    </row>
    <row r="120" spans="1:15" ht="15.75" hidden="1" thickBot="1" x14ac:dyDescent="0.3">
      <c r="A120" s="21"/>
      <c r="B120" s="22" t="s">
        <v>31</v>
      </c>
      <c r="C120" s="23">
        <v>2175</v>
      </c>
      <c r="D120" s="23">
        <v>707662</v>
      </c>
      <c r="E120" s="23">
        <v>427</v>
      </c>
      <c r="F120" s="23">
        <v>153720</v>
      </c>
      <c r="G120" s="23">
        <v>0</v>
      </c>
      <c r="H120" s="23">
        <v>0</v>
      </c>
      <c r="I120" s="23">
        <v>88000</v>
      </c>
      <c r="J120" s="23">
        <v>72000</v>
      </c>
      <c r="K120" s="23">
        <v>3766976</v>
      </c>
      <c r="L120" s="23">
        <v>353852</v>
      </c>
      <c r="M120" s="23">
        <v>5114595</v>
      </c>
      <c r="N120" s="23">
        <v>6144996</v>
      </c>
      <c r="O120" s="26">
        <v>38224764.148999996</v>
      </c>
    </row>
    <row r="121" spans="1:15" ht="15.75" hidden="1" thickBot="1" x14ac:dyDescent="0.3">
      <c r="A121" s="21"/>
      <c r="B121" s="22" t="s">
        <v>32</v>
      </c>
      <c r="C121" s="23">
        <v>7614</v>
      </c>
      <c r="D121" s="23">
        <v>721532</v>
      </c>
      <c r="E121" s="23">
        <v>504</v>
      </c>
      <c r="F121" s="23">
        <v>181440</v>
      </c>
      <c r="G121" s="23">
        <v>0</v>
      </c>
      <c r="H121" s="23">
        <v>63432</v>
      </c>
      <c r="I121" s="23">
        <v>67432</v>
      </c>
      <c r="J121" s="23">
        <v>76000</v>
      </c>
      <c r="K121" s="23">
        <v>3766976</v>
      </c>
      <c r="L121" s="23">
        <v>389043</v>
      </c>
      <c r="M121" s="23">
        <v>5198423</v>
      </c>
      <c r="N121" s="23">
        <v>4975041</v>
      </c>
      <c r="O121" s="26">
        <v>38531294.148999996</v>
      </c>
    </row>
    <row r="122" spans="1:15" ht="15.75" hidden="1" thickBot="1" x14ac:dyDescent="0.3">
      <c r="A122" s="21"/>
      <c r="B122" s="22" t="s">
        <v>33</v>
      </c>
      <c r="C122" s="23">
        <v>4973</v>
      </c>
      <c r="D122" s="23">
        <v>726058</v>
      </c>
      <c r="E122" s="23">
        <v>578</v>
      </c>
      <c r="F122" s="23">
        <v>208080</v>
      </c>
      <c r="G122" s="23">
        <v>0</v>
      </c>
      <c r="H122" s="23">
        <v>0</v>
      </c>
      <c r="I122" s="23">
        <v>0</v>
      </c>
      <c r="J122" s="23">
        <v>215000</v>
      </c>
      <c r="K122" s="23">
        <v>3766976</v>
      </c>
      <c r="L122" s="23">
        <v>352914</v>
      </c>
      <c r="M122" s="23">
        <v>5269028</v>
      </c>
      <c r="N122" s="23">
        <v>4378318</v>
      </c>
      <c r="O122" s="26">
        <v>39469147.148999996</v>
      </c>
    </row>
    <row r="123" spans="1:15" ht="15.75" hidden="1" thickBot="1" x14ac:dyDescent="0.3">
      <c r="A123" s="21"/>
      <c r="B123" s="22" t="s">
        <v>34</v>
      </c>
      <c r="C123" s="23">
        <v>5709</v>
      </c>
      <c r="D123" s="23">
        <v>833514</v>
      </c>
      <c r="E123" s="23">
        <v>1371</v>
      </c>
      <c r="F123" s="23">
        <v>493560</v>
      </c>
      <c r="G123" s="23">
        <v>0</v>
      </c>
      <c r="H123" s="23">
        <v>0</v>
      </c>
      <c r="I123" s="23">
        <v>0</v>
      </c>
      <c r="J123" s="23">
        <v>225000</v>
      </c>
      <c r="K123" s="23">
        <v>3766976</v>
      </c>
      <c r="L123" s="23">
        <v>391993</v>
      </c>
      <c r="M123" s="23">
        <v>5694182</v>
      </c>
      <c r="N123" s="23">
        <v>5507917</v>
      </c>
      <c r="O123" s="26">
        <v>39672273.148999996</v>
      </c>
    </row>
    <row r="124" spans="1:15" ht="15.75" hidden="1" thickBot="1" x14ac:dyDescent="0.3">
      <c r="A124" s="21"/>
      <c r="B124" s="22" t="s">
        <v>35</v>
      </c>
      <c r="C124" s="23">
        <v>2682</v>
      </c>
      <c r="D124" s="23">
        <v>781684</v>
      </c>
      <c r="E124" s="23">
        <v>1753</v>
      </c>
      <c r="F124" s="23">
        <v>634320</v>
      </c>
      <c r="G124" s="23">
        <v>0</v>
      </c>
      <c r="H124" s="23">
        <v>0</v>
      </c>
      <c r="I124" s="23">
        <v>0</v>
      </c>
      <c r="J124" s="23">
        <v>215000</v>
      </c>
      <c r="K124" s="23">
        <v>3766976</v>
      </c>
      <c r="L124" s="23">
        <v>318262</v>
      </c>
      <c r="M124" s="23">
        <v>5716242</v>
      </c>
      <c r="N124" s="23">
        <v>4826808</v>
      </c>
      <c r="O124" s="26">
        <v>40499940.148999996</v>
      </c>
    </row>
    <row r="125" spans="1:15" ht="15.75" hidden="1" thickBot="1" x14ac:dyDescent="0.3">
      <c r="A125" s="21"/>
      <c r="B125" s="22" t="s">
        <v>36</v>
      </c>
      <c r="C125" s="23">
        <v>5653</v>
      </c>
      <c r="D125" s="23">
        <v>825338</v>
      </c>
      <c r="E125" s="23">
        <v>4242</v>
      </c>
      <c r="F125" s="23">
        <v>2157120</v>
      </c>
      <c r="G125" s="23">
        <v>0</v>
      </c>
      <c r="H125" s="23">
        <v>0</v>
      </c>
      <c r="I125" s="23">
        <v>139912</v>
      </c>
      <c r="J125" s="23">
        <v>215000</v>
      </c>
      <c r="K125" s="23">
        <v>3767851</v>
      </c>
      <c r="L125" s="23">
        <v>563946</v>
      </c>
      <c r="M125" s="23">
        <v>7583028</v>
      </c>
      <c r="N125" s="23">
        <v>5602386</v>
      </c>
      <c r="O125" s="26">
        <v>42654525.848999999</v>
      </c>
    </row>
    <row r="126" spans="1:15" ht="15.75" hidden="1" thickBot="1" x14ac:dyDescent="0.3">
      <c r="A126" s="21"/>
      <c r="B126" s="22" t="s">
        <v>37</v>
      </c>
      <c r="C126" s="23">
        <v>6048</v>
      </c>
      <c r="D126" s="23">
        <v>883008</v>
      </c>
      <c r="E126" s="23">
        <v>4091</v>
      </c>
      <c r="F126" s="23">
        <v>1530720</v>
      </c>
      <c r="G126" s="23">
        <v>0</v>
      </c>
      <c r="H126" s="23">
        <v>0</v>
      </c>
      <c r="I126" s="23">
        <v>12288</v>
      </c>
      <c r="J126" s="23">
        <v>215000</v>
      </c>
      <c r="K126" s="23">
        <v>3767851</v>
      </c>
      <c r="L126" s="23">
        <v>335890</v>
      </c>
      <c r="M126" s="23">
        <v>6744757</v>
      </c>
      <c r="N126" s="23">
        <v>7408239</v>
      </c>
      <c r="O126" s="26">
        <v>41932184.949000001</v>
      </c>
    </row>
    <row r="127" spans="1:15" ht="15.75" hidden="1" thickBot="1" x14ac:dyDescent="0.3">
      <c r="A127" s="21">
        <v>2013</v>
      </c>
      <c r="B127" s="22" t="s">
        <v>38</v>
      </c>
      <c r="C127" s="23">
        <v>9146</v>
      </c>
      <c r="D127" s="23">
        <v>1337944</v>
      </c>
      <c r="E127" s="23">
        <v>5393</v>
      </c>
      <c r="F127" s="23">
        <v>2593440</v>
      </c>
      <c r="G127" s="23">
        <v>0</v>
      </c>
      <c r="H127" s="23">
        <v>0</v>
      </c>
      <c r="I127" s="23">
        <v>0</v>
      </c>
      <c r="J127" s="23">
        <v>215000</v>
      </c>
      <c r="K127" s="23">
        <v>3822976</v>
      </c>
      <c r="L127" s="23">
        <v>494722</v>
      </c>
      <c r="M127" s="23">
        <v>8392469</v>
      </c>
      <c r="N127" s="23">
        <v>7329047</v>
      </c>
      <c r="O127" s="26">
        <v>43004448.949000001</v>
      </c>
    </row>
    <row r="128" spans="1:15" ht="15.75" hidden="1" thickBot="1" x14ac:dyDescent="0.3">
      <c r="A128" s="21"/>
      <c r="B128" s="22" t="s">
        <v>27</v>
      </c>
      <c r="C128" s="23">
        <v>8749</v>
      </c>
      <c r="D128" s="23">
        <v>1277354</v>
      </c>
      <c r="E128" s="23">
        <v>4485</v>
      </c>
      <c r="F128" s="23">
        <v>1911780</v>
      </c>
      <c r="G128" s="23">
        <v>0</v>
      </c>
      <c r="H128" s="23">
        <v>565248</v>
      </c>
      <c r="I128" s="23">
        <v>147456</v>
      </c>
      <c r="J128" s="23">
        <v>205000</v>
      </c>
      <c r="K128" s="23">
        <v>3822976</v>
      </c>
      <c r="L128" s="23">
        <v>414314</v>
      </c>
      <c r="M128" s="23">
        <v>8153023</v>
      </c>
      <c r="N128" s="23">
        <v>6931446</v>
      </c>
      <c r="O128" s="26">
        <v>44639772.949000001</v>
      </c>
    </row>
    <row r="129" spans="1:15" ht="15.75" hidden="1" thickBot="1" x14ac:dyDescent="0.3">
      <c r="A129" s="21"/>
      <c r="B129" s="22" t="s">
        <v>28</v>
      </c>
      <c r="C129" s="23">
        <v>6973</v>
      </c>
      <c r="D129" s="23">
        <v>1018058</v>
      </c>
      <c r="E129" s="23">
        <v>3992</v>
      </c>
      <c r="F129" s="23">
        <v>1842840</v>
      </c>
      <c r="G129" s="23">
        <v>0</v>
      </c>
      <c r="H129" s="23">
        <v>0</v>
      </c>
      <c r="I129" s="23">
        <v>0</v>
      </c>
      <c r="J129" s="23">
        <v>205000</v>
      </c>
      <c r="K129" s="23">
        <v>3822976</v>
      </c>
      <c r="L129" s="23">
        <v>538235</v>
      </c>
      <c r="M129" s="23">
        <v>7427109</v>
      </c>
      <c r="N129" s="23">
        <v>7492844</v>
      </c>
      <c r="O129" s="26">
        <v>44514305.949000001</v>
      </c>
    </row>
    <row r="130" spans="1:15" ht="15.75" hidden="1" thickBot="1" x14ac:dyDescent="0.3">
      <c r="A130" s="21"/>
      <c r="B130" s="22" t="s">
        <v>29</v>
      </c>
      <c r="C130" s="23">
        <v>6518</v>
      </c>
      <c r="D130" s="23">
        <v>951628</v>
      </c>
      <c r="E130" s="23">
        <v>3161</v>
      </c>
      <c r="F130" s="23">
        <v>1312200</v>
      </c>
      <c r="G130" s="23">
        <v>0</v>
      </c>
      <c r="H130" s="23">
        <v>0</v>
      </c>
      <c r="I130" s="23">
        <v>0</v>
      </c>
      <c r="J130" s="23">
        <v>210000</v>
      </c>
      <c r="K130" s="23">
        <v>3822976</v>
      </c>
      <c r="L130" s="23">
        <v>408063</v>
      </c>
      <c r="M130" s="23">
        <v>6704867</v>
      </c>
      <c r="N130" s="23">
        <v>4791475</v>
      </c>
      <c r="O130" s="26">
        <v>46434208.949000001</v>
      </c>
    </row>
    <row r="131" spans="1:15" ht="15.75" hidden="1" thickBot="1" x14ac:dyDescent="0.3">
      <c r="A131" s="21"/>
      <c r="B131" s="22" t="s">
        <v>30</v>
      </c>
      <c r="C131" s="23">
        <v>7072</v>
      </c>
      <c r="D131" s="23">
        <v>1037038</v>
      </c>
      <c r="E131" s="23">
        <v>1534</v>
      </c>
      <c r="F131" s="23">
        <v>560880</v>
      </c>
      <c r="G131" s="23">
        <v>0</v>
      </c>
      <c r="H131" s="23">
        <v>0</v>
      </c>
      <c r="I131" s="23">
        <v>0</v>
      </c>
      <c r="J131" s="23">
        <v>200000</v>
      </c>
      <c r="K131" s="23">
        <v>3822976</v>
      </c>
      <c r="L131" s="23">
        <v>584900</v>
      </c>
      <c r="M131" s="23">
        <v>6145782</v>
      </c>
      <c r="N131" s="23">
        <v>5262651</v>
      </c>
      <c r="O131" s="26">
        <v>47282443.949000001</v>
      </c>
    </row>
    <row r="132" spans="1:15" ht="15.75" hidden="1" thickBot="1" x14ac:dyDescent="0.3">
      <c r="A132" s="21"/>
      <c r="B132" s="22" t="s">
        <v>31</v>
      </c>
      <c r="C132" s="23">
        <v>5600</v>
      </c>
      <c r="D132" s="23">
        <v>817600</v>
      </c>
      <c r="E132" s="23">
        <v>424</v>
      </c>
      <c r="F132" s="23">
        <v>152640</v>
      </c>
      <c r="G132" s="23">
        <v>0</v>
      </c>
      <c r="H132" s="23">
        <v>0</v>
      </c>
      <c r="I132" s="23">
        <v>0</v>
      </c>
      <c r="J132" s="23">
        <v>200000</v>
      </c>
      <c r="K132" s="23">
        <v>3822976</v>
      </c>
      <c r="L132" s="23">
        <v>501473</v>
      </c>
      <c r="M132" s="23">
        <v>5494689</v>
      </c>
      <c r="N132" s="23">
        <v>21617885</v>
      </c>
      <c r="O132" s="26">
        <v>31086086.948999997</v>
      </c>
    </row>
    <row r="133" spans="1:15" ht="15.75" hidden="1" thickBot="1" x14ac:dyDescent="0.3">
      <c r="A133" s="21"/>
      <c r="B133" s="22" t="s">
        <v>32</v>
      </c>
      <c r="C133" s="23">
        <v>5498</v>
      </c>
      <c r="D133" s="23">
        <v>827090</v>
      </c>
      <c r="E133" s="23">
        <v>410</v>
      </c>
      <c r="F133" s="23">
        <v>147600</v>
      </c>
      <c r="G133" s="23">
        <v>0</v>
      </c>
      <c r="H133" s="23">
        <v>0</v>
      </c>
      <c r="I133" s="23">
        <v>0</v>
      </c>
      <c r="J133" s="23">
        <v>200000</v>
      </c>
      <c r="K133" s="23">
        <v>3822976</v>
      </c>
      <c r="L133" s="23">
        <v>304811</v>
      </c>
      <c r="M133" s="23">
        <v>5302477</v>
      </c>
      <c r="N133" s="23">
        <v>3916008</v>
      </c>
      <c r="O133" s="26">
        <v>32383495.948999997</v>
      </c>
    </row>
    <row r="134" spans="1:15" ht="15.75" hidden="1" thickBot="1" x14ac:dyDescent="0.3">
      <c r="A134" s="21"/>
      <c r="B134" s="22" t="s">
        <v>33</v>
      </c>
      <c r="C134" s="23">
        <v>5364</v>
      </c>
      <c r="D134" s="23">
        <v>783144</v>
      </c>
      <c r="E134" s="23">
        <v>730</v>
      </c>
      <c r="F134" s="23">
        <v>262800</v>
      </c>
      <c r="G134" s="23">
        <v>15075</v>
      </c>
      <c r="H134" s="23">
        <v>0</v>
      </c>
      <c r="I134" s="23">
        <v>149960</v>
      </c>
      <c r="J134" s="23">
        <v>200000</v>
      </c>
      <c r="K134" s="23">
        <v>3822976</v>
      </c>
      <c r="L134" s="23">
        <v>509504</v>
      </c>
      <c r="M134" s="23">
        <v>5743459</v>
      </c>
      <c r="N134" s="23">
        <v>5023601</v>
      </c>
      <c r="O134" s="26">
        <v>33043626.948999997</v>
      </c>
    </row>
    <row r="135" spans="1:15" ht="15.75" hidden="1" thickBot="1" x14ac:dyDescent="0.3">
      <c r="A135" s="21"/>
      <c r="B135" s="22" t="s">
        <v>34</v>
      </c>
      <c r="C135" s="23">
        <v>6448</v>
      </c>
      <c r="D135" s="23">
        <v>941408</v>
      </c>
      <c r="E135" s="23">
        <v>1158</v>
      </c>
      <c r="F135" s="23">
        <v>416880</v>
      </c>
      <c r="G135" s="23">
        <v>0</v>
      </c>
      <c r="H135" s="23">
        <v>0</v>
      </c>
      <c r="I135" s="23">
        <v>54470</v>
      </c>
      <c r="J135" s="23">
        <v>200000</v>
      </c>
      <c r="K135" s="23">
        <v>3822976</v>
      </c>
      <c r="L135" s="23">
        <v>250230</v>
      </c>
      <c r="M135" s="23">
        <v>5685964</v>
      </c>
      <c r="N135" s="23">
        <v>13933234</v>
      </c>
      <c r="O135" s="26">
        <v>20830944.949000001</v>
      </c>
    </row>
    <row r="136" spans="1:15" ht="15.75" hidden="1" thickBot="1" x14ac:dyDescent="0.3">
      <c r="A136" s="21"/>
      <c r="B136" s="22" t="s">
        <v>35</v>
      </c>
      <c r="C136" s="23">
        <v>6526</v>
      </c>
      <c r="D136" s="23">
        <v>952796</v>
      </c>
      <c r="E136" s="23">
        <v>3290</v>
      </c>
      <c r="F136" s="23">
        <v>1292220</v>
      </c>
      <c r="G136" s="23">
        <v>0</v>
      </c>
      <c r="H136" s="23">
        <v>49330</v>
      </c>
      <c r="I136" s="23">
        <v>12570</v>
      </c>
      <c r="J136" s="23">
        <v>202500</v>
      </c>
      <c r="K136" s="23">
        <v>3822976</v>
      </c>
      <c r="L136" s="23">
        <v>356065</v>
      </c>
      <c r="M136" s="23">
        <v>6659127</v>
      </c>
      <c r="N136" s="23">
        <v>5844237</v>
      </c>
      <c r="O136" s="26">
        <v>21615439.948999997</v>
      </c>
    </row>
    <row r="137" spans="1:15" ht="15.75" hidden="1" thickBot="1" x14ac:dyDescent="0.3">
      <c r="A137" s="21"/>
      <c r="B137" s="22" t="s">
        <v>36</v>
      </c>
      <c r="C137" s="23">
        <v>6543</v>
      </c>
      <c r="D137" s="23">
        <v>955278</v>
      </c>
      <c r="E137" s="23">
        <v>3448</v>
      </c>
      <c r="F137" s="23">
        <v>1463580</v>
      </c>
      <c r="G137" s="23">
        <v>0</v>
      </c>
      <c r="H137" s="23">
        <v>5000</v>
      </c>
      <c r="I137" s="23">
        <v>0</v>
      </c>
      <c r="J137" s="23">
        <v>205000</v>
      </c>
      <c r="K137" s="23">
        <v>3824778</v>
      </c>
      <c r="L137" s="23">
        <v>270397</v>
      </c>
      <c r="M137" s="23">
        <v>6724033</v>
      </c>
      <c r="N137" s="23">
        <v>5817575</v>
      </c>
      <c r="O137" s="26">
        <v>22445805.948999997</v>
      </c>
    </row>
    <row r="138" spans="1:15" ht="15.75" hidden="1" thickBot="1" x14ac:dyDescent="0.3">
      <c r="A138" s="21"/>
      <c r="B138" s="22" t="s">
        <v>37</v>
      </c>
      <c r="C138" s="23">
        <v>6434</v>
      </c>
      <c r="D138" s="23">
        <v>939364</v>
      </c>
      <c r="E138" s="23">
        <v>5478</v>
      </c>
      <c r="F138" s="23">
        <v>2814120</v>
      </c>
      <c r="G138" s="23">
        <v>0</v>
      </c>
      <c r="H138" s="23">
        <v>1085000</v>
      </c>
      <c r="I138" s="23">
        <v>202154</v>
      </c>
      <c r="J138" s="23">
        <v>205000</v>
      </c>
      <c r="K138" s="23">
        <v>3824778</v>
      </c>
      <c r="L138" s="23">
        <v>312434</v>
      </c>
      <c r="M138" s="23">
        <v>9102850</v>
      </c>
      <c r="N138" s="23">
        <v>9368385</v>
      </c>
      <c r="O138" s="26">
        <v>22640329.948999997</v>
      </c>
    </row>
    <row r="139" spans="1:15" ht="15.75" hidden="1" thickBot="1" x14ac:dyDescent="0.3">
      <c r="A139" s="21">
        <v>2014</v>
      </c>
      <c r="B139" s="22" t="s">
        <v>38</v>
      </c>
      <c r="C139" s="23">
        <v>8117</v>
      </c>
      <c r="D139" s="23">
        <v>1185082</v>
      </c>
      <c r="E139" s="23">
        <v>4651</v>
      </c>
      <c r="F139" s="23">
        <v>3411000</v>
      </c>
      <c r="G139" s="23">
        <v>0</v>
      </c>
      <c r="H139" s="23">
        <v>275000</v>
      </c>
      <c r="I139" s="23">
        <v>135869</v>
      </c>
      <c r="J139" s="23">
        <v>205000</v>
      </c>
      <c r="K139" s="23">
        <v>3938304</v>
      </c>
      <c r="L139" s="23">
        <v>305430</v>
      </c>
      <c r="M139" s="23">
        <v>9372960</v>
      </c>
      <c r="N139" s="23">
        <v>8711441</v>
      </c>
      <c r="O139" s="26">
        <v>23401114.948999997</v>
      </c>
    </row>
    <row r="140" spans="1:15" ht="15.75" hidden="1" thickBot="1" x14ac:dyDescent="0.3">
      <c r="A140" s="21"/>
      <c r="B140" s="22" t="s">
        <v>27</v>
      </c>
      <c r="C140" s="23">
        <v>8288</v>
      </c>
      <c r="D140" s="23">
        <v>1210048</v>
      </c>
      <c r="E140" s="23">
        <v>3296</v>
      </c>
      <c r="F140" s="23">
        <v>1652400</v>
      </c>
      <c r="G140" s="23">
        <v>0</v>
      </c>
      <c r="H140" s="23">
        <v>275000</v>
      </c>
      <c r="I140" s="23">
        <v>16541</v>
      </c>
      <c r="J140" s="23">
        <v>205000</v>
      </c>
      <c r="K140" s="23">
        <v>3938304</v>
      </c>
      <c r="L140" s="23">
        <v>296470</v>
      </c>
      <c r="M140" s="23">
        <v>7507222</v>
      </c>
      <c r="N140" s="23">
        <v>7145729</v>
      </c>
      <c r="O140" s="26">
        <v>23775926.948999997</v>
      </c>
    </row>
    <row r="141" spans="1:15" ht="15.75" hidden="1" thickBot="1" x14ac:dyDescent="0.3">
      <c r="A141" s="21"/>
      <c r="B141" s="22" t="s">
        <v>28</v>
      </c>
      <c r="C141" s="23">
        <v>6918</v>
      </c>
      <c r="D141" s="23">
        <v>1010028</v>
      </c>
      <c r="E141" s="23">
        <v>3047</v>
      </c>
      <c r="F141" s="23">
        <v>1568160</v>
      </c>
      <c r="G141" s="23">
        <v>0</v>
      </c>
      <c r="H141" s="23">
        <v>275000</v>
      </c>
      <c r="I141" s="23">
        <v>16541</v>
      </c>
      <c r="J141" s="23">
        <v>210000</v>
      </c>
      <c r="K141" s="23">
        <v>3938304</v>
      </c>
      <c r="L141" s="23">
        <v>312042</v>
      </c>
      <c r="M141" s="23">
        <v>7260075</v>
      </c>
      <c r="N141" s="23">
        <v>15817157</v>
      </c>
      <c r="O141" s="26">
        <v>15370446.949000001</v>
      </c>
    </row>
    <row r="142" spans="1:15" ht="15.75" hidden="1" thickBot="1" x14ac:dyDescent="0.3">
      <c r="A142" s="21"/>
      <c r="B142" s="22" t="s">
        <v>29</v>
      </c>
      <c r="C142" s="23">
        <v>6615</v>
      </c>
      <c r="D142" s="23">
        <v>965790</v>
      </c>
      <c r="E142" s="23">
        <v>2838</v>
      </c>
      <c r="F142" s="23">
        <v>1148940</v>
      </c>
      <c r="G142" s="23">
        <v>0</v>
      </c>
      <c r="H142" s="23">
        <v>275000</v>
      </c>
      <c r="I142" s="23">
        <v>0</v>
      </c>
      <c r="J142" s="23">
        <v>205000</v>
      </c>
      <c r="K142" s="23">
        <v>3938304</v>
      </c>
      <c r="L142" s="23">
        <v>313152</v>
      </c>
      <c r="M142" s="23">
        <v>6776186</v>
      </c>
      <c r="N142" s="23">
        <v>5357483</v>
      </c>
      <c r="O142" s="26">
        <v>16859149.949000001</v>
      </c>
    </row>
    <row r="143" spans="1:15" ht="15.75" hidden="1" thickBot="1" x14ac:dyDescent="0.3">
      <c r="A143" s="21"/>
      <c r="B143" s="22" t="s">
        <v>30</v>
      </c>
      <c r="C143" s="23">
        <v>5748</v>
      </c>
      <c r="D143" s="23">
        <v>839208</v>
      </c>
      <c r="E143" s="23">
        <v>1329</v>
      </c>
      <c r="F143" s="23">
        <v>512640</v>
      </c>
      <c r="G143" s="23">
        <v>0</v>
      </c>
      <c r="H143" s="23">
        <v>280000</v>
      </c>
      <c r="I143" s="23">
        <v>55000</v>
      </c>
      <c r="J143" s="23">
        <v>205000</v>
      </c>
      <c r="K143" s="23">
        <v>3938304</v>
      </c>
      <c r="L143" s="23">
        <v>317176</v>
      </c>
      <c r="M143" s="23">
        <v>6133328</v>
      </c>
      <c r="N143" s="23">
        <v>6446294</v>
      </c>
      <c r="O143" s="26">
        <v>16631183.949000001</v>
      </c>
    </row>
    <row r="144" spans="1:15" ht="15.75" hidden="1" thickBot="1" x14ac:dyDescent="0.3">
      <c r="A144" s="21"/>
      <c r="B144" s="22" t="s">
        <v>31</v>
      </c>
      <c r="C144" s="23">
        <v>4679</v>
      </c>
      <c r="D144" s="23">
        <v>683134</v>
      </c>
      <c r="E144" s="23">
        <v>579</v>
      </c>
      <c r="F144" s="23">
        <v>208440</v>
      </c>
      <c r="G144" s="23">
        <v>0</v>
      </c>
      <c r="H144" s="23">
        <v>285000</v>
      </c>
      <c r="I144" s="23">
        <v>0</v>
      </c>
      <c r="J144" s="23">
        <v>225000</v>
      </c>
      <c r="K144" s="23">
        <v>3938304</v>
      </c>
      <c r="L144" s="23">
        <v>302603</v>
      </c>
      <c r="M144" s="23">
        <v>5572481</v>
      </c>
      <c r="N144" s="23">
        <v>4729958</v>
      </c>
      <c r="O144" s="26">
        <v>14463332.949000001</v>
      </c>
    </row>
    <row r="145" spans="1:15" ht="15.75" hidden="1" thickBot="1" x14ac:dyDescent="0.3">
      <c r="A145" s="21"/>
      <c r="B145" s="22" t="s">
        <v>32</v>
      </c>
      <c r="C145" s="23">
        <v>5954</v>
      </c>
      <c r="D145" s="23">
        <v>869284</v>
      </c>
      <c r="E145" s="23">
        <v>464</v>
      </c>
      <c r="F145" s="23">
        <v>167040</v>
      </c>
      <c r="G145" s="23">
        <v>0</v>
      </c>
      <c r="H145" s="23">
        <v>275000</v>
      </c>
      <c r="I145" s="23">
        <v>0</v>
      </c>
      <c r="J145" s="23">
        <v>225000</v>
      </c>
      <c r="K145" s="23">
        <v>3938304</v>
      </c>
      <c r="L145" s="23">
        <v>254186</v>
      </c>
      <c r="M145" s="23">
        <v>5658814</v>
      </c>
      <c r="N145" s="23">
        <v>6883770</v>
      </c>
      <c r="O145" s="26">
        <v>13308376.949000001</v>
      </c>
    </row>
    <row r="146" spans="1:15" ht="15.75" hidden="1" thickBot="1" x14ac:dyDescent="0.3">
      <c r="A146" s="21"/>
      <c r="B146" s="22" t="s">
        <v>33</v>
      </c>
      <c r="C146" s="23">
        <v>4792</v>
      </c>
      <c r="D146" s="23">
        <v>699632</v>
      </c>
      <c r="E146" s="23">
        <v>489</v>
      </c>
      <c r="F146" s="23">
        <v>176040</v>
      </c>
      <c r="G146" s="23">
        <v>0</v>
      </c>
      <c r="H146" s="23">
        <v>275000</v>
      </c>
      <c r="I146" s="23">
        <v>0</v>
      </c>
      <c r="J146" s="23">
        <v>215000</v>
      </c>
      <c r="K146" s="23">
        <v>3938304</v>
      </c>
      <c r="L146" s="23">
        <v>332731</v>
      </c>
      <c r="M146" s="23">
        <v>5508716</v>
      </c>
      <c r="N146" s="23">
        <v>5347416</v>
      </c>
      <c r="O146" s="26">
        <v>13597667.949000001</v>
      </c>
    </row>
    <row r="147" spans="1:15" ht="15.75" hidden="1" thickBot="1" x14ac:dyDescent="0.3">
      <c r="A147" s="21"/>
      <c r="B147" s="22" t="s">
        <v>34</v>
      </c>
      <c r="C147" s="23">
        <v>6051</v>
      </c>
      <c r="D147" s="23">
        <v>883446</v>
      </c>
      <c r="E147" s="23">
        <v>734</v>
      </c>
      <c r="F147" s="23">
        <v>264240</v>
      </c>
      <c r="G147" s="23">
        <v>0</v>
      </c>
      <c r="H147" s="23">
        <v>275000</v>
      </c>
      <c r="I147" s="23">
        <v>0</v>
      </c>
      <c r="J147" s="23">
        <v>215000</v>
      </c>
      <c r="K147" s="23">
        <v>3938304</v>
      </c>
      <c r="L147" s="23">
        <v>288185</v>
      </c>
      <c r="M147" s="23">
        <v>5794175</v>
      </c>
      <c r="N147" s="23">
        <v>13207210</v>
      </c>
      <c r="O147" s="26">
        <v>6254632.949000001</v>
      </c>
    </row>
    <row r="148" spans="1:15" ht="15.75" hidden="1" thickBot="1" x14ac:dyDescent="0.3">
      <c r="A148" s="21"/>
      <c r="B148" s="22" t="s">
        <v>35</v>
      </c>
      <c r="C148" s="23">
        <v>6354</v>
      </c>
      <c r="D148" s="23">
        <v>927684</v>
      </c>
      <c r="E148" s="23">
        <v>1667</v>
      </c>
      <c r="F148" s="23">
        <v>615780</v>
      </c>
      <c r="G148" s="23">
        <v>0</v>
      </c>
      <c r="H148" s="23">
        <v>277000</v>
      </c>
      <c r="I148" s="23">
        <v>0</v>
      </c>
      <c r="J148" s="23">
        <v>215000</v>
      </c>
      <c r="K148" s="23">
        <v>3938304</v>
      </c>
      <c r="L148" s="23">
        <v>437886</v>
      </c>
      <c r="M148" s="23">
        <v>6293000</v>
      </c>
      <c r="N148" s="23">
        <v>5977611</v>
      </c>
      <c r="O148" s="26">
        <v>6688675.949000001</v>
      </c>
    </row>
    <row r="149" spans="1:15" ht="15.75" hidden="1" thickBot="1" x14ac:dyDescent="0.3">
      <c r="A149" s="21"/>
      <c r="B149" s="22" t="s">
        <v>36</v>
      </c>
      <c r="C149" s="23">
        <v>7256</v>
      </c>
      <c r="D149" s="23">
        <v>1059376</v>
      </c>
      <c r="E149" s="23">
        <v>3534</v>
      </c>
      <c r="F149" s="23">
        <v>1959480</v>
      </c>
      <c r="G149" s="23">
        <v>0</v>
      </c>
      <c r="H149" s="23">
        <v>277000</v>
      </c>
      <c r="I149" s="23">
        <v>37311</v>
      </c>
      <c r="J149" s="23">
        <v>215000</v>
      </c>
      <c r="K149" s="23">
        <v>3941163</v>
      </c>
      <c r="L149" s="23">
        <v>392856</v>
      </c>
      <c r="M149" s="23">
        <v>7763079</v>
      </c>
      <c r="N149" s="23">
        <v>7480459</v>
      </c>
      <c r="O149" s="26">
        <v>7090602.949000001</v>
      </c>
    </row>
    <row r="150" spans="1:15" ht="15.75" hidden="1" thickBot="1" x14ac:dyDescent="0.3">
      <c r="A150" s="21"/>
      <c r="B150" s="22" t="s">
        <v>37</v>
      </c>
      <c r="C150" s="23">
        <v>-1357</v>
      </c>
      <c r="D150" s="23">
        <v>1045360</v>
      </c>
      <c r="E150" s="23">
        <v>3132</v>
      </c>
      <c r="F150" s="23">
        <v>1371240</v>
      </c>
      <c r="G150" s="23">
        <v>0</v>
      </c>
      <c r="H150" s="23">
        <v>385000</v>
      </c>
      <c r="I150" s="23">
        <v>0</v>
      </c>
      <c r="J150" s="23">
        <v>210000</v>
      </c>
      <c r="K150" s="23">
        <v>3941163</v>
      </c>
      <c r="L150" s="23">
        <v>394032</v>
      </c>
      <c r="M150" s="23">
        <v>7248795</v>
      </c>
      <c r="N150" s="23">
        <v>7461119</v>
      </c>
      <c r="O150" s="26">
        <v>6976078.949000001</v>
      </c>
    </row>
    <row r="151" spans="1:15" ht="15.75" hidden="1" thickBot="1" x14ac:dyDescent="0.3">
      <c r="A151" s="21">
        <v>2015</v>
      </c>
      <c r="B151" s="22" t="s">
        <v>38</v>
      </c>
      <c r="C151" s="23">
        <v>8587</v>
      </c>
      <c r="D151" s="23">
        <v>1253702</v>
      </c>
      <c r="E151" s="23">
        <v>4029</v>
      </c>
      <c r="F151" s="23">
        <v>2370600</v>
      </c>
      <c r="G151" s="23">
        <v>0</v>
      </c>
      <c r="H151" s="23">
        <v>389959</v>
      </c>
      <c r="I151" s="23">
        <v>0</v>
      </c>
      <c r="J151" s="23">
        <v>202500</v>
      </c>
      <c r="K151" s="23">
        <v>4121280</v>
      </c>
      <c r="L151" s="23">
        <v>313798</v>
      </c>
      <c r="M151" s="23">
        <v>8553839</v>
      </c>
      <c r="N151" s="23">
        <v>8208134</v>
      </c>
      <c r="O151" s="26">
        <v>7419783.949000001</v>
      </c>
    </row>
    <row r="152" spans="1:15" ht="15.75" hidden="1" thickBot="1" x14ac:dyDescent="0.3">
      <c r="A152" s="21"/>
      <c r="B152" s="22" t="s">
        <v>27</v>
      </c>
      <c r="C152" s="23">
        <v>9077</v>
      </c>
      <c r="D152" s="23">
        <v>1325242</v>
      </c>
      <c r="E152" s="23">
        <v>4189</v>
      </c>
      <c r="F152" s="23">
        <v>2499120</v>
      </c>
      <c r="G152" s="23">
        <v>0</v>
      </c>
      <c r="H152" s="23">
        <v>389959</v>
      </c>
      <c r="I152" s="23">
        <v>0</v>
      </c>
      <c r="J152" s="23">
        <v>190000</v>
      </c>
      <c r="K152" s="23">
        <v>4121280</v>
      </c>
      <c r="L152" s="23">
        <v>392720</v>
      </c>
      <c r="M152" s="23">
        <v>8771231</v>
      </c>
      <c r="N152" s="23">
        <v>7547219</v>
      </c>
      <c r="O152" s="26">
        <v>8790885.949000001</v>
      </c>
    </row>
    <row r="153" spans="1:15" ht="15.75" hidden="1" thickBot="1" x14ac:dyDescent="0.3">
      <c r="A153" s="21"/>
      <c r="B153" s="22" t="s">
        <v>28</v>
      </c>
      <c r="C153" s="23">
        <v>7289</v>
      </c>
      <c r="D153" s="23">
        <v>1064194</v>
      </c>
      <c r="E153" s="23">
        <v>3167</v>
      </c>
      <c r="F153" s="23">
        <v>1496700</v>
      </c>
      <c r="G153" s="23">
        <v>0</v>
      </c>
      <c r="H153" s="23">
        <v>551126</v>
      </c>
      <c r="I153" s="23">
        <v>7438</v>
      </c>
      <c r="J153" s="23">
        <v>190000</v>
      </c>
      <c r="K153" s="23">
        <v>4123759</v>
      </c>
      <c r="L153" s="23">
        <v>443214</v>
      </c>
      <c r="M153" s="23">
        <v>7672157</v>
      </c>
      <c r="N153" s="23">
        <v>6678476</v>
      </c>
      <c r="O153" s="26">
        <v>9988840.949000001</v>
      </c>
    </row>
    <row r="154" spans="1:15" ht="15.75" hidden="1" thickBot="1" x14ac:dyDescent="0.3">
      <c r="A154" s="21"/>
      <c r="B154" s="22" t="s">
        <v>29</v>
      </c>
      <c r="C154" s="23">
        <v>7232</v>
      </c>
      <c r="D154" s="23">
        <v>1055872</v>
      </c>
      <c r="E154" s="23">
        <v>2687</v>
      </c>
      <c r="F154" s="23">
        <v>1102320</v>
      </c>
      <c r="G154" s="23">
        <v>0</v>
      </c>
      <c r="H154" s="23">
        <v>551126</v>
      </c>
      <c r="I154" s="23">
        <v>7438</v>
      </c>
      <c r="J154" s="23">
        <v>190000</v>
      </c>
      <c r="K154" s="23">
        <v>4123759</v>
      </c>
      <c r="L154" s="23">
        <v>445581</v>
      </c>
      <c r="M154" s="23">
        <v>7271559</v>
      </c>
      <c r="N154" s="23">
        <v>7635899</v>
      </c>
      <c r="O154" s="26">
        <v>9829037.949000001</v>
      </c>
    </row>
    <row r="155" spans="1:15" ht="15.75" hidden="1" thickBot="1" x14ac:dyDescent="0.3">
      <c r="A155" s="21"/>
      <c r="B155" s="22" t="s">
        <v>30</v>
      </c>
      <c r="C155" s="23">
        <v>6634</v>
      </c>
      <c r="D155" s="23">
        <v>968564</v>
      </c>
      <c r="E155" s="23">
        <v>2346</v>
      </c>
      <c r="F155" s="23">
        <v>853290</v>
      </c>
      <c r="G155" s="23">
        <v>0</v>
      </c>
      <c r="H155" s="23">
        <v>551126</v>
      </c>
      <c r="I155" s="23">
        <v>7438</v>
      </c>
      <c r="J155" s="23">
        <v>180000</v>
      </c>
      <c r="K155" s="23">
        <v>4123759</v>
      </c>
      <c r="L155" s="23">
        <v>448290</v>
      </c>
      <c r="M155" s="23">
        <v>6977439</v>
      </c>
      <c r="N155" s="23">
        <v>5857035</v>
      </c>
      <c r="O155" s="26">
        <v>11104469.949000001</v>
      </c>
    </row>
    <row r="156" spans="1:15" ht="15.75" hidden="1" thickBot="1" x14ac:dyDescent="0.3">
      <c r="A156" s="21"/>
      <c r="B156" s="22" t="s">
        <v>31</v>
      </c>
      <c r="C156" s="23">
        <v>6046</v>
      </c>
      <c r="D156" s="23">
        <v>883884</v>
      </c>
      <c r="E156" s="23">
        <v>975</v>
      </c>
      <c r="F156" s="23">
        <v>501030</v>
      </c>
      <c r="G156" s="23">
        <v>0</v>
      </c>
      <c r="H156" s="23">
        <v>551126</v>
      </c>
      <c r="I156" s="23">
        <v>7438</v>
      </c>
      <c r="J156" s="23">
        <v>180000</v>
      </c>
      <c r="K156" s="23">
        <v>4123759</v>
      </c>
      <c r="L156" s="23">
        <v>449694</v>
      </c>
      <c r="M156" s="23">
        <v>6491937</v>
      </c>
      <c r="N156" s="23">
        <v>7228844</v>
      </c>
      <c r="O156" s="26">
        <v>10572556.949000001</v>
      </c>
    </row>
    <row r="157" spans="1:15" ht="15.75" hidden="1" thickBot="1" x14ac:dyDescent="0.3">
      <c r="A157" s="21"/>
      <c r="B157" s="22" t="s">
        <v>32</v>
      </c>
      <c r="C157" s="23">
        <v>6738</v>
      </c>
      <c r="D157" s="23">
        <v>983748</v>
      </c>
      <c r="E157" s="23">
        <v>773</v>
      </c>
      <c r="F157" s="23">
        <v>423270</v>
      </c>
      <c r="G157" s="23">
        <v>0</v>
      </c>
      <c r="H157" s="23">
        <v>551126</v>
      </c>
      <c r="I157" s="23">
        <v>7438</v>
      </c>
      <c r="J157" s="23">
        <v>180000</v>
      </c>
      <c r="K157" s="23">
        <v>4123759</v>
      </c>
      <c r="L157" s="23">
        <v>551903</v>
      </c>
      <c r="M157" s="23">
        <v>6616043</v>
      </c>
      <c r="N157" s="23">
        <v>5435792</v>
      </c>
      <c r="O157" s="26">
        <v>11958008.949000001</v>
      </c>
    </row>
    <row r="158" spans="1:15" ht="15.75" hidden="1" thickBot="1" x14ac:dyDescent="0.3">
      <c r="A158" s="21"/>
      <c r="B158" s="22" t="s">
        <v>33</v>
      </c>
      <c r="C158" s="23">
        <v>5725</v>
      </c>
      <c r="D158" s="23">
        <v>835850</v>
      </c>
      <c r="E158" s="23">
        <v>560</v>
      </c>
      <c r="F158" s="23">
        <v>353430</v>
      </c>
      <c r="G158" s="23">
        <v>0</v>
      </c>
      <c r="H158" s="23">
        <v>551126</v>
      </c>
      <c r="I158" s="23">
        <v>7438</v>
      </c>
      <c r="J158" s="23">
        <v>180000</v>
      </c>
      <c r="K158" s="23">
        <v>4123759</v>
      </c>
      <c r="L158" s="23">
        <v>539880</v>
      </c>
      <c r="M158" s="23">
        <v>6400455</v>
      </c>
      <c r="N158" s="23">
        <v>5758528</v>
      </c>
      <c r="O158" s="26">
        <v>12790963.949000001</v>
      </c>
    </row>
    <row r="159" spans="1:15" ht="15.75" hidden="1" thickBot="1" x14ac:dyDescent="0.3">
      <c r="A159" s="21"/>
      <c r="B159" s="22" t="s">
        <v>34</v>
      </c>
      <c r="C159" s="23">
        <v>6837</v>
      </c>
      <c r="D159" s="23">
        <v>998202</v>
      </c>
      <c r="E159" s="23">
        <v>871</v>
      </c>
      <c r="F159" s="23">
        <v>313560</v>
      </c>
      <c r="G159" s="23">
        <v>0</v>
      </c>
      <c r="H159" s="23">
        <v>551126</v>
      </c>
      <c r="I159" s="23">
        <v>7438</v>
      </c>
      <c r="J159" s="23">
        <v>180000</v>
      </c>
      <c r="K159" s="23">
        <v>4123759</v>
      </c>
      <c r="L159" s="23">
        <v>710010</v>
      </c>
      <c r="M159" s="23">
        <v>6729067</v>
      </c>
      <c r="N159" s="23">
        <v>6260141</v>
      </c>
      <c r="O159" s="26">
        <v>13414917.949000001</v>
      </c>
    </row>
    <row r="160" spans="1:15" ht="15.75" hidden="1" thickBot="1" x14ac:dyDescent="0.3">
      <c r="A160" s="21"/>
      <c r="B160" s="22" t="s">
        <v>35</v>
      </c>
      <c r="C160" s="23">
        <v>7458</v>
      </c>
      <c r="D160" s="23">
        <v>1088868</v>
      </c>
      <c r="E160" s="23">
        <v>855</v>
      </c>
      <c r="F160" s="23">
        <v>308340</v>
      </c>
      <c r="G160" s="23">
        <v>0</v>
      </c>
      <c r="H160" s="23">
        <v>550832</v>
      </c>
      <c r="I160" s="23">
        <v>7438</v>
      </c>
      <c r="J160" s="23">
        <v>180000</v>
      </c>
      <c r="K160" s="23">
        <v>4123759</v>
      </c>
      <c r="L160" s="23">
        <v>458820</v>
      </c>
      <c r="M160" s="23">
        <v>6563029</v>
      </c>
      <c r="N160" s="23">
        <v>6130853</v>
      </c>
      <c r="O160" s="26">
        <v>14002121.949000001</v>
      </c>
    </row>
    <row r="161" spans="1:15" ht="15.75" hidden="1" thickBot="1" x14ac:dyDescent="0.3">
      <c r="A161" s="21"/>
      <c r="B161" s="22" t="s">
        <v>36</v>
      </c>
      <c r="C161" s="23">
        <v>7431</v>
      </c>
      <c r="D161" s="23">
        <v>1084926</v>
      </c>
      <c r="E161" s="23">
        <v>2079</v>
      </c>
      <c r="F161" s="23">
        <v>807480</v>
      </c>
      <c r="G161" s="23">
        <v>0</v>
      </c>
      <c r="H161" s="23">
        <v>550832</v>
      </c>
      <c r="I161" s="23">
        <v>7438</v>
      </c>
      <c r="J161" s="23">
        <v>180000</v>
      </c>
      <c r="K161" s="23">
        <v>4133759</v>
      </c>
      <c r="L161" s="23">
        <v>409576</v>
      </c>
      <c r="M161" s="23">
        <v>7018983</v>
      </c>
      <c r="N161" s="23">
        <v>6958478</v>
      </c>
      <c r="O161" s="26">
        <v>14217654.949000001</v>
      </c>
    </row>
    <row r="162" spans="1:15" ht="15.75" hidden="1" thickBot="1" x14ac:dyDescent="0.3">
      <c r="A162" s="21"/>
      <c r="B162" s="22" t="s">
        <v>37</v>
      </c>
      <c r="C162" s="23">
        <v>10305</v>
      </c>
      <c r="D162" s="23">
        <v>1504530</v>
      </c>
      <c r="E162" s="23">
        <v>3256</v>
      </c>
      <c r="F162" s="23">
        <v>1351980</v>
      </c>
      <c r="G162" s="23">
        <v>0</v>
      </c>
      <c r="H162" s="23">
        <v>543610</v>
      </c>
      <c r="I162" s="23">
        <v>6998</v>
      </c>
      <c r="J162" s="23">
        <v>178333</v>
      </c>
      <c r="K162" s="23">
        <v>4133613</v>
      </c>
      <c r="L162" s="23">
        <v>358806</v>
      </c>
      <c r="M162" s="23">
        <v>7923890</v>
      </c>
      <c r="N162" s="23">
        <v>9576457</v>
      </c>
      <c r="O162" s="26">
        <v>12719067.949000001</v>
      </c>
    </row>
    <row r="163" spans="1:15" ht="15.75" hidden="1" thickBot="1" x14ac:dyDescent="0.3">
      <c r="A163" s="21">
        <v>2016</v>
      </c>
      <c r="B163" s="22" t="s">
        <v>38</v>
      </c>
      <c r="C163" s="23">
        <v>7953</v>
      </c>
      <c r="D163" s="23">
        <v>1160408</v>
      </c>
      <c r="E163" s="23">
        <v>2640</v>
      </c>
      <c r="F163" s="23">
        <v>979560</v>
      </c>
      <c r="G163" s="23">
        <v>0</v>
      </c>
      <c r="H163" s="23">
        <v>543610</v>
      </c>
      <c r="I163" s="23">
        <v>6998</v>
      </c>
      <c r="J163" s="23">
        <v>170000</v>
      </c>
      <c r="K163" s="23">
        <v>4763613</v>
      </c>
      <c r="L163" s="23">
        <v>358806</v>
      </c>
      <c r="M163" s="23">
        <v>7777757</v>
      </c>
      <c r="N163" s="23">
        <v>6747830</v>
      </c>
      <c r="O163" s="26">
        <v>13954232.949000001</v>
      </c>
    </row>
    <row r="164" spans="1:15" ht="15.75" hidden="1" thickBot="1" x14ac:dyDescent="0.3">
      <c r="A164" s="21"/>
      <c r="B164" s="22" t="s">
        <v>27</v>
      </c>
      <c r="C164" s="23">
        <v>8972</v>
      </c>
      <c r="D164" s="23">
        <v>1309912</v>
      </c>
      <c r="E164" s="23">
        <v>2766</v>
      </c>
      <c r="F164" s="23">
        <v>1044720</v>
      </c>
      <c r="G164" s="23">
        <v>0</v>
      </c>
      <c r="H164" s="23">
        <v>543654</v>
      </c>
      <c r="I164" s="23">
        <v>6998</v>
      </c>
      <c r="J164" s="23">
        <v>170000</v>
      </c>
      <c r="K164" s="23">
        <v>4763613</v>
      </c>
      <c r="L164" s="23">
        <v>308610</v>
      </c>
      <c r="M164" s="23">
        <v>7942092</v>
      </c>
      <c r="N164" s="23">
        <v>7599503</v>
      </c>
      <c r="O164" s="26">
        <v>14502236.949000001</v>
      </c>
    </row>
    <row r="165" spans="1:15" ht="15.75" hidden="1" thickBot="1" x14ac:dyDescent="0.3">
      <c r="A165" s="21"/>
      <c r="B165" s="22" t="s">
        <v>28</v>
      </c>
      <c r="C165" s="23">
        <v>8063</v>
      </c>
      <c r="D165" s="23">
        <v>1177198</v>
      </c>
      <c r="E165" s="23">
        <v>2911</v>
      </c>
      <c r="F165" s="23">
        <v>1704420</v>
      </c>
      <c r="G165" s="23">
        <v>0</v>
      </c>
      <c r="H165" s="23">
        <v>543654</v>
      </c>
      <c r="I165" s="23">
        <v>6998</v>
      </c>
      <c r="J165" s="23">
        <v>170000</v>
      </c>
      <c r="K165" s="23">
        <v>4763613</v>
      </c>
      <c r="L165" s="23">
        <v>258120</v>
      </c>
      <c r="M165" s="23">
        <v>8470023</v>
      </c>
      <c r="N165" s="23">
        <v>6744022</v>
      </c>
      <c r="O165" s="26">
        <v>16382217.948999999</v>
      </c>
    </row>
    <row r="166" spans="1:15" ht="15.75" hidden="1" thickBot="1" x14ac:dyDescent="0.3">
      <c r="A166" s="21"/>
      <c r="B166" s="22" t="s">
        <v>29</v>
      </c>
      <c r="C166" s="23">
        <v>8053</v>
      </c>
      <c r="D166" s="23">
        <v>1183330</v>
      </c>
      <c r="E166" s="23">
        <v>1331</v>
      </c>
      <c r="F166" s="23">
        <v>496260</v>
      </c>
      <c r="G166" s="23">
        <v>0</v>
      </c>
      <c r="H166" s="23">
        <v>545106</v>
      </c>
      <c r="I166" s="23">
        <v>7064</v>
      </c>
      <c r="J166" s="23">
        <v>160000</v>
      </c>
      <c r="K166" s="23">
        <v>4763635</v>
      </c>
      <c r="L166" s="23">
        <v>155442</v>
      </c>
      <c r="M166" s="23">
        <v>7156329</v>
      </c>
      <c r="N166" s="23">
        <v>8391574</v>
      </c>
      <c r="O166" s="26">
        <v>15301480.949000001</v>
      </c>
    </row>
    <row r="167" spans="1:15" ht="15.75" hidden="1" thickBot="1" x14ac:dyDescent="0.3">
      <c r="A167" s="21"/>
      <c r="B167" s="22" t="s">
        <v>30</v>
      </c>
      <c r="C167" s="23">
        <v>5685</v>
      </c>
      <c r="D167" s="23">
        <v>830010</v>
      </c>
      <c r="E167" s="23">
        <v>498</v>
      </c>
      <c r="F167" s="23">
        <v>179280</v>
      </c>
      <c r="G167" s="23">
        <v>0</v>
      </c>
      <c r="H167" s="23">
        <v>544712</v>
      </c>
      <c r="I167" s="23">
        <v>7064</v>
      </c>
      <c r="J167" s="23">
        <v>160000</v>
      </c>
      <c r="K167" s="23">
        <v>4763635</v>
      </c>
      <c r="L167" s="23">
        <v>207944</v>
      </c>
      <c r="M167" s="23">
        <v>6538137</v>
      </c>
      <c r="N167" s="23">
        <v>7009464</v>
      </c>
      <c r="O167" s="26">
        <v>14984661.949000001</v>
      </c>
    </row>
    <row r="168" spans="1:15" ht="15.75" hidden="1" thickBot="1" x14ac:dyDescent="0.3">
      <c r="A168" s="21"/>
      <c r="B168" s="22" t="s">
        <v>31</v>
      </c>
      <c r="C168" s="23">
        <v>7386</v>
      </c>
      <c r="D168" s="23">
        <v>1188099</v>
      </c>
      <c r="E168" s="23">
        <v>357</v>
      </c>
      <c r="F168" s="23">
        <v>128520</v>
      </c>
      <c r="G168" s="23">
        <v>0</v>
      </c>
      <c r="H168" s="23">
        <v>544082</v>
      </c>
      <c r="I168" s="23">
        <v>7064</v>
      </c>
      <c r="J168" s="23">
        <v>160000</v>
      </c>
      <c r="K168" s="23">
        <v>4763635</v>
      </c>
      <c r="L168" s="23">
        <v>260520</v>
      </c>
      <c r="M168" s="23">
        <v>6897412</v>
      </c>
      <c r="N168" s="23">
        <v>6889823</v>
      </c>
      <c r="O168" s="26">
        <v>15146758.949000001</v>
      </c>
    </row>
    <row r="169" spans="1:15" ht="15.75" hidden="1" thickBot="1" x14ac:dyDescent="0.3">
      <c r="A169" s="21"/>
      <c r="B169" s="22" t="s">
        <v>32</v>
      </c>
      <c r="C169" s="23">
        <v>6120</v>
      </c>
      <c r="D169" s="23">
        <v>893520</v>
      </c>
      <c r="E169" s="23">
        <v>374</v>
      </c>
      <c r="F169" s="23">
        <v>134640</v>
      </c>
      <c r="G169" s="23">
        <v>0</v>
      </c>
      <c r="H169" s="23">
        <v>527395</v>
      </c>
      <c r="I169" s="23">
        <v>6473</v>
      </c>
      <c r="J169" s="23">
        <v>160000</v>
      </c>
      <c r="K169" s="23">
        <v>4763438</v>
      </c>
      <c r="L169" s="23">
        <v>313698</v>
      </c>
      <c r="M169" s="23">
        <v>6649384</v>
      </c>
      <c r="N169" s="23">
        <v>5740022</v>
      </c>
      <c r="O169" s="26">
        <v>16205900.949000001</v>
      </c>
    </row>
    <row r="170" spans="1:15" ht="15.75" hidden="1" thickBot="1" x14ac:dyDescent="0.3">
      <c r="A170" s="21"/>
      <c r="B170" s="22" t="s">
        <v>33</v>
      </c>
      <c r="C170" s="23">
        <v>5957</v>
      </c>
      <c r="D170" s="23">
        <v>869722</v>
      </c>
      <c r="E170" s="23">
        <v>509</v>
      </c>
      <c r="F170" s="23">
        <v>205020</v>
      </c>
      <c r="G170" s="23">
        <v>0</v>
      </c>
      <c r="H170" s="23">
        <v>527395</v>
      </c>
      <c r="I170" s="23">
        <v>6473</v>
      </c>
      <c r="J170" s="23">
        <v>160000</v>
      </c>
      <c r="K170" s="23">
        <v>4763438</v>
      </c>
      <c r="L170" s="23">
        <v>262090</v>
      </c>
      <c r="M170" s="23">
        <v>6644358</v>
      </c>
      <c r="N170" s="23">
        <v>6106103</v>
      </c>
      <c r="O170" s="26">
        <v>16893935.949000001</v>
      </c>
    </row>
    <row r="171" spans="1:15" ht="15.75" hidden="1" thickBot="1" x14ac:dyDescent="0.3">
      <c r="A171" s="21"/>
      <c r="B171" s="22" t="s">
        <v>34</v>
      </c>
      <c r="C171" s="23">
        <v>6884</v>
      </c>
      <c r="D171" s="23">
        <v>1005064</v>
      </c>
      <c r="E171" s="23">
        <v>1252</v>
      </c>
      <c r="F171" s="23">
        <v>451920</v>
      </c>
      <c r="G171" s="23">
        <v>0</v>
      </c>
      <c r="H171" s="23">
        <v>385000</v>
      </c>
      <c r="I171" s="23">
        <v>0</v>
      </c>
      <c r="J171" s="23">
        <v>160000</v>
      </c>
      <c r="K171" s="23">
        <v>4761280</v>
      </c>
      <c r="L171" s="23">
        <v>314688</v>
      </c>
      <c r="M171" s="23">
        <v>6986952</v>
      </c>
      <c r="N171" s="23">
        <v>6420192</v>
      </c>
      <c r="O171" s="26">
        <v>17551695.949000001</v>
      </c>
    </row>
    <row r="172" spans="1:15" ht="15.75" hidden="1" thickBot="1" x14ac:dyDescent="0.3">
      <c r="A172" s="21"/>
      <c r="B172" s="22" t="s">
        <v>35</v>
      </c>
      <c r="C172" s="23">
        <v>5814</v>
      </c>
      <c r="D172" s="23">
        <v>848844</v>
      </c>
      <c r="E172" s="23">
        <v>1485</v>
      </c>
      <c r="F172" s="23">
        <v>541260</v>
      </c>
      <c r="G172" s="23">
        <v>0</v>
      </c>
      <c r="H172" s="23">
        <v>385000</v>
      </c>
      <c r="I172" s="23">
        <v>0</v>
      </c>
      <c r="J172" s="23">
        <v>160000</v>
      </c>
      <c r="K172" s="23">
        <v>4761280</v>
      </c>
      <c r="L172" s="23">
        <v>262615</v>
      </c>
      <c r="M172" s="23">
        <v>6867999</v>
      </c>
      <c r="N172" s="23">
        <v>7093788</v>
      </c>
      <c r="O172" s="26">
        <v>17416906.949000001</v>
      </c>
    </row>
    <row r="173" spans="1:15" ht="15.75" hidden="1" thickBot="1" x14ac:dyDescent="0.3">
      <c r="A173" s="21"/>
      <c r="B173" s="22" t="s">
        <v>36</v>
      </c>
      <c r="C173" s="23">
        <v>6511</v>
      </c>
      <c r="D173" s="23">
        <v>968418</v>
      </c>
      <c r="E173" s="23">
        <v>2576</v>
      </c>
      <c r="F173" s="23">
        <v>1114494</v>
      </c>
      <c r="G173" s="23">
        <v>3731</v>
      </c>
      <c r="H173" s="23">
        <v>385000</v>
      </c>
      <c r="I173" s="23">
        <v>0</v>
      </c>
      <c r="J173" s="23">
        <v>160000</v>
      </c>
      <c r="K173" s="23">
        <v>4763295</v>
      </c>
      <c r="L173" s="23">
        <v>157881</v>
      </c>
      <c r="M173" s="23">
        <v>7461819</v>
      </c>
      <c r="N173" s="23">
        <v>9029611</v>
      </c>
      <c r="O173" s="26">
        <v>15940114.949000001</v>
      </c>
    </row>
    <row r="174" spans="1:15" ht="15.75" hidden="1" thickBot="1" x14ac:dyDescent="0.3">
      <c r="A174" s="21"/>
      <c r="B174" s="22" t="s">
        <v>37</v>
      </c>
      <c r="C174" s="23">
        <v>8295</v>
      </c>
      <c r="D174" s="23">
        <v>1211070</v>
      </c>
      <c r="E174" s="23">
        <v>3040</v>
      </c>
      <c r="F174" s="23">
        <v>1228353</v>
      </c>
      <c r="G174" s="23">
        <v>3731</v>
      </c>
      <c r="H174" s="23">
        <v>385000</v>
      </c>
      <c r="I174" s="23">
        <v>0</v>
      </c>
      <c r="J174" s="23">
        <v>160000</v>
      </c>
      <c r="K174" s="23">
        <v>4763295</v>
      </c>
      <c r="L174" s="23">
        <v>158088</v>
      </c>
      <c r="M174" s="23">
        <v>7818537</v>
      </c>
      <c r="N174" s="23">
        <v>8005284</v>
      </c>
      <c r="O174" s="26">
        <v>15844367.949000001</v>
      </c>
    </row>
    <row r="175" spans="1:15" ht="15.75" hidden="1" thickBot="1" x14ac:dyDescent="0.3"/>
    <row r="176" spans="1:15" ht="15.75" hidden="1" thickBot="1" x14ac:dyDescent="0.3">
      <c r="A176" s="21">
        <v>2017</v>
      </c>
      <c r="B176" s="22" t="s">
        <v>38</v>
      </c>
      <c r="C176" s="46">
        <f>SUM([7]inicio:final!E175)</f>
        <v>0</v>
      </c>
      <c r="D176" s="23">
        <f>SUM([7]inicio:final!G175)</f>
        <v>0</v>
      </c>
      <c r="E176" s="46">
        <f>SUM([8]inicio:final!J175)</f>
        <v>1354</v>
      </c>
      <c r="F176" s="23">
        <f>SUM([7]inicio:final!L175)</f>
        <v>0</v>
      </c>
      <c r="G176" s="23">
        <f>SUM([7]inicio:final!M175)</f>
        <v>0</v>
      </c>
      <c r="H176" s="23">
        <f>SUM([7]inicio:final!N175)</f>
        <v>0</v>
      </c>
      <c r="I176" s="23">
        <f>SUM([7]inicio:final!O175)</f>
        <v>0</v>
      </c>
      <c r="J176" s="23">
        <f>SUM([7]inicio:final!P175)</f>
        <v>0</v>
      </c>
      <c r="K176" s="23">
        <f>SUM([7]inicio:final!Q175)</f>
        <v>0</v>
      </c>
      <c r="L176" s="23">
        <f>SUM([8]inicio:final!R175)</f>
        <v>210544</v>
      </c>
      <c r="M176" s="23">
        <f>SUM([8]inicio:final!S175)</f>
        <v>5248989</v>
      </c>
      <c r="N176" s="23">
        <f>SUM([8]inicio:final!V175)</f>
        <v>4050578</v>
      </c>
      <c r="O176" s="26">
        <f>SUM([7]inicio:final!W175)</f>
        <v>0</v>
      </c>
    </row>
    <row r="177" spans="1:15" ht="15.75" hidden="1" thickBot="1" x14ac:dyDescent="0.3">
      <c r="A177" s="21"/>
      <c r="B177" s="22" t="s">
        <v>27</v>
      </c>
      <c r="C177" s="46">
        <f>SUM([7]inicio:final!E176)</f>
        <v>5094</v>
      </c>
      <c r="D177" s="23">
        <f>SUM([7]inicio:final!G176)</f>
        <v>744322</v>
      </c>
      <c r="E177" s="46">
        <f>SUM([8]inicio:final!J176)</f>
        <v>1225</v>
      </c>
      <c r="F177" s="23">
        <f>SUM([7]inicio:final!L176)</f>
        <v>678684</v>
      </c>
      <c r="G177" s="23">
        <f>SUM([7]inicio:final!M176)</f>
        <v>149240</v>
      </c>
      <c r="H177" s="23">
        <f>SUM([7]inicio:final!N176)</f>
        <v>266000</v>
      </c>
      <c r="I177" s="23">
        <f>SUM([7]inicio:final!O176)</f>
        <v>0</v>
      </c>
      <c r="J177" s="23">
        <f>SUM([7]inicio:final!P176)</f>
        <v>35000</v>
      </c>
      <c r="K177" s="23">
        <f>SUM([7]inicio:final!Q176)</f>
        <v>2979990</v>
      </c>
      <c r="L177" s="23">
        <f>SUM([8]inicio:final!R176)</f>
        <v>158352</v>
      </c>
      <c r="M177" s="23">
        <f>SUM([8]inicio:final!S176)</f>
        <v>5099993</v>
      </c>
      <c r="N177" s="23">
        <f>SUM([8]inicio:final!V176)</f>
        <v>5640973</v>
      </c>
      <c r="O177" s="26">
        <f>SUM([7]inicio:final!W176)</f>
        <v>9701659</v>
      </c>
    </row>
    <row r="178" spans="1:15" ht="15.75" hidden="1" thickBot="1" x14ac:dyDescent="0.3">
      <c r="A178" s="21"/>
      <c r="B178" s="22" t="s">
        <v>28</v>
      </c>
      <c r="C178" s="46">
        <f>SUM([7]inicio:final!E177)</f>
        <v>4704</v>
      </c>
      <c r="D178" s="23">
        <f>SUM([7]inicio:final!G177)</f>
        <v>687738</v>
      </c>
      <c r="E178" s="46">
        <f>SUM([8]inicio:final!J177)</f>
        <v>1178</v>
      </c>
      <c r="F178" s="23">
        <f>SUM([7]inicio:final!L177)</f>
        <v>648440</v>
      </c>
      <c r="G178" s="23">
        <f>SUM([7]inicio:final!M177)</f>
        <v>149240</v>
      </c>
      <c r="H178" s="23">
        <f>SUM([7]inicio:final!N177)</f>
        <v>266000</v>
      </c>
      <c r="I178" s="23">
        <f>SUM([7]inicio:final!O177)</f>
        <v>0</v>
      </c>
      <c r="J178" s="23">
        <f>SUM([7]inicio:final!P177)</f>
        <v>35000</v>
      </c>
      <c r="K178" s="23">
        <f>SUM([7]inicio:final!Q177)</f>
        <v>2979990</v>
      </c>
      <c r="L178" s="23">
        <f>SUM([8]inicio:final!R177)</f>
        <v>158832</v>
      </c>
      <c r="M178" s="23">
        <f>SUM([8]inicio:final!S177)</f>
        <v>5022735</v>
      </c>
      <c r="N178" s="23">
        <f>SUM([8]inicio:final!V177)</f>
        <v>4993533</v>
      </c>
      <c r="O178" s="26">
        <f>SUM([7]inicio:final!W177)</f>
        <v>9633366</v>
      </c>
    </row>
    <row r="179" spans="1:15" ht="15.75" hidden="1" thickBot="1" x14ac:dyDescent="0.3">
      <c r="A179" s="21"/>
      <c r="B179" s="22" t="s">
        <v>29</v>
      </c>
      <c r="C179" s="46">
        <f>SUM([7]inicio:final!E178)</f>
        <v>3198</v>
      </c>
      <c r="D179" s="23">
        <f>SUM([7]inicio:final!G178)</f>
        <v>466908</v>
      </c>
      <c r="E179" s="46">
        <f>SUM([8]inicio:final!J178)</f>
        <v>907</v>
      </c>
      <c r="F179" s="23">
        <f>SUM([7]inicio:final!L178)</f>
        <v>496951</v>
      </c>
      <c r="G179" s="23">
        <f>SUM([7]inicio:final!M178)</f>
        <v>149240</v>
      </c>
      <c r="H179" s="23">
        <f>SUM([7]inicio:final!N178)</f>
        <v>266000</v>
      </c>
      <c r="I179" s="23">
        <f>SUM([7]inicio:final!O178)</f>
        <v>0</v>
      </c>
      <c r="J179" s="23">
        <f>SUM([7]inicio:final!P178)</f>
        <v>35000</v>
      </c>
      <c r="K179" s="23">
        <f>SUM([7]inicio:final!Q178)</f>
        <v>2979990</v>
      </c>
      <c r="L179" s="23">
        <f>SUM([8]inicio:final!R178)</f>
        <v>159369</v>
      </c>
      <c r="M179" s="23">
        <f>SUM([8]inicio:final!S178)</f>
        <v>4650953</v>
      </c>
      <c r="N179" s="23">
        <f>SUM([8]inicio:final!V178)</f>
        <v>4224954</v>
      </c>
      <c r="O179" s="26">
        <f>SUM([7]inicio:final!W178)</f>
        <v>10156860</v>
      </c>
    </row>
    <row r="180" spans="1:15" ht="15.75" hidden="1" thickBot="1" x14ac:dyDescent="0.3">
      <c r="A180" s="21"/>
      <c r="B180" s="22" t="s">
        <v>30</v>
      </c>
      <c r="C180" s="46">
        <f>SUM([7]inicio:final!E179)</f>
        <v>3337</v>
      </c>
      <c r="D180" s="23">
        <f>SUM([7]inicio:final!G179)</f>
        <v>487202</v>
      </c>
      <c r="E180" s="46">
        <f>SUM([8]inicio:final!J179)</f>
        <v>609</v>
      </c>
      <c r="F180" s="23">
        <f>SUM([7]inicio:final!L179)</f>
        <v>342496</v>
      </c>
      <c r="G180" s="23">
        <f>SUM([7]inicio:final!M179)</f>
        <v>149240</v>
      </c>
      <c r="H180" s="23">
        <f>SUM([7]inicio:final!N179)</f>
        <v>266000</v>
      </c>
      <c r="I180" s="23">
        <f>SUM([7]inicio:final!O179)</f>
        <v>0</v>
      </c>
      <c r="J180" s="23">
        <f>SUM([7]inicio:final!P179)</f>
        <v>35000</v>
      </c>
      <c r="K180" s="23">
        <f>SUM([7]inicio:final!Q179)</f>
        <v>2979990</v>
      </c>
      <c r="L180" s="23">
        <f>SUM([8]inicio:final!R179)</f>
        <v>159786</v>
      </c>
      <c r="M180" s="23">
        <f>SUM([8]inicio:final!S179)</f>
        <v>4509796</v>
      </c>
      <c r="N180" s="23">
        <f>SUM([8]inicio:final!V179)</f>
        <v>4274421</v>
      </c>
      <c r="O180" s="26">
        <f>SUM([7]inicio:final!W179)</f>
        <v>10302153</v>
      </c>
    </row>
    <row r="181" spans="1:15" ht="15.75" hidden="1" thickBot="1" x14ac:dyDescent="0.3">
      <c r="A181" s="21"/>
      <c r="B181" s="22" t="s">
        <v>31</v>
      </c>
      <c r="C181" s="46">
        <f>SUM([7]inicio:final!E180)</f>
        <v>3895</v>
      </c>
      <c r="D181" s="23">
        <f>SUM([7]inicio:final!G180)</f>
        <v>568670</v>
      </c>
      <c r="E181" s="46">
        <f>SUM([8]inicio:final!J180)</f>
        <v>199</v>
      </c>
      <c r="F181" s="23">
        <f>SUM([7]inicio:final!L180)</f>
        <v>111241</v>
      </c>
      <c r="G181" s="23">
        <f>SUM([7]inicio:final!M180)</f>
        <v>149240</v>
      </c>
      <c r="H181" s="23">
        <f>SUM([7]inicio:final!N180)</f>
        <v>266000</v>
      </c>
      <c r="I181" s="23">
        <f>SUM([7]inicio:final!O180)</f>
        <v>0</v>
      </c>
      <c r="J181" s="23">
        <f>SUM([7]inicio:final!P180)</f>
        <v>35000</v>
      </c>
      <c r="K181" s="23">
        <f>SUM([7]inicio:final!Q180)</f>
        <v>2979990</v>
      </c>
      <c r="L181" s="23">
        <f>SUM([8]inicio:final!R180)</f>
        <v>213320</v>
      </c>
      <c r="M181" s="23">
        <f>SUM([8]inicio:final!S180)</f>
        <v>4410894</v>
      </c>
      <c r="N181" s="23">
        <f>SUM([8]inicio:final!V180)</f>
        <v>4337455</v>
      </c>
      <c r="O181" s="26">
        <f>SUM([7]inicio:final!W180)</f>
        <v>10465674</v>
      </c>
    </row>
    <row r="182" spans="1:15" ht="15.75" hidden="1" thickBot="1" x14ac:dyDescent="0.3">
      <c r="A182" s="21"/>
      <c r="B182" s="22" t="s">
        <v>32</v>
      </c>
      <c r="C182" s="46">
        <f>SUM([7]inicio:final!E181)</f>
        <v>3881</v>
      </c>
      <c r="D182" s="23">
        <f>SUM([7]inicio:final!G181)</f>
        <v>566626</v>
      </c>
      <c r="E182" s="46">
        <f>SUM([8]inicio:final!J181)</f>
        <v>275</v>
      </c>
      <c r="F182" s="23">
        <f>SUM([7]inicio:final!L181)</f>
        <v>153725</v>
      </c>
      <c r="G182" s="23">
        <f>SUM([7]inicio:final!M181)</f>
        <v>149240</v>
      </c>
      <c r="H182" s="23">
        <f>SUM([7]inicio:final!N181)</f>
        <v>266000</v>
      </c>
      <c r="I182" s="23">
        <f>SUM([7]inicio:final!O181)</f>
        <v>0</v>
      </c>
      <c r="J182" s="23">
        <f>SUM([7]inicio:final!P181)</f>
        <v>35000</v>
      </c>
      <c r="K182" s="23">
        <f>SUM([7]inicio:final!Q181)</f>
        <v>2979990</v>
      </c>
      <c r="L182" s="23">
        <f>SUM([8]inicio:final!R181)</f>
        <v>159585</v>
      </c>
      <c r="M182" s="23">
        <f>SUM([8]inicio:final!S181)</f>
        <v>4397453</v>
      </c>
      <c r="N182" s="23">
        <f>SUM([8]inicio:final!V181)</f>
        <v>3142682</v>
      </c>
      <c r="O182" s="26">
        <f>SUM([7]inicio:final!W181)</f>
        <v>11633158</v>
      </c>
    </row>
    <row r="183" spans="1:15" ht="15.75" hidden="1" thickBot="1" x14ac:dyDescent="0.3">
      <c r="A183" s="21"/>
      <c r="B183" s="22" t="s">
        <v>33</v>
      </c>
      <c r="C183" s="46">
        <f>SUM([7]inicio:final!E182)</f>
        <v>4468</v>
      </c>
      <c r="D183" s="23">
        <f>SUM([7]inicio:final!G182)</f>
        <v>652328</v>
      </c>
      <c r="E183" s="46">
        <f>SUM([8]inicio:final!J182)</f>
        <v>385</v>
      </c>
      <c r="F183" s="23">
        <f>SUM([7]inicio:final!L182)</f>
        <v>215215</v>
      </c>
      <c r="G183" s="23">
        <f>SUM([7]inicio:final!M182)</f>
        <v>149240</v>
      </c>
      <c r="H183" s="23">
        <f>SUM([7]inicio:final!N182)</f>
        <v>303278</v>
      </c>
      <c r="I183" s="23">
        <f>SUM([7]inicio:final!O182)</f>
        <v>0</v>
      </c>
      <c r="J183" s="23">
        <f>SUM([7]inicio:final!P182)</f>
        <v>35000</v>
      </c>
      <c r="K183" s="23">
        <f>SUM([7]inicio:final!Q182)</f>
        <v>2979990</v>
      </c>
      <c r="L183" s="23">
        <f>SUM([8]inicio:final!R182)</f>
        <v>159624</v>
      </c>
      <c r="M183" s="23">
        <f>SUM([8]inicio:final!S182)</f>
        <v>4583089</v>
      </c>
      <c r="N183" s="23">
        <f>SUM([8]inicio:final!V182)</f>
        <v>4890537</v>
      </c>
      <c r="O183" s="26">
        <f>SUM([7]inicio:final!W182)</f>
        <v>11412997</v>
      </c>
    </row>
    <row r="184" spans="1:15" ht="15.75" hidden="1" thickBot="1" x14ac:dyDescent="0.3">
      <c r="A184" s="21"/>
      <c r="B184" s="22" t="s">
        <v>34</v>
      </c>
      <c r="C184" s="46">
        <f>SUM([7]inicio:final!E183)</f>
        <v>3824</v>
      </c>
      <c r="D184" s="23">
        <f>SUM([7]inicio:final!G183)</f>
        <v>558304</v>
      </c>
      <c r="E184" s="46">
        <f>SUM([8]inicio:final!J183)</f>
        <v>481</v>
      </c>
      <c r="F184" s="23">
        <f>SUM([7]inicio:final!L183)</f>
        <v>270859</v>
      </c>
      <c r="G184" s="23">
        <f>SUM([7]inicio:final!M183)</f>
        <v>149240</v>
      </c>
      <c r="H184" s="23">
        <f>SUM([7]inicio:final!N183)</f>
        <v>303886</v>
      </c>
      <c r="I184" s="23">
        <f>SUM([7]inicio:final!O183)</f>
        <v>15900</v>
      </c>
      <c r="J184" s="23">
        <f>SUM([7]inicio:final!P183)</f>
        <v>35000</v>
      </c>
      <c r="K184" s="23">
        <f>SUM([7]inicio:final!Q183)</f>
        <v>2979990</v>
      </c>
      <c r="L184" s="23">
        <f>SUM([8]inicio:final!R183)</f>
        <v>159942</v>
      </c>
      <c r="M184" s="23">
        <f>SUM([8]inicio:final!S183)</f>
        <v>4561551</v>
      </c>
      <c r="N184" s="23">
        <f>SUM([8]inicio:final!V183)</f>
        <v>4826103</v>
      </c>
      <c r="O184" s="26">
        <f>SUM([7]inicio:final!W183)</f>
        <v>11148445</v>
      </c>
    </row>
    <row r="185" spans="1:15" ht="15.75" hidden="1" thickBot="1" x14ac:dyDescent="0.3">
      <c r="A185" s="21"/>
      <c r="B185" s="22" t="s">
        <v>35</v>
      </c>
      <c r="C185" s="46">
        <f>SUM([7]inicio:final!E184)</f>
        <v>3264</v>
      </c>
      <c r="D185" s="23">
        <f>SUM([7]inicio:final!G184)</f>
        <v>476544</v>
      </c>
      <c r="E185" s="46">
        <f>SUM([8]inicio:final!J184)</f>
        <v>503</v>
      </c>
      <c r="F185" s="23">
        <f>SUM([7]inicio:final!L184)</f>
        <v>334841</v>
      </c>
      <c r="G185" s="23">
        <f>SUM([7]inicio:final!M184)</f>
        <v>149240</v>
      </c>
      <c r="H185" s="23">
        <f>SUM([7]inicio:final!N184)</f>
        <v>303620</v>
      </c>
      <c r="I185" s="23">
        <f>SUM([7]inicio:final!O184)</f>
        <v>0</v>
      </c>
      <c r="J185" s="23">
        <f>SUM([7]inicio:final!P184)</f>
        <v>35000</v>
      </c>
      <c r="K185" s="23">
        <f>SUM([7]inicio:final!Q184)</f>
        <v>2979990</v>
      </c>
      <c r="L185" s="23">
        <f>SUM([8]inicio:final!R184)</f>
        <v>159810</v>
      </c>
      <c r="M185" s="23">
        <f>SUM([8]inicio:final!S184)</f>
        <v>4461338</v>
      </c>
      <c r="N185" s="23">
        <f>SUM([8]inicio:final!V184)</f>
        <v>4465188</v>
      </c>
      <c r="O185" s="26">
        <f>SUM([7]inicio:final!W184)</f>
        <v>11122302</v>
      </c>
    </row>
    <row r="186" spans="1:15" ht="15.75" hidden="1" thickBot="1" x14ac:dyDescent="0.3">
      <c r="A186" s="21"/>
      <c r="B186" s="22" t="s">
        <v>36</v>
      </c>
      <c r="C186" s="46">
        <f>SUM([7]inicio:final!E185)</f>
        <v>3578</v>
      </c>
      <c r="D186" s="23">
        <f>SUM([7]inicio:final!G185)</f>
        <v>522388</v>
      </c>
      <c r="E186" s="46">
        <f>SUM([8]inicio:final!J185)</f>
        <v>1071</v>
      </c>
      <c r="F186" s="23">
        <f>SUM([7]inicio:final!L185)</f>
        <v>603009</v>
      </c>
      <c r="G186" s="23">
        <f>SUM([7]inicio:final!M185)</f>
        <v>149240</v>
      </c>
      <c r="H186" s="23">
        <f>SUM([7]inicio:final!N185)</f>
        <v>304722</v>
      </c>
      <c r="I186" s="23">
        <f>SUM([7]inicio:final!O185)</f>
        <v>0</v>
      </c>
      <c r="J186" s="23">
        <f>SUM([7]inicio:final!P185)</f>
        <v>35000</v>
      </c>
      <c r="K186" s="23">
        <f>SUM([7]inicio:final!Q185)</f>
        <v>2979990</v>
      </c>
      <c r="L186" s="23">
        <f>SUM([8]inicio:final!R185)</f>
        <v>213848</v>
      </c>
      <c r="M186" s="23">
        <f>SUM([8]inicio:final!S185)</f>
        <v>4888338</v>
      </c>
      <c r="N186" s="23">
        <f>SUM([8]inicio:final!V185)</f>
        <v>4608141</v>
      </c>
      <c r="O186" s="26">
        <f>SUM([7]inicio:final!W185)</f>
        <v>11322358</v>
      </c>
    </row>
    <row r="187" spans="1:15" ht="15.75" hidden="1" thickBot="1" x14ac:dyDescent="0.3">
      <c r="A187" s="21"/>
      <c r="B187" s="22" t="s">
        <v>37</v>
      </c>
      <c r="C187" s="46">
        <f>SUM([7]inicio:final!E186)</f>
        <v>3905</v>
      </c>
      <c r="D187" s="23">
        <f>SUM([7]inicio:final!G186)</f>
        <v>570130</v>
      </c>
      <c r="E187" s="46">
        <f>SUM([8]inicio:final!J186)</f>
        <v>1210</v>
      </c>
      <c r="F187" s="23">
        <f>SUM([7]inicio:final!L186)</f>
        <v>681250</v>
      </c>
      <c r="G187" s="23">
        <f>SUM([7]inicio:final!M186)</f>
        <v>149240</v>
      </c>
      <c r="H187" s="23">
        <f>SUM([7]inicio:final!N186)</f>
        <v>305482</v>
      </c>
      <c r="I187" s="23">
        <f>SUM([7]inicio:final!O186)</f>
        <v>0</v>
      </c>
      <c r="J187" s="23">
        <f>SUM([7]inicio:final!P186)</f>
        <v>35000</v>
      </c>
      <c r="K187" s="23">
        <f>SUM([7]inicio:final!Q186)</f>
        <v>2979990</v>
      </c>
      <c r="L187" s="23">
        <f>SUM([8]inicio:final!R186)</f>
        <v>224600</v>
      </c>
      <c r="M187" s="23">
        <f>SUM([8]inicio:final!S186)</f>
        <v>5025833</v>
      </c>
      <c r="N187" s="23">
        <f>SUM([8]inicio:final!V186)</f>
        <v>4097328</v>
      </c>
      <c r="O187" s="26">
        <f>SUM([7]inicio:final!W186)</f>
        <v>12170722</v>
      </c>
    </row>
    <row r="188" spans="1:15" ht="15.75" hidden="1" thickBot="1" x14ac:dyDescent="0.3">
      <c r="A188" s="21">
        <v>2018</v>
      </c>
      <c r="B188" s="22" t="s">
        <v>38</v>
      </c>
      <c r="C188" s="46">
        <f>SUM([7]inicio:final!E187)</f>
        <v>5041</v>
      </c>
      <c r="D188" s="23">
        <f>SUM([7]inicio:final!G187)</f>
        <v>735986</v>
      </c>
      <c r="E188" s="46">
        <f>SUM([8]inicio:final!J187)</f>
        <v>1208</v>
      </c>
      <c r="F188" s="23">
        <f>SUM([7]inicio:final!L187)</f>
        <v>676892</v>
      </c>
      <c r="G188" s="23">
        <f>SUM([7]inicio:final!M187)</f>
        <v>149240</v>
      </c>
      <c r="H188" s="23">
        <f>SUM([7]inicio:final!N187)</f>
        <v>305786</v>
      </c>
      <c r="I188" s="23">
        <f>SUM([7]inicio:final!O187)</f>
        <v>0</v>
      </c>
      <c r="J188" s="23">
        <f>SUM([7]inicio:final!P187)</f>
        <v>25000</v>
      </c>
      <c r="K188" s="23">
        <f>SUM([7]inicio:final!Q187)</f>
        <v>3047616</v>
      </c>
      <c r="L188" s="23">
        <f>SUM([8]inicio:final!R187)</f>
        <v>161541</v>
      </c>
      <c r="M188" s="23">
        <f>SUM([8]inicio:final!S187)</f>
        <v>5182202</v>
      </c>
      <c r="N188" s="23">
        <f>SUM([8]inicio:final!V187)</f>
        <v>4864200</v>
      </c>
      <c r="O188" s="26">
        <f>SUM([7]inicio:final!W187)</f>
        <v>12408583</v>
      </c>
    </row>
    <row r="189" spans="1:15" ht="15.75" hidden="1" thickBot="1" x14ac:dyDescent="0.3">
      <c r="A189" s="21"/>
      <c r="B189" s="22" t="s">
        <v>27</v>
      </c>
      <c r="C189" s="46">
        <f>SUM([7]inicio:final!E188)</f>
        <v>3869</v>
      </c>
      <c r="D189" s="23">
        <f>SUM([7]inicio:final!G188)</f>
        <v>564874</v>
      </c>
      <c r="E189" s="46">
        <f>SUM([8]inicio:final!J188)</f>
        <v>766</v>
      </c>
      <c r="F189" s="23">
        <f>SUM([7]inicio:final!L188)</f>
        <v>428194</v>
      </c>
      <c r="G189" s="23">
        <f>SUM([7]inicio:final!M188)</f>
        <v>149240</v>
      </c>
      <c r="H189" s="23">
        <f>SUM([7]inicio:final!N188)</f>
        <v>306926</v>
      </c>
      <c r="I189" s="23">
        <f>SUM([7]inicio:final!O188)</f>
        <v>0</v>
      </c>
      <c r="J189" s="23">
        <f>SUM([7]inicio:final!P188)</f>
        <v>15893</v>
      </c>
      <c r="K189" s="23">
        <f>SUM([7]inicio:final!Q188)</f>
        <v>3047616</v>
      </c>
      <c r="L189" s="23">
        <f>SUM([8]inicio:final!R188)</f>
        <v>107868</v>
      </c>
      <c r="M189" s="23">
        <f>SUM([8]inicio:final!S188)</f>
        <v>4700752</v>
      </c>
      <c r="N189" s="23">
        <f>SUM([8]inicio:final!V188)</f>
        <v>5493836</v>
      </c>
      <c r="O189" s="26">
        <f>SUM([7]inicio:final!W188)</f>
        <v>12982019</v>
      </c>
    </row>
    <row r="190" spans="1:15" ht="15.75" hidden="1" thickBot="1" x14ac:dyDescent="0.3">
      <c r="A190" s="21"/>
      <c r="B190" s="22" t="s">
        <v>28</v>
      </c>
      <c r="C190" s="46">
        <f>SUM([7]inicio:final!E189)</f>
        <v>4452</v>
      </c>
      <c r="D190" s="23">
        <f>SUM([7]inicio:final!G189)</f>
        <v>649992</v>
      </c>
      <c r="E190" s="46">
        <f>SUM([8]inicio:final!J189)</f>
        <v>897</v>
      </c>
      <c r="F190" s="23">
        <f>SUM([7]inicio:final!L189)</f>
        <v>501423</v>
      </c>
      <c r="G190" s="23">
        <f>SUM([7]inicio:final!M189)</f>
        <v>149240</v>
      </c>
      <c r="H190" s="23">
        <f>SUM([7]inicio:final!N189)</f>
        <v>307420</v>
      </c>
      <c r="I190" s="23">
        <f>SUM([7]inicio:final!O189)</f>
        <v>0</v>
      </c>
      <c r="J190" s="23">
        <f>SUM([7]inicio:final!P189)</f>
        <v>26774</v>
      </c>
      <c r="K190" s="23">
        <f>SUM([7]inicio:final!Q189)</f>
        <v>3047616</v>
      </c>
      <c r="L190" s="23">
        <f>SUM([8]inicio:final!R189)</f>
        <v>216036</v>
      </c>
      <c r="M190" s="23">
        <f>SUM([8]inicio:final!S189)</f>
        <v>4978642</v>
      </c>
      <c r="N190" s="23">
        <f>SUM([8]inicio:final!V189)</f>
        <v>3919607</v>
      </c>
      <c r="O190" s="26">
        <f>SUM([7]inicio:final!W189)</f>
        <v>13960913</v>
      </c>
    </row>
    <row r="191" spans="1:15" ht="15.75" hidden="1" thickBot="1" x14ac:dyDescent="0.3">
      <c r="A191" s="21"/>
      <c r="B191" s="22" t="s">
        <v>29</v>
      </c>
      <c r="C191" s="46">
        <f>SUM([7]inicio:final!E190)</f>
        <v>3957</v>
      </c>
      <c r="D191" s="23">
        <f>SUM([7]inicio:final!G190)</f>
        <v>577722</v>
      </c>
      <c r="E191" s="46">
        <f>SUM([8]inicio:final!J190)</f>
        <v>1028</v>
      </c>
      <c r="F191" s="23">
        <f>SUM([7]inicio:final!L190)</f>
        <v>574652</v>
      </c>
      <c r="G191" s="23">
        <f>SUM([7]inicio:final!M190)</f>
        <v>149240</v>
      </c>
      <c r="H191" s="23">
        <f>SUM([7]inicio:final!N190)</f>
        <v>307838</v>
      </c>
      <c r="I191" s="23">
        <f>SUM([7]inicio:final!O190)</f>
        <v>0</v>
      </c>
      <c r="J191" s="23">
        <f>SUM([7]inicio:final!P190)</f>
        <v>30000</v>
      </c>
      <c r="K191" s="23">
        <f>SUM([7]inicio:final!Q190)</f>
        <v>3047616</v>
      </c>
      <c r="L191" s="23">
        <f>SUM([8]inicio:final!R190)</f>
        <v>216628</v>
      </c>
      <c r="M191" s="23">
        <f>SUM([8]inicio:final!S190)</f>
        <v>4983837</v>
      </c>
      <c r="N191" s="23">
        <f>SUM([8]inicio:final!V190)</f>
        <v>9374473</v>
      </c>
      <c r="O191" s="26">
        <f>SUM([7]inicio:final!W190)</f>
        <v>9490136</v>
      </c>
    </row>
    <row r="192" spans="1:15" ht="15.75" hidden="1" thickBot="1" x14ac:dyDescent="0.3">
      <c r="A192" s="21"/>
      <c r="B192" s="22" t="s">
        <v>30</v>
      </c>
      <c r="C192" s="46">
        <f>SUM([7]inicio:final!E191)</f>
        <v>4401</v>
      </c>
      <c r="D192" s="23">
        <f>SUM([7]inicio:final!G191)</f>
        <v>642546</v>
      </c>
      <c r="E192" s="46">
        <f>SUM([8]inicio:final!J191)</f>
        <v>733</v>
      </c>
      <c r="F192" s="23">
        <f>SUM([7]inicio:final!L191)</f>
        <v>409747</v>
      </c>
      <c r="G192" s="23">
        <f>SUM([7]inicio:final!M191)</f>
        <v>149240</v>
      </c>
      <c r="H192" s="23">
        <f>SUM([7]inicio:final!N191)</f>
        <v>308674</v>
      </c>
      <c r="I192" s="23">
        <f>SUM([7]inicio:final!O191)</f>
        <v>0</v>
      </c>
      <c r="J192" s="23">
        <f>SUM([7]inicio:final!P191)</f>
        <v>30000</v>
      </c>
      <c r="K192" s="23">
        <f>SUM([7]inicio:final!Q191)</f>
        <v>3047616</v>
      </c>
      <c r="L192" s="23">
        <f>SUM([8]inicio:final!R191)</f>
        <v>108636</v>
      </c>
      <c r="M192" s="23">
        <f>SUM([8]inicio:final!S191)</f>
        <v>4776600</v>
      </c>
      <c r="N192" s="23">
        <f>SUM([8]inicio:final!V191)</f>
        <v>4582724</v>
      </c>
      <c r="O192" s="26">
        <f>SUM([7]inicio:final!W191)</f>
        <v>9603871</v>
      </c>
    </row>
    <row r="193" spans="1:15" ht="15.75" hidden="1" thickBot="1" x14ac:dyDescent="0.3">
      <c r="A193" s="21"/>
      <c r="B193" s="22" t="s">
        <v>31</v>
      </c>
      <c r="C193" s="46">
        <f>SUM([7]inicio:final!E192)</f>
        <v>3609</v>
      </c>
      <c r="D193" s="23">
        <f>SUM([7]inicio:final!G192)</f>
        <v>526914</v>
      </c>
      <c r="E193" s="46">
        <f>SUM([8]inicio:final!J192)</f>
        <v>258</v>
      </c>
      <c r="F193" s="23">
        <f>SUM([7]inicio:final!L192)</f>
        <v>144222</v>
      </c>
      <c r="G193" s="23">
        <f>SUM([7]inicio:final!M192)</f>
        <v>149240</v>
      </c>
      <c r="H193" s="23">
        <f>SUM([7]inicio:final!N192)</f>
        <v>309624</v>
      </c>
      <c r="I193" s="23">
        <f>SUM([7]inicio:final!O192)</f>
        <v>0</v>
      </c>
      <c r="J193" s="23">
        <f>SUM([7]inicio:final!P192)</f>
        <v>9000</v>
      </c>
      <c r="K193" s="23">
        <f>SUM([7]inicio:final!Q192)</f>
        <v>3047616</v>
      </c>
      <c r="L193" s="23">
        <f>SUM([8]inicio:final!R192)</f>
        <v>108810</v>
      </c>
      <c r="M193" s="23">
        <f>SUM([8]inicio:final!S192)</f>
        <v>4375567</v>
      </c>
      <c r="N193" s="23">
        <f>SUM([8]inicio:final!V192)</f>
        <v>13310213</v>
      </c>
      <c r="O193" s="26">
        <f>SUM([7]inicio:final!W192)</f>
        <v>589084</v>
      </c>
    </row>
    <row r="194" spans="1:15" ht="15.75" hidden="1" thickBot="1" x14ac:dyDescent="0.3">
      <c r="A194" s="21"/>
      <c r="B194" s="22" t="s">
        <v>32</v>
      </c>
      <c r="C194" s="46">
        <f>SUM([7]inicio:final!E193)</f>
        <v>3751</v>
      </c>
      <c r="D194" s="23">
        <f>SUM([7]inicio:final!G193)</f>
        <v>547646</v>
      </c>
      <c r="E194" s="46">
        <f>SUM([8]inicio:final!J193)</f>
        <v>144</v>
      </c>
      <c r="F194" s="23">
        <f>SUM([7]inicio:final!L193)</f>
        <v>80496</v>
      </c>
      <c r="G194" s="23">
        <f>SUM([7]inicio:final!M193)</f>
        <v>149240</v>
      </c>
      <c r="H194" s="23">
        <f>SUM([7]inicio:final!N193)</f>
        <v>310118</v>
      </c>
      <c r="I194" s="23">
        <f>SUM([7]inicio:final!O193)</f>
        <v>0</v>
      </c>
      <c r="J194" s="23">
        <f>SUM([7]inicio:final!P193)</f>
        <v>0</v>
      </c>
      <c r="K194" s="23">
        <f>SUM([7]inicio:final!Q193)</f>
        <v>3047616</v>
      </c>
      <c r="L194" s="23">
        <f>SUM([8]inicio:final!R193)</f>
        <v>0</v>
      </c>
      <c r="M194" s="23">
        <f>SUM([8]inicio:final!S193)</f>
        <v>4215257</v>
      </c>
      <c r="N194" s="23">
        <f>SUM([8]inicio:final!V193)</f>
        <v>4532611</v>
      </c>
      <c r="O194" s="26">
        <f>SUM([7]inicio:final!W193)</f>
        <v>191589</v>
      </c>
    </row>
    <row r="195" spans="1:15" ht="15.75" hidden="1" thickBot="1" x14ac:dyDescent="0.3">
      <c r="A195" s="21"/>
      <c r="B195" s="22" t="s">
        <v>33</v>
      </c>
      <c r="C195" s="46">
        <f>SUM([7]inicio:final!E194)</f>
        <v>4309</v>
      </c>
      <c r="D195" s="23">
        <f>SUM([7]inicio:final!G194)</f>
        <v>629114</v>
      </c>
      <c r="E195" s="46">
        <f>SUM([8]inicio:final!J194)</f>
        <v>251</v>
      </c>
      <c r="F195" s="23">
        <f>SUM([7]inicio:final!L194)</f>
        <v>140309</v>
      </c>
      <c r="G195" s="23">
        <f>SUM([7]inicio:final!M194)</f>
        <v>149240</v>
      </c>
      <c r="H195" s="23">
        <f>SUM([7]inicio:final!N194)</f>
        <v>311068</v>
      </c>
      <c r="I195" s="23">
        <f>SUM([7]inicio:final!O194)</f>
        <v>0</v>
      </c>
      <c r="J195" s="23">
        <f>SUM([7]inicio:final!P194)</f>
        <v>0</v>
      </c>
      <c r="K195" s="23">
        <f>SUM([7]inicio:final!Q194)</f>
        <v>3047616</v>
      </c>
      <c r="L195" s="23">
        <f>SUM([8]inicio:final!R194)</f>
        <v>54715</v>
      </c>
      <c r="M195" s="23">
        <f>SUM([8]inicio:final!S194)</f>
        <v>4412203</v>
      </c>
      <c r="N195" s="23">
        <f>SUM([8]inicio:final!V194)</f>
        <v>4310183</v>
      </c>
      <c r="O195" s="26">
        <f>SUM([7]inicio:final!W194)</f>
        <v>213468</v>
      </c>
    </row>
    <row r="196" spans="1:15" ht="15.75" hidden="1" thickBot="1" x14ac:dyDescent="0.3">
      <c r="B196" s="22" t="s">
        <v>34</v>
      </c>
      <c r="C196" s="46">
        <f>SUM([7]inicio:final!E195)</f>
        <v>3376</v>
      </c>
      <c r="D196" s="23">
        <f>SUM([7]inicio:final!G195)</f>
        <v>492896</v>
      </c>
      <c r="E196" s="46">
        <f>SUM([8]inicio:final!J195)</f>
        <v>387</v>
      </c>
      <c r="F196" s="23">
        <f>SUM([7]inicio:final!L195)</f>
        <v>216333</v>
      </c>
      <c r="G196" s="23">
        <f>SUM([7]inicio:final!M195)</f>
        <v>149240</v>
      </c>
      <c r="H196" s="23">
        <f>SUM([7]inicio:final!N195)</f>
        <v>311866</v>
      </c>
      <c r="I196" s="23">
        <f>SUM([7]inicio:final!O195)</f>
        <v>0</v>
      </c>
      <c r="J196" s="23">
        <f>SUM([7]inicio:final!P195)</f>
        <v>0</v>
      </c>
      <c r="K196" s="23">
        <f>SUM([7]inicio:final!Q195)</f>
        <v>3047616</v>
      </c>
      <c r="L196" s="23">
        <f>SUM([8]inicio:final!R195)</f>
        <v>164592</v>
      </c>
      <c r="M196" s="23">
        <f>SUM([8]inicio:final!S195)</f>
        <v>4462684</v>
      </c>
      <c r="N196" s="23">
        <f>SUM([8]inicio:final!V195)</f>
        <v>4417365</v>
      </c>
      <c r="O196" s="26">
        <f>SUM([7]inicio:final!W195)</f>
        <v>178646</v>
      </c>
    </row>
    <row r="197" spans="1:15" ht="15.75" hidden="1" thickBot="1" x14ac:dyDescent="0.3">
      <c r="B197" s="22" t="s">
        <v>35</v>
      </c>
      <c r="C197" s="46">
        <f>SUM([7]inicio:final!E196)</f>
        <v>3366</v>
      </c>
      <c r="D197" s="23">
        <f>SUM([7]inicio:final!G196)</f>
        <v>491436</v>
      </c>
      <c r="E197" s="46">
        <f>SUM([8]inicio:final!J196)</f>
        <v>495</v>
      </c>
      <c r="F197" s="23">
        <f>SUM([7]inicio:final!L196)</f>
        <v>276705</v>
      </c>
      <c r="G197" s="23">
        <f>SUM([7]inicio:final!M196)</f>
        <v>149240</v>
      </c>
      <c r="H197" s="23">
        <f>SUM([7]inicio:final!N196)</f>
        <v>312740</v>
      </c>
      <c r="I197" s="23">
        <f>SUM([7]inicio:final!O196)</f>
        <v>0</v>
      </c>
      <c r="J197" s="23">
        <f>SUM([7]inicio:final!P196)</f>
        <v>0</v>
      </c>
      <c r="K197" s="23">
        <f>SUM([7]inicio:final!Q196)</f>
        <v>3047616</v>
      </c>
      <c r="L197" s="23">
        <f>SUM([8]inicio:final!R196)</f>
        <v>275330</v>
      </c>
      <c r="M197" s="23">
        <f>SUM([8]inicio:final!S196)</f>
        <v>4633208</v>
      </c>
      <c r="N197" s="23">
        <f>SUM([8]inicio:final!V196)</f>
        <v>4104700</v>
      </c>
      <c r="O197" s="26">
        <f>SUM([7]inicio:final!W196)</f>
        <v>627013</v>
      </c>
    </row>
    <row r="198" spans="1:15" ht="15.75" hidden="1" thickBot="1" x14ac:dyDescent="0.3">
      <c r="B198" s="22" t="s">
        <v>36</v>
      </c>
      <c r="C198" s="46">
        <f>SUM([7]inicio:final!E197)</f>
        <v>4029</v>
      </c>
      <c r="D198" s="23">
        <f>SUM([7]inicio:final!G197)</f>
        <v>588234</v>
      </c>
      <c r="E198" s="46">
        <f>SUM([8]inicio:final!J197)</f>
        <v>951</v>
      </c>
      <c r="F198" s="23">
        <f>SUM([7]inicio:final!L197)</f>
        <v>531609</v>
      </c>
      <c r="G198" s="23">
        <f>SUM([7]inicio:final!M197)</f>
        <v>149240</v>
      </c>
      <c r="H198" s="23">
        <f>SUM([7]inicio:final!N197)</f>
        <v>313880</v>
      </c>
      <c r="I198" s="23">
        <f>SUM([7]inicio:final!O197)</f>
        <v>95200</v>
      </c>
      <c r="J198" s="23">
        <f>SUM([7]inicio:final!P197)</f>
        <v>0</v>
      </c>
      <c r="K198" s="23">
        <f>SUM([7]inicio:final!Q197)</f>
        <v>3047616</v>
      </c>
      <c r="L198" s="23">
        <f>SUM([8]inicio:final!R197)</f>
        <v>275660</v>
      </c>
      <c r="M198" s="23">
        <f>SUM([8]inicio:final!S197)</f>
        <v>5081580</v>
      </c>
      <c r="N198" s="23">
        <f>SUM([8]inicio:final!V197)</f>
        <v>5416676</v>
      </c>
      <c r="O198" s="26">
        <f>SUM([7]inicio:final!W197)</f>
        <v>391776</v>
      </c>
    </row>
    <row r="199" spans="1:15" ht="15.75" hidden="1" thickBot="1" x14ac:dyDescent="0.3">
      <c r="B199" s="22" t="s">
        <v>37</v>
      </c>
      <c r="C199" s="46">
        <f>SUM([7]inicio:final!E198)</f>
        <v>4405</v>
      </c>
      <c r="D199" s="23">
        <f>SUM([7]inicio:final!G198)</f>
        <v>643130</v>
      </c>
      <c r="E199" s="46">
        <f>SUM([8]inicio:final!J198)</f>
        <v>1030</v>
      </c>
      <c r="F199" s="23">
        <f>SUM([7]inicio:final!L198)</f>
        <v>575770</v>
      </c>
      <c r="G199" s="23">
        <f>SUM([7]inicio:final!M198)</f>
        <v>149240</v>
      </c>
      <c r="H199" s="23">
        <f>SUM([7]inicio:final!N198)</f>
        <v>314260</v>
      </c>
      <c r="I199" s="23">
        <f>SUM([7]inicio:final!O198)</f>
        <v>38080</v>
      </c>
      <c r="J199" s="23">
        <f>SUM([7]inicio:final!P198)</f>
        <v>0</v>
      </c>
      <c r="K199" s="23">
        <f>SUM([7]inicio:final!Q198)</f>
        <v>3047616</v>
      </c>
      <c r="L199" s="23">
        <f>SUM([8]inicio:final!R198)</f>
        <v>220368</v>
      </c>
      <c r="M199" s="23">
        <f>SUM([8]inicio:final!S198)</f>
        <v>5068605</v>
      </c>
      <c r="N199" s="23">
        <f>SUM([8]inicio:final!V198)</f>
        <v>4646170</v>
      </c>
      <c r="O199" s="26">
        <f>SUM([7]inicio:final!W198)</f>
        <v>1619240</v>
      </c>
    </row>
    <row r="200" spans="1:15" ht="15.75" thickBot="1" x14ac:dyDescent="0.3">
      <c r="A200">
        <v>2019</v>
      </c>
      <c r="B200" s="22" t="s">
        <v>38</v>
      </c>
      <c r="C200" s="46">
        <f>SUM([7]inicio:final!E199)</f>
        <v>6007</v>
      </c>
      <c r="D200" s="23">
        <f>SUM([7]inicio:final!G199)</f>
        <v>877022</v>
      </c>
      <c r="E200" s="46">
        <f>SUM([8]inicio:final!J199)</f>
        <v>1058</v>
      </c>
      <c r="F200" s="23">
        <f>SUM([7]inicio:final!L199)</f>
        <v>591422</v>
      </c>
      <c r="G200" s="23">
        <f>SUM([7]inicio:final!M199)</f>
        <v>153120</v>
      </c>
      <c r="H200" s="23">
        <f>SUM([7]inicio:final!N199)</f>
        <v>314032</v>
      </c>
      <c r="I200" s="23">
        <f>SUM([7]inicio:final!O199)</f>
        <v>0</v>
      </c>
      <c r="J200" s="23">
        <f>SUM([7]inicio:final!P199)</f>
        <v>0</v>
      </c>
      <c r="K200" s="23">
        <f>SUM([7]inicio:final!Q199)</f>
        <v>3126864</v>
      </c>
      <c r="L200" s="23">
        <f>SUM([8]inicio:final!R199)</f>
        <v>220368</v>
      </c>
      <c r="M200" s="23">
        <f>SUM([8]inicio:final!S199)</f>
        <v>5294800</v>
      </c>
      <c r="N200" s="23">
        <f>SUM([8]inicio:final!V199)</f>
        <v>5624871</v>
      </c>
      <c r="O200" s="26">
        <f>SUM([7]inicio:final!W199)</f>
        <v>6561700</v>
      </c>
    </row>
    <row r="201" spans="1:15" ht="15.75" thickBot="1" x14ac:dyDescent="0.3">
      <c r="B201" s="22" t="s">
        <v>27</v>
      </c>
      <c r="C201" s="46">
        <f>SUM([7]inicio:final!E200)</f>
        <v>7392</v>
      </c>
      <c r="D201" s="23">
        <f>SUM([7]inicio:final!G200)</f>
        <v>1019800</v>
      </c>
      <c r="E201" s="46">
        <f>SUM([8]inicio:final!J200)</f>
        <v>1155</v>
      </c>
      <c r="F201" s="23">
        <f>SUM([7]inicio:final!L200)</f>
        <v>645645</v>
      </c>
      <c r="G201" s="23">
        <f>SUM([7]inicio:final!M200)</f>
        <v>153120</v>
      </c>
      <c r="H201" s="23">
        <f>SUM([7]inicio:final!N200)</f>
        <v>314146</v>
      </c>
      <c r="I201" s="23">
        <f>SUM([7]inicio:final!O200)</f>
        <v>115000</v>
      </c>
      <c r="J201" s="23">
        <f>SUM([7]inicio:final!P200)</f>
        <v>0</v>
      </c>
      <c r="K201" s="23">
        <f>SUM([7]inicio:final!Q200)</f>
        <v>3126864</v>
      </c>
      <c r="L201" s="23">
        <f>SUM([8]inicio:final!R200)</f>
        <v>275570</v>
      </c>
      <c r="M201" s="23">
        <f>SUM([8]inicio:final!S200)</f>
        <v>5650145</v>
      </c>
      <c r="N201" s="23">
        <f>SUM([8]inicio:final!V200)</f>
        <v>4819463</v>
      </c>
      <c r="O201" s="26">
        <f>SUM([7]inicio:final!W200)</f>
        <v>1054681</v>
      </c>
    </row>
    <row r="202" spans="1:15" ht="15.75" thickBot="1" x14ac:dyDescent="0.3">
      <c r="B202" s="22" t="s">
        <v>28</v>
      </c>
      <c r="C202" s="46">
        <f>SUM([7]inicio:final!E201)</f>
        <v>5791</v>
      </c>
      <c r="D202" s="23">
        <f>SUM([7]inicio:final!G201)</f>
        <v>786284</v>
      </c>
      <c r="E202" s="46">
        <f>SUM([8]inicio:final!J201)</f>
        <v>998</v>
      </c>
      <c r="F202" s="23">
        <f>SUM([7]inicio:final!L201)</f>
        <v>557882</v>
      </c>
      <c r="G202" s="23">
        <f>SUM([7]inicio:final!M201)</f>
        <v>153120</v>
      </c>
      <c r="H202" s="23">
        <f>SUM([7]inicio:final!N201)</f>
        <v>314260</v>
      </c>
      <c r="I202" s="23">
        <f>SUM([7]inicio:final!O201)</f>
        <v>0</v>
      </c>
      <c r="J202" s="23">
        <f>SUM([7]inicio:final!P201)</f>
        <v>0</v>
      </c>
      <c r="K202" s="23">
        <f>SUM([7]inicio:final!Q201)</f>
        <v>3126864</v>
      </c>
      <c r="L202" s="23">
        <f>SUM([8]inicio:final!R201)</f>
        <v>220528</v>
      </c>
      <c r="M202" s="23">
        <f>SUM([8]inicio:final!S201)</f>
        <v>5158938</v>
      </c>
      <c r="N202" s="23">
        <f>SUM([8]inicio:final!V201)</f>
        <v>3948775</v>
      </c>
      <c r="O202" s="26">
        <f>SUM([7]inicio:final!W201)</f>
        <v>2264844</v>
      </c>
    </row>
    <row r="203" spans="1:15" ht="15.75" thickBot="1" x14ac:dyDescent="0.3">
      <c r="B203" s="22" t="s">
        <v>29</v>
      </c>
      <c r="C203" s="46">
        <f>SUM([7]inicio:final!E202)</f>
        <v>5649</v>
      </c>
      <c r="D203" s="23">
        <f>SUM([7]inicio:final!G202)</f>
        <v>761642</v>
      </c>
      <c r="E203" s="46">
        <f>SUM([8]inicio:final!J202)</f>
        <v>783</v>
      </c>
      <c r="F203" s="23">
        <f>SUM([7]inicio:final!L202)</f>
        <v>437697</v>
      </c>
      <c r="G203" s="23">
        <f>SUM([7]inicio:final!M202)</f>
        <v>153120</v>
      </c>
      <c r="H203" s="23">
        <f>SUM([7]inicio:final!N202)</f>
        <v>315362</v>
      </c>
      <c r="I203" s="23">
        <f>SUM([7]inicio:final!O202)</f>
        <v>0</v>
      </c>
      <c r="J203" s="23">
        <f>SUM([7]inicio:final!P202)</f>
        <v>0</v>
      </c>
      <c r="K203" s="23">
        <f>SUM([7]inicio:final!Q202)</f>
        <v>3126864</v>
      </c>
      <c r="L203" s="23">
        <f>SUM([8]inicio:final!R202)</f>
        <v>55324</v>
      </c>
      <c r="M203" s="23">
        <f>SUM([8]inicio:final!S202)</f>
        <v>4850009</v>
      </c>
      <c r="N203" s="23">
        <f>SUM([8]inicio:final!V202)</f>
        <v>4959502</v>
      </c>
      <c r="O203" s="26">
        <f>SUM([7]inicio:final!W202)</f>
        <v>2155351</v>
      </c>
    </row>
    <row r="204" spans="1:15" ht="15.75" thickBot="1" x14ac:dyDescent="0.3">
      <c r="B204" s="22" t="s">
        <v>30</v>
      </c>
      <c r="C204" s="46">
        <f>SUM([7]inicio:final!E203)</f>
        <v>5504</v>
      </c>
      <c r="D204" s="23">
        <f>SUM([7]inicio:final!G203)</f>
        <v>770648</v>
      </c>
      <c r="E204" s="46">
        <f>SUM([8]inicio:final!J203)</f>
        <v>735</v>
      </c>
      <c r="F204" s="23">
        <f>SUM([7]inicio:final!L203)</f>
        <v>410865</v>
      </c>
      <c r="G204" s="23">
        <f>SUM([7]inicio:final!M203)</f>
        <v>156948</v>
      </c>
      <c r="H204" s="23">
        <f>SUM([7]inicio:final!N203)</f>
        <v>324831</v>
      </c>
      <c r="I204" s="23">
        <f>SUM([7]inicio:final!O203)</f>
        <v>0</v>
      </c>
      <c r="J204" s="23">
        <f>SUM([7]inicio:final!P203)</f>
        <v>0</v>
      </c>
      <c r="K204" s="23">
        <f>SUM([7]inicio:final!Q203)</f>
        <v>3207040</v>
      </c>
      <c r="L204" s="23">
        <f>SUM([8]inicio:final!R203)</f>
        <v>0</v>
      </c>
      <c r="M204" s="23">
        <f>SUM([8]inicio:final!S203)</f>
        <v>4870332</v>
      </c>
      <c r="N204" s="23">
        <f>SUM([8]inicio:final!V203)</f>
        <v>490481</v>
      </c>
      <c r="O204" s="26">
        <f>SUM([7]inicio:final!W203)</f>
        <v>6535202</v>
      </c>
    </row>
    <row r="205" spans="1:15" ht="15.75" thickBot="1" x14ac:dyDescent="0.3">
      <c r="B205" s="22" t="s">
        <v>31</v>
      </c>
      <c r="C205" s="46">
        <f>SUM([7]inicio:final!E204)</f>
        <v>-437383</v>
      </c>
      <c r="D205" s="23">
        <f>SUM([7]inicio:final!G204)</f>
        <v>-58099868</v>
      </c>
      <c r="E205" s="46">
        <f>SUM([8]inicio:final!J204)</f>
        <v>-54871</v>
      </c>
      <c r="F205" s="23">
        <f>SUM([7]inicio:final!L204)</f>
        <v>-30672889</v>
      </c>
      <c r="G205" s="23">
        <f>SUM([7]inicio:final!M204)</f>
        <v>156948</v>
      </c>
      <c r="H205" s="23">
        <f>SUM([7]inicio:final!N204)</f>
        <v>0</v>
      </c>
      <c r="I205" s="23">
        <f>SUM([7]inicio:final!O204)</f>
        <v>0</v>
      </c>
      <c r="J205" s="23">
        <f>SUM([7]inicio:final!P204)</f>
        <v>0</v>
      </c>
      <c r="K205" s="23">
        <f>SUM([7]inicio:final!Q204)</f>
        <v>3207040</v>
      </c>
      <c r="L205" s="23">
        <f>SUM([8]inicio:final!R204)</f>
        <v>0</v>
      </c>
      <c r="M205" s="23">
        <f>SUM([8]inicio:final!S204)</f>
        <v>-85408769</v>
      </c>
      <c r="N205" s="23">
        <f>SUM([8]inicio:final!V204)</f>
        <v>0</v>
      </c>
      <c r="O205" s="26">
        <f>SUM([7]inicio:final!W204)</f>
        <v>-78873567</v>
      </c>
    </row>
    <row r="206" spans="1:15" ht="15.75" thickBot="1" x14ac:dyDescent="0.3">
      <c r="B206" s="22" t="s">
        <v>32</v>
      </c>
      <c r="C206" s="46">
        <f>SUM([7]inicio:final!E205)</f>
        <v>0</v>
      </c>
      <c r="D206" s="23">
        <f>SUM([7]inicio:final!G205)</f>
        <v>0</v>
      </c>
      <c r="E206" s="46">
        <f>SUM([8]inicio:final!J205)</f>
        <v>0</v>
      </c>
      <c r="F206" s="23">
        <f>SUM([7]inicio:final!L205)</f>
        <v>0</v>
      </c>
      <c r="G206" s="23">
        <f>SUM([7]inicio:final!M205)</f>
        <v>156948</v>
      </c>
      <c r="H206" s="23">
        <f>SUM([7]inicio:final!N205)</f>
        <v>0</v>
      </c>
      <c r="I206" s="23">
        <f>SUM([7]inicio:final!O205)</f>
        <v>0</v>
      </c>
      <c r="J206" s="23">
        <f>SUM([7]inicio:final!P205)</f>
        <v>0</v>
      </c>
      <c r="K206" s="23">
        <f>SUM([7]inicio:final!Q205)</f>
        <v>3207040</v>
      </c>
      <c r="L206" s="23">
        <f>SUM([8]inicio:final!R205)</f>
        <v>0</v>
      </c>
      <c r="M206" s="23">
        <f>SUM([8]inicio:final!S205)</f>
        <v>3363988</v>
      </c>
      <c r="N206" s="23">
        <f>SUM([8]inicio:final!V205)</f>
        <v>0</v>
      </c>
      <c r="O206" s="26">
        <f>SUM([7]inicio:final!W205)</f>
        <v>-75509579</v>
      </c>
    </row>
    <row r="207" spans="1:15" ht="15.75" thickBot="1" x14ac:dyDescent="0.3">
      <c r="B207" s="22" t="s">
        <v>33</v>
      </c>
      <c r="C207" s="46">
        <f>SUM([7]inicio:final!E206)</f>
        <v>0</v>
      </c>
      <c r="D207" s="23">
        <f>SUM([7]inicio:final!G206)</f>
        <v>0</v>
      </c>
      <c r="E207" s="46">
        <f>SUM([8]inicio:final!J206)</f>
        <v>0</v>
      </c>
      <c r="F207" s="23">
        <f>SUM([7]inicio:final!L206)</f>
        <v>0</v>
      </c>
      <c r="G207" s="23">
        <f>SUM([7]inicio:final!M206)</f>
        <v>156948</v>
      </c>
      <c r="H207" s="23">
        <f>SUM([7]inicio:final!N206)</f>
        <v>0</v>
      </c>
      <c r="I207" s="23">
        <f>SUM([7]inicio:final!O206)</f>
        <v>0</v>
      </c>
      <c r="J207" s="23">
        <f>SUM([7]inicio:final!P206)</f>
        <v>0</v>
      </c>
      <c r="K207" s="23">
        <f>SUM([7]inicio:final!Q206)</f>
        <v>3207040</v>
      </c>
      <c r="L207" s="23">
        <f>SUM([8]inicio:final!R206)</f>
        <v>0</v>
      </c>
      <c r="M207" s="23">
        <f>SUM([8]inicio:final!S206)</f>
        <v>3363988</v>
      </c>
      <c r="N207" s="23">
        <f>SUM([8]inicio:final!V206)</f>
        <v>0</v>
      </c>
      <c r="O207" s="26">
        <f>SUM([7]inicio:final!W206)</f>
        <v>-72145591</v>
      </c>
    </row>
    <row r="208" spans="1:15" ht="15.75" thickBot="1" x14ac:dyDescent="0.3">
      <c r="B208" s="22" t="s">
        <v>34</v>
      </c>
      <c r="C208" s="46">
        <f>SUM([7]inicio:final!E207)</f>
        <v>0</v>
      </c>
      <c r="D208" s="23">
        <f>SUM([7]inicio:final!G207)</f>
        <v>0</v>
      </c>
      <c r="E208" s="46">
        <f>SUM([8]inicio:final!J207)</f>
        <v>0</v>
      </c>
      <c r="F208" s="23">
        <f>SUM([7]inicio:final!L207)</f>
        <v>0</v>
      </c>
      <c r="G208" s="23">
        <f>SUM([7]inicio:final!M207)</f>
        <v>156948</v>
      </c>
      <c r="H208" s="23">
        <f>SUM([7]inicio:final!N207)</f>
        <v>0</v>
      </c>
      <c r="I208" s="23">
        <f>SUM([7]inicio:final!O207)</f>
        <v>0</v>
      </c>
      <c r="J208" s="23">
        <f>SUM([7]inicio:final!P207)</f>
        <v>0</v>
      </c>
      <c r="K208" s="23">
        <f>SUM([7]inicio:final!Q207)</f>
        <v>3207040</v>
      </c>
      <c r="L208" s="23">
        <f>SUM([8]inicio:final!R207)</f>
        <v>0</v>
      </c>
      <c r="M208" s="23">
        <f>SUM([8]inicio:final!S207)</f>
        <v>3363988</v>
      </c>
      <c r="N208" s="23">
        <f>SUM([8]inicio:final!V207)</f>
        <v>0</v>
      </c>
      <c r="O208" s="26">
        <f>SUM([7]inicio:final!W207)</f>
        <v>-68781603</v>
      </c>
    </row>
    <row r="209" spans="2:15" ht="15.75" thickBot="1" x14ac:dyDescent="0.3">
      <c r="B209" s="22" t="s">
        <v>35</v>
      </c>
      <c r="C209" s="46">
        <f>SUM([7]inicio:final!E208)</f>
        <v>0</v>
      </c>
      <c r="D209" s="23">
        <f>SUM([7]inicio:final!G208)</f>
        <v>0</v>
      </c>
      <c r="E209" s="46">
        <f>SUM([8]inicio:final!J208)</f>
        <v>0</v>
      </c>
      <c r="F209" s="23">
        <f>SUM([7]inicio:final!L208)</f>
        <v>0</v>
      </c>
      <c r="G209" s="23">
        <f>SUM([7]inicio:final!M208)</f>
        <v>156948</v>
      </c>
      <c r="H209" s="23">
        <f>SUM([7]inicio:final!N208)</f>
        <v>0</v>
      </c>
      <c r="I209" s="23">
        <f>SUM([7]inicio:final!O208)</f>
        <v>0</v>
      </c>
      <c r="J209" s="23">
        <f>SUM([7]inicio:final!P208)</f>
        <v>0</v>
      </c>
      <c r="K209" s="23">
        <f>SUM([7]inicio:final!Q208)</f>
        <v>3207040</v>
      </c>
      <c r="L209" s="23">
        <f>SUM([8]inicio:final!R208)</f>
        <v>0</v>
      </c>
      <c r="M209" s="23">
        <f>SUM([8]inicio:final!S208)</f>
        <v>3363988</v>
      </c>
      <c r="N209" s="23">
        <f>SUM([8]inicio:final!V208)</f>
        <v>0</v>
      </c>
      <c r="O209" s="26">
        <f>SUM([7]inicio:final!W208)</f>
        <v>-65417615</v>
      </c>
    </row>
    <row r="210" spans="2:15" ht="15.75" thickBot="1" x14ac:dyDescent="0.3">
      <c r="B210" s="22" t="s">
        <v>36</v>
      </c>
      <c r="C210" s="46">
        <f>SUM([7]inicio:final!E209)</f>
        <v>0</v>
      </c>
      <c r="D210" s="23">
        <f>SUM([7]inicio:final!G209)</f>
        <v>0</v>
      </c>
      <c r="E210" s="46">
        <f>SUM([8]inicio:final!J209)</f>
        <v>0</v>
      </c>
      <c r="F210" s="23">
        <f>SUM([7]inicio:final!L209)</f>
        <v>0</v>
      </c>
      <c r="G210" s="23">
        <f>SUM([7]inicio:final!M209)</f>
        <v>156948</v>
      </c>
      <c r="H210" s="23">
        <f>SUM([7]inicio:final!N209)</f>
        <v>0</v>
      </c>
      <c r="I210" s="23">
        <f>SUM([7]inicio:final!O209)</f>
        <v>0</v>
      </c>
      <c r="J210" s="23">
        <f>SUM([7]inicio:final!P209)</f>
        <v>0</v>
      </c>
      <c r="K210" s="23">
        <f>SUM([7]inicio:final!Q209)</f>
        <v>3207040</v>
      </c>
      <c r="L210" s="23">
        <f>SUM([8]inicio:final!R209)</f>
        <v>0</v>
      </c>
      <c r="M210" s="23">
        <f>SUM([8]inicio:final!S209)</f>
        <v>3363988</v>
      </c>
      <c r="N210" s="23">
        <f>SUM([8]inicio:final!V209)</f>
        <v>0</v>
      </c>
      <c r="O210" s="26">
        <f>SUM([7]inicio:final!W209)</f>
        <v>-62053627</v>
      </c>
    </row>
    <row r="211" spans="2:15" ht="15.75" thickBot="1" x14ac:dyDescent="0.3">
      <c r="B211" s="22" t="s">
        <v>37</v>
      </c>
      <c r="C211" s="46">
        <f>SUM([7]inicio:final!E210)</f>
        <v>0</v>
      </c>
      <c r="D211" s="23">
        <f>SUM([7]inicio:final!G210)</f>
        <v>0</v>
      </c>
      <c r="E211" s="46">
        <f>SUM([8]inicio:final!J210)</f>
        <v>0</v>
      </c>
      <c r="F211" s="23">
        <f>SUM([7]inicio:final!L210)</f>
        <v>0</v>
      </c>
      <c r="G211" s="23">
        <f>SUM([7]inicio:final!M210)</f>
        <v>153120</v>
      </c>
      <c r="H211" s="23">
        <f>SUM([7]inicio:final!N210)</f>
        <v>0</v>
      </c>
      <c r="I211" s="23">
        <f>SUM([7]inicio:final!O210)</f>
        <v>0</v>
      </c>
      <c r="J211" s="23">
        <f>SUM([7]inicio:final!P210)</f>
        <v>0</v>
      </c>
      <c r="K211" s="23">
        <f>SUM([7]inicio:final!Q210)</f>
        <v>3126864</v>
      </c>
      <c r="L211" s="23">
        <f>SUM([8]inicio:final!R210)</f>
        <v>0</v>
      </c>
      <c r="M211" s="23">
        <f>SUM([8]inicio:final!S210)</f>
        <v>3279984</v>
      </c>
      <c r="N211" s="23">
        <f>SUM([8]inicio:final!V210)</f>
        <v>0</v>
      </c>
      <c r="O211" s="26">
        <f>SUM([7]inicio:final!W210)</f>
        <v>-56201333</v>
      </c>
    </row>
    <row r="213" spans="2:15" ht="15.75" hidden="1" thickBot="1" x14ac:dyDescent="0.3">
      <c r="B213" s="76" t="s">
        <v>62</v>
      </c>
      <c r="C213" s="77"/>
      <c r="D213" s="78"/>
    </row>
    <row r="214" spans="2:15" hidden="1" x14ac:dyDescent="0.25">
      <c r="B214" s="88" t="s">
        <v>25</v>
      </c>
      <c r="C214" s="88" t="s">
        <v>9</v>
      </c>
      <c r="D214" s="79" t="s">
        <v>49</v>
      </c>
    </row>
    <row r="215" spans="2:15" ht="15.75" hidden="1" thickBot="1" x14ac:dyDescent="0.3">
      <c r="B215" s="89"/>
      <c r="C215" s="89"/>
      <c r="D215" s="80"/>
    </row>
    <row r="216" spans="2:15" ht="15.75" hidden="1" thickBot="1" x14ac:dyDescent="0.3">
      <c r="B216" s="37" t="s">
        <v>50</v>
      </c>
      <c r="C216" s="37">
        <f>[8]Resumen!$C$246</f>
        <v>4462684</v>
      </c>
      <c r="D216" s="38">
        <f>[8]Resumen!$D$245</f>
        <v>4310183</v>
      </c>
    </row>
    <row r="217" spans="2:15" ht="15.75" hidden="1" thickBot="1" x14ac:dyDescent="0.3">
      <c r="B217" s="35" t="s">
        <v>51</v>
      </c>
      <c r="C217" s="37">
        <f>[8]Resumen!$C$247</f>
        <v>4633208</v>
      </c>
      <c r="D217" s="38">
        <f>[8]Resumen!$D$246</f>
        <v>4417365</v>
      </c>
    </row>
    <row r="218" spans="2:15" ht="15.75" hidden="1" thickBot="1" x14ac:dyDescent="0.3">
      <c r="B218" s="35" t="s">
        <v>52</v>
      </c>
      <c r="C218" s="37">
        <f>[8]Resumen!$C$248</f>
        <v>5081580</v>
      </c>
      <c r="D218" s="38">
        <f>[8]Resumen!$D$247</f>
        <v>4104700</v>
      </c>
    </row>
    <row r="219" spans="2:15" ht="15.75" hidden="1" thickBot="1" x14ac:dyDescent="0.3">
      <c r="B219" s="35" t="s">
        <v>53</v>
      </c>
      <c r="C219" s="37">
        <f>[8]Resumen!$C$249</f>
        <v>5068605</v>
      </c>
      <c r="D219" s="38">
        <f>[8]Resumen!$D$248</f>
        <v>5416676</v>
      </c>
    </row>
    <row r="220" spans="2:15" ht="15.75" hidden="1" thickBot="1" x14ac:dyDescent="0.3">
      <c r="B220" s="35" t="s">
        <v>54</v>
      </c>
      <c r="C220" s="37">
        <f>[8]Resumen!$C$250</f>
        <v>0</v>
      </c>
      <c r="D220" s="38">
        <f>[8]Resumen!$D$249</f>
        <v>4646170</v>
      </c>
    </row>
    <row r="221" spans="2:15" ht="15.75" hidden="1" thickBot="1" x14ac:dyDescent="0.3">
      <c r="B221" s="35" t="s">
        <v>55</v>
      </c>
      <c r="C221" s="37">
        <f>[8]Resumen!$C$251</f>
        <v>0</v>
      </c>
      <c r="D221" s="38">
        <f>[8]Resumen!$D$250</f>
        <v>0</v>
      </c>
    </row>
    <row r="222" spans="2:15" ht="15.75" hidden="1" thickBot="1" x14ac:dyDescent="0.3">
      <c r="B222" s="35" t="s">
        <v>56</v>
      </c>
      <c r="C222" s="37">
        <f>[8]Resumen!$C$252</f>
        <v>0</v>
      </c>
      <c r="D222" s="38">
        <f>[8]Resumen!$D$251</f>
        <v>0</v>
      </c>
    </row>
    <row r="223" spans="2:15" ht="15.75" hidden="1" thickBot="1" x14ac:dyDescent="0.3">
      <c r="B223" s="35" t="s">
        <v>57</v>
      </c>
      <c r="C223" s="37">
        <f>[8]Resumen!$C$253</f>
        <v>0</v>
      </c>
      <c r="D223" s="38">
        <f>[8]Resumen!$D$252</f>
        <v>0</v>
      </c>
    </row>
    <row r="224" spans="2:15" ht="15.75" hidden="1" thickBot="1" x14ac:dyDescent="0.3">
      <c r="B224" s="35" t="s">
        <v>58</v>
      </c>
      <c r="C224" s="37">
        <f>[8]Resumen!$C$254</f>
        <v>0</v>
      </c>
      <c r="D224" s="38">
        <f>[8]Resumen!$D$253</f>
        <v>0</v>
      </c>
    </row>
    <row r="225" spans="2:4" ht="15.75" hidden="1" thickBot="1" x14ac:dyDescent="0.3">
      <c r="B225" s="35" t="s">
        <v>59</v>
      </c>
      <c r="C225" s="37">
        <f>[8]Resumen!$C$255</f>
        <v>0</v>
      </c>
      <c r="D225" s="38">
        <f>[8]Resumen!$D$254</f>
        <v>0</v>
      </c>
    </row>
    <row r="226" spans="2:4" ht="15.75" hidden="1" thickBot="1" x14ac:dyDescent="0.3">
      <c r="B226" s="35" t="s">
        <v>60</v>
      </c>
      <c r="C226" s="37">
        <f>[8]Resumen!$C$256</f>
        <v>0</v>
      </c>
      <c r="D226" s="38">
        <f>[8]Resumen!$D$255</f>
        <v>0</v>
      </c>
    </row>
    <row r="227" spans="2:4" ht="15.75" hidden="1" thickBot="1" x14ac:dyDescent="0.3">
      <c r="B227" s="35" t="s">
        <v>61</v>
      </c>
      <c r="C227" s="37">
        <f>[8]Resumen!$C$257</f>
        <v>245</v>
      </c>
      <c r="D227" s="38">
        <f>[8]Resumen!$D$256</f>
        <v>0</v>
      </c>
    </row>
    <row r="228" spans="2:4" hidden="1" x14ac:dyDescent="0.25"/>
    <row r="229" spans="2:4" hidden="1" x14ac:dyDescent="0.25"/>
    <row r="230" spans="2:4" hidden="1" x14ac:dyDescent="0.25"/>
    <row r="231" spans="2:4" hidden="1" x14ac:dyDescent="0.25"/>
  </sheetData>
  <mergeCells count="7">
    <mergeCell ref="C4:D4"/>
    <mergeCell ref="G4:K4"/>
    <mergeCell ref="L4:O4"/>
    <mergeCell ref="B213:D213"/>
    <mergeCell ref="B214:B215"/>
    <mergeCell ref="C214:C215"/>
    <mergeCell ref="D214:D215"/>
  </mergeCells>
  <conditionalFormatting sqref="O7:O174">
    <cfRule type="cellIs" dxfId="3" priority="3" stopIfTrue="1" operator="lessThan">
      <formula>-0.999999</formula>
    </cfRule>
    <cfRule type="cellIs" dxfId="2" priority="4" stopIfTrue="1" operator="greaterThan">
      <formula>0.9999999</formula>
    </cfRule>
  </conditionalFormatting>
  <conditionalFormatting sqref="O230:O231 O176:O211">
    <cfRule type="cellIs" dxfId="1" priority="1" stopIfTrue="1" operator="lessThan">
      <formula>-0.999999</formula>
    </cfRule>
    <cfRule type="cellIs" dxfId="0" priority="2" stopIfTrue="1" operator="greaterThan">
      <formula>0.9999999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Resumen</vt:lpstr>
      <vt:lpstr>Morosos</vt:lpstr>
      <vt:lpstr>inicio</vt:lpstr>
      <vt:lpstr>Bosques</vt:lpstr>
      <vt:lpstr>Quillayes</vt:lpstr>
      <vt:lpstr>Boldos</vt:lpstr>
      <vt:lpstr>Peumos I</vt:lpstr>
      <vt:lpstr>Peumos II</vt:lpstr>
      <vt:lpstr>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pc</dc:creator>
  <cp:lastModifiedBy>Daniela</cp:lastModifiedBy>
  <dcterms:created xsi:type="dcterms:W3CDTF">2017-09-08T02:19:22Z</dcterms:created>
  <dcterms:modified xsi:type="dcterms:W3CDTF">2019-06-04T12:45:32Z</dcterms:modified>
</cp:coreProperties>
</file>