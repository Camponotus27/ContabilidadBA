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D:\Compartida\Compartida\Nuevo Formato Gasto Común 2017\"/>
    </mc:Choice>
  </mc:AlternateContent>
  <xr:revisionPtr revIDLastSave="0" documentId="13_ncr:1_{A360DD2E-EB86-4EE3-9B33-17D883F0F3CD}" xr6:coauthVersionLast="43" xr6:coauthVersionMax="43" xr10:uidLastSave="{00000000-0000-0000-0000-000000000000}"/>
  <bookViews>
    <workbookView xWindow="-120" yWindow="-120" windowWidth="29040" windowHeight="15840" tabRatio="865" xr2:uid="{00000000-000D-0000-FFFF-FFFF00000000}"/>
  </bookViews>
  <sheets>
    <sheet name="Resumen" sheetId="1" r:id="rId1"/>
    <sheet name="Morosos" sheetId="12" r:id="rId2"/>
    <sheet name="Inicio" sheetId="2" r:id="rId3"/>
    <sheet name="Parcela 1" sheetId="4" r:id="rId4"/>
    <sheet name="Parcela 2" sheetId="5" r:id="rId5"/>
    <sheet name="Parcela 3" sheetId="3" r:id="rId6"/>
    <sheet name="Parcela 4" sheetId="6" r:id="rId7"/>
    <sheet name="Parcela 5" sheetId="7" r:id="rId8"/>
    <sheet name="Parcela 6" sheetId="8" r:id="rId9"/>
    <sheet name="Peter Dragicevic" sheetId="9" r:id="rId10"/>
    <sheet name="Final" sheetId="10" r:id="rId11"/>
    <sheet name="Luz Marina" sheetId="11" state="hidden" r:id="rId12"/>
    <sheet name="Lectura Marina 2019" sheetId="14" r:id="rId13"/>
    <sheet name="Hoja1" sheetId="13" r:id="rId14"/>
  </sheets>
  <externalReferences>
    <externalReference r:id="rId15"/>
    <externalReference r:id="rId16"/>
    <externalReference r:id="rId1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" i="14" l="1"/>
  <c r="L14" i="14"/>
  <c r="L13" i="14"/>
  <c r="L12" i="14"/>
  <c r="L11" i="14"/>
  <c r="L10" i="14"/>
  <c r="L5" i="14"/>
  <c r="L4" i="14"/>
  <c r="G5" i="14"/>
  <c r="G10" i="14"/>
  <c r="G11" i="14"/>
  <c r="G12" i="14"/>
  <c r="G13" i="14"/>
  <c r="G14" i="14"/>
  <c r="G15" i="14"/>
  <c r="G4" i="14"/>
  <c r="J4" i="14"/>
  <c r="J15" i="14"/>
  <c r="H15" i="14"/>
  <c r="J14" i="14"/>
  <c r="H14" i="14"/>
  <c r="J13" i="14"/>
  <c r="H13" i="14"/>
  <c r="J12" i="14"/>
  <c r="H12" i="14"/>
  <c r="J11" i="14"/>
  <c r="H11" i="14"/>
  <c r="J10" i="14"/>
  <c r="H10" i="14"/>
  <c r="H9" i="14"/>
  <c r="J9" i="14" s="1"/>
  <c r="L9" i="14" s="1"/>
  <c r="H8" i="14"/>
  <c r="J8" i="14" s="1"/>
  <c r="L8" i="14" s="1"/>
  <c r="H7" i="14"/>
  <c r="J7" i="14" s="1"/>
  <c r="L7" i="14" s="1"/>
  <c r="H6" i="14"/>
  <c r="J6" i="14" s="1"/>
  <c r="L6" i="14" s="1"/>
  <c r="J5" i="14"/>
  <c r="H5" i="14"/>
  <c r="C5" i="14" l="1"/>
  <c r="E5" i="14"/>
  <c r="C15" i="14"/>
  <c r="E15" i="14" s="1"/>
  <c r="C14" i="14"/>
  <c r="E14" i="14" s="1"/>
  <c r="C13" i="14"/>
  <c r="E13" i="14" s="1"/>
  <c r="C12" i="14"/>
  <c r="E12" i="14" s="1"/>
  <c r="C11" i="14"/>
  <c r="E11" i="14" s="1"/>
  <c r="C10" i="14"/>
  <c r="E10" i="14" s="1"/>
  <c r="C9" i="14"/>
  <c r="E9" i="14" s="1"/>
  <c r="G9" i="14" s="1"/>
  <c r="C8" i="14"/>
  <c r="E8" i="14" s="1"/>
  <c r="G8" i="14" s="1"/>
  <c r="C7" i="14"/>
  <c r="E7" i="14" s="1"/>
  <c r="G7" i="14" s="1"/>
  <c r="C6" i="14"/>
  <c r="E6" i="14" s="1"/>
  <c r="G6" i="14" s="1"/>
  <c r="E4" i="14"/>
  <c r="G210" i="1" l="1"/>
  <c r="H210" i="1"/>
  <c r="I210" i="1"/>
  <c r="J210" i="1"/>
  <c r="K210" i="1"/>
  <c r="L210" i="1"/>
  <c r="N210" i="1"/>
  <c r="G211" i="1"/>
  <c r="H211" i="1"/>
  <c r="I211" i="1"/>
  <c r="J211" i="1"/>
  <c r="K211" i="1"/>
  <c r="L211" i="1"/>
  <c r="N211" i="1"/>
  <c r="G200" i="1"/>
  <c r="H200" i="1"/>
  <c r="I200" i="1"/>
  <c r="J200" i="1"/>
  <c r="K200" i="1"/>
  <c r="L200" i="1"/>
  <c r="N200" i="1"/>
  <c r="G201" i="1"/>
  <c r="H201" i="1"/>
  <c r="I201" i="1"/>
  <c r="J201" i="1"/>
  <c r="K201" i="1"/>
  <c r="L201" i="1"/>
  <c r="N201" i="1"/>
  <c r="G202" i="1"/>
  <c r="H202" i="1"/>
  <c r="I202" i="1"/>
  <c r="J202" i="1"/>
  <c r="K202" i="1"/>
  <c r="L202" i="1"/>
  <c r="N202" i="1"/>
  <c r="G203" i="1"/>
  <c r="H203" i="1"/>
  <c r="I203" i="1"/>
  <c r="J203" i="1"/>
  <c r="K203" i="1"/>
  <c r="L203" i="1"/>
  <c r="N203" i="1"/>
  <c r="G204" i="1"/>
  <c r="H204" i="1"/>
  <c r="I204" i="1"/>
  <c r="J204" i="1"/>
  <c r="K204" i="1"/>
  <c r="L204" i="1"/>
  <c r="N204" i="1"/>
  <c r="G205" i="1"/>
  <c r="H205" i="1"/>
  <c r="I205" i="1"/>
  <c r="J205" i="1"/>
  <c r="K205" i="1"/>
  <c r="L205" i="1"/>
  <c r="N205" i="1"/>
  <c r="G206" i="1"/>
  <c r="H206" i="1"/>
  <c r="I206" i="1"/>
  <c r="J206" i="1"/>
  <c r="K206" i="1"/>
  <c r="L206" i="1"/>
  <c r="N206" i="1"/>
  <c r="G207" i="1"/>
  <c r="H207" i="1"/>
  <c r="I207" i="1"/>
  <c r="J207" i="1"/>
  <c r="K207" i="1"/>
  <c r="L207" i="1"/>
  <c r="N207" i="1"/>
  <c r="G208" i="1"/>
  <c r="H208" i="1"/>
  <c r="I208" i="1"/>
  <c r="J208" i="1"/>
  <c r="K208" i="1"/>
  <c r="L208" i="1"/>
  <c r="N208" i="1"/>
  <c r="G209" i="1"/>
  <c r="H209" i="1"/>
  <c r="I209" i="1"/>
  <c r="J209" i="1"/>
  <c r="K209" i="1"/>
  <c r="L209" i="1"/>
  <c r="N209" i="1"/>
  <c r="C199" i="9"/>
  <c r="E199" i="9" s="1"/>
  <c r="G199" i="9" s="1"/>
  <c r="S199" i="9" s="1"/>
  <c r="C200" i="9"/>
  <c r="E200" i="9" s="1"/>
  <c r="G200" i="9" s="1"/>
  <c r="S200" i="9" s="1"/>
  <c r="C201" i="9"/>
  <c r="E201" i="9" s="1"/>
  <c r="G201" i="9" s="1"/>
  <c r="S201" i="9" s="1"/>
  <c r="C202" i="9"/>
  <c r="E202" i="9" s="1"/>
  <c r="G202" i="9" s="1"/>
  <c r="S202" i="9" s="1"/>
  <c r="C203" i="9"/>
  <c r="E203" i="9" s="1"/>
  <c r="G203" i="9" s="1"/>
  <c r="S203" i="9" s="1"/>
  <c r="C204" i="9"/>
  <c r="E204" i="9" s="1"/>
  <c r="G204" i="9" s="1"/>
  <c r="S204" i="9" s="1"/>
  <c r="C205" i="9"/>
  <c r="E205" i="9" s="1"/>
  <c r="G205" i="9" s="1"/>
  <c r="S205" i="9" s="1"/>
  <c r="C206" i="9"/>
  <c r="E206" i="9" s="1"/>
  <c r="G206" i="9" s="1"/>
  <c r="S206" i="9" s="1"/>
  <c r="C207" i="9"/>
  <c r="E207" i="9" s="1"/>
  <c r="G207" i="9" s="1"/>
  <c r="S207" i="9" s="1"/>
  <c r="C208" i="9"/>
  <c r="E208" i="9" s="1"/>
  <c r="G208" i="9" s="1"/>
  <c r="S208" i="9" s="1"/>
  <c r="C209" i="9"/>
  <c r="E209" i="9" s="1"/>
  <c r="G209" i="9" s="1"/>
  <c r="S209" i="9" s="1"/>
  <c r="C210" i="9"/>
  <c r="E210" i="9" s="1"/>
  <c r="G210" i="9" s="1"/>
  <c r="S210" i="9" s="1"/>
  <c r="C210" i="8"/>
  <c r="E210" i="8" s="1"/>
  <c r="G210" i="8" s="1"/>
  <c r="H210" i="8"/>
  <c r="J210" i="8" s="1"/>
  <c r="L210" i="8" s="1"/>
  <c r="C199" i="8"/>
  <c r="E199" i="8" s="1"/>
  <c r="G199" i="8" s="1"/>
  <c r="H199" i="8"/>
  <c r="J199" i="8" s="1"/>
  <c r="L199" i="8" s="1"/>
  <c r="C200" i="8"/>
  <c r="E200" i="8" s="1"/>
  <c r="G200" i="8" s="1"/>
  <c r="H200" i="8"/>
  <c r="L200" i="8" s="1"/>
  <c r="C201" i="8"/>
  <c r="E201" i="8" s="1"/>
  <c r="G201" i="8" s="1"/>
  <c r="H201" i="8"/>
  <c r="J201" i="8" s="1"/>
  <c r="L201" i="8" s="1"/>
  <c r="C202" i="8"/>
  <c r="E202" i="8" s="1"/>
  <c r="G202" i="8" s="1"/>
  <c r="H202" i="8"/>
  <c r="J202" i="8" s="1"/>
  <c r="L202" i="8" s="1"/>
  <c r="C203" i="8"/>
  <c r="E203" i="8" s="1"/>
  <c r="G203" i="8" s="1"/>
  <c r="H203" i="8"/>
  <c r="J203" i="8" s="1"/>
  <c r="L203" i="8" s="1"/>
  <c r="C204" i="8"/>
  <c r="E204" i="8" s="1"/>
  <c r="G204" i="8" s="1"/>
  <c r="H204" i="8"/>
  <c r="J204" i="8" s="1"/>
  <c r="L204" i="8" s="1"/>
  <c r="C205" i="8"/>
  <c r="E205" i="8" s="1"/>
  <c r="G205" i="8" s="1"/>
  <c r="H205" i="8"/>
  <c r="J205" i="8" s="1"/>
  <c r="L205" i="8" s="1"/>
  <c r="C206" i="8"/>
  <c r="E206" i="8" s="1"/>
  <c r="G206" i="8" s="1"/>
  <c r="H206" i="8"/>
  <c r="J206" i="8" s="1"/>
  <c r="L206" i="8" s="1"/>
  <c r="C207" i="8"/>
  <c r="E207" i="8" s="1"/>
  <c r="G207" i="8" s="1"/>
  <c r="H207" i="8"/>
  <c r="J207" i="8" s="1"/>
  <c r="L207" i="8" s="1"/>
  <c r="C208" i="8"/>
  <c r="E208" i="8" s="1"/>
  <c r="G208" i="8" s="1"/>
  <c r="H208" i="8"/>
  <c r="J208" i="8" s="1"/>
  <c r="L208" i="8" s="1"/>
  <c r="C209" i="8"/>
  <c r="E209" i="8" s="1"/>
  <c r="G209" i="8" s="1"/>
  <c r="H209" i="8"/>
  <c r="J209" i="8" s="1"/>
  <c r="L209" i="8" s="1"/>
  <c r="C199" i="7"/>
  <c r="E199" i="7" s="1"/>
  <c r="G199" i="7" s="1"/>
  <c r="H199" i="7"/>
  <c r="J199" i="7" s="1"/>
  <c r="L199" i="7" s="1"/>
  <c r="C200" i="7"/>
  <c r="E200" i="7" s="1"/>
  <c r="G200" i="7" s="1"/>
  <c r="H200" i="7"/>
  <c r="L200" i="7" s="1"/>
  <c r="C201" i="7"/>
  <c r="E201" i="7" s="1"/>
  <c r="G201" i="7" s="1"/>
  <c r="H201" i="7"/>
  <c r="J201" i="7" s="1"/>
  <c r="L201" i="7" s="1"/>
  <c r="C202" i="7"/>
  <c r="E202" i="7" s="1"/>
  <c r="G202" i="7" s="1"/>
  <c r="H202" i="7"/>
  <c r="J202" i="7" s="1"/>
  <c r="L202" i="7" s="1"/>
  <c r="C203" i="7"/>
  <c r="E203" i="7" s="1"/>
  <c r="G203" i="7" s="1"/>
  <c r="H203" i="7"/>
  <c r="J203" i="7" s="1"/>
  <c r="L203" i="7" s="1"/>
  <c r="C204" i="7"/>
  <c r="E204" i="7" s="1"/>
  <c r="G204" i="7" s="1"/>
  <c r="H204" i="7"/>
  <c r="J204" i="7" s="1"/>
  <c r="L204" i="7" s="1"/>
  <c r="C205" i="7"/>
  <c r="E205" i="7" s="1"/>
  <c r="G205" i="7" s="1"/>
  <c r="H205" i="7"/>
  <c r="J205" i="7" s="1"/>
  <c r="L205" i="7" s="1"/>
  <c r="C206" i="7"/>
  <c r="E206" i="7" s="1"/>
  <c r="G206" i="7" s="1"/>
  <c r="H206" i="7"/>
  <c r="J206" i="7" s="1"/>
  <c r="L206" i="7" s="1"/>
  <c r="C207" i="7"/>
  <c r="E207" i="7" s="1"/>
  <c r="G207" i="7" s="1"/>
  <c r="H207" i="7"/>
  <c r="J207" i="7" s="1"/>
  <c r="L207" i="7" s="1"/>
  <c r="C208" i="7"/>
  <c r="E208" i="7" s="1"/>
  <c r="G208" i="7" s="1"/>
  <c r="H208" i="7"/>
  <c r="J208" i="7" s="1"/>
  <c r="L208" i="7" s="1"/>
  <c r="C209" i="7"/>
  <c r="E209" i="7" s="1"/>
  <c r="G209" i="7" s="1"/>
  <c r="H209" i="7"/>
  <c r="J209" i="7" s="1"/>
  <c r="L209" i="7" s="1"/>
  <c r="C210" i="7"/>
  <c r="E210" i="7" s="1"/>
  <c r="G210" i="7" s="1"/>
  <c r="H210" i="7"/>
  <c r="J210" i="7" s="1"/>
  <c r="L210" i="7" s="1"/>
  <c r="C210" i="6"/>
  <c r="E210" i="6" s="1"/>
  <c r="G210" i="6" s="1"/>
  <c r="H210" i="6"/>
  <c r="J210" i="6" s="1"/>
  <c r="L210" i="6" s="1"/>
  <c r="C199" i="6"/>
  <c r="E199" i="6" s="1"/>
  <c r="G199" i="6" s="1"/>
  <c r="H199" i="6"/>
  <c r="J199" i="6" s="1"/>
  <c r="L199" i="6" s="1"/>
  <c r="C200" i="6"/>
  <c r="E200" i="6" s="1"/>
  <c r="G200" i="6" s="1"/>
  <c r="H200" i="6"/>
  <c r="L200" i="6" s="1"/>
  <c r="C201" i="6"/>
  <c r="E201" i="6" s="1"/>
  <c r="G201" i="6" s="1"/>
  <c r="H201" i="6"/>
  <c r="J201" i="6" s="1"/>
  <c r="L201" i="6" s="1"/>
  <c r="C202" i="6"/>
  <c r="E202" i="6" s="1"/>
  <c r="G202" i="6" s="1"/>
  <c r="H202" i="6"/>
  <c r="J202" i="6" s="1"/>
  <c r="L202" i="6" s="1"/>
  <c r="C203" i="6"/>
  <c r="E203" i="6" s="1"/>
  <c r="G203" i="6" s="1"/>
  <c r="H203" i="6"/>
  <c r="J203" i="6" s="1"/>
  <c r="L203" i="6" s="1"/>
  <c r="C204" i="6"/>
  <c r="E204" i="6" s="1"/>
  <c r="G204" i="6" s="1"/>
  <c r="H204" i="6"/>
  <c r="J204" i="6" s="1"/>
  <c r="L204" i="6" s="1"/>
  <c r="C205" i="6"/>
  <c r="E205" i="6" s="1"/>
  <c r="G205" i="6" s="1"/>
  <c r="H205" i="6"/>
  <c r="J205" i="6" s="1"/>
  <c r="L205" i="6" s="1"/>
  <c r="C206" i="6"/>
  <c r="E206" i="6" s="1"/>
  <c r="G206" i="6" s="1"/>
  <c r="H206" i="6"/>
  <c r="J206" i="6" s="1"/>
  <c r="L206" i="6" s="1"/>
  <c r="C207" i="6"/>
  <c r="E207" i="6" s="1"/>
  <c r="G207" i="6" s="1"/>
  <c r="H207" i="6"/>
  <c r="J207" i="6" s="1"/>
  <c r="L207" i="6" s="1"/>
  <c r="C208" i="6"/>
  <c r="E208" i="6" s="1"/>
  <c r="G208" i="6" s="1"/>
  <c r="H208" i="6"/>
  <c r="J208" i="6" s="1"/>
  <c r="L208" i="6" s="1"/>
  <c r="C209" i="6"/>
  <c r="E209" i="6" s="1"/>
  <c r="G209" i="6" s="1"/>
  <c r="H209" i="6"/>
  <c r="J209" i="6" s="1"/>
  <c r="L209" i="6" s="1"/>
  <c r="C199" i="3"/>
  <c r="E199" i="3" s="1"/>
  <c r="G199" i="3" s="1"/>
  <c r="H199" i="3"/>
  <c r="J199" i="3" s="1"/>
  <c r="L199" i="3" s="1"/>
  <c r="C200" i="3"/>
  <c r="E200" i="3" s="1"/>
  <c r="G200" i="3" s="1"/>
  <c r="H200" i="3"/>
  <c r="L200" i="3" s="1"/>
  <c r="C201" i="3"/>
  <c r="E201" i="3" s="1"/>
  <c r="G201" i="3" s="1"/>
  <c r="H201" i="3"/>
  <c r="J201" i="3" s="1"/>
  <c r="L201" i="3" s="1"/>
  <c r="C202" i="3"/>
  <c r="E202" i="3" s="1"/>
  <c r="H202" i="3"/>
  <c r="J202" i="3" s="1"/>
  <c r="L202" i="3" s="1"/>
  <c r="C203" i="3"/>
  <c r="E203" i="3" s="1"/>
  <c r="G203" i="3" s="1"/>
  <c r="H203" i="3"/>
  <c r="J203" i="3" s="1"/>
  <c r="L203" i="3" s="1"/>
  <c r="C204" i="3"/>
  <c r="E204" i="3" s="1"/>
  <c r="G204" i="3" s="1"/>
  <c r="H204" i="3"/>
  <c r="J204" i="3" s="1"/>
  <c r="C205" i="3"/>
  <c r="E205" i="3" s="1"/>
  <c r="G205" i="3" s="1"/>
  <c r="H205" i="3"/>
  <c r="J205" i="3" s="1"/>
  <c r="L205" i="3" s="1"/>
  <c r="C206" i="3"/>
  <c r="E206" i="3" s="1"/>
  <c r="G206" i="3" s="1"/>
  <c r="H206" i="3"/>
  <c r="J206" i="3" s="1"/>
  <c r="L206" i="3" s="1"/>
  <c r="C207" i="3"/>
  <c r="E207" i="3" s="1"/>
  <c r="G207" i="3" s="1"/>
  <c r="H207" i="3"/>
  <c r="J207" i="3" s="1"/>
  <c r="L207" i="3" s="1"/>
  <c r="C208" i="3"/>
  <c r="E208" i="3" s="1"/>
  <c r="G208" i="3" s="1"/>
  <c r="H208" i="3"/>
  <c r="J208" i="3" s="1"/>
  <c r="L208" i="3" s="1"/>
  <c r="C209" i="3"/>
  <c r="E209" i="3" s="1"/>
  <c r="G209" i="3" s="1"/>
  <c r="H209" i="3"/>
  <c r="J209" i="3" s="1"/>
  <c r="L209" i="3" s="1"/>
  <c r="C210" i="3"/>
  <c r="E210" i="3" s="1"/>
  <c r="H210" i="3"/>
  <c r="J210" i="3" s="1"/>
  <c r="L210" i="3" s="1"/>
  <c r="C200" i="5"/>
  <c r="E200" i="5" s="1"/>
  <c r="H200" i="5"/>
  <c r="C201" i="5"/>
  <c r="E201" i="5" s="1"/>
  <c r="G201" i="5" s="1"/>
  <c r="H201" i="5"/>
  <c r="J201" i="5" s="1"/>
  <c r="C202" i="5"/>
  <c r="E202" i="5" s="1"/>
  <c r="G202" i="5" s="1"/>
  <c r="H202" i="5"/>
  <c r="J202" i="5" s="1"/>
  <c r="C203" i="5"/>
  <c r="E203" i="5" s="1"/>
  <c r="H203" i="5"/>
  <c r="J203" i="5" s="1"/>
  <c r="L203" i="5" s="1"/>
  <c r="C204" i="5"/>
  <c r="E204" i="5" s="1"/>
  <c r="H204" i="5"/>
  <c r="J204" i="5" s="1"/>
  <c r="L204" i="5" s="1"/>
  <c r="C205" i="5"/>
  <c r="E205" i="5" s="1"/>
  <c r="H205" i="5"/>
  <c r="J205" i="5" s="1"/>
  <c r="L205" i="5" s="1"/>
  <c r="C206" i="5"/>
  <c r="E206" i="5" s="1"/>
  <c r="H206" i="5"/>
  <c r="J206" i="5" s="1"/>
  <c r="C207" i="5"/>
  <c r="E207" i="5" s="1"/>
  <c r="G207" i="5" s="1"/>
  <c r="H207" i="5"/>
  <c r="J207" i="5" s="1"/>
  <c r="C208" i="5"/>
  <c r="E208" i="5" s="1"/>
  <c r="G208" i="5" s="1"/>
  <c r="H208" i="5"/>
  <c r="J208" i="5" s="1"/>
  <c r="C209" i="5"/>
  <c r="E209" i="5" s="1"/>
  <c r="G209" i="5" s="1"/>
  <c r="H209" i="5"/>
  <c r="J209" i="5" s="1"/>
  <c r="C210" i="5"/>
  <c r="E210" i="5" s="1"/>
  <c r="G210" i="5" s="1"/>
  <c r="H210" i="5"/>
  <c r="J210" i="5" s="1"/>
  <c r="D209" i="1" l="1"/>
  <c r="D210" i="1"/>
  <c r="D208" i="1"/>
  <c r="C209" i="1"/>
  <c r="F206" i="1"/>
  <c r="D202" i="1"/>
  <c r="L210" i="5"/>
  <c r="F211" i="1" s="1"/>
  <c r="E211" i="1"/>
  <c r="L209" i="5"/>
  <c r="F210" i="1" s="1"/>
  <c r="E210" i="1"/>
  <c r="L208" i="5"/>
  <c r="F209" i="1" s="1"/>
  <c r="E209" i="1"/>
  <c r="L207" i="5"/>
  <c r="F208" i="1" s="1"/>
  <c r="E208" i="1"/>
  <c r="L206" i="5"/>
  <c r="F207" i="1" s="1"/>
  <c r="E207" i="1"/>
  <c r="G206" i="5"/>
  <c r="D207" i="1" s="1"/>
  <c r="C207" i="1"/>
  <c r="G205" i="5"/>
  <c r="D206" i="1" s="1"/>
  <c r="C206" i="1"/>
  <c r="G204" i="5"/>
  <c r="D205" i="1" s="1"/>
  <c r="C205" i="1"/>
  <c r="G203" i="5"/>
  <c r="D204" i="1" s="1"/>
  <c r="C204" i="1"/>
  <c r="L204" i="3"/>
  <c r="F205" i="1" s="1"/>
  <c r="E205" i="1"/>
  <c r="G202" i="3"/>
  <c r="D203" i="1" s="1"/>
  <c r="C203" i="1"/>
  <c r="L202" i="5"/>
  <c r="F203" i="1" s="1"/>
  <c r="E203" i="1"/>
  <c r="L201" i="5"/>
  <c r="F202" i="1" s="1"/>
  <c r="E202" i="1"/>
  <c r="L200" i="5"/>
  <c r="F201" i="1" s="1"/>
  <c r="E201" i="1"/>
  <c r="G200" i="5"/>
  <c r="D201" i="1" s="1"/>
  <c r="C201" i="1"/>
  <c r="G210" i="3"/>
  <c r="D211" i="1" s="1"/>
  <c r="C211" i="1"/>
  <c r="F204" i="1"/>
  <c r="C208" i="1"/>
  <c r="E206" i="1"/>
  <c r="E204" i="1"/>
  <c r="C202" i="1"/>
  <c r="C210" i="1"/>
  <c r="S210" i="8"/>
  <c r="S208" i="8"/>
  <c r="S206" i="8"/>
  <c r="S204" i="8"/>
  <c r="S202" i="8"/>
  <c r="S200" i="8"/>
  <c r="S199" i="8"/>
  <c r="S209" i="8"/>
  <c r="S207" i="8"/>
  <c r="S205" i="8"/>
  <c r="S203" i="8"/>
  <c r="S201" i="8"/>
  <c r="S210" i="7"/>
  <c r="S208" i="7"/>
  <c r="S206" i="7"/>
  <c r="S204" i="7"/>
  <c r="S202" i="7"/>
  <c r="S200" i="7"/>
  <c r="S199" i="7"/>
  <c r="S209" i="7"/>
  <c r="S207" i="7"/>
  <c r="S205" i="7"/>
  <c r="S203" i="7"/>
  <c r="S201" i="7"/>
  <c r="S210" i="6"/>
  <c r="S208" i="6"/>
  <c r="S206" i="6"/>
  <c r="S204" i="6"/>
  <c r="S202" i="6"/>
  <c r="S200" i="6"/>
  <c r="S199" i="6"/>
  <c r="S209" i="6"/>
  <c r="S207" i="6"/>
  <c r="S205" i="6"/>
  <c r="S203" i="6"/>
  <c r="S201" i="6"/>
  <c r="S210" i="3"/>
  <c r="S208" i="3"/>
  <c r="S206" i="3"/>
  <c r="S200" i="3"/>
  <c r="S199" i="3"/>
  <c r="S209" i="3"/>
  <c r="S207" i="3"/>
  <c r="S205" i="3"/>
  <c r="S203" i="3"/>
  <c r="S201" i="3"/>
  <c r="C199" i="5"/>
  <c r="E199" i="5" s="1"/>
  <c r="H199" i="5"/>
  <c r="J199" i="5" s="1"/>
  <c r="S202" i="3" l="1"/>
  <c r="S205" i="5"/>
  <c r="M206" i="1" s="1"/>
  <c r="S204" i="5"/>
  <c r="S200" i="5"/>
  <c r="M201" i="1" s="1"/>
  <c r="S209" i="5"/>
  <c r="M210" i="1" s="1"/>
  <c r="S208" i="5"/>
  <c r="M209" i="1" s="1"/>
  <c r="S203" i="5"/>
  <c r="M204" i="1" s="1"/>
  <c r="S207" i="5"/>
  <c r="M208" i="1" s="1"/>
  <c r="S202" i="5"/>
  <c r="S206" i="5"/>
  <c r="M207" i="1" s="1"/>
  <c r="S210" i="5"/>
  <c r="M211" i="1" s="1"/>
  <c r="L199" i="5"/>
  <c r="F200" i="1" s="1"/>
  <c r="E200" i="1"/>
  <c r="G199" i="5"/>
  <c r="C200" i="1"/>
  <c r="S201" i="5"/>
  <c r="M202" i="1" s="1"/>
  <c r="S204" i="3"/>
  <c r="M205" i="1" s="1"/>
  <c r="D17" i="13"/>
  <c r="E17" i="13"/>
  <c r="F17" i="13"/>
  <c r="G17" i="13"/>
  <c r="H17" i="13"/>
  <c r="I17" i="13"/>
  <c r="J17" i="13"/>
  <c r="K17" i="13"/>
  <c r="L17" i="13"/>
  <c r="C17" i="13"/>
  <c r="M6" i="13"/>
  <c r="M7" i="13"/>
  <c r="M8" i="13"/>
  <c r="M9" i="13"/>
  <c r="M10" i="13"/>
  <c r="M11" i="13"/>
  <c r="M12" i="13"/>
  <c r="M13" i="13"/>
  <c r="M14" i="13"/>
  <c r="M15" i="13"/>
  <c r="M16" i="13"/>
  <c r="M5" i="13"/>
  <c r="M17" i="13" s="1"/>
  <c r="M203" i="1" l="1"/>
  <c r="D200" i="1"/>
  <c r="S199" i="5"/>
  <c r="M200" i="1" s="1"/>
  <c r="G199" i="1"/>
  <c r="H199" i="1"/>
  <c r="I199" i="1"/>
  <c r="J199" i="1"/>
  <c r="K199" i="1"/>
  <c r="L199" i="1"/>
  <c r="N199" i="1"/>
  <c r="G198" i="1" l="1"/>
  <c r="H198" i="1"/>
  <c r="I198" i="1"/>
  <c r="J198" i="1"/>
  <c r="K198" i="1"/>
  <c r="L198" i="1"/>
  <c r="N198" i="1"/>
  <c r="C24" i="11"/>
  <c r="C25" i="11"/>
  <c r="C26" i="11"/>
  <c r="C177" i="1" l="1"/>
  <c r="D177" i="1"/>
  <c r="E177" i="1"/>
  <c r="F177" i="1"/>
  <c r="G177" i="1"/>
  <c r="H177" i="1"/>
  <c r="I177" i="1"/>
  <c r="J177" i="1"/>
  <c r="K177" i="1"/>
  <c r="L177" i="1"/>
  <c r="N177" i="1"/>
  <c r="C178" i="1"/>
  <c r="D178" i="1"/>
  <c r="E178" i="1"/>
  <c r="F178" i="1"/>
  <c r="G178" i="1"/>
  <c r="H178" i="1"/>
  <c r="I178" i="1"/>
  <c r="J178" i="1"/>
  <c r="K178" i="1"/>
  <c r="L178" i="1"/>
  <c r="N178" i="1"/>
  <c r="C179" i="1"/>
  <c r="D179" i="1"/>
  <c r="E179" i="1"/>
  <c r="F179" i="1"/>
  <c r="G179" i="1"/>
  <c r="H179" i="1"/>
  <c r="I179" i="1"/>
  <c r="J179" i="1"/>
  <c r="K179" i="1"/>
  <c r="L179" i="1"/>
  <c r="N179" i="1"/>
  <c r="C180" i="1"/>
  <c r="D180" i="1"/>
  <c r="E180" i="1"/>
  <c r="F180" i="1"/>
  <c r="G180" i="1"/>
  <c r="H180" i="1"/>
  <c r="I180" i="1"/>
  <c r="J180" i="1"/>
  <c r="K180" i="1"/>
  <c r="L180" i="1"/>
  <c r="N180" i="1"/>
  <c r="C181" i="1"/>
  <c r="D181" i="1"/>
  <c r="E181" i="1"/>
  <c r="F181" i="1"/>
  <c r="G181" i="1"/>
  <c r="H181" i="1"/>
  <c r="I181" i="1"/>
  <c r="J181" i="1"/>
  <c r="K181" i="1"/>
  <c r="L181" i="1"/>
  <c r="N181" i="1"/>
  <c r="C182" i="1"/>
  <c r="D182" i="1"/>
  <c r="E182" i="1"/>
  <c r="F182" i="1"/>
  <c r="G182" i="1"/>
  <c r="H182" i="1"/>
  <c r="I182" i="1"/>
  <c r="J182" i="1"/>
  <c r="K182" i="1"/>
  <c r="L182" i="1"/>
  <c r="N182" i="1"/>
  <c r="G183" i="1"/>
  <c r="H183" i="1"/>
  <c r="I183" i="1"/>
  <c r="J183" i="1"/>
  <c r="K183" i="1"/>
  <c r="L183" i="1"/>
  <c r="N183" i="1"/>
  <c r="G184" i="1"/>
  <c r="H184" i="1"/>
  <c r="I184" i="1"/>
  <c r="J184" i="1"/>
  <c r="K184" i="1"/>
  <c r="L184" i="1"/>
  <c r="N184" i="1"/>
  <c r="G185" i="1"/>
  <c r="H185" i="1"/>
  <c r="I185" i="1"/>
  <c r="J185" i="1"/>
  <c r="K185" i="1"/>
  <c r="L185" i="1"/>
  <c r="N185" i="1"/>
  <c r="G186" i="1"/>
  <c r="H186" i="1"/>
  <c r="I186" i="1"/>
  <c r="J186" i="1"/>
  <c r="K186" i="1"/>
  <c r="L186" i="1"/>
  <c r="N186" i="1"/>
  <c r="G187" i="1"/>
  <c r="H187" i="1"/>
  <c r="I187" i="1"/>
  <c r="J187" i="1"/>
  <c r="K187" i="1"/>
  <c r="L187" i="1"/>
  <c r="N187" i="1"/>
  <c r="G188" i="1"/>
  <c r="H188" i="1"/>
  <c r="I188" i="1"/>
  <c r="J188" i="1"/>
  <c r="K188" i="1"/>
  <c r="L188" i="1"/>
  <c r="N188" i="1"/>
  <c r="G189" i="1"/>
  <c r="H189" i="1"/>
  <c r="I189" i="1"/>
  <c r="J189" i="1"/>
  <c r="K189" i="1"/>
  <c r="L189" i="1"/>
  <c r="N189" i="1"/>
  <c r="G190" i="1"/>
  <c r="H190" i="1"/>
  <c r="I190" i="1"/>
  <c r="J190" i="1"/>
  <c r="K190" i="1"/>
  <c r="L190" i="1"/>
  <c r="N190" i="1"/>
  <c r="G191" i="1"/>
  <c r="H191" i="1"/>
  <c r="I191" i="1"/>
  <c r="J191" i="1"/>
  <c r="K191" i="1"/>
  <c r="L191" i="1"/>
  <c r="N191" i="1"/>
  <c r="G192" i="1"/>
  <c r="H192" i="1"/>
  <c r="I192" i="1"/>
  <c r="J192" i="1"/>
  <c r="K192" i="1"/>
  <c r="L192" i="1"/>
  <c r="N192" i="1"/>
  <c r="G193" i="1"/>
  <c r="H193" i="1"/>
  <c r="I193" i="1"/>
  <c r="J193" i="1"/>
  <c r="K193" i="1"/>
  <c r="L193" i="1"/>
  <c r="N193" i="1"/>
  <c r="G194" i="1"/>
  <c r="H194" i="1"/>
  <c r="I194" i="1"/>
  <c r="J194" i="1"/>
  <c r="K194" i="1"/>
  <c r="L194" i="1"/>
  <c r="N194" i="1"/>
  <c r="G195" i="1"/>
  <c r="H195" i="1"/>
  <c r="I195" i="1"/>
  <c r="J195" i="1"/>
  <c r="K195" i="1"/>
  <c r="L195" i="1"/>
  <c r="N195" i="1"/>
  <c r="G196" i="1"/>
  <c r="H196" i="1"/>
  <c r="I196" i="1"/>
  <c r="J196" i="1"/>
  <c r="K196" i="1"/>
  <c r="L196" i="1"/>
  <c r="N196" i="1"/>
  <c r="G197" i="1"/>
  <c r="H197" i="1"/>
  <c r="I197" i="1"/>
  <c r="J197" i="1"/>
  <c r="K197" i="1"/>
  <c r="L197" i="1"/>
  <c r="N197" i="1"/>
  <c r="D240" i="1" l="1"/>
  <c r="D241" i="1"/>
  <c r="D242" i="1"/>
  <c r="D243" i="1"/>
  <c r="D244" i="1"/>
  <c r="D245" i="1"/>
  <c r="D246" i="1"/>
  <c r="D247" i="1"/>
  <c r="D248" i="1"/>
  <c r="D249" i="1"/>
  <c r="D238" i="1"/>
  <c r="D239" i="1"/>
  <c r="C187" i="9" l="1"/>
  <c r="E187" i="9" s="1"/>
  <c r="G187" i="9" s="1"/>
  <c r="S187" i="9" s="1"/>
  <c r="C188" i="9"/>
  <c r="E188" i="9" s="1"/>
  <c r="G188" i="9" s="1"/>
  <c r="S188" i="9" s="1"/>
  <c r="C189" i="9"/>
  <c r="E189" i="9" s="1"/>
  <c r="G189" i="9" s="1"/>
  <c r="S189" i="9" s="1"/>
  <c r="C190" i="9"/>
  <c r="E190" i="9" s="1"/>
  <c r="G190" i="9" s="1"/>
  <c r="S190" i="9" s="1"/>
  <c r="C191" i="9"/>
  <c r="C192" i="9"/>
  <c r="E192" i="9" s="1"/>
  <c r="G192" i="9" s="1"/>
  <c r="S192" i="9" s="1"/>
  <c r="C193" i="9"/>
  <c r="E193" i="9" s="1"/>
  <c r="G193" i="9" s="1"/>
  <c r="S193" i="9" s="1"/>
  <c r="C194" i="9"/>
  <c r="E194" i="9" s="1"/>
  <c r="G194" i="9" s="1"/>
  <c r="S194" i="9" s="1"/>
  <c r="C195" i="9"/>
  <c r="E195" i="9" s="1"/>
  <c r="G195" i="9" s="1"/>
  <c r="S195" i="9" s="1"/>
  <c r="C196" i="9"/>
  <c r="E196" i="9" s="1"/>
  <c r="G196" i="9" s="1"/>
  <c r="S196" i="9" s="1"/>
  <c r="C197" i="9"/>
  <c r="E197" i="9" s="1"/>
  <c r="G197" i="9" s="1"/>
  <c r="S197" i="9" s="1"/>
  <c r="C198" i="9"/>
  <c r="E198" i="9" s="1"/>
  <c r="G198" i="9" s="1"/>
  <c r="S198" i="9" s="1"/>
  <c r="C187" i="8"/>
  <c r="E187" i="8" s="1"/>
  <c r="G187" i="8" s="1"/>
  <c r="H187" i="8"/>
  <c r="J187" i="8" s="1"/>
  <c r="L187" i="8" s="1"/>
  <c r="C188" i="8"/>
  <c r="E188" i="8" s="1"/>
  <c r="G188" i="8" s="1"/>
  <c r="H188" i="8"/>
  <c r="J188" i="8" s="1"/>
  <c r="L188" i="8" s="1"/>
  <c r="C189" i="8"/>
  <c r="E189" i="8" s="1"/>
  <c r="G189" i="8" s="1"/>
  <c r="H189" i="8"/>
  <c r="J189" i="8" s="1"/>
  <c r="L189" i="8" s="1"/>
  <c r="C190" i="8"/>
  <c r="E190" i="8" s="1"/>
  <c r="G190" i="8" s="1"/>
  <c r="H190" i="8"/>
  <c r="J190" i="8" s="1"/>
  <c r="L190" i="8" s="1"/>
  <c r="C191" i="8"/>
  <c r="E191" i="8" s="1"/>
  <c r="G191" i="8" s="1"/>
  <c r="H191" i="8"/>
  <c r="J191" i="8" s="1"/>
  <c r="L191" i="8" s="1"/>
  <c r="C192" i="8"/>
  <c r="E192" i="8" s="1"/>
  <c r="G192" i="8" s="1"/>
  <c r="H192" i="8"/>
  <c r="J192" i="8" s="1"/>
  <c r="L192" i="8" s="1"/>
  <c r="C193" i="8"/>
  <c r="E193" i="8" s="1"/>
  <c r="G193" i="8" s="1"/>
  <c r="H193" i="8"/>
  <c r="J193" i="8" s="1"/>
  <c r="L193" i="8" s="1"/>
  <c r="C194" i="8"/>
  <c r="E194" i="8" s="1"/>
  <c r="H194" i="8"/>
  <c r="J194" i="8" s="1"/>
  <c r="C195" i="8"/>
  <c r="E195" i="8" s="1"/>
  <c r="G195" i="8" s="1"/>
  <c r="H195" i="8"/>
  <c r="J195" i="8" s="1"/>
  <c r="L195" i="8" s="1"/>
  <c r="C196" i="8"/>
  <c r="E196" i="8" s="1"/>
  <c r="H196" i="8"/>
  <c r="J196" i="8" s="1"/>
  <c r="C197" i="8"/>
  <c r="E197" i="8" s="1"/>
  <c r="G197" i="8" s="1"/>
  <c r="H197" i="8"/>
  <c r="J197" i="8" s="1"/>
  <c r="L197" i="8" s="1"/>
  <c r="C198" i="8"/>
  <c r="E198" i="8" s="1"/>
  <c r="G198" i="8" s="1"/>
  <c r="H198" i="8"/>
  <c r="J198" i="8" s="1"/>
  <c r="L198" i="8" s="1"/>
  <c r="C187" i="7"/>
  <c r="E187" i="7" s="1"/>
  <c r="G187" i="7" s="1"/>
  <c r="H187" i="7"/>
  <c r="J187" i="7" s="1"/>
  <c r="L187" i="7" s="1"/>
  <c r="C188" i="7"/>
  <c r="E188" i="7" s="1"/>
  <c r="G188" i="7" s="1"/>
  <c r="H188" i="7"/>
  <c r="J188" i="7" s="1"/>
  <c r="L188" i="7" s="1"/>
  <c r="C189" i="7"/>
  <c r="E189" i="7" s="1"/>
  <c r="G189" i="7" s="1"/>
  <c r="H189" i="7"/>
  <c r="J189" i="7" s="1"/>
  <c r="L189" i="7" s="1"/>
  <c r="C190" i="7"/>
  <c r="E190" i="7" s="1"/>
  <c r="G190" i="7" s="1"/>
  <c r="H190" i="7"/>
  <c r="J190" i="7" s="1"/>
  <c r="L190" i="7" s="1"/>
  <c r="C191" i="7"/>
  <c r="E191" i="7" s="1"/>
  <c r="G191" i="7" s="1"/>
  <c r="H191" i="7"/>
  <c r="J191" i="7" s="1"/>
  <c r="L191" i="7" s="1"/>
  <c r="C192" i="7"/>
  <c r="E192" i="7" s="1"/>
  <c r="G192" i="7" s="1"/>
  <c r="H192" i="7"/>
  <c r="J192" i="7" s="1"/>
  <c r="L192" i="7" s="1"/>
  <c r="C193" i="7"/>
  <c r="E193" i="7" s="1"/>
  <c r="G193" i="7" s="1"/>
  <c r="H193" i="7"/>
  <c r="J193" i="7" s="1"/>
  <c r="L193" i="7" s="1"/>
  <c r="C194" i="7"/>
  <c r="E194" i="7" s="1"/>
  <c r="G194" i="7" s="1"/>
  <c r="H194" i="7"/>
  <c r="J194" i="7" s="1"/>
  <c r="L194" i="7" s="1"/>
  <c r="C195" i="7"/>
  <c r="E195" i="7" s="1"/>
  <c r="G195" i="7" s="1"/>
  <c r="H195" i="7"/>
  <c r="J195" i="7" s="1"/>
  <c r="L195" i="7" s="1"/>
  <c r="C196" i="7"/>
  <c r="E196" i="7" s="1"/>
  <c r="G196" i="7" s="1"/>
  <c r="H196" i="7"/>
  <c r="J196" i="7" s="1"/>
  <c r="L196" i="7" s="1"/>
  <c r="C197" i="7"/>
  <c r="E197" i="7" s="1"/>
  <c r="G197" i="7" s="1"/>
  <c r="H197" i="7"/>
  <c r="J197" i="7" s="1"/>
  <c r="L197" i="7" s="1"/>
  <c r="C198" i="7"/>
  <c r="E198" i="7" s="1"/>
  <c r="G198" i="7" s="1"/>
  <c r="H198" i="7"/>
  <c r="J198" i="7" s="1"/>
  <c r="L198" i="7" s="1"/>
  <c r="C187" i="6"/>
  <c r="E187" i="6" s="1"/>
  <c r="G187" i="6" s="1"/>
  <c r="H187" i="6"/>
  <c r="J187" i="6" s="1"/>
  <c r="L187" i="6" s="1"/>
  <c r="C188" i="6"/>
  <c r="E188" i="6" s="1"/>
  <c r="G188" i="6" s="1"/>
  <c r="H188" i="6"/>
  <c r="J188" i="6" s="1"/>
  <c r="L188" i="6" s="1"/>
  <c r="C189" i="6"/>
  <c r="E189" i="6" s="1"/>
  <c r="G189" i="6" s="1"/>
  <c r="H189" i="6"/>
  <c r="J189" i="6" s="1"/>
  <c r="L189" i="6" s="1"/>
  <c r="C190" i="6"/>
  <c r="E190" i="6" s="1"/>
  <c r="G190" i="6" s="1"/>
  <c r="H190" i="6"/>
  <c r="J190" i="6" s="1"/>
  <c r="L190" i="6" s="1"/>
  <c r="C191" i="6"/>
  <c r="E191" i="6" s="1"/>
  <c r="G191" i="6" s="1"/>
  <c r="H191" i="6"/>
  <c r="J191" i="6" s="1"/>
  <c r="L191" i="6" s="1"/>
  <c r="C192" i="6"/>
  <c r="E192" i="6" s="1"/>
  <c r="G192" i="6" s="1"/>
  <c r="H192" i="6"/>
  <c r="J192" i="6" s="1"/>
  <c r="L192" i="6" s="1"/>
  <c r="C193" i="6"/>
  <c r="E193" i="6" s="1"/>
  <c r="G193" i="6" s="1"/>
  <c r="H193" i="6"/>
  <c r="J193" i="6" s="1"/>
  <c r="L193" i="6" s="1"/>
  <c r="C194" i="6"/>
  <c r="E194" i="6" s="1"/>
  <c r="G194" i="6" s="1"/>
  <c r="H194" i="6"/>
  <c r="J194" i="6" s="1"/>
  <c r="L194" i="6" s="1"/>
  <c r="C195" i="6"/>
  <c r="E195" i="6" s="1"/>
  <c r="G195" i="6" s="1"/>
  <c r="H195" i="6"/>
  <c r="J195" i="6" s="1"/>
  <c r="L195" i="6" s="1"/>
  <c r="C196" i="6"/>
  <c r="E196" i="6" s="1"/>
  <c r="G196" i="6" s="1"/>
  <c r="H196" i="6"/>
  <c r="J196" i="6" s="1"/>
  <c r="L196" i="6" s="1"/>
  <c r="C197" i="6"/>
  <c r="E197" i="6" s="1"/>
  <c r="H197" i="6"/>
  <c r="J197" i="6" s="1"/>
  <c r="C198" i="6"/>
  <c r="E198" i="6" s="1"/>
  <c r="G198" i="6" s="1"/>
  <c r="H198" i="6"/>
  <c r="J198" i="6" s="1"/>
  <c r="L198" i="6" s="1"/>
  <c r="C187" i="3"/>
  <c r="E187" i="3" s="1"/>
  <c r="G187" i="3" s="1"/>
  <c r="H187" i="3"/>
  <c r="J187" i="3" s="1"/>
  <c r="L187" i="3" s="1"/>
  <c r="C188" i="3"/>
  <c r="E188" i="3" s="1"/>
  <c r="G188" i="3" s="1"/>
  <c r="H188" i="3"/>
  <c r="J188" i="3" s="1"/>
  <c r="L188" i="3" s="1"/>
  <c r="C189" i="3"/>
  <c r="E189" i="3" s="1"/>
  <c r="H189" i="3"/>
  <c r="J189" i="3" s="1"/>
  <c r="C190" i="3"/>
  <c r="E190" i="3" s="1"/>
  <c r="H190" i="3"/>
  <c r="J190" i="3" s="1"/>
  <c r="C191" i="3"/>
  <c r="E191" i="3" s="1"/>
  <c r="G191" i="3" s="1"/>
  <c r="H191" i="3"/>
  <c r="J191" i="3" s="1"/>
  <c r="L191" i="3" s="1"/>
  <c r="C192" i="3"/>
  <c r="E192" i="3" s="1"/>
  <c r="G192" i="3" s="1"/>
  <c r="H192" i="3"/>
  <c r="J192" i="3" s="1"/>
  <c r="L192" i="3" s="1"/>
  <c r="C193" i="3"/>
  <c r="E193" i="3" s="1"/>
  <c r="G193" i="3" s="1"/>
  <c r="H193" i="3"/>
  <c r="J193" i="3" s="1"/>
  <c r="L193" i="3" s="1"/>
  <c r="C194" i="3"/>
  <c r="E194" i="3" s="1"/>
  <c r="G194" i="3" s="1"/>
  <c r="H194" i="3"/>
  <c r="J194" i="3" s="1"/>
  <c r="L194" i="3" s="1"/>
  <c r="C195" i="3"/>
  <c r="E195" i="3" s="1"/>
  <c r="G195" i="3" s="1"/>
  <c r="H195" i="3"/>
  <c r="J195" i="3" s="1"/>
  <c r="L195" i="3" s="1"/>
  <c r="C196" i="3"/>
  <c r="E196" i="3" s="1"/>
  <c r="G196" i="3" s="1"/>
  <c r="H196" i="3"/>
  <c r="J196" i="3" s="1"/>
  <c r="L196" i="3" s="1"/>
  <c r="C197" i="3"/>
  <c r="E197" i="3" s="1"/>
  <c r="G197" i="3" s="1"/>
  <c r="H197" i="3"/>
  <c r="J197" i="3" s="1"/>
  <c r="L197" i="3" s="1"/>
  <c r="C198" i="3"/>
  <c r="E198" i="3" s="1"/>
  <c r="G198" i="3" s="1"/>
  <c r="H198" i="3"/>
  <c r="J198" i="3" s="1"/>
  <c r="L198" i="3" s="1"/>
  <c r="C187" i="5"/>
  <c r="E187" i="5" s="1"/>
  <c r="C188" i="1" s="1"/>
  <c r="H187" i="5"/>
  <c r="J187" i="5" s="1"/>
  <c r="E188" i="1" s="1"/>
  <c r="C188" i="5"/>
  <c r="E188" i="5" s="1"/>
  <c r="H188" i="5"/>
  <c r="J188" i="5" s="1"/>
  <c r="E189" i="1" s="1"/>
  <c r="C189" i="5"/>
  <c r="E189" i="5" s="1"/>
  <c r="C190" i="1" s="1"/>
  <c r="H189" i="5"/>
  <c r="J189" i="5" s="1"/>
  <c r="E190" i="1" s="1"/>
  <c r="C190" i="5"/>
  <c r="E190" i="5" s="1"/>
  <c r="H190" i="5"/>
  <c r="J190" i="5" s="1"/>
  <c r="E191" i="1" s="1"/>
  <c r="C191" i="5"/>
  <c r="E191" i="5" s="1"/>
  <c r="H191" i="5"/>
  <c r="J191" i="5" s="1"/>
  <c r="E192" i="1" s="1"/>
  <c r="C192" i="5"/>
  <c r="E192" i="5" s="1"/>
  <c r="H192" i="5"/>
  <c r="J192" i="5" s="1"/>
  <c r="E193" i="1" s="1"/>
  <c r="C193" i="5"/>
  <c r="E193" i="5" s="1"/>
  <c r="C194" i="1" s="1"/>
  <c r="H193" i="5"/>
  <c r="J193" i="5" s="1"/>
  <c r="E194" i="1" s="1"/>
  <c r="C194" i="5"/>
  <c r="E194" i="5" s="1"/>
  <c r="H194" i="5"/>
  <c r="J194" i="5" s="1"/>
  <c r="E195" i="1" s="1"/>
  <c r="C195" i="5"/>
  <c r="E195" i="5" s="1"/>
  <c r="C196" i="1" s="1"/>
  <c r="H195" i="5"/>
  <c r="J195" i="5" s="1"/>
  <c r="E196" i="1" s="1"/>
  <c r="C196" i="5"/>
  <c r="E196" i="5" s="1"/>
  <c r="H196" i="5"/>
  <c r="J196" i="5" s="1"/>
  <c r="C197" i="5"/>
  <c r="E197" i="5" s="1"/>
  <c r="H197" i="5"/>
  <c r="J197" i="5" s="1"/>
  <c r="C198" i="5"/>
  <c r="E198" i="5" s="1"/>
  <c r="H198" i="5"/>
  <c r="J198" i="5" s="1"/>
  <c r="E199" i="1" s="1"/>
  <c r="C199" i="1" l="1"/>
  <c r="C195" i="1"/>
  <c r="C193" i="1"/>
  <c r="C191" i="1"/>
  <c r="C189" i="1"/>
  <c r="L197" i="6"/>
  <c r="F198" i="1" s="1"/>
  <c r="E198" i="1"/>
  <c r="G197" i="6"/>
  <c r="C198" i="1"/>
  <c r="L196" i="8"/>
  <c r="E197" i="1"/>
  <c r="G196" i="8"/>
  <c r="C197" i="1"/>
  <c r="G194" i="8"/>
  <c r="L194" i="8"/>
  <c r="L190" i="5"/>
  <c r="L189" i="5"/>
  <c r="G190" i="5"/>
  <c r="G189" i="5"/>
  <c r="S193" i="7"/>
  <c r="S193" i="8"/>
  <c r="S198" i="3"/>
  <c r="S197" i="3"/>
  <c r="S196" i="3"/>
  <c r="S195" i="3"/>
  <c r="S194" i="3"/>
  <c r="S193" i="3"/>
  <c r="S198" i="6"/>
  <c r="S196" i="6"/>
  <c r="S195" i="6"/>
  <c r="S194" i="6"/>
  <c r="S193" i="6"/>
  <c r="S198" i="7"/>
  <c r="S197" i="7"/>
  <c r="S196" i="7"/>
  <c r="S195" i="7"/>
  <c r="S194" i="7"/>
  <c r="S192" i="7"/>
  <c r="S198" i="8"/>
  <c r="S197" i="8"/>
  <c r="S196" i="8"/>
  <c r="S195" i="8"/>
  <c r="S191" i="8"/>
  <c r="S190" i="8"/>
  <c r="E191" i="9"/>
  <c r="C192" i="1" s="1"/>
  <c r="S192" i="6"/>
  <c r="S188" i="6"/>
  <c r="L197" i="5"/>
  <c r="L195" i="5"/>
  <c r="F196" i="1" s="1"/>
  <c r="L194" i="5"/>
  <c r="L192" i="5"/>
  <c r="F193" i="1" s="1"/>
  <c r="G198" i="5"/>
  <c r="D199" i="1" s="1"/>
  <c r="G197" i="5"/>
  <c r="G196" i="5"/>
  <c r="G195" i="5"/>
  <c r="D196" i="1" s="1"/>
  <c r="G194" i="5"/>
  <c r="G193" i="5"/>
  <c r="D194" i="1" s="1"/>
  <c r="G192" i="5"/>
  <c r="D193" i="1" s="1"/>
  <c r="G191" i="5"/>
  <c r="L198" i="5"/>
  <c r="F199" i="1" s="1"/>
  <c r="L196" i="5"/>
  <c r="L193" i="5"/>
  <c r="F194" i="1" s="1"/>
  <c r="L191" i="5"/>
  <c r="F192" i="1" s="1"/>
  <c r="L190" i="3"/>
  <c r="L189" i="3"/>
  <c r="G190" i="3"/>
  <c r="G189" i="3"/>
  <c r="L187" i="5"/>
  <c r="F188" i="1" s="1"/>
  <c r="G187" i="5"/>
  <c r="D188" i="1" s="1"/>
  <c r="L188" i="5"/>
  <c r="F189" i="1" s="1"/>
  <c r="G188" i="5"/>
  <c r="D189" i="1" s="1"/>
  <c r="S187" i="6"/>
  <c r="S187" i="8"/>
  <c r="S192" i="8"/>
  <c r="S188" i="8"/>
  <c r="S189" i="8"/>
  <c r="S190" i="7"/>
  <c r="S188" i="7"/>
  <c r="S191" i="7"/>
  <c r="S189" i="7"/>
  <c r="S187" i="7"/>
  <c r="S190" i="6"/>
  <c r="S191" i="6"/>
  <c r="S189" i="6"/>
  <c r="S192" i="3"/>
  <c r="S188" i="3"/>
  <c r="S187" i="3"/>
  <c r="S191" i="3"/>
  <c r="S190" i="5"/>
  <c r="S189" i="5"/>
  <c r="D198" i="1" l="1"/>
  <c r="S197" i="6"/>
  <c r="S194" i="8"/>
  <c r="D190" i="1"/>
  <c r="F190" i="1"/>
  <c r="S194" i="5"/>
  <c r="M195" i="1" s="1"/>
  <c r="C245" i="1" s="1"/>
  <c r="D195" i="1"/>
  <c r="F195" i="1"/>
  <c r="D191" i="1"/>
  <c r="F191" i="1"/>
  <c r="D197" i="1"/>
  <c r="F197" i="1"/>
  <c r="S195" i="5"/>
  <c r="S196" i="5"/>
  <c r="M197" i="1" s="1"/>
  <c r="C247" i="1" s="1"/>
  <c r="S192" i="5"/>
  <c r="M193" i="1" s="1"/>
  <c r="S198" i="5"/>
  <c r="M199" i="1" s="1"/>
  <c r="C249" i="1" s="1"/>
  <c r="S193" i="5"/>
  <c r="M194" i="1" s="1"/>
  <c r="S197" i="5"/>
  <c r="G191" i="9"/>
  <c r="S191" i="9" s="1"/>
  <c r="S188" i="5"/>
  <c r="M189" i="1" s="1"/>
  <c r="C239" i="1" s="1"/>
  <c r="S190" i="3"/>
  <c r="S191" i="5"/>
  <c r="M192" i="1" s="1"/>
  <c r="S187" i="5"/>
  <c r="S189" i="3"/>
  <c r="M190" i="1" s="1"/>
  <c r="C240" i="1" s="1"/>
  <c r="D218" i="1"/>
  <c r="D219" i="1"/>
  <c r="D220" i="1"/>
  <c r="D221" i="1"/>
  <c r="D222" i="1"/>
  <c r="D223" i="1"/>
  <c r="D224" i="1"/>
  <c r="D225" i="1"/>
  <c r="D226" i="1"/>
  <c r="D227" i="1"/>
  <c r="D228" i="1"/>
  <c r="M198" i="1" l="1"/>
  <c r="C248" i="1" s="1"/>
  <c r="D192" i="1"/>
  <c r="M188" i="1"/>
  <c r="C238" i="1" s="1"/>
  <c r="M196" i="1"/>
  <c r="C246" i="1" s="1"/>
  <c r="M191" i="1"/>
  <c r="C241" i="1" s="1"/>
  <c r="C244" i="1"/>
  <c r="C243" i="1"/>
  <c r="C242" i="1"/>
  <c r="C15" i="11"/>
  <c r="E15" i="11" s="1"/>
  <c r="C16" i="11"/>
  <c r="E16" i="11" s="1"/>
  <c r="C17" i="11"/>
  <c r="E17" i="11" s="1"/>
  <c r="C18" i="11"/>
  <c r="E18" i="11" s="1"/>
  <c r="C19" i="11"/>
  <c r="E19" i="11" s="1"/>
  <c r="C20" i="11"/>
  <c r="E20" i="11" s="1"/>
  <c r="C21" i="11"/>
  <c r="E21" i="11" s="1"/>
  <c r="C22" i="11"/>
  <c r="E22" i="11" s="1"/>
  <c r="C23" i="11"/>
  <c r="E23" i="11" s="1"/>
  <c r="E24" i="11"/>
  <c r="E25" i="11"/>
  <c r="E26" i="11"/>
  <c r="Y9" i="9" l="1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8" i="9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 s="1"/>
  <c r="Y65" i="8" s="1"/>
  <c r="Y66" i="8" s="1"/>
  <c r="Y67" i="8" s="1"/>
  <c r="Y68" i="8" s="1"/>
  <c r="Y69" i="8" s="1"/>
  <c r="Y70" i="8" s="1"/>
  <c r="Y71" i="8" s="1"/>
  <c r="Y72" i="8" s="1"/>
  <c r="Y73" i="8" s="1"/>
  <c r="Y74" i="8" s="1"/>
  <c r="Y75" i="8" s="1"/>
  <c r="Y76" i="8" s="1"/>
  <c r="Y77" i="8" s="1"/>
  <c r="Y78" i="8" s="1"/>
  <c r="Y79" i="8" s="1"/>
  <c r="Y80" i="8" s="1"/>
  <c r="Y81" i="8" s="1"/>
  <c r="Y82" i="8" s="1"/>
  <c r="Y83" i="8" s="1"/>
  <c r="Y84" i="8" s="1"/>
  <c r="Y85" i="8" s="1"/>
  <c r="Y86" i="8" s="1"/>
  <c r="Y87" i="8" s="1"/>
  <c r="Y88" i="8" s="1"/>
  <c r="Y89" i="8" s="1"/>
  <c r="Y90" i="8" s="1"/>
  <c r="Y91" i="8" s="1"/>
  <c r="Y92" i="8" s="1"/>
  <c r="Y93" i="8"/>
  <c r="Y94" i="8"/>
  <c r="Y95" i="8"/>
  <c r="Y96" i="8" s="1"/>
  <c r="Y8" i="8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 s="1"/>
  <c r="Y77" i="7" s="1"/>
  <c r="Y78" i="7" s="1"/>
  <c r="Y79" i="7" s="1"/>
  <c r="Y80" i="7" s="1"/>
  <c r="Y81" i="7" s="1"/>
  <c r="Y82" i="7" s="1"/>
  <c r="Y83" i="7" s="1"/>
  <c r="Y84" i="7" s="1"/>
  <c r="Y85" i="7" s="1"/>
  <c r="Y86" i="7" s="1"/>
  <c r="Y87" i="7"/>
  <c r="Y88" i="7" s="1"/>
  <c r="Y89" i="7" s="1"/>
  <c r="Y90" i="7" s="1"/>
  <c r="Y91" i="7"/>
  <c r="Y92" i="7"/>
  <c r="Y93" i="7"/>
  <c r="Y94" i="7" s="1"/>
  <c r="Y95" i="7"/>
  <c r="Y96" i="7" s="1"/>
  <c r="Y8" i="7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8" i="6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 s="1"/>
  <c r="Y84" i="3"/>
  <c r="Y85" i="3"/>
  <c r="Y86" i="3"/>
  <c r="Y87" i="3"/>
  <c r="Y88" i="3"/>
  <c r="Y89" i="3"/>
  <c r="Y90" i="3" s="1"/>
  <c r="Y91" i="3"/>
  <c r="Y92" i="3"/>
  <c r="Y93" i="3" s="1"/>
  <c r="Y94" i="3"/>
  <c r="Y95" i="3"/>
  <c r="Y96" i="3"/>
  <c r="Y8" i="3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 s="1"/>
  <c r="Y84" i="5" s="1"/>
  <c r="Y85" i="5" s="1"/>
  <c r="Y86" i="5"/>
  <c r="Y87" i="5"/>
  <c r="Y88" i="5" s="1"/>
  <c r="Y89" i="5" s="1"/>
  <c r="Y90" i="5"/>
  <c r="Y91" i="5"/>
  <c r="Y92" i="5"/>
  <c r="Y93" i="5"/>
  <c r="Y94" i="5"/>
  <c r="Y95" i="5" s="1"/>
  <c r="Y96" i="5" s="1"/>
  <c r="Y8" i="5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8" i="4"/>
  <c r="E182" i="9" l="1"/>
  <c r="G182" i="9" s="1"/>
  <c r="C186" i="9"/>
  <c r="E186" i="9" s="1"/>
  <c r="G186" i="9" s="1"/>
  <c r="C184" i="9"/>
  <c r="E184" i="9" s="1"/>
  <c r="G184" i="9" s="1"/>
  <c r="C185" i="9"/>
  <c r="E185" i="9" s="1"/>
  <c r="G185" i="9" s="1"/>
  <c r="C183" i="9"/>
  <c r="E183" i="9" s="1"/>
  <c r="G183" i="9" s="1"/>
  <c r="J182" i="8"/>
  <c r="L182" i="8" s="1"/>
  <c r="H184" i="8"/>
  <c r="J184" i="8" s="1"/>
  <c r="L184" i="8" s="1"/>
  <c r="H185" i="8"/>
  <c r="J185" i="8" s="1"/>
  <c r="L185" i="8" s="1"/>
  <c r="H186" i="8"/>
  <c r="J186" i="8" s="1"/>
  <c r="L186" i="8" s="1"/>
  <c r="H183" i="8"/>
  <c r="J183" i="8" s="1"/>
  <c r="L183" i="8" s="1"/>
  <c r="E182" i="8"/>
  <c r="G182" i="8" s="1"/>
  <c r="C186" i="8"/>
  <c r="E186" i="8" s="1"/>
  <c r="G186" i="8" s="1"/>
  <c r="C184" i="8"/>
  <c r="E184" i="8" s="1"/>
  <c r="G184" i="8" s="1"/>
  <c r="C185" i="8"/>
  <c r="E185" i="8" s="1"/>
  <c r="G185" i="8" s="1"/>
  <c r="C183" i="8"/>
  <c r="E183" i="8" s="1"/>
  <c r="G183" i="8" s="1"/>
  <c r="J182" i="7"/>
  <c r="L182" i="7" s="1"/>
  <c r="H184" i="7"/>
  <c r="J184" i="7" s="1"/>
  <c r="L184" i="7" s="1"/>
  <c r="H185" i="7"/>
  <c r="J185" i="7" s="1"/>
  <c r="L185" i="7" s="1"/>
  <c r="H186" i="7"/>
  <c r="J186" i="7" s="1"/>
  <c r="L186" i="7" s="1"/>
  <c r="H183" i="7"/>
  <c r="J183" i="7" s="1"/>
  <c r="L183" i="7" s="1"/>
  <c r="E182" i="7"/>
  <c r="G182" i="7" s="1"/>
  <c r="C184" i="7"/>
  <c r="E184" i="7" s="1"/>
  <c r="G184" i="7" s="1"/>
  <c r="C185" i="7"/>
  <c r="E185" i="7" s="1"/>
  <c r="G185" i="7" s="1"/>
  <c r="C186" i="7"/>
  <c r="E186" i="7" s="1"/>
  <c r="G186" i="7" s="1"/>
  <c r="C183" i="7"/>
  <c r="E183" i="7" s="1"/>
  <c r="G183" i="7" s="1"/>
  <c r="J182" i="6"/>
  <c r="L182" i="6" s="1"/>
  <c r="H184" i="6"/>
  <c r="J184" i="6" s="1"/>
  <c r="L184" i="6" s="1"/>
  <c r="H185" i="6"/>
  <c r="J185" i="6" s="1"/>
  <c r="H186" i="6"/>
  <c r="J186" i="6" s="1"/>
  <c r="L186" i="6" s="1"/>
  <c r="H183" i="6"/>
  <c r="J183" i="6" s="1"/>
  <c r="L183" i="6" s="1"/>
  <c r="E182" i="6"/>
  <c r="G182" i="6" s="1"/>
  <c r="C184" i="6"/>
  <c r="E184" i="6" s="1"/>
  <c r="G184" i="6" s="1"/>
  <c r="C185" i="6"/>
  <c r="E185" i="6" s="1"/>
  <c r="G185" i="6" s="1"/>
  <c r="C186" i="6"/>
  <c r="E186" i="6" s="1"/>
  <c r="G186" i="6" s="1"/>
  <c r="C183" i="6"/>
  <c r="E183" i="6" s="1"/>
  <c r="G183" i="6" s="1"/>
  <c r="J182" i="3"/>
  <c r="H184" i="3"/>
  <c r="J184" i="3" s="1"/>
  <c r="L184" i="3" s="1"/>
  <c r="H185" i="3"/>
  <c r="J185" i="3" s="1"/>
  <c r="L185" i="3" s="1"/>
  <c r="H186" i="3"/>
  <c r="J186" i="3" s="1"/>
  <c r="L186" i="3" s="1"/>
  <c r="H183" i="3"/>
  <c r="J183" i="3" s="1"/>
  <c r="E182" i="3"/>
  <c r="G182" i="3" s="1"/>
  <c r="C186" i="3"/>
  <c r="E186" i="3" s="1"/>
  <c r="G186" i="3" s="1"/>
  <c r="C184" i="3"/>
  <c r="E184" i="3" s="1"/>
  <c r="G184" i="3" s="1"/>
  <c r="C185" i="3"/>
  <c r="E185" i="3" s="1"/>
  <c r="G185" i="3" s="1"/>
  <c r="C183" i="3"/>
  <c r="E183" i="3" s="1"/>
  <c r="J182" i="5"/>
  <c r="E183" i="1" s="1"/>
  <c r="H184" i="5"/>
  <c r="J184" i="5" s="1"/>
  <c r="E185" i="1" s="1"/>
  <c r="H185" i="5"/>
  <c r="J185" i="5" s="1"/>
  <c r="E186" i="1" s="1"/>
  <c r="H186" i="5"/>
  <c r="J186" i="5" s="1"/>
  <c r="E187" i="1" s="1"/>
  <c r="H183" i="5"/>
  <c r="J183" i="5" s="1"/>
  <c r="E184" i="1" s="1"/>
  <c r="E182" i="5"/>
  <c r="C183" i="1" s="1"/>
  <c r="C184" i="5"/>
  <c r="E184" i="5" s="1"/>
  <c r="C185" i="5"/>
  <c r="E185" i="5" s="1"/>
  <c r="C186" i="5"/>
  <c r="E186" i="5" s="1"/>
  <c r="C187" i="1" s="1"/>
  <c r="C183" i="5"/>
  <c r="E183" i="5" s="1"/>
  <c r="C184" i="1" s="1"/>
  <c r="C186" i="1" l="1"/>
  <c r="C185" i="1"/>
  <c r="L183" i="5"/>
  <c r="L185" i="5"/>
  <c r="F186" i="1" s="1"/>
  <c r="G183" i="5"/>
  <c r="G185" i="5"/>
  <c r="D186" i="1" s="1"/>
  <c r="G182" i="5"/>
  <c r="D183" i="1" s="1"/>
  <c r="L186" i="5"/>
  <c r="F187" i="1" s="1"/>
  <c r="G186" i="5"/>
  <c r="D187" i="1" s="1"/>
  <c r="L182" i="5"/>
  <c r="F183" i="1" s="1"/>
  <c r="G184" i="5"/>
  <c r="D185" i="1" s="1"/>
  <c r="L184" i="5"/>
  <c r="F185" i="1" s="1"/>
  <c r="G183" i="3"/>
  <c r="L183" i="3"/>
  <c r="L182" i="3"/>
  <c r="N176" i="1"/>
  <c r="L176" i="1"/>
  <c r="K176" i="1"/>
  <c r="J176" i="1"/>
  <c r="I176" i="1"/>
  <c r="H176" i="1"/>
  <c r="G176" i="1"/>
  <c r="F176" i="1"/>
  <c r="E176" i="1"/>
  <c r="D176" i="1"/>
  <c r="C176" i="1"/>
  <c r="D184" i="1" l="1"/>
  <c r="F184" i="1"/>
  <c r="T33" i="8"/>
  <c r="U33" i="8" s="1"/>
  <c r="T34" i="8"/>
  <c r="U34" i="8" s="1"/>
  <c r="T35" i="8"/>
  <c r="U35" i="8" s="1"/>
  <c r="T36" i="8"/>
  <c r="U36" i="8" s="1"/>
  <c r="T37" i="8"/>
  <c r="U37" i="8" s="1"/>
  <c r="T38" i="8"/>
  <c r="U38" i="8" s="1"/>
  <c r="T39" i="8"/>
  <c r="U39" i="8" s="1"/>
  <c r="T40" i="8"/>
  <c r="U40" i="8" s="1"/>
  <c r="T41" i="8"/>
  <c r="U41" i="8" s="1"/>
  <c r="T42" i="8"/>
  <c r="U42" i="8" s="1"/>
  <c r="T43" i="8"/>
  <c r="U43" i="8" s="1"/>
  <c r="T44" i="8"/>
  <c r="U44" i="8" s="1"/>
  <c r="T45" i="8"/>
  <c r="U45" i="8" s="1"/>
  <c r="T46" i="8"/>
  <c r="U46" i="8" s="1"/>
  <c r="T47" i="8"/>
  <c r="U47" i="8" s="1"/>
  <c r="T48" i="8"/>
  <c r="U48" i="8" s="1"/>
  <c r="T49" i="8"/>
  <c r="U49" i="8" s="1"/>
  <c r="T50" i="8"/>
  <c r="U50" i="8" s="1"/>
  <c r="T51" i="8"/>
  <c r="U51" i="8" s="1"/>
  <c r="T52" i="8"/>
  <c r="U52" i="8" s="1"/>
  <c r="T53" i="8"/>
  <c r="U53" i="8" s="1"/>
  <c r="T54" i="8"/>
  <c r="U54" i="8" s="1"/>
  <c r="T55" i="8"/>
  <c r="U55" i="8" s="1"/>
  <c r="T56" i="8"/>
  <c r="U56" i="8" s="1"/>
  <c r="T57" i="8"/>
  <c r="U57" i="8" s="1"/>
  <c r="T58" i="8"/>
  <c r="U58" i="8" s="1"/>
  <c r="T59" i="8"/>
  <c r="U59" i="8" s="1"/>
  <c r="T60" i="8"/>
  <c r="U60" i="8" s="1"/>
  <c r="T61" i="8"/>
  <c r="U61" i="8" s="1"/>
  <c r="T62" i="8"/>
  <c r="U62" i="8" s="1"/>
  <c r="T63" i="8"/>
  <c r="U63" i="8" s="1"/>
  <c r="T64" i="8"/>
  <c r="U64" i="8" s="1"/>
  <c r="T65" i="8"/>
  <c r="U65" i="8" s="1"/>
  <c r="T66" i="8"/>
  <c r="U66" i="8" s="1"/>
  <c r="T67" i="8"/>
  <c r="U67" i="8" s="1"/>
  <c r="T68" i="8"/>
  <c r="U68" i="8" s="1"/>
  <c r="T69" i="8"/>
  <c r="U69" i="8" s="1"/>
  <c r="T70" i="8"/>
  <c r="U70" i="8" s="1"/>
  <c r="T71" i="8"/>
  <c r="U71" i="8" s="1"/>
  <c r="T72" i="8"/>
  <c r="U72" i="8" s="1"/>
  <c r="T73" i="8"/>
  <c r="U73" i="8" s="1"/>
  <c r="T74" i="8"/>
  <c r="U74" i="8" s="1"/>
  <c r="T75" i="8"/>
  <c r="U75" i="8" s="1"/>
  <c r="T76" i="8"/>
  <c r="U76" i="8" s="1"/>
  <c r="T77" i="8"/>
  <c r="U77" i="8" s="1"/>
  <c r="T78" i="8"/>
  <c r="U78" i="8" s="1"/>
  <c r="T79" i="8"/>
  <c r="U79" i="8" s="1"/>
  <c r="T80" i="8"/>
  <c r="U80" i="8" s="1"/>
  <c r="T81" i="8"/>
  <c r="U81" i="8" s="1"/>
  <c r="T82" i="8"/>
  <c r="U82" i="8" s="1"/>
  <c r="T83" i="8"/>
  <c r="U83" i="8" s="1"/>
  <c r="T84" i="8"/>
  <c r="U84" i="8" s="1"/>
  <c r="T85" i="8"/>
  <c r="U85" i="8" s="1"/>
  <c r="T86" i="8"/>
  <c r="U86" i="8" s="1"/>
  <c r="T87" i="8"/>
  <c r="U87" i="8" s="1"/>
  <c r="T88" i="8"/>
  <c r="U88" i="8" s="1"/>
  <c r="T89" i="8"/>
  <c r="U89" i="8" s="1"/>
  <c r="T90" i="8"/>
  <c r="U90" i="8" s="1"/>
  <c r="T91" i="8"/>
  <c r="U91" i="8" s="1"/>
  <c r="T92" i="8"/>
  <c r="U92" i="8" s="1"/>
  <c r="T93" i="8"/>
  <c r="U93" i="8" s="1"/>
  <c r="T94" i="8"/>
  <c r="U94" i="8" s="1"/>
  <c r="T95" i="8"/>
  <c r="U95" i="8" s="1"/>
  <c r="T96" i="8"/>
  <c r="U96" i="8" s="1"/>
  <c r="T97" i="8"/>
  <c r="T27" i="7"/>
  <c r="U27" i="7" s="1"/>
  <c r="T28" i="7"/>
  <c r="U28" i="7" s="1"/>
  <c r="T29" i="7"/>
  <c r="U29" i="7" s="1"/>
  <c r="T30" i="7"/>
  <c r="U30" i="7" s="1"/>
  <c r="T31" i="7"/>
  <c r="U31" i="7" s="1"/>
  <c r="T32" i="7"/>
  <c r="U32" i="7" s="1"/>
  <c r="T33" i="7"/>
  <c r="U33" i="7" s="1"/>
  <c r="T34" i="7"/>
  <c r="U34" i="7" s="1"/>
  <c r="T35" i="7"/>
  <c r="U35" i="7" s="1"/>
  <c r="T36" i="7"/>
  <c r="U36" i="7" s="1"/>
  <c r="T37" i="7"/>
  <c r="U37" i="7" s="1"/>
  <c r="T38" i="7"/>
  <c r="U38" i="7" s="1"/>
  <c r="T39" i="7"/>
  <c r="U39" i="7" s="1"/>
  <c r="T40" i="7"/>
  <c r="U40" i="7" s="1"/>
  <c r="T41" i="7"/>
  <c r="U41" i="7" s="1"/>
  <c r="T42" i="7"/>
  <c r="U42" i="7" s="1"/>
  <c r="T43" i="7"/>
  <c r="U43" i="7" s="1"/>
  <c r="T44" i="7"/>
  <c r="U44" i="7" s="1"/>
  <c r="T45" i="7"/>
  <c r="U45" i="7" s="1"/>
  <c r="T46" i="7"/>
  <c r="U46" i="7" s="1"/>
  <c r="T47" i="7"/>
  <c r="U47" i="7" s="1"/>
  <c r="T48" i="7"/>
  <c r="U48" i="7" s="1"/>
  <c r="T49" i="7"/>
  <c r="U49" i="7" s="1"/>
  <c r="T50" i="7"/>
  <c r="U50" i="7" s="1"/>
  <c r="T51" i="7"/>
  <c r="U51" i="7" s="1"/>
  <c r="T52" i="7"/>
  <c r="U52" i="7" s="1"/>
  <c r="T53" i="7"/>
  <c r="U53" i="7" s="1"/>
  <c r="T54" i="7"/>
  <c r="U54" i="7" s="1"/>
  <c r="T55" i="7"/>
  <c r="U55" i="7" s="1"/>
  <c r="T56" i="7"/>
  <c r="U56" i="7" s="1"/>
  <c r="T57" i="7"/>
  <c r="U57" i="7" s="1"/>
  <c r="T58" i="7"/>
  <c r="U58" i="7" s="1"/>
  <c r="T59" i="7"/>
  <c r="U59" i="7" s="1"/>
  <c r="T60" i="7"/>
  <c r="U60" i="7" s="1"/>
  <c r="T61" i="7"/>
  <c r="U61" i="7" s="1"/>
  <c r="T62" i="7"/>
  <c r="U62" i="7" s="1"/>
  <c r="T63" i="7"/>
  <c r="U63" i="7" s="1"/>
  <c r="T64" i="7"/>
  <c r="U64" i="7" s="1"/>
  <c r="T65" i="7"/>
  <c r="U65" i="7" s="1"/>
  <c r="T66" i="7"/>
  <c r="U66" i="7" s="1"/>
  <c r="T67" i="7"/>
  <c r="U67" i="7" s="1"/>
  <c r="T68" i="7"/>
  <c r="U68" i="7" s="1"/>
  <c r="T69" i="7"/>
  <c r="U69" i="7" s="1"/>
  <c r="T70" i="7"/>
  <c r="U70" i="7" s="1"/>
  <c r="T71" i="7"/>
  <c r="U71" i="7" s="1"/>
  <c r="T72" i="7"/>
  <c r="U72" i="7" s="1"/>
  <c r="T73" i="7"/>
  <c r="U73" i="7" s="1"/>
  <c r="T74" i="7"/>
  <c r="U74" i="7" s="1"/>
  <c r="T75" i="7"/>
  <c r="U75" i="7" s="1"/>
  <c r="T76" i="7"/>
  <c r="U76" i="7" s="1"/>
  <c r="T77" i="7"/>
  <c r="U77" i="7" s="1"/>
  <c r="T78" i="7"/>
  <c r="U78" i="7" s="1"/>
  <c r="T79" i="7"/>
  <c r="U79" i="7" s="1"/>
  <c r="T80" i="7"/>
  <c r="U80" i="7" s="1"/>
  <c r="T81" i="7"/>
  <c r="U81" i="7" s="1"/>
  <c r="T82" i="7"/>
  <c r="U82" i="7" s="1"/>
  <c r="T83" i="7"/>
  <c r="U83" i="7" s="1"/>
  <c r="T84" i="7"/>
  <c r="U84" i="7" s="1"/>
  <c r="T85" i="7"/>
  <c r="U85" i="7" s="1"/>
  <c r="T86" i="7"/>
  <c r="U86" i="7" s="1"/>
  <c r="T87" i="7"/>
  <c r="U87" i="7" s="1"/>
  <c r="T88" i="7"/>
  <c r="U88" i="7" s="1"/>
  <c r="T89" i="7"/>
  <c r="U89" i="7" s="1"/>
  <c r="T90" i="7"/>
  <c r="U90" i="7" s="1"/>
  <c r="T91" i="7"/>
  <c r="U91" i="7" s="1"/>
  <c r="T92" i="7"/>
  <c r="U92" i="7" s="1"/>
  <c r="T93" i="7"/>
  <c r="U93" i="7" s="1"/>
  <c r="T94" i="7"/>
  <c r="U94" i="7" s="1"/>
  <c r="T95" i="7"/>
  <c r="U95" i="7" s="1"/>
  <c r="T96" i="7"/>
  <c r="U96" i="7" s="1"/>
  <c r="T97" i="7"/>
  <c r="T51" i="6"/>
  <c r="U51" i="6" s="1"/>
  <c r="T52" i="6"/>
  <c r="U52" i="6" s="1"/>
  <c r="T53" i="6"/>
  <c r="U53" i="6" s="1"/>
  <c r="T54" i="6"/>
  <c r="U54" i="6" s="1"/>
  <c r="T55" i="6"/>
  <c r="U55" i="6" s="1"/>
  <c r="T56" i="6"/>
  <c r="U56" i="6" s="1"/>
  <c r="T57" i="6"/>
  <c r="U57" i="6" s="1"/>
  <c r="T58" i="6"/>
  <c r="U58" i="6" s="1"/>
  <c r="T59" i="6"/>
  <c r="U59" i="6" s="1"/>
  <c r="T60" i="6"/>
  <c r="U60" i="6" s="1"/>
  <c r="T61" i="6"/>
  <c r="U61" i="6" s="1"/>
  <c r="T62" i="6"/>
  <c r="U62" i="6" s="1"/>
  <c r="T63" i="6"/>
  <c r="U63" i="6" s="1"/>
  <c r="T64" i="6"/>
  <c r="U64" i="6" s="1"/>
  <c r="T65" i="6"/>
  <c r="U65" i="6" s="1"/>
  <c r="T66" i="6"/>
  <c r="U66" i="6" s="1"/>
  <c r="T67" i="6"/>
  <c r="U67" i="6" s="1"/>
  <c r="T68" i="6"/>
  <c r="U68" i="6" s="1"/>
  <c r="T69" i="6"/>
  <c r="U69" i="6" s="1"/>
  <c r="T70" i="6"/>
  <c r="U70" i="6" s="1"/>
  <c r="T71" i="6"/>
  <c r="U71" i="6" s="1"/>
  <c r="T72" i="6"/>
  <c r="U72" i="6" s="1"/>
  <c r="T73" i="6"/>
  <c r="U73" i="6" s="1"/>
  <c r="T74" i="6"/>
  <c r="U74" i="6" s="1"/>
  <c r="T75" i="6"/>
  <c r="U75" i="6" s="1"/>
  <c r="T76" i="6"/>
  <c r="U76" i="6" s="1"/>
  <c r="T77" i="6"/>
  <c r="U77" i="6" s="1"/>
  <c r="T78" i="6"/>
  <c r="U78" i="6" s="1"/>
  <c r="T79" i="6"/>
  <c r="U79" i="6" s="1"/>
  <c r="T80" i="6"/>
  <c r="U80" i="6" s="1"/>
  <c r="T81" i="6"/>
  <c r="U81" i="6" s="1"/>
  <c r="T82" i="6"/>
  <c r="U82" i="6" s="1"/>
  <c r="T83" i="6"/>
  <c r="U83" i="6" s="1"/>
  <c r="T84" i="6"/>
  <c r="U84" i="6" s="1"/>
  <c r="T85" i="6"/>
  <c r="U85" i="6" s="1"/>
  <c r="T86" i="6"/>
  <c r="U86" i="6" s="1"/>
  <c r="T87" i="6"/>
  <c r="U87" i="6" s="1"/>
  <c r="T88" i="6"/>
  <c r="U88" i="6" s="1"/>
  <c r="T89" i="6"/>
  <c r="U89" i="6" s="1"/>
  <c r="T90" i="6"/>
  <c r="U90" i="6" s="1"/>
  <c r="T91" i="6"/>
  <c r="U91" i="6" s="1"/>
  <c r="T92" i="6"/>
  <c r="U92" i="6" s="1"/>
  <c r="T93" i="6"/>
  <c r="U93" i="6" s="1"/>
  <c r="T94" i="6"/>
  <c r="U94" i="6" s="1"/>
  <c r="T95" i="6"/>
  <c r="U95" i="6" s="1"/>
  <c r="T96" i="6"/>
  <c r="U96" i="6" s="1"/>
  <c r="T97" i="6"/>
  <c r="T72" i="3"/>
  <c r="U72" i="3" s="1"/>
  <c r="T73" i="3"/>
  <c r="U73" i="3" s="1"/>
  <c r="T74" i="3"/>
  <c r="U74" i="3" s="1"/>
  <c r="T75" i="3"/>
  <c r="U75" i="3" s="1"/>
  <c r="T76" i="3"/>
  <c r="U76" i="3" s="1"/>
  <c r="T77" i="3"/>
  <c r="U77" i="3" s="1"/>
  <c r="T78" i="3"/>
  <c r="U78" i="3" s="1"/>
  <c r="T79" i="3"/>
  <c r="U79" i="3" s="1"/>
  <c r="T80" i="3"/>
  <c r="U80" i="3" s="1"/>
  <c r="T81" i="3"/>
  <c r="U81" i="3" s="1"/>
  <c r="T82" i="3"/>
  <c r="U82" i="3" s="1"/>
  <c r="T83" i="3"/>
  <c r="U83" i="3" s="1"/>
  <c r="T84" i="3"/>
  <c r="U84" i="3" s="1"/>
  <c r="T85" i="3"/>
  <c r="U85" i="3" s="1"/>
  <c r="T86" i="3"/>
  <c r="U86" i="3" s="1"/>
  <c r="T87" i="3"/>
  <c r="U87" i="3" s="1"/>
  <c r="T88" i="3"/>
  <c r="U88" i="3" s="1"/>
  <c r="T89" i="3"/>
  <c r="U89" i="3" s="1"/>
  <c r="T90" i="3"/>
  <c r="U90" i="3" s="1"/>
  <c r="T91" i="3"/>
  <c r="U91" i="3" s="1"/>
  <c r="T92" i="3"/>
  <c r="U92" i="3" s="1"/>
  <c r="T93" i="3"/>
  <c r="U93" i="3" s="1"/>
  <c r="T94" i="3"/>
  <c r="U94" i="3" s="1"/>
  <c r="T95" i="3"/>
  <c r="U95" i="3" s="1"/>
  <c r="T96" i="3"/>
  <c r="U96" i="3" s="1"/>
  <c r="T97" i="3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U82" i="5" s="1"/>
  <c r="T83" i="5"/>
  <c r="U83" i="5" s="1"/>
  <c r="T84" i="5"/>
  <c r="U84" i="5" s="1"/>
  <c r="T85" i="5"/>
  <c r="U85" i="5" s="1"/>
  <c r="T86" i="5"/>
  <c r="U86" i="5" s="1"/>
  <c r="T87" i="5"/>
  <c r="U87" i="5" s="1"/>
  <c r="T88" i="5"/>
  <c r="U88" i="5" s="1"/>
  <c r="T89" i="5"/>
  <c r="U89" i="5" s="1"/>
  <c r="T90" i="5"/>
  <c r="U90" i="5" s="1"/>
  <c r="T91" i="5"/>
  <c r="U91" i="5" s="1"/>
  <c r="T92" i="5"/>
  <c r="U92" i="5" s="1"/>
  <c r="T93" i="5"/>
  <c r="U93" i="5" s="1"/>
  <c r="T94" i="5"/>
  <c r="U94" i="5" s="1"/>
  <c r="T95" i="5"/>
  <c r="U95" i="5" s="1"/>
  <c r="T96" i="5"/>
  <c r="U96" i="5" s="1"/>
  <c r="T97" i="5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E3" i="11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W75" i="9"/>
  <c r="Y75" i="9" s="1"/>
  <c r="W76" i="9"/>
  <c r="Y76" i="9" s="1"/>
  <c r="W77" i="9"/>
  <c r="Y77" i="9" s="1"/>
  <c r="W78" i="9"/>
  <c r="Y78" i="9" s="1"/>
  <c r="W79" i="9"/>
  <c r="Y79" i="9" s="1"/>
  <c r="W80" i="9"/>
  <c r="Y80" i="9" s="1"/>
  <c r="W81" i="9"/>
  <c r="Y81" i="9" s="1"/>
  <c r="W82" i="9"/>
  <c r="Y82" i="9" s="1"/>
  <c r="W83" i="9"/>
  <c r="Y83" i="9" s="1"/>
  <c r="W84" i="9"/>
  <c r="Y84" i="9" s="1"/>
  <c r="W85" i="9"/>
  <c r="Y85" i="9" s="1"/>
  <c r="W86" i="9"/>
  <c r="Y86" i="9" s="1"/>
  <c r="W87" i="9"/>
  <c r="Y87" i="9" s="1"/>
  <c r="W88" i="9"/>
  <c r="Y88" i="9" s="1"/>
  <c r="W89" i="9"/>
  <c r="Y89" i="9" s="1"/>
  <c r="W90" i="9"/>
  <c r="Y90" i="9" s="1"/>
  <c r="W91" i="9"/>
  <c r="Y91" i="9" s="1"/>
  <c r="W92" i="9"/>
  <c r="Y92" i="9" s="1"/>
  <c r="W93" i="9"/>
  <c r="Y93" i="9" s="1"/>
  <c r="W94" i="9"/>
  <c r="Y94" i="9" s="1"/>
  <c r="W95" i="9"/>
  <c r="Y95" i="9" s="1"/>
  <c r="W96" i="9"/>
  <c r="Y96" i="9" s="1"/>
  <c r="W97" i="9"/>
  <c r="Y97" i="9" s="1"/>
  <c r="W98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97" i="8"/>
  <c r="U97" i="8" s="1"/>
  <c r="W97" i="8" s="1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97" i="6"/>
  <c r="U97" i="6" s="1"/>
  <c r="W97" i="6" s="1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97" i="3"/>
  <c r="U97" i="3" s="1"/>
  <c r="W97" i="3" s="1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T23" i="4"/>
  <c r="U23" i="4" s="1"/>
  <c r="W23" i="4" s="1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M177" i="1" s="1"/>
  <c r="S177" i="4"/>
  <c r="M178" i="1" s="1"/>
  <c r="S178" i="4"/>
  <c r="M179" i="1" s="1"/>
  <c r="S179" i="4"/>
  <c r="M180" i="1" s="1"/>
  <c r="S180" i="4"/>
  <c r="M181" i="1" s="1"/>
  <c r="S181" i="4"/>
  <c r="M182" i="1" s="1"/>
  <c r="S182" i="4"/>
  <c r="M183" i="1" s="1"/>
  <c r="S183" i="4"/>
  <c r="M184" i="1" s="1"/>
  <c r="S184" i="4"/>
  <c r="M185" i="1" s="1"/>
  <c r="S185" i="4"/>
  <c r="M186" i="1" s="1"/>
  <c r="S186" i="4"/>
  <c r="M187" i="1" s="1"/>
  <c r="D217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O9" i="1"/>
  <c r="N9" i="1"/>
  <c r="M9" i="1"/>
  <c r="L9" i="1"/>
  <c r="K9" i="1"/>
  <c r="J9" i="1"/>
  <c r="I9" i="1"/>
  <c r="H9" i="1"/>
  <c r="G9" i="1"/>
  <c r="F9" i="1"/>
  <c r="E9" i="1"/>
  <c r="D9" i="1"/>
  <c r="C9" i="1"/>
  <c r="O8" i="1"/>
  <c r="N8" i="1"/>
  <c r="M8" i="1"/>
  <c r="L8" i="1"/>
  <c r="K8" i="1"/>
  <c r="J8" i="1"/>
  <c r="I8" i="1"/>
  <c r="H8" i="1"/>
  <c r="G8" i="1"/>
  <c r="F8" i="1"/>
  <c r="E8" i="1"/>
  <c r="D8" i="1"/>
  <c r="C8" i="1"/>
  <c r="U97" i="7" l="1"/>
  <c r="W97" i="7" s="1"/>
  <c r="T24" i="4"/>
  <c r="U24" i="4" s="1"/>
  <c r="W24" i="4" s="1"/>
  <c r="Y23" i="4"/>
  <c r="C227" i="1"/>
  <c r="C225" i="1"/>
  <c r="C223" i="1"/>
  <c r="C221" i="1"/>
  <c r="C219" i="1"/>
  <c r="T98" i="7"/>
  <c r="Y97" i="7"/>
  <c r="T98" i="8"/>
  <c r="U98" i="8" s="1"/>
  <c r="W98" i="8" s="1"/>
  <c r="Y97" i="8"/>
  <c r="C228" i="1"/>
  <c r="C226" i="1"/>
  <c r="C224" i="1"/>
  <c r="C222" i="1"/>
  <c r="C220" i="1"/>
  <c r="C218" i="1"/>
  <c r="T99" i="9"/>
  <c r="U99" i="9" s="1"/>
  <c r="W99" i="9" s="1"/>
  <c r="Y98" i="9"/>
  <c r="T98" i="6"/>
  <c r="U98" i="6" s="1"/>
  <c r="W98" i="6" s="1"/>
  <c r="T99" i="6" s="1"/>
  <c r="U99" i="6" s="1"/>
  <c r="W99" i="6" s="1"/>
  <c r="Y97" i="6"/>
  <c r="T98" i="3"/>
  <c r="U98" i="3" s="1"/>
  <c r="W98" i="3" s="1"/>
  <c r="Y97" i="3"/>
  <c r="M176" i="1"/>
  <c r="C217" i="1" s="1"/>
  <c r="U97" i="5"/>
  <c r="W97" i="5" s="1"/>
  <c r="U98" i="7"/>
  <c r="W98" i="7" s="1"/>
  <c r="T99" i="8" l="1"/>
  <c r="U99" i="8" s="1"/>
  <c r="W99" i="8" s="1"/>
  <c r="Y98" i="8"/>
  <c r="T99" i="7"/>
  <c r="U99" i="7" s="1"/>
  <c r="W99" i="7" s="1"/>
  <c r="T100" i="7" s="1"/>
  <c r="U100" i="7" s="1"/>
  <c r="W100" i="7" s="1"/>
  <c r="Y98" i="7"/>
  <c r="T100" i="9"/>
  <c r="U100" i="9" s="1"/>
  <c r="W100" i="9" s="1"/>
  <c r="Y99" i="9"/>
  <c r="T25" i="4"/>
  <c r="U25" i="4" s="1"/>
  <c r="W25" i="4" s="1"/>
  <c r="Y24" i="4"/>
  <c r="Y98" i="6"/>
  <c r="T100" i="6"/>
  <c r="U100" i="6" s="1"/>
  <c r="W100" i="6" s="1"/>
  <c r="Y99" i="6"/>
  <c r="T98" i="5"/>
  <c r="U98" i="5" s="1"/>
  <c r="W98" i="5" s="1"/>
  <c r="T99" i="5" s="1"/>
  <c r="U99" i="5" s="1"/>
  <c r="W99" i="5" s="1"/>
  <c r="T100" i="5" s="1"/>
  <c r="U100" i="5" s="1"/>
  <c r="W100" i="5" s="1"/>
  <c r="T101" i="5" s="1"/>
  <c r="U101" i="5" s="1"/>
  <c r="W101" i="5" s="1"/>
  <c r="Y97" i="5"/>
  <c r="T99" i="3"/>
  <c r="U99" i="3" s="1"/>
  <c r="W99" i="3" s="1"/>
  <c r="Y98" i="3"/>
  <c r="Y99" i="7" l="1"/>
  <c r="T26" i="4"/>
  <c r="U26" i="4" s="1"/>
  <c r="W26" i="4" s="1"/>
  <c r="Y25" i="4"/>
  <c r="T101" i="9"/>
  <c r="U101" i="9" s="1"/>
  <c r="W101" i="9" s="1"/>
  <c r="Y100" i="9"/>
  <c r="T101" i="7"/>
  <c r="U101" i="7" s="1"/>
  <c r="W101" i="7" s="1"/>
  <c r="Y100" i="7"/>
  <c r="T100" i="8"/>
  <c r="U100" i="8" s="1"/>
  <c r="W100" i="8" s="1"/>
  <c r="Y99" i="8"/>
  <c r="T101" i="6"/>
  <c r="U101" i="6" s="1"/>
  <c r="W101" i="6" s="1"/>
  <c r="Y100" i="6"/>
  <c r="T102" i="5"/>
  <c r="U102" i="5" s="1"/>
  <c r="W102" i="5" s="1"/>
  <c r="Y101" i="5"/>
  <c r="Y98" i="5"/>
  <c r="Y99" i="5" s="1"/>
  <c r="Y100" i="5" s="1"/>
  <c r="T100" i="3"/>
  <c r="U100" i="3" s="1"/>
  <c r="W100" i="3" s="1"/>
  <c r="Y99" i="3"/>
  <c r="T101" i="8" l="1"/>
  <c r="U101" i="8" s="1"/>
  <c r="W101" i="8" s="1"/>
  <c r="Y100" i="8"/>
  <c r="T102" i="7"/>
  <c r="U102" i="7" s="1"/>
  <c r="W102" i="7" s="1"/>
  <c r="Y101" i="7"/>
  <c r="T102" i="9"/>
  <c r="U102" i="9" s="1"/>
  <c r="W102" i="9" s="1"/>
  <c r="Y101" i="9"/>
  <c r="T27" i="4"/>
  <c r="U27" i="4" s="1"/>
  <c r="W27" i="4" s="1"/>
  <c r="Y26" i="4"/>
  <c r="T102" i="6"/>
  <c r="U102" i="6" s="1"/>
  <c r="W102" i="6" s="1"/>
  <c r="Y101" i="6"/>
  <c r="T103" i="5"/>
  <c r="U103" i="5" s="1"/>
  <c r="W103" i="5" s="1"/>
  <c r="Y102" i="5"/>
  <c r="T101" i="3"/>
  <c r="U101" i="3" s="1"/>
  <c r="W101" i="3" s="1"/>
  <c r="Y100" i="3"/>
  <c r="T28" i="4" l="1"/>
  <c r="U28" i="4" s="1"/>
  <c r="W28" i="4" s="1"/>
  <c r="Y27" i="4"/>
  <c r="T103" i="9"/>
  <c r="U103" i="9" s="1"/>
  <c r="W103" i="9" s="1"/>
  <c r="Y102" i="9"/>
  <c r="T103" i="7"/>
  <c r="U103" i="7" s="1"/>
  <c r="W103" i="7" s="1"/>
  <c r="Y102" i="7"/>
  <c r="T102" i="8"/>
  <c r="U102" i="8" s="1"/>
  <c r="W102" i="8" s="1"/>
  <c r="Y101" i="8"/>
  <c r="T103" i="6"/>
  <c r="U103" i="6" s="1"/>
  <c r="W103" i="6" s="1"/>
  <c r="Y102" i="6"/>
  <c r="T104" i="5"/>
  <c r="U104" i="5" s="1"/>
  <c r="W104" i="5" s="1"/>
  <c r="Y103" i="5"/>
  <c r="T102" i="3"/>
  <c r="U102" i="3" s="1"/>
  <c r="W102" i="3" s="1"/>
  <c r="Y101" i="3"/>
  <c r="T103" i="8" l="1"/>
  <c r="U103" i="8" s="1"/>
  <c r="W103" i="8" s="1"/>
  <c r="Y102" i="8"/>
  <c r="T104" i="7"/>
  <c r="U104" i="7" s="1"/>
  <c r="W104" i="7" s="1"/>
  <c r="Y103" i="7"/>
  <c r="T104" i="9"/>
  <c r="U104" i="9" s="1"/>
  <c r="W104" i="9" s="1"/>
  <c r="Y103" i="9"/>
  <c r="T29" i="4"/>
  <c r="U29" i="4" s="1"/>
  <c r="W29" i="4" s="1"/>
  <c r="Y28" i="4"/>
  <c r="T104" i="6"/>
  <c r="U104" i="6" s="1"/>
  <c r="W104" i="6" s="1"/>
  <c r="Y103" i="6"/>
  <c r="T105" i="5"/>
  <c r="U105" i="5" s="1"/>
  <c r="W105" i="5" s="1"/>
  <c r="Y104" i="5"/>
  <c r="T103" i="3"/>
  <c r="U103" i="3" s="1"/>
  <c r="W103" i="3" s="1"/>
  <c r="Y102" i="3"/>
  <c r="T30" i="4" l="1"/>
  <c r="U30" i="4" s="1"/>
  <c r="W30" i="4" s="1"/>
  <c r="Y29" i="4"/>
  <c r="T105" i="9"/>
  <c r="U105" i="9" s="1"/>
  <c r="W105" i="9" s="1"/>
  <c r="Y104" i="9"/>
  <c r="T105" i="7"/>
  <c r="U105" i="7" s="1"/>
  <c r="W105" i="7" s="1"/>
  <c r="Y104" i="7"/>
  <c r="T104" i="8"/>
  <c r="U104" i="8" s="1"/>
  <c r="W104" i="8" s="1"/>
  <c r="Y103" i="8"/>
  <c r="T105" i="6"/>
  <c r="U105" i="6" s="1"/>
  <c r="W105" i="6" s="1"/>
  <c r="Y104" i="6"/>
  <c r="T106" i="5"/>
  <c r="U106" i="5" s="1"/>
  <c r="W106" i="5" s="1"/>
  <c r="Y105" i="5"/>
  <c r="T104" i="3"/>
  <c r="U104" i="3" s="1"/>
  <c r="W104" i="3" s="1"/>
  <c r="Y103" i="3"/>
  <c r="T105" i="8" l="1"/>
  <c r="U105" i="8" s="1"/>
  <c r="W105" i="8" s="1"/>
  <c r="T106" i="8" s="1"/>
  <c r="U106" i="8" s="1"/>
  <c r="W106" i="8" s="1"/>
  <c r="Y104" i="8"/>
  <c r="T106" i="7"/>
  <c r="U106" i="7" s="1"/>
  <c r="W106" i="7" s="1"/>
  <c r="Y105" i="7"/>
  <c r="T106" i="9"/>
  <c r="U106" i="9" s="1"/>
  <c r="W106" i="9" s="1"/>
  <c r="Y105" i="9"/>
  <c r="T31" i="4"/>
  <c r="U31" i="4" s="1"/>
  <c r="W31" i="4" s="1"/>
  <c r="Y30" i="4"/>
  <c r="T106" i="6"/>
  <c r="U106" i="6" s="1"/>
  <c r="W106" i="6" s="1"/>
  <c r="Y105" i="6"/>
  <c r="T107" i="5"/>
  <c r="U107" i="5" s="1"/>
  <c r="W107" i="5" s="1"/>
  <c r="Y106" i="5"/>
  <c r="T105" i="3"/>
  <c r="U105" i="3" s="1"/>
  <c r="W105" i="3" s="1"/>
  <c r="Y104" i="3"/>
  <c r="Y105" i="8" l="1"/>
  <c r="T32" i="4"/>
  <c r="U32" i="4" s="1"/>
  <c r="W32" i="4" s="1"/>
  <c r="Y31" i="4"/>
  <c r="T107" i="9"/>
  <c r="U107" i="9" s="1"/>
  <c r="W107" i="9" s="1"/>
  <c r="Y106" i="9"/>
  <c r="T107" i="7"/>
  <c r="U107" i="7" s="1"/>
  <c r="W107" i="7" s="1"/>
  <c r="Y106" i="7"/>
  <c r="T107" i="8"/>
  <c r="U107" i="8" s="1"/>
  <c r="W107" i="8" s="1"/>
  <c r="Y106" i="8"/>
  <c r="T107" i="6"/>
  <c r="U107" i="6" s="1"/>
  <c r="W107" i="6" s="1"/>
  <c r="Y106" i="6"/>
  <c r="T108" i="5"/>
  <c r="U108" i="5" s="1"/>
  <c r="W108" i="5" s="1"/>
  <c r="Y107" i="5"/>
  <c r="T106" i="3"/>
  <c r="U106" i="3" s="1"/>
  <c r="W106" i="3" s="1"/>
  <c r="Y105" i="3"/>
  <c r="T108" i="8" l="1"/>
  <c r="U108" i="8" s="1"/>
  <c r="W108" i="8" s="1"/>
  <c r="Y107" i="8"/>
  <c r="T108" i="7"/>
  <c r="U108" i="7" s="1"/>
  <c r="W108" i="7" s="1"/>
  <c r="Y107" i="7"/>
  <c r="T108" i="9"/>
  <c r="U108" i="9" s="1"/>
  <c r="W108" i="9" s="1"/>
  <c r="Y107" i="9"/>
  <c r="T33" i="4"/>
  <c r="U33" i="4" s="1"/>
  <c r="W33" i="4" s="1"/>
  <c r="Y32" i="4"/>
  <c r="T108" i="6"/>
  <c r="U108" i="6" s="1"/>
  <c r="W108" i="6" s="1"/>
  <c r="Y107" i="6"/>
  <c r="T109" i="5"/>
  <c r="U109" i="5" s="1"/>
  <c r="W109" i="5" s="1"/>
  <c r="Y108" i="5"/>
  <c r="T107" i="3"/>
  <c r="U107" i="3" s="1"/>
  <c r="W107" i="3" s="1"/>
  <c r="Y106" i="3"/>
  <c r="T34" i="4" l="1"/>
  <c r="U34" i="4" s="1"/>
  <c r="W34" i="4" s="1"/>
  <c r="Y33" i="4"/>
  <c r="T109" i="9"/>
  <c r="U109" i="9" s="1"/>
  <c r="W109" i="9" s="1"/>
  <c r="Y108" i="9"/>
  <c r="T109" i="7"/>
  <c r="U109" i="7" s="1"/>
  <c r="W109" i="7" s="1"/>
  <c r="Y108" i="7"/>
  <c r="T109" i="8"/>
  <c r="U109" i="8" s="1"/>
  <c r="W109" i="8" s="1"/>
  <c r="Y108" i="8"/>
  <c r="T109" i="6"/>
  <c r="U109" i="6" s="1"/>
  <c r="W109" i="6" s="1"/>
  <c r="T110" i="6" s="1"/>
  <c r="U110" i="6" s="1"/>
  <c r="W110" i="6" s="1"/>
  <c r="Y108" i="6"/>
  <c r="T110" i="5"/>
  <c r="U110" i="5" s="1"/>
  <c r="W110" i="5" s="1"/>
  <c r="Y109" i="5"/>
  <c r="T108" i="3"/>
  <c r="U108" i="3" s="1"/>
  <c r="W108" i="3" s="1"/>
  <c r="Y107" i="3"/>
  <c r="Y109" i="6" l="1"/>
  <c r="T110" i="8"/>
  <c r="U110" i="8" s="1"/>
  <c r="W110" i="8" s="1"/>
  <c r="Y109" i="8"/>
  <c r="T110" i="7"/>
  <c r="U110" i="7" s="1"/>
  <c r="W110" i="7" s="1"/>
  <c r="Y109" i="7"/>
  <c r="T110" i="9"/>
  <c r="U110" i="9" s="1"/>
  <c r="W110" i="9" s="1"/>
  <c r="Y109" i="9"/>
  <c r="T35" i="4"/>
  <c r="U35" i="4" s="1"/>
  <c r="W35" i="4" s="1"/>
  <c r="Y34" i="4"/>
  <c r="T111" i="6"/>
  <c r="U111" i="6" s="1"/>
  <c r="W111" i="6" s="1"/>
  <c r="Y110" i="6"/>
  <c r="T111" i="5"/>
  <c r="U111" i="5" s="1"/>
  <c r="W111" i="5" s="1"/>
  <c r="Y110" i="5"/>
  <c r="T109" i="3"/>
  <c r="U109" i="3" s="1"/>
  <c r="W109" i="3" s="1"/>
  <c r="Y108" i="3"/>
  <c r="T36" i="4" l="1"/>
  <c r="U36" i="4" s="1"/>
  <c r="W36" i="4" s="1"/>
  <c r="Y35" i="4"/>
  <c r="T111" i="9"/>
  <c r="U111" i="9" s="1"/>
  <c r="W111" i="9" s="1"/>
  <c r="Y110" i="9"/>
  <c r="T111" i="7"/>
  <c r="U111" i="7" s="1"/>
  <c r="W111" i="7" s="1"/>
  <c r="Y110" i="7"/>
  <c r="T111" i="8"/>
  <c r="U111" i="8" s="1"/>
  <c r="W111" i="8" s="1"/>
  <c r="Y110" i="8"/>
  <c r="T112" i="6"/>
  <c r="U112" i="6" s="1"/>
  <c r="W112" i="6" s="1"/>
  <c r="Y111" i="6"/>
  <c r="T112" i="5"/>
  <c r="U112" i="5" s="1"/>
  <c r="W112" i="5" s="1"/>
  <c r="Y111" i="5"/>
  <c r="T110" i="3"/>
  <c r="U110" i="3" s="1"/>
  <c r="W110" i="3" s="1"/>
  <c r="T111" i="3" s="1"/>
  <c r="U111" i="3" s="1"/>
  <c r="W111" i="3" s="1"/>
  <c r="Y109" i="3"/>
  <c r="T112" i="8" l="1"/>
  <c r="U112" i="8" s="1"/>
  <c r="W112" i="8" s="1"/>
  <c r="Y111" i="8"/>
  <c r="T112" i="7"/>
  <c r="U112" i="7" s="1"/>
  <c r="W112" i="7" s="1"/>
  <c r="Y111" i="7"/>
  <c r="T112" i="9"/>
  <c r="U112" i="9" s="1"/>
  <c r="W112" i="9" s="1"/>
  <c r="Y111" i="9"/>
  <c r="T37" i="4"/>
  <c r="U37" i="4" s="1"/>
  <c r="W37" i="4" s="1"/>
  <c r="Y36" i="4"/>
  <c r="T113" i="6"/>
  <c r="U113" i="6" s="1"/>
  <c r="W113" i="6" s="1"/>
  <c r="Y112" i="6"/>
  <c r="T113" i="5"/>
  <c r="U113" i="5" s="1"/>
  <c r="W113" i="5" s="1"/>
  <c r="Y112" i="5"/>
  <c r="Y110" i="3"/>
  <c r="T112" i="3"/>
  <c r="U112" i="3" s="1"/>
  <c r="W112" i="3" s="1"/>
  <c r="Y111" i="3"/>
  <c r="T38" i="4" l="1"/>
  <c r="U38" i="4" s="1"/>
  <c r="W38" i="4" s="1"/>
  <c r="Y37" i="4"/>
  <c r="T113" i="9"/>
  <c r="U113" i="9" s="1"/>
  <c r="W113" i="9" s="1"/>
  <c r="Y112" i="9"/>
  <c r="T113" i="7"/>
  <c r="U113" i="7" s="1"/>
  <c r="W113" i="7" s="1"/>
  <c r="Y112" i="7"/>
  <c r="T113" i="8"/>
  <c r="U113" i="8" s="1"/>
  <c r="W113" i="8" s="1"/>
  <c r="Y112" i="8"/>
  <c r="T114" i="6"/>
  <c r="U114" i="6" s="1"/>
  <c r="W114" i="6" s="1"/>
  <c r="Y113" i="6"/>
  <c r="T114" i="5"/>
  <c r="U114" i="5" s="1"/>
  <c r="W114" i="5" s="1"/>
  <c r="Y113" i="5"/>
  <c r="T113" i="3"/>
  <c r="U113" i="3" s="1"/>
  <c r="W113" i="3" s="1"/>
  <c r="Y112" i="3"/>
  <c r="T114" i="8" l="1"/>
  <c r="U114" i="8" s="1"/>
  <c r="W114" i="8" s="1"/>
  <c r="Y113" i="8"/>
  <c r="T114" i="7"/>
  <c r="U114" i="7" s="1"/>
  <c r="W114" i="7" s="1"/>
  <c r="Y113" i="7"/>
  <c r="T114" i="9"/>
  <c r="U114" i="9" s="1"/>
  <c r="W114" i="9" s="1"/>
  <c r="Y113" i="9"/>
  <c r="T39" i="4"/>
  <c r="U39" i="4" s="1"/>
  <c r="W39" i="4" s="1"/>
  <c r="Y38" i="4"/>
  <c r="T115" i="6"/>
  <c r="U115" i="6" s="1"/>
  <c r="W115" i="6" s="1"/>
  <c r="Y114" i="6"/>
  <c r="T115" i="5"/>
  <c r="U115" i="5" s="1"/>
  <c r="W115" i="5" s="1"/>
  <c r="Y114" i="5"/>
  <c r="T114" i="3"/>
  <c r="U114" i="3" s="1"/>
  <c r="W114" i="3" s="1"/>
  <c r="Y113" i="3"/>
  <c r="T40" i="4" l="1"/>
  <c r="U40" i="4" s="1"/>
  <c r="W40" i="4" s="1"/>
  <c r="Y39" i="4"/>
  <c r="T115" i="9"/>
  <c r="U115" i="9" s="1"/>
  <c r="W115" i="9" s="1"/>
  <c r="Y114" i="9"/>
  <c r="T115" i="7"/>
  <c r="U115" i="7" s="1"/>
  <c r="W115" i="7" s="1"/>
  <c r="Y114" i="7"/>
  <c r="T115" i="8"/>
  <c r="U115" i="8" s="1"/>
  <c r="W115" i="8" s="1"/>
  <c r="Y114" i="8"/>
  <c r="T116" i="6"/>
  <c r="U116" i="6" s="1"/>
  <c r="W116" i="6" s="1"/>
  <c r="Y115" i="6"/>
  <c r="T116" i="5"/>
  <c r="U116" i="5" s="1"/>
  <c r="W116" i="5" s="1"/>
  <c r="Y115" i="5"/>
  <c r="T115" i="3"/>
  <c r="U115" i="3" s="1"/>
  <c r="W115" i="3" s="1"/>
  <c r="Y114" i="3"/>
  <c r="T116" i="8" l="1"/>
  <c r="U116" i="8" s="1"/>
  <c r="W116" i="8" s="1"/>
  <c r="Y115" i="8"/>
  <c r="T116" i="7"/>
  <c r="U116" i="7" s="1"/>
  <c r="W116" i="7" s="1"/>
  <c r="Y115" i="7"/>
  <c r="T116" i="9"/>
  <c r="U116" i="9" s="1"/>
  <c r="W116" i="9" s="1"/>
  <c r="Y115" i="9"/>
  <c r="T41" i="4"/>
  <c r="U41" i="4" s="1"/>
  <c r="W41" i="4" s="1"/>
  <c r="Y40" i="4"/>
  <c r="T117" i="6"/>
  <c r="U117" i="6" s="1"/>
  <c r="W117" i="6" s="1"/>
  <c r="Y116" i="6"/>
  <c r="T117" i="5"/>
  <c r="U117" i="5" s="1"/>
  <c r="W117" i="5" s="1"/>
  <c r="T118" i="5" s="1"/>
  <c r="U118" i="5" s="1"/>
  <c r="W118" i="5" s="1"/>
  <c r="Y116" i="5"/>
  <c r="T116" i="3"/>
  <c r="U116" i="3" s="1"/>
  <c r="W116" i="3" s="1"/>
  <c r="Y115" i="3"/>
  <c r="T42" i="4" l="1"/>
  <c r="U42" i="4" s="1"/>
  <c r="W42" i="4" s="1"/>
  <c r="Y41" i="4"/>
  <c r="T117" i="9"/>
  <c r="U117" i="9" s="1"/>
  <c r="W117" i="9" s="1"/>
  <c r="Y116" i="9"/>
  <c r="T117" i="7"/>
  <c r="U117" i="7" s="1"/>
  <c r="W117" i="7" s="1"/>
  <c r="Y116" i="7"/>
  <c r="T117" i="8"/>
  <c r="U117" i="8" s="1"/>
  <c r="W117" i="8" s="1"/>
  <c r="Y116" i="8"/>
  <c r="T118" i="6"/>
  <c r="U118" i="6" s="1"/>
  <c r="W118" i="6" s="1"/>
  <c r="Y117" i="6"/>
  <c r="Y117" i="5"/>
  <c r="T119" i="5"/>
  <c r="U119" i="5" s="1"/>
  <c r="W119" i="5" s="1"/>
  <c r="T120" i="5" s="1"/>
  <c r="U120" i="5" s="1"/>
  <c r="W120" i="5" s="1"/>
  <c r="T121" i="5" s="1"/>
  <c r="U121" i="5" s="1"/>
  <c r="W121" i="5" s="1"/>
  <c r="T122" i="5" s="1"/>
  <c r="U122" i="5" s="1"/>
  <c r="W122" i="5" s="1"/>
  <c r="Y118" i="5"/>
  <c r="T117" i="3"/>
  <c r="U117" i="3" s="1"/>
  <c r="W117" i="3" s="1"/>
  <c r="Y116" i="3"/>
  <c r="Y119" i="5" l="1"/>
  <c r="Y120" i="5" s="1"/>
  <c r="Y121" i="5" s="1"/>
  <c r="T118" i="8"/>
  <c r="U118" i="8" s="1"/>
  <c r="W118" i="8" s="1"/>
  <c r="Y117" i="8"/>
  <c r="T118" i="7"/>
  <c r="U118" i="7" s="1"/>
  <c r="W118" i="7" s="1"/>
  <c r="Y117" i="7"/>
  <c r="T118" i="9"/>
  <c r="U118" i="9" s="1"/>
  <c r="W118" i="9" s="1"/>
  <c r="Y117" i="9"/>
  <c r="T43" i="4"/>
  <c r="U43" i="4" s="1"/>
  <c r="W43" i="4" s="1"/>
  <c r="Y42" i="4"/>
  <c r="T119" i="6"/>
  <c r="U119" i="6" s="1"/>
  <c r="W119" i="6" s="1"/>
  <c r="Y118" i="6"/>
  <c r="T123" i="5"/>
  <c r="U123" i="5" s="1"/>
  <c r="W123" i="5" s="1"/>
  <c r="T124" i="5" s="1"/>
  <c r="U124" i="5" s="1"/>
  <c r="W124" i="5" s="1"/>
  <c r="Y122" i="5"/>
  <c r="T118" i="3"/>
  <c r="U118" i="3" s="1"/>
  <c r="W118" i="3" s="1"/>
  <c r="Y117" i="3"/>
  <c r="Y123" i="5" l="1"/>
  <c r="T44" i="4"/>
  <c r="U44" i="4" s="1"/>
  <c r="W44" i="4" s="1"/>
  <c r="Y43" i="4"/>
  <c r="T119" i="9"/>
  <c r="U119" i="9" s="1"/>
  <c r="W119" i="9" s="1"/>
  <c r="Y118" i="9"/>
  <c r="T119" i="7"/>
  <c r="U119" i="7" s="1"/>
  <c r="W119" i="7" s="1"/>
  <c r="Y118" i="7"/>
  <c r="T119" i="8"/>
  <c r="U119" i="8" s="1"/>
  <c r="W119" i="8" s="1"/>
  <c r="T120" i="8" s="1"/>
  <c r="U120" i="8" s="1"/>
  <c r="W120" i="8" s="1"/>
  <c r="T121" i="8" s="1"/>
  <c r="U121" i="8" s="1"/>
  <c r="W121" i="8" s="1"/>
  <c r="Y118" i="8"/>
  <c r="T120" i="6"/>
  <c r="U120" i="6" s="1"/>
  <c r="W120" i="6" s="1"/>
  <c r="Y119" i="6"/>
  <c r="T125" i="5"/>
  <c r="U125" i="5" s="1"/>
  <c r="W125" i="5" s="1"/>
  <c r="Y124" i="5"/>
  <c r="T119" i="3"/>
  <c r="U119" i="3" s="1"/>
  <c r="W119" i="3" s="1"/>
  <c r="Y118" i="3"/>
  <c r="T122" i="8" l="1"/>
  <c r="U122" i="8" s="1"/>
  <c r="W122" i="8" s="1"/>
  <c r="Y121" i="8"/>
  <c r="T120" i="7"/>
  <c r="U120" i="7" s="1"/>
  <c r="W120" i="7" s="1"/>
  <c r="Y119" i="7"/>
  <c r="T120" i="9"/>
  <c r="U120" i="9" s="1"/>
  <c r="W120" i="9" s="1"/>
  <c r="Y119" i="9"/>
  <c r="T45" i="4"/>
  <c r="U45" i="4" s="1"/>
  <c r="W45" i="4" s="1"/>
  <c r="Y44" i="4"/>
  <c r="Y119" i="8"/>
  <c r="Y120" i="8" s="1"/>
  <c r="T121" i="6"/>
  <c r="U121" i="6" s="1"/>
  <c r="W121" i="6" s="1"/>
  <c r="Y120" i="6"/>
  <c r="T126" i="5"/>
  <c r="U126" i="5" s="1"/>
  <c r="W126" i="5" s="1"/>
  <c r="Y125" i="5"/>
  <c r="T120" i="3"/>
  <c r="U120" i="3" s="1"/>
  <c r="W120" i="3" s="1"/>
  <c r="Y119" i="3"/>
  <c r="T46" i="4" l="1"/>
  <c r="U46" i="4" s="1"/>
  <c r="W46" i="4" s="1"/>
  <c r="Y45" i="4"/>
  <c r="T121" i="9"/>
  <c r="U121" i="9" s="1"/>
  <c r="W121" i="9" s="1"/>
  <c r="Y120" i="9"/>
  <c r="T121" i="7"/>
  <c r="U121" i="7" s="1"/>
  <c r="W121" i="7" s="1"/>
  <c r="Y120" i="7"/>
  <c r="T123" i="8"/>
  <c r="U123" i="8" s="1"/>
  <c r="W123" i="8" s="1"/>
  <c r="Y122" i="8"/>
  <c r="T122" i="6"/>
  <c r="U122" i="6" s="1"/>
  <c r="W122" i="6" s="1"/>
  <c r="Y121" i="6"/>
  <c r="T127" i="5"/>
  <c r="U127" i="5" s="1"/>
  <c r="W127" i="5" s="1"/>
  <c r="T128" i="5" s="1"/>
  <c r="U128" i="5" s="1"/>
  <c r="W128" i="5" s="1"/>
  <c r="Y126" i="5"/>
  <c r="T121" i="3"/>
  <c r="U121" i="3" s="1"/>
  <c r="W121" i="3" s="1"/>
  <c r="Y120" i="3"/>
  <c r="T124" i="8" l="1"/>
  <c r="U124" i="8" s="1"/>
  <c r="W124" i="8" s="1"/>
  <c r="Y123" i="8"/>
  <c r="T122" i="7"/>
  <c r="U122" i="7" s="1"/>
  <c r="W122" i="7" s="1"/>
  <c r="Y121" i="7"/>
  <c r="T122" i="9"/>
  <c r="U122" i="9" s="1"/>
  <c r="W122" i="9" s="1"/>
  <c r="Y121" i="9"/>
  <c r="T47" i="4"/>
  <c r="U47" i="4" s="1"/>
  <c r="W47" i="4" s="1"/>
  <c r="Y46" i="4"/>
  <c r="Y127" i="5"/>
  <c r="T123" i="6"/>
  <c r="U123" i="6" s="1"/>
  <c r="W123" i="6" s="1"/>
  <c r="Y122" i="6"/>
  <c r="T129" i="5"/>
  <c r="U129" i="5" s="1"/>
  <c r="W129" i="5" s="1"/>
  <c r="Y128" i="5"/>
  <c r="T122" i="3"/>
  <c r="U122" i="3" s="1"/>
  <c r="W122" i="3" s="1"/>
  <c r="Y121" i="3"/>
  <c r="T48" i="4" l="1"/>
  <c r="U48" i="4" s="1"/>
  <c r="W48" i="4" s="1"/>
  <c r="Y47" i="4"/>
  <c r="T123" i="9"/>
  <c r="U123" i="9" s="1"/>
  <c r="W123" i="9" s="1"/>
  <c r="Y122" i="9"/>
  <c r="T123" i="7"/>
  <c r="U123" i="7" s="1"/>
  <c r="W123" i="7" s="1"/>
  <c r="Y122" i="7"/>
  <c r="T125" i="8"/>
  <c r="U125" i="8" s="1"/>
  <c r="W125" i="8" s="1"/>
  <c r="Y124" i="8"/>
  <c r="T124" i="6"/>
  <c r="U124" i="6" s="1"/>
  <c r="W124" i="6" s="1"/>
  <c r="Y123" i="6"/>
  <c r="T130" i="5"/>
  <c r="U130" i="5" s="1"/>
  <c r="W130" i="5" s="1"/>
  <c r="Y129" i="5"/>
  <c r="T123" i="3"/>
  <c r="U123" i="3" s="1"/>
  <c r="W123" i="3" s="1"/>
  <c r="Y122" i="3"/>
  <c r="T126" i="8" l="1"/>
  <c r="U126" i="8" s="1"/>
  <c r="W126" i="8" s="1"/>
  <c r="Y125" i="8"/>
  <c r="T124" i="7"/>
  <c r="U124" i="7" s="1"/>
  <c r="W124" i="7" s="1"/>
  <c r="Y123" i="7"/>
  <c r="T124" i="9"/>
  <c r="U124" i="9" s="1"/>
  <c r="W124" i="9" s="1"/>
  <c r="Y123" i="9"/>
  <c r="T49" i="4"/>
  <c r="U49" i="4" s="1"/>
  <c r="W49" i="4" s="1"/>
  <c r="Y48" i="4"/>
  <c r="T125" i="6"/>
  <c r="U125" i="6" s="1"/>
  <c r="W125" i="6" s="1"/>
  <c r="Y124" i="6"/>
  <c r="T131" i="5"/>
  <c r="U131" i="5" s="1"/>
  <c r="W131" i="5" s="1"/>
  <c r="T132" i="5" s="1"/>
  <c r="U132" i="5" s="1"/>
  <c r="W132" i="5" s="1"/>
  <c r="T133" i="5" s="1"/>
  <c r="U133" i="5" s="1"/>
  <c r="W133" i="5" s="1"/>
  <c r="T134" i="5" s="1"/>
  <c r="U134" i="5" s="1"/>
  <c r="W134" i="5" s="1"/>
  <c r="T135" i="5" s="1"/>
  <c r="U135" i="5" s="1"/>
  <c r="W135" i="5" s="1"/>
  <c r="T136" i="5" s="1"/>
  <c r="U136" i="5" s="1"/>
  <c r="W136" i="5" s="1"/>
  <c r="T137" i="5" s="1"/>
  <c r="U137" i="5" s="1"/>
  <c r="W137" i="5" s="1"/>
  <c r="Y130" i="5"/>
  <c r="T124" i="3"/>
  <c r="U124" i="3" s="1"/>
  <c r="W124" i="3" s="1"/>
  <c r="Y123" i="3"/>
  <c r="Y131" i="5" l="1"/>
  <c r="Y132" i="5" s="1"/>
  <c r="Y133" i="5" s="1"/>
  <c r="T50" i="4"/>
  <c r="U50" i="4" s="1"/>
  <c r="W50" i="4" s="1"/>
  <c r="Y49" i="4"/>
  <c r="T125" i="9"/>
  <c r="U125" i="9" s="1"/>
  <c r="W125" i="9" s="1"/>
  <c r="Y124" i="9"/>
  <c r="T125" i="7"/>
  <c r="U125" i="7" s="1"/>
  <c r="W125" i="7" s="1"/>
  <c r="Y124" i="7"/>
  <c r="T127" i="8"/>
  <c r="U127" i="8" s="1"/>
  <c r="W127" i="8" s="1"/>
  <c r="Y126" i="8"/>
  <c r="T126" i="6"/>
  <c r="U126" i="6" s="1"/>
  <c r="W126" i="6" s="1"/>
  <c r="Y125" i="6"/>
  <c r="Y134" i="5"/>
  <c r="Y135" i="5" s="1"/>
  <c r="Y136" i="5" s="1"/>
  <c r="T138" i="5"/>
  <c r="U138" i="5" s="1"/>
  <c r="W138" i="5" s="1"/>
  <c r="Y137" i="5"/>
  <c r="T125" i="3"/>
  <c r="U125" i="3" s="1"/>
  <c r="W125" i="3" s="1"/>
  <c r="Y124" i="3"/>
  <c r="T128" i="8" l="1"/>
  <c r="U128" i="8" s="1"/>
  <c r="W128" i="8" s="1"/>
  <c r="Y127" i="8"/>
  <c r="T126" i="7"/>
  <c r="U126" i="7" s="1"/>
  <c r="W126" i="7" s="1"/>
  <c r="Y125" i="7"/>
  <c r="T126" i="9"/>
  <c r="U126" i="9" s="1"/>
  <c r="W126" i="9" s="1"/>
  <c r="Y125" i="9"/>
  <c r="T51" i="4"/>
  <c r="U51" i="4" s="1"/>
  <c r="W51" i="4" s="1"/>
  <c r="Y50" i="4"/>
  <c r="T127" i="6"/>
  <c r="U127" i="6" s="1"/>
  <c r="W127" i="6" s="1"/>
  <c r="Y126" i="6"/>
  <c r="T139" i="5"/>
  <c r="U139" i="5" s="1"/>
  <c r="W139" i="5" s="1"/>
  <c r="T140" i="5" s="1"/>
  <c r="U140" i="5" s="1"/>
  <c r="W140" i="5" s="1"/>
  <c r="T141" i="5" s="1"/>
  <c r="U141" i="5" s="1"/>
  <c r="W141" i="5" s="1"/>
  <c r="T142" i="5" s="1"/>
  <c r="U142" i="5" s="1"/>
  <c r="W142" i="5" s="1"/>
  <c r="T143" i="5" s="1"/>
  <c r="U143" i="5" s="1"/>
  <c r="W143" i="5" s="1"/>
  <c r="Y138" i="5"/>
  <c r="T126" i="3"/>
  <c r="U126" i="3" s="1"/>
  <c r="W126" i="3" s="1"/>
  <c r="T127" i="3" s="1"/>
  <c r="U127" i="3" s="1"/>
  <c r="W127" i="3" s="1"/>
  <c r="Y125" i="3"/>
  <c r="Y126" i="3" l="1"/>
  <c r="Y139" i="5"/>
  <c r="Y140" i="5" s="1"/>
  <c r="Y141" i="5" s="1"/>
  <c r="Y142" i="5" s="1"/>
  <c r="T52" i="4"/>
  <c r="U52" i="4" s="1"/>
  <c r="W52" i="4" s="1"/>
  <c r="Y51" i="4"/>
  <c r="T127" i="9"/>
  <c r="U127" i="9" s="1"/>
  <c r="W127" i="9" s="1"/>
  <c r="Y126" i="9"/>
  <c r="T127" i="7"/>
  <c r="U127" i="7" s="1"/>
  <c r="W127" i="7" s="1"/>
  <c r="Y126" i="7"/>
  <c r="T129" i="8"/>
  <c r="U129" i="8" s="1"/>
  <c r="W129" i="8" s="1"/>
  <c r="Y128" i="8"/>
  <c r="T128" i="6"/>
  <c r="U128" i="6" s="1"/>
  <c r="W128" i="6" s="1"/>
  <c r="Y127" i="6"/>
  <c r="T144" i="5"/>
  <c r="U144" i="5" s="1"/>
  <c r="W144" i="5" s="1"/>
  <c r="Y143" i="5"/>
  <c r="T128" i="3"/>
  <c r="U128" i="3" s="1"/>
  <c r="W128" i="3" s="1"/>
  <c r="Y127" i="3"/>
  <c r="T130" i="8" l="1"/>
  <c r="U130" i="8" s="1"/>
  <c r="W130" i="8" s="1"/>
  <c r="Y129" i="8"/>
  <c r="T128" i="7"/>
  <c r="U128" i="7" s="1"/>
  <c r="W128" i="7" s="1"/>
  <c r="Y127" i="7"/>
  <c r="T128" i="9"/>
  <c r="U128" i="9" s="1"/>
  <c r="W128" i="9" s="1"/>
  <c r="Y127" i="9"/>
  <c r="T53" i="4"/>
  <c r="U53" i="4" s="1"/>
  <c r="W53" i="4" s="1"/>
  <c r="Y52" i="4"/>
  <c r="T129" i="6"/>
  <c r="U129" i="6" s="1"/>
  <c r="W129" i="6" s="1"/>
  <c r="Y128" i="6"/>
  <c r="T145" i="5"/>
  <c r="U145" i="5" s="1"/>
  <c r="W145" i="5" s="1"/>
  <c r="T146" i="5" s="1"/>
  <c r="U146" i="5" s="1"/>
  <c r="W146" i="5" s="1"/>
  <c r="Y144" i="5"/>
  <c r="T129" i="3"/>
  <c r="U129" i="3" s="1"/>
  <c r="W129" i="3" s="1"/>
  <c r="Y128" i="3"/>
  <c r="Y145" i="5" l="1"/>
  <c r="T54" i="4"/>
  <c r="U54" i="4" s="1"/>
  <c r="W54" i="4" s="1"/>
  <c r="Y53" i="4"/>
  <c r="T129" i="9"/>
  <c r="U129" i="9" s="1"/>
  <c r="W129" i="9" s="1"/>
  <c r="Y128" i="9"/>
  <c r="T129" i="7"/>
  <c r="U129" i="7" s="1"/>
  <c r="W129" i="7" s="1"/>
  <c r="Y128" i="7"/>
  <c r="T131" i="8"/>
  <c r="U131" i="8" s="1"/>
  <c r="W131" i="8" s="1"/>
  <c r="Y130" i="8"/>
  <c r="T130" i="6"/>
  <c r="U130" i="6" s="1"/>
  <c r="W130" i="6" s="1"/>
  <c r="Y129" i="6"/>
  <c r="T147" i="5"/>
  <c r="U147" i="5" s="1"/>
  <c r="W147" i="5" s="1"/>
  <c r="Y146" i="5"/>
  <c r="T130" i="3"/>
  <c r="U130" i="3" s="1"/>
  <c r="W130" i="3" s="1"/>
  <c r="Y129" i="3"/>
  <c r="T132" i="8" l="1"/>
  <c r="U132" i="8" s="1"/>
  <c r="W132" i="8" s="1"/>
  <c r="Y131" i="8"/>
  <c r="T130" i="7"/>
  <c r="U130" i="7" s="1"/>
  <c r="W130" i="7" s="1"/>
  <c r="Y129" i="7"/>
  <c r="T130" i="9"/>
  <c r="U130" i="9" s="1"/>
  <c r="W130" i="9" s="1"/>
  <c r="Y129" i="9"/>
  <c r="T55" i="4"/>
  <c r="U55" i="4" s="1"/>
  <c r="W55" i="4" s="1"/>
  <c r="Y54" i="4"/>
  <c r="T131" i="6"/>
  <c r="U131" i="6" s="1"/>
  <c r="W131" i="6" s="1"/>
  <c r="Y130" i="6"/>
  <c r="T148" i="5"/>
  <c r="U148" i="5" s="1"/>
  <c r="W148" i="5" s="1"/>
  <c r="Y147" i="5"/>
  <c r="T131" i="3"/>
  <c r="U131" i="3" s="1"/>
  <c r="W131" i="3" s="1"/>
  <c r="Y130" i="3"/>
  <c r="T56" i="4" l="1"/>
  <c r="U56" i="4" s="1"/>
  <c r="W56" i="4" s="1"/>
  <c r="Y55" i="4"/>
  <c r="T131" i="9"/>
  <c r="U131" i="9" s="1"/>
  <c r="W131" i="9" s="1"/>
  <c r="Y130" i="9"/>
  <c r="T131" i="7"/>
  <c r="U131" i="7" s="1"/>
  <c r="W131" i="7" s="1"/>
  <c r="Y130" i="7"/>
  <c r="T133" i="8"/>
  <c r="U133" i="8" s="1"/>
  <c r="W133" i="8" s="1"/>
  <c r="T134" i="8" s="1"/>
  <c r="U134" i="8" s="1"/>
  <c r="W134" i="8" s="1"/>
  <c r="Y132" i="8"/>
  <c r="T132" i="6"/>
  <c r="U132" i="6" s="1"/>
  <c r="W132" i="6" s="1"/>
  <c r="Y131" i="6"/>
  <c r="T149" i="5"/>
  <c r="U149" i="5" s="1"/>
  <c r="W149" i="5" s="1"/>
  <c r="Y148" i="5"/>
  <c r="T132" i="3"/>
  <c r="U132" i="3" s="1"/>
  <c r="W132" i="3" s="1"/>
  <c r="Y131" i="3"/>
  <c r="T135" i="8" l="1"/>
  <c r="U135" i="8" s="1"/>
  <c r="W135" i="8" s="1"/>
  <c r="T136" i="8" s="1"/>
  <c r="U136" i="8" s="1"/>
  <c r="W136" i="8" s="1"/>
  <c r="Y134" i="8"/>
  <c r="T132" i="7"/>
  <c r="U132" i="7" s="1"/>
  <c r="W132" i="7" s="1"/>
  <c r="Y131" i="7"/>
  <c r="T132" i="9"/>
  <c r="U132" i="9" s="1"/>
  <c r="W132" i="9" s="1"/>
  <c r="Y131" i="9"/>
  <c r="T57" i="4"/>
  <c r="U57" i="4" s="1"/>
  <c r="W57" i="4" s="1"/>
  <c r="Y56" i="4"/>
  <c r="Y133" i="8"/>
  <c r="T133" i="6"/>
  <c r="U133" i="6" s="1"/>
  <c r="W133" i="6" s="1"/>
  <c r="Y132" i="6"/>
  <c r="T150" i="5"/>
  <c r="U150" i="5" s="1"/>
  <c r="W150" i="5" s="1"/>
  <c r="Y149" i="5"/>
  <c r="T133" i="3"/>
  <c r="U133" i="3" s="1"/>
  <c r="W133" i="3" s="1"/>
  <c r="Y132" i="3"/>
  <c r="Y135" i="8" l="1"/>
  <c r="T58" i="4"/>
  <c r="U58" i="4" s="1"/>
  <c r="W58" i="4" s="1"/>
  <c r="Y57" i="4"/>
  <c r="T133" i="9"/>
  <c r="U133" i="9" s="1"/>
  <c r="W133" i="9" s="1"/>
  <c r="Y132" i="9"/>
  <c r="T133" i="7"/>
  <c r="U133" i="7" s="1"/>
  <c r="W133" i="7" s="1"/>
  <c r="Y132" i="7"/>
  <c r="T137" i="8"/>
  <c r="U137" i="8" s="1"/>
  <c r="W137" i="8" s="1"/>
  <c r="Y136" i="8"/>
  <c r="T134" i="6"/>
  <c r="U134" i="6" s="1"/>
  <c r="W134" i="6" s="1"/>
  <c r="Y133" i="6"/>
  <c r="T151" i="5"/>
  <c r="U151" i="5" s="1"/>
  <c r="W151" i="5" s="1"/>
  <c r="T152" i="5" s="1"/>
  <c r="U152" i="5" s="1"/>
  <c r="W152" i="5" s="1"/>
  <c r="T153" i="5" s="1"/>
  <c r="U153" i="5" s="1"/>
  <c r="W153" i="5" s="1"/>
  <c r="Y150" i="5"/>
  <c r="T134" i="3"/>
  <c r="U134" i="3" s="1"/>
  <c r="W134" i="3" s="1"/>
  <c r="Y133" i="3"/>
  <c r="T138" i="8" l="1"/>
  <c r="U138" i="8" s="1"/>
  <c r="W138" i="8" s="1"/>
  <c r="Y137" i="8"/>
  <c r="T134" i="7"/>
  <c r="U134" i="7" s="1"/>
  <c r="W134" i="7" s="1"/>
  <c r="Y133" i="7"/>
  <c r="T134" i="9"/>
  <c r="U134" i="9" s="1"/>
  <c r="W134" i="9" s="1"/>
  <c r="Y133" i="9"/>
  <c r="T59" i="4"/>
  <c r="U59" i="4" s="1"/>
  <c r="W59" i="4" s="1"/>
  <c r="Y58" i="4"/>
  <c r="Y151" i="5"/>
  <c r="Y152" i="5" s="1"/>
  <c r="T135" i="6"/>
  <c r="U135" i="6" s="1"/>
  <c r="W135" i="6" s="1"/>
  <c r="Y134" i="6"/>
  <c r="T154" i="5"/>
  <c r="U154" i="5" s="1"/>
  <c r="W154" i="5" s="1"/>
  <c r="Y153" i="5"/>
  <c r="T135" i="3"/>
  <c r="U135" i="3" s="1"/>
  <c r="W135" i="3" s="1"/>
  <c r="Y134" i="3"/>
  <c r="T60" i="4" l="1"/>
  <c r="U60" i="4" s="1"/>
  <c r="W60" i="4" s="1"/>
  <c r="Y59" i="4"/>
  <c r="T135" i="9"/>
  <c r="U135" i="9" s="1"/>
  <c r="W135" i="9" s="1"/>
  <c r="Y134" i="9"/>
  <c r="T135" i="7"/>
  <c r="U135" i="7" s="1"/>
  <c r="W135" i="7" s="1"/>
  <c r="Y134" i="7"/>
  <c r="T139" i="8"/>
  <c r="U139" i="8" s="1"/>
  <c r="W139" i="8" s="1"/>
  <c r="Y138" i="8"/>
  <c r="T136" i="6"/>
  <c r="U136" i="6" s="1"/>
  <c r="W136" i="6" s="1"/>
  <c r="Y135" i="6"/>
  <c r="T155" i="5"/>
  <c r="U155" i="5" s="1"/>
  <c r="W155" i="5" s="1"/>
  <c r="Y154" i="5"/>
  <c r="T136" i="3"/>
  <c r="U136" i="3" s="1"/>
  <c r="W136" i="3" s="1"/>
  <c r="Y135" i="3"/>
  <c r="T140" i="8" l="1"/>
  <c r="U140" i="8" s="1"/>
  <c r="W140" i="8" s="1"/>
  <c r="Y139" i="8"/>
  <c r="T136" i="7"/>
  <c r="U136" i="7" s="1"/>
  <c r="W136" i="7" s="1"/>
  <c r="Y135" i="7"/>
  <c r="T136" i="9"/>
  <c r="U136" i="9" s="1"/>
  <c r="W136" i="9" s="1"/>
  <c r="Y135" i="9"/>
  <c r="T61" i="4"/>
  <c r="U61" i="4" s="1"/>
  <c r="W61" i="4" s="1"/>
  <c r="Y60" i="4"/>
  <c r="T137" i="6"/>
  <c r="U137" i="6" s="1"/>
  <c r="W137" i="6" s="1"/>
  <c r="Y136" i="6"/>
  <c r="T156" i="5"/>
  <c r="U156" i="5" s="1"/>
  <c r="W156" i="5" s="1"/>
  <c r="Y155" i="5"/>
  <c r="T137" i="3"/>
  <c r="U137" i="3" s="1"/>
  <c r="W137" i="3" s="1"/>
  <c r="Y136" i="3"/>
  <c r="T62" i="4" l="1"/>
  <c r="U62" i="4" s="1"/>
  <c r="W62" i="4" s="1"/>
  <c r="Y61" i="4"/>
  <c r="T137" i="9"/>
  <c r="U137" i="9" s="1"/>
  <c r="W137" i="9" s="1"/>
  <c r="Y136" i="9"/>
  <c r="T137" i="7"/>
  <c r="U137" i="7" s="1"/>
  <c r="W137" i="7" s="1"/>
  <c r="Y136" i="7"/>
  <c r="T141" i="8"/>
  <c r="U141" i="8" s="1"/>
  <c r="W141" i="8" s="1"/>
  <c r="Y140" i="8"/>
  <c r="T138" i="6"/>
  <c r="U138" i="6" s="1"/>
  <c r="W138" i="6" s="1"/>
  <c r="Y137" i="6"/>
  <c r="T157" i="5"/>
  <c r="U157" i="5" s="1"/>
  <c r="W157" i="5" s="1"/>
  <c r="Y156" i="5"/>
  <c r="T138" i="3"/>
  <c r="U138" i="3" s="1"/>
  <c r="W138" i="3" s="1"/>
  <c r="Y137" i="3"/>
  <c r="T142" i="8" l="1"/>
  <c r="U142" i="8" s="1"/>
  <c r="W142" i="8" s="1"/>
  <c r="Y141" i="8"/>
  <c r="T138" i="7"/>
  <c r="U138" i="7" s="1"/>
  <c r="W138" i="7" s="1"/>
  <c r="Y137" i="7"/>
  <c r="T138" i="9"/>
  <c r="U138" i="9" s="1"/>
  <c r="W138" i="9" s="1"/>
  <c r="Y137" i="9"/>
  <c r="T63" i="4"/>
  <c r="U63" i="4" s="1"/>
  <c r="W63" i="4" s="1"/>
  <c r="Y62" i="4"/>
  <c r="T139" i="6"/>
  <c r="U139" i="6" s="1"/>
  <c r="W139" i="6" s="1"/>
  <c r="Y138" i="6"/>
  <c r="T158" i="5"/>
  <c r="U158" i="5" s="1"/>
  <c r="W158" i="5" s="1"/>
  <c r="Y157" i="5"/>
  <c r="T139" i="3"/>
  <c r="U139" i="3" s="1"/>
  <c r="W139" i="3" s="1"/>
  <c r="Y138" i="3"/>
  <c r="T64" i="4" l="1"/>
  <c r="U64" i="4" s="1"/>
  <c r="W64" i="4" s="1"/>
  <c r="Y63" i="4"/>
  <c r="T139" i="9"/>
  <c r="U139" i="9" s="1"/>
  <c r="W139" i="9" s="1"/>
  <c r="Y138" i="9"/>
  <c r="T139" i="7"/>
  <c r="U139" i="7" s="1"/>
  <c r="W139" i="7" s="1"/>
  <c r="Y138" i="7"/>
  <c r="T143" i="8"/>
  <c r="U143" i="8" s="1"/>
  <c r="W143" i="8" s="1"/>
  <c r="Y142" i="8"/>
  <c r="T140" i="6"/>
  <c r="U140" i="6" s="1"/>
  <c r="W140" i="6" s="1"/>
  <c r="Y139" i="6"/>
  <c r="Y158" i="5"/>
  <c r="T159" i="5"/>
  <c r="U159" i="5" s="1"/>
  <c r="W159" i="5" s="1"/>
  <c r="T140" i="3"/>
  <c r="U140" i="3" s="1"/>
  <c r="W140" i="3" s="1"/>
  <c r="Y139" i="3"/>
  <c r="T144" i="8" l="1"/>
  <c r="U144" i="8" s="1"/>
  <c r="W144" i="8" s="1"/>
  <c r="Y143" i="8"/>
  <c r="T140" i="7"/>
  <c r="U140" i="7" s="1"/>
  <c r="W140" i="7" s="1"/>
  <c r="Y139" i="7"/>
  <c r="T140" i="9"/>
  <c r="U140" i="9" s="1"/>
  <c r="W140" i="9" s="1"/>
  <c r="Y139" i="9"/>
  <c r="T65" i="4"/>
  <c r="U65" i="4" s="1"/>
  <c r="W65" i="4" s="1"/>
  <c r="Y64" i="4"/>
  <c r="T141" i="6"/>
  <c r="U141" i="6" s="1"/>
  <c r="W141" i="6" s="1"/>
  <c r="Y140" i="6"/>
  <c r="T160" i="5"/>
  <c r="U160" i="5" s="1"/>
  <c r="W160" i="5" s="1"/>
  <c r="Y159" i="5"/>
  <c r="T141" i="3"/>
  <c r="U141" i="3" s="1"/>
  <c r="W141" i="3" s="1"/>
  <c r="Y140" i="3"/>
  <c r="T66" i="4" l="1"/>
  <c r="U66" i="4" s="1"/>
  <c r="W66" i="4" s="1"/>
  <c r="Y65" i="4"/>
  <c r="T141" i="9"/>
  <c r="U141" i="9" s="1"/>
  <c r="W141" i="9" s="1"/>
  <c r="Y140" i="9"/>
  <c r="T141" i="7"/>
  <c r="U141" i="7" s="1"/>
  <c r="W141" i="7" s="1"/>
  <c r="Y140" i="7"/>
  <c r="T145" i="8"/>
  <c r="U145" i="8" s="1"/>
  <c r="W145" i="8" s="1"/>
  <c r="Y144" i="8"/>
  <c r="T142" i="6"/>
  <c r="U142" i="6" s="1"/>
  <c r="W142" i="6" s="1"/>
  <c r="Y141" i="6"/>
  <c r="Y160" i="5"/>
  <c r="T161" i="5"/>
  <c r="U161" i="5" s="1"/>
  <c r="W161" i="5" s="1"/>
  <c r="T142" i="3"/>
  <c r="U142" i="3" s="1"/>
  <c r="W142" i="3" s="1"/>
  <c r="Y141" i="3"/>
  <c r="T146" i="8" l="1"/>
  <c r="U146" i="8" s="1"/>
  <c r="W146" i="8" s="1"/>
  <c r="Y145" i="8"/>
  <c r="T142" i="7"/>
  <c r="U142" i="7" s="1"/>
  <c r="W142" i="7" s="1"/>
  <c r="Y141" i="7"/>
  <c r="T142" i="9"/>
  <c r="U142" i="9" s="1"/>
  <c r="W142" i="9" s="1"/>
  <c r="Y141" i="9"/>
  <c r="T67" i="4"/>
  <c r="U67" i="4" s="1"/>
  <c r="W67" i="4" s="1"/>
  <c r="Y66" i="4"/>
  <c r="T143" i="6"/>
  <c r="U143" i="6" s="1"/>
  <c r="W143" i="6" s="1"/>
  <c r="Y142" i="6"/>
  <c r="T162" i="5"/>
  <c r="U162" i="5" s="1"/>
  <c r="W162" i="5" s="1"/>
  <c r="Y161" i="5"/>
  <c r="T143" i="3"/>
  <c r="U143" i="3" s="1"/>
  <c r="W143" i="3" s="1"/>
  <c r="Y142" i="3"/>
  <c r="T68" i="4" l="1"/>
  <c r="U68" i="4" s="1"/>
  <c r="W68" i="4" s="1"/>
  <c r="Y67" i="4"/>
  <c r="T143" i="9"/>
  <c r="U143" i="9" s="1"/>
  <c r="W143" i="9" s="1"/>
  <c r="T144" i="9" s="1"/>
  <c r="U144" i="9" s="1"/>
  <c r="W144" i="9" s="1"/>
  <c r="Y142" i="9"/>
  <c r="T143" i="7"/>
  <c r="U143" i="7" s="1"/>
  <c r="W143" i="7" s="1"/>
  <c r="Y142" i="7"/>
  <c r="T147" i="8"/>
  <c r="U147" i="8" s="1"/>
  <c r="W147" i="8" s="1"/>
  <c r="Y146" i="8"/>
  <c r="T144" i="6"/>
  <c r="U144" i="6" s="1"/>
  <c r="W144" i="6" s="1"/>
  <c r="Y143" i="6"/>
  <c r="T163" i="5"/>
  <c r="U163" i="5" s="1"/>
  <c r="W163" i="5" s="1"/>
  <c r="T164" i="5" s="1"/>
  <c r="U164" i="5" s="1"/>
  <c r="W164" i="5" s="1"/>
  <c r="Y162" i="5"/>
  <c r="T144" i="3"/>
  <c r="U144" i="3" s="1"/>
  <c r="W144" i="3" s="1"/>
  <c r="Y143" i="3"/>
  <c r="T148" i="8" l="1"/>
  <c r="U148" i="8" s="1"/>
  <c r="W148" i="8" s="1"/>
  <c r="Y147" i="8"/>
  <c r="T144" i="7"/>
  <c r="U144" i="7" s="1"/>
  <c r="W144" i="7" s="1"/>
  <c r="Y143" i="7"/>
  <c r="T145" i="9"/>
  <c r="U145" i="9" s="1"/>
  <c r="W145" i="9" s="1"/>
  <c r="Y144" i="9"/>
  <c r="T69" i="4"/>
  <c r="U69" i="4" s="1"/>
  <c r="W69" i="4" s="1"/>
  <c r="Y68" i="4"/>
  <c r="Y163" i="5"/>
  <c r="Y143" i="9"/>
  <c r="T145" i="6"/>
  <c r="U145" i="6" s="1"/>
  <c r="W145" i="6" s="1"/>
  <c r="Y144" i="6"/>
  <c r="T165" i="5"/>
  <c r="U165" i="5" s="1"/>
  <c r="W165" i="5" s="1"/>
  <c r="Y164" i="5"/>
  <c r="T145" i="3"/>
  <c r="U145" i="3" s="1"/>
  <c r="W145" i="3" s="1"/>
  <c r="Y144" i="3"/>
  <c r="T70" i="4" l="1"/>
  <c r="U70" i="4" s="1"/>
  <c r="W70" i="4" s="1"/>
  <c r="Y69" i="4"/>
  <c r="T146" i="9"/>
  <c r="U146" i="9" s="1"/>
  <c r="W146" i="9" s="1"/>
  <c r="Y145" i="9"/>
  <c r="T145" i="7"/>
  <c r="U145" i="7" s="1"/>
  <c r="W145" i="7" s="1"/>
  <c r="Y144" i="7"/>
  <c r="T149" i="8"/>
  <c r="U149" i="8" s="1"/>
  <c r="W149" i="8" s="1"/>
  <c r="Y148" i="8"/>
  <c r="T146" i="6"/>
  <c r="U146" i="6" s="1"/>
  <c r="W146" i="6" s="1"/>
  <c r="Y145" i="6"/>
  <c r="T166" i="5"/>
  <c r="U166" i="5" s="1"/>
  <c r="W166" i="5" s="1"/>
  <c r="T167" i="5" s="1"/>
  <c r="U167" i="5" s="1"/>
  <c r="W167" i="5" s="1"/>
  <c r="T168" i="5" s="1"/>
  <c r="U168" i="5" s="1"/>
  <c r="W168" i="5" s="1"/>
  <c r="T169" i="5" s="1"/>
  <c r="U169" i="5" s="1"/>
  <c r="W169" i="5" s="1"/>
  <c r="Y165" i="5"/>
  <c r="T146" i="3"/>
  <c r="U146" i="3" s="1"/>
  <c r="W146" i="3" s="1"/>
  <c r="Y145" i="3"/>
  <c r="T150" i="8" l="1"/>
  <c r="U150" i="8" s="1"/>
  <c r="W150" i="8" s="1"/>
  <c r="Y149" i="8"/>
  <c r="T146" i="7"/>
  <c r="U146" i="7" s="1"/>
  <c r="W146" i="7" s="1"/>
  <c r="Y145" i="7"/>
  <c r="T147" i="9"/>
  <c r="U147" i="9" s="1"/>
  <c r="W147" i="9" s="1"/>
  <c r="Y146" i="9"/>
  <c r="T71" i="4"/>
  <c r="U71" i="4" s="1"/>
  <c r="W71" i="4" s="1"/>
  <c r="Y70" i="4"/>
  <c r="Y166" i="5"/>
  <c r="Y167" i="5" s="1"/>
  <c r="Y168" i="5" s="1"/>
  <c r="T147" i="6"/>
  <c r="U147" i="6" s="1"/>
  <c r="W147" i="6" s="1"/>
  <c r="Y146" i="6"/>
  <c r="T170" i="5"/>
  <c r="U170" i="5" s="1"/>
  <c r="W170" i="5" s="1"/>
  <c r="Y169" i="5"/>
  <c r="T147" i="3"/>
  <c r="U147" i="3" s="1"/>
  <c r="W147" i="3" s="1"/>
  <c r="Y146" i="3"/>
  <c r="T72" i="4" l="1"/>
  <c r="U72" i="4" s="1"/>
  <c r="W72" i="4" s="1"/>
  <c r="Y71" i="4"/>
  <c r="T148" i="9"/>
  <c r="U148" i="9" s="1"/>
  <c r="W148" i="9" s="1"/>
  <c r="Y147" i="9"/>
  <c r="T147" i="7"/>
  <c r="U147" i="7" s="1"/>
  <c r="W147" i="7" s="1"/>
  <c r="Y146" i="7"/>
  <c r="T151" i="8"/>
  <c r="U151" i="8" s="1"/>
  <c r="W151" i="8" s="1"/>
  <c r="Y150" i="8"/>
  <c r="T148" i="6"/>
  <c r="U148" i="6" s="1"/>
  <c r="W148" i="6" s="1"/>
  <c r="Y147" i="6"/>
  <c r="T171" i="5"/>
  <c r="U171" i="5" s="1"/>
  <c r="W171" i="5" s="1"/>
  <c r="Y170" i="5"/>
  <c r="T148" i="3"/>
  <c r="U148" i="3" s="1"/>
  <c r="W148" i="3" s="1"/>
  <c r="Y147" i="3"/>
  <c r="T152" i="8" l="1"/>
  <c r="U152" i="8" s="1"/>
  <c r="W152" i="8" s="1"/>
  <c r="Y151" i="8"/>
  <c r="T148" i="7"/>
  <c r="U148" i="7" s="1"/>
  <c r="W148" i="7" s="1"/>
  <c r="Y147" i="7"/>
  <c r="T149" i="9"/>
  <c r="U149" i="9" s="1"/>
  <c r="W149" i="9" s="1"/>
  <c r="Y148" i="9"/>
  <c r="T73" i="4"/>
  <c r="U73" i="4" s="1"/>
  <c r="W73" i="4" s="1"/>
  <c r="Y72" i="4"/>
  <c r="T149" i="6"/>
  <c r="U149" i="6" s="1"/>
  <c r="W149" i="6" s="1"/>
  <c r="Y148" i="6"/>
  <c r="T172" i="5"/>
  <c r="U172" i="5" s="1"/>
  <c r="W172" i="5" s="1"/>
  <c r="T173" i="5" s="1"/>
  <c r="U173" i="5" s="1"/>
  <c r="W173" i="5" s="1"/>
  <c r="T174" i="5" s="1"/>
  <c r="U174" i="5" s="1"/>
  <c r="W174" i="5" s="1"/>
  <c r="T175" i="5" s="1"/>
  <c r="U175" i="5" s="1"/>
  <c r="W175" i="5" s="1"/>
  <c r="T176" i="5" s="1"/>
  <c r="U176" i="5" s="1"/>
  <c r="W176" i="5" s="1"/>
  <c r="Y171" i="5"/>
  <c r="T149" i="3"/>
  <c r="U149" i="3" s="1"/>
  <c r="W149" i="3" s="1"/>
  <c r="Y148" i="3"/>
  <c r="T74" i="4" l="1"/>
  <c r="U74" i="4" s="1"/>
  <c r="W74" i="4" s="1"/>
  <c r="Y73" i="4"/>
  <c r="T150" i="9"/>
  <c r="U150" i="9" s="1"/>
  <c r="W150" i="9" s="1"/>
  <c r="Y149" i="9"/>
  <c r="T149" i="7"/>
  <c r="U149" i="7" s="1"/>
  <c r="W149" i="7" s="1"/>
  <c r="Y148" i="7"/>
  <c r="T153" i="8"/>
  <c r="U153" i="8" s="1"/>
  <c r="W153" i="8" s="1"/>
  <c r="Y152" i="8"/>
  <c r="U150" i="6"/>
  <c r="W150" i="6" s="1"/>
  <c r="Y149" i="6"/>
  <c r="Y172" i="5"/>
  <c r="Y173" i="5" s="1"/>
  <c r="Y174" i="5" s="1"/>
  <c r="Y175" i="5" s="1"/>
  <c r="Y176" i="5" s="1"/>
  <c r="T177" i="5"/>
  <c r="U177" i="5" s="1"/>
  <c r="W177" i="5" s="1"/>
  <c r="T150" i="3"/>
  <c r="U150" i="3" s="1"/>
  <c r="W150" i="3" s="1"/>
  <c r="Y149" i="3"/>
  <c r="T154" i="8" l="1"/>
  <c r="U154" i="8" s="1"/>
  <c r="W154" i="8" s="1"/>
  <c r="Y153" i="8"/>
  <c r="T150" i="7"/>
  <c r="U150" i="7" s="1"/>
  <c r="W150" i="7" s="1"/>
  <c r="Y149" i="7"/>
  <c r="T151" i="9"/>
  <c r="U151" i="9" s="1"/>
  <c r="W151" i="9" s="1"/>
  <c r="Y150" i="9"/>
  <c r="T75" i="4"/>
  <c r="U75" i="4" s="1"/>
  <c r="W75" i="4" s="1"/>
  <c r="Y74" i="4"/>
  <c r="U151" i="6"/>
  <c r="W151" i="6" s="1"/>
  <c r="Y150" i="6"/>
  <c r="T178" i="5"/>
  <c r="U178" i="5" s="1"/>
  <c r="W178" i="5" s="1"/>
  <c r="Y177" i="5"/>
  <c r="T151" i="3"/>
  <c r="U151" i="3" s="1"/>
  <c r="W151" i="3" s="1"/>
  <c r="Y150" i="3"/>
  <c r="Y178" i="5" l="1"/>
  <c r="T76" i="4"/>
  <c r="U76" i="4" s="1"/>
  <c r="W76" i="4" s="1"/>
  <c r="Y75" i="4"/>
  <c r="T152" i="9"/>
  <c r="U152" i="9" s="1"/>
  <c r="W152" i="9" s="1"/>
  <c r="Y151" i="9"/>
  <c r="T151" i="7"/>
  <c r="U151" i="7" s="1"/>
  <c r="W151" i="7" s="1"/>
  <c r="Y150" i="7"/>
  <c r="T155" i="8"/>
  <c r="U155" i="8" s="1"/>
  <c r="W155" i="8" s="1"/>
  <c r="Y154" i="8"/>
  <c r="T152" i="6"/>
  <c r="U152" i="6" s="1"/>
  <c r="W152" i="6" s="1"/>
  <c r="Y151" i="6"/>
  <c r="T179" i="5"/>
  <c r="U179" i="5" s="1"/>
  <c r="W179" i="5" s="1"/>
  <c r="T152" i="3"/>
  <c r="U152" i="3" s="1"/>
  <c r="W152" i="3" s="1"/>
  <c r="Y151" i="3"/>
  <c r="T156" i="8" l="1"/>
  <c r="U156" i="8" s="1"/>
  <c r="W156" i="8" s="1"/>
  <c r="Y155" i="8"/>
  <c r="T152" i="7"/>
  <c r="U152" i="7" s="1"/>
  <c r="W152" i="7" s="1"/>
  <c r="Y151" i="7"/>
  <c r="T153" i="9"/>
  <c r="U153" i="9" s="1"/>
  <c r="W153" i="9" s="1"/>
  <c r="Y152" i="9"/>
  <c r="T77" i="4"/>
  <c r="U77" i="4" s="1"/>
  <c r="W77" i="4" s="1"/>
  <c r="Y76" i="4"/>
  <c r="T153" i="6"/>
  <c r="U153" i="6" s="1"/>
  <c r="W153" i="6" s="1"/>
  <c r="Y152" i="6"/>
  <c r="Y179" i="5"/>
  <c r="T180" i="5"/>
  <c r="U180" i="5" s="1"/>
  <c r="W180" i="5" s="1"/>
  <c r="T153" i="3"/>
  <c r="U153" i="3" s="1"/>
  <c r="W153" i="3" s="1"/>
  <c r="Y152" i="3"/>
  <c r="T78" i="4" l="1"/>
  <c r="U78" i="4" s="1"/>
  <c r="W78" i="4" s="1"/>
  <c r="Y77" i="4"/>
  <c r="T154" i="9"/>
  <c r="U154" i="9" s="1"/>
  <c r="W154" i="9" s="1"/>
  <c r="Y153" i="9"/>
  <c r="T153" i="7"/>
  <c r="U153" i="7" s="1"/>
  <c r="W153" i="7" s="1"/>
  <c r="Y152" i="7"/>
  <c r="T157" i="8"/>
  <c r="U157" i="8" s="1"/>
  <c r="W157" i="8" s="1"/>
  <c r="T158" i="8" s="1"/>
  <c r="U158" i="8" s="1"/>
  <c r="W158" i="8" s="1"/>
  <c r="Y156" i="8"/>
  <c r="T154" i="6"/>
  <c r="U154" i="6" s="1"/>
  <c r="W154" i="6" s="1"/>
  <c r="Y153" i="6"/>
  <c r="T181" i="5"/>
  <c r="U181" i="5" s="1"/>
  <c r="W181" i="5" s="1"/>
  <c r="Y180" i="5"/>
  <c r="T154" i="3"/>
  <c r="U154" i="3" s="1"/>
  <c r="W154" i="3" s="1"/>
  <c r="Y153" i="3"/>
  <c r="T159" i="8" l="1"/>
  <c r="U159" i="8" s="1"/>
  <c r="W159" i="8" s="1"/>
  <c r="Y158" i="8"/>
  <c r="T154" i="7"/>
  <c r="U154" i="7" s="1"/>
  <c r="W154" i="7" s="1"/>
  <c r="Y153" i="7"/>
  <c r="T155" i="9"/>
  <c r="U155" i="9" s="1"/>
  <c r="W155" i="9" s="1"/>
  <c r="T156" i="9" s="1"/>
  <c r="U156" i="9" s="1"/>
  <c r="W156" i="9" s="1"/>
  <c r="Y154" i="9"/>
  <c r="T79" i="4"/>
  <c r="U79" i="4" s="1"/>
  <c r="W79" i="4" s="1"/>
  <c r="Y78" i="4"/>
  <c r="Y157" i="8"/>
  <c r="T155" i="6"/>
  <c r="U155" i="6" s="1"/>
  <c r="W155" i="6" s="1"/>
  <c r="Y154" i="6"/>
  <c r="Y181" i="5"/>
  <c r="T182" i="5"/>
  <c r="U182" i="5" s="1"/>
  <c r="W182" i="5" s="1"/>
  <c r="T155" i="3"/>
  <c r="U155" i="3" s="1"/>
  <c r="W155" i="3" s="1"/>
  <c r="Y154" i="3"/>
  <c r="Y155" i="9" l="1"/>
  <c r="T80" i="4"/>
  <c r="U80" i="4" s="1"/>
  <c r="W80" i="4" s="1"/>
  <c r="Y79" i="4"/>
  <c r="T157" i="9"/>
  <c r="U157" i="9" s="1"/>
  <c r="W157" i="9" s="1"/>
  <c r="T158" i="9" s="1"/>
  <c r="U158" i="9" s="1"/>
  <c r="W158" i="9" s="1"/>
  <c r="Y156" i="9"/>
  <c r="T155" i="7"/>
  <c r="U155" i="7" s="1"/>
  <c r="W155" i="7" s="1"/>
  <c r="Y154" i="7"/>
  <c r="T160" i="8"/>
  <c r="U160" i="8" s="1"/>
  <c r="W160" i="8" s="1"/>
  <c r="Y159" i="8"/>
  <c r="T156" i="6"/>
  <c r="U156" i="6" s="1"/>
  <c r="W156" i="6" s="1"/>
  <c r="Y155" i="6"/>
  <c r="Y182" i="5"/>
  <c r="T183" i="5"/>
  <c r="U183" i="5" s="1"/>
  <c r="W183" i="5" s="1"/>
  <c r="T156" i="3"/>
  <c r="U156" i="3" s="1"/>
  <c r="W156" i="3" s="1"/>
  <c r="Y155" i="3"/>
  <c r="T161" i="8" l="1"/>
  <c r="U161" i="8" s="1"/>
  <c r="W161" i="8" s="1"/>
  <c r="T162" i="8" s="1"/>
  <c r="U162" i="8" s="1"/>
  <c r="W162" i="8" s="1"/>
  <c r="T163" i="8" s="1"/>
  <c r="U163" i="8" s="1"/>
  <c r="W163" i="8" s="1"/>
  <c r="Y160" i="8"/>
  <c r="T156" i="7"/>
  <c r="U156" i="7" s="1"/>
  <c r="W156" i="7" s="1"/>
  <c r="Y155" i="7"/>
  <c r="T159" i="9"/>
  <c r="U159" i="9" s="1"/>
  <c r="W159" i="9" s="1"/>
  <c r="Y158" i="9"/>
  <c r="T81" i="4"/>
  <c r="U81" i="4" s="1"/>
  <c r="W81" i="4" s="1"/>
  <c r="Y80" i="4"/>
  <c r="Y157" i="9"/>
  <c r="T157" i="6"/>
  <c r="U157" i="6" s="1"/>
  <c r="W157" i="6" s="1"/>
  <c r="Y156" i="6"/>
  <c r="T184" i="5"/>
  <c r="U184" i="5" s="1"/>
  <c r="W184" i="5" s="1"/>
  <c r="T157" i="3"/>
  <c r="U157" i="3" s="1"/>
  <c r="W157" i="3" s="1"/>
  <c r="Y156" i="3"/>
  <c r="Y161" i="8" l="1"/>
  <c r="Y162" i="8" s="1"/>
  <c r="T82" i="4"/>
  <c r="U82" i="4" s="1"/>
  <c r="W82" i="4" s="1"/>
  <c r="Y81" i="4"/>
  <c r="T160" i="9"/>
  <c r="U160" i="9" s="1"/>
  <c r="W160" i="9" s="1"/>
  <c r="Y159" i="9"/>
  <c r="T157" i="7"/>
  <c r="U157" i="7" s="1"/>
  <c r="W157" i="7" s="1"/>
  <c r="Y156" i="7"/>
  <c r="T164" i="8"/>
  <c r="U164" i="8" s="1"/>
  <c r="W164" i="8" s="1"/>
  <c r="Y163" i="8"/>
  <c r="T158" i="6"/>
  <c r="U158" i="6" s="1"/>
  <c r="W158" i="6" s="1"/>
  <c r="Y157" i="6"/>
  <c r="T185" i="5"/>
  <c r="U185" i="5" s="1"/>
  <c r="W185" i="5" s="1"/>
  <c r="T158" i="3"/>
  <c r="U158" i="3" s="1"/>
  <c r="W158" i="3" s="1"/>
  <c r="Y157" i="3"/>
  <c r="T165" i="8" l="1"/>
  <c r="U165" i="8" s="1"/>
  <c r="W165" i="8" s="1"/>
  <c r="Y164" i="8"/>
  <c r="T158" i="7"/>
  <c r="U158" i="7" s="1"/>
  <c r="W158" i="7" s="1"/>
  <c r="Y157" i="7"/>
  <c r="T161" i="9"/>
  <c r="U161" i="9" s="1"/>
  <c r="W161" i="9" s="1"/>
  <c r="Y160" i="9"/>
  <c r="T83" i="4"/>
  <c r="U83" i="4" s="1"/>
  <c r="W83" i="4" s="1"/>
  <c r="Y82" i="4"/>
  <c r="T159" i="6"/>
  <c r="U159" i="6" s="1"/>
  <c r="W159" i="6" s="1"/>
  <c r="Y158" i="6"/>
  <c r="T186" i="5"/>
  <c r="U186" i="5" s="1"/>
  <c r="W186" i="5" s="1"/>
  <c r="T159" i="3"/>
  <c r="U159" i="3" s="1"/>
  <c r="W159" i="3" s="1"/>
  <c r="Y158" i="3"/>
  <c r="T84" i="4" l="1"/>
  <c r="U84" i="4" s="1"/>
  <c r="W84" i="4" s="1"/>
  <c r="Y83" i="4"/>
  <c r="T162" i="9"/>
  <c r="U162" i="9" s="1"/>
  <c r="W162" i="9" s="1"/>
  <c r="Y161" i="9"/>
  <c r="T159" i="7"/>
  <c r="U159" i="7" s="1"/>
  <c r="W159" i="7" s="1"/>
  <c r="Y158" i="7"/>
  <c r="T166" i="8"/>
  <c r="U166" i="8" s="1"/>
  <c r="W166" i="8" s="1"/>
  <c r="Y165" i="8"/>
  <c r="T187" i="5"/>
  <c r="U187" i="5" s="1"/>
  <c r="W187" i="5" s="1"/>
  <c r="T160" i="6"/>
  <c r="U160" i="6" s="1"/>
  <c r="W160" i="6" s="1"/>
  <c r="Y159" i="6"/>
  <c r="T160" i="3"/>
  <c r="U160" i="3" s="1"/>
  <c r="W160" i="3" s="1"/>
  <c r="Y159" i="3"/>
  <c r="T167" i="8" l="1"/>
  <c r="U167" i="8" s="1"/>
  <c r="W167" i="8" s="1"/>
  <c r="T168" i="8" s="1"/>
  <c r="U168" i="8" s="1"/>
  <c r="W168" i="8" s="1"/>
  <c r="Y166" i="8"/>
  <c r="T160" i="7"/>
  <c r="U160" i="7" s="1"/>
  <c r="W160" i="7" s="1"/>
  <c r="Y159" i="7"/>
  <c r="T163" i="9"/>
  <c r="U163" i="9" s="1"/>
  <c r="W163" i="9" s="1"/>
  <c r="Y162" i="9"/>
  <c r="T85" i="4"/>
  <c r="U85" i="4" s="1"/>
  <c r="W85" i="4" s="1"/>
  <c r="Y84" i="4"/>
  <c r="T188" i="5"/>
  <c r="U188" i="5" s="1"/>
  <c r="W188" i="5" s="1"/>
  <c r="T161" i="6"/>
  <c r="U161" i="6" s="1"/>
  <c r="W161" i="6" s="1"/>
  <c r="Y160" i="6"/>
  <c r="T161" i="3"/>
  <c r="U161" i="3" s="1"/>
  <c r="W161" i="3" s="1"/>
  <c r="T162" i="3" s="1"/>
  <c r="U162" i="3" s="1"/>
  <c r="W162" i="3" s="1"/>
  <c r="Y160" i="3"/>
  <c r="T86" i="4" l="1"/>
  <c r="U86" i="4" s="1"/>
  <c r="W86" i="4" s="1"/>
  <c r="Y85" i="4"/>
  <c r="T164" i="9"/>
  <c r="U164" i="9" s="1"/>
  <c r="W164" i="9" s="1"/>
  <c r="Y163" i="9"/>
  <c r="T161" i="7"/>
  <c r="U161" i="7" s="1"/>
  <c r="W161" i="7" s="1"/>
  <c r="Y160" i="7"/>
  <c r="T169" i="8"/>
  <c r="U169" i="8" s="1"/>
  <c r="W169" i="8" s="1"/>
  <c r="Y168" i="8"/>
  <c r="Y167" i="8"/>
  <c r="T189" i="5"/>
  <c r="U189" i="5" s="1"/>
  <c r="W189" i="5" s="1"/>
  <c r="T162" i="6"/>
  <c r="U162" i="6" s="1"/>
  <c r="W162" i="6" s="1"/>
  <c r="Y161" i="6"/>
  <c r="Y161" i="3"/>
  <c r="Y162" i="3"/>
  <c r="T163" i="3"/>
  <c r="U163" i="3" s="1"/>
  <c r="W163" i="3" s="1"/>
  <c r="T170" i="8" l="1"/>
  <c r="U170" i="8" s="1"/>
  <c r="W170" i="8" s="1"/>
  <c r="Y169" i="8"/>
  <c r="T162" i="7"/>
  <c r="U162" i="7" s="1"/>
  <c r="W162" i="7" s="1"/>
  <c r="Y161" i="7"/>
  <c r="T165" i="9"/>
  <c r="U165" i="9" s="1"/>
  <c r="W165" i="9" s="1"/>
  <c r="Y164" i="9"/>
  <c r="T87" i="4"/>
  <c r="U87" i="4" s="1"/>
  <c r="W87" i="4" s="1"/>
  <c r="Y86" i="4"/>
  <c r="T190" i="5"/>
  <c r="U190" i="5" s="1"/>
  <c r="W190" i="5" s="1"/>
  <c r="T163" i="6"/>
  <c r="U163" i="6" s="1"/>
  <c r="W163" i="6" s="1"/>
  <c r="Y162" i="6"/>
  <c r="Y163" i="3"/>
  <c r="T164" i="3"/>
  <c r="U164" i="3" s="1"/>
  <c r="W164" i="3" s="1"/>
  <c r="T88" i="4" l="1"/>
  <c r="U88" i="4" s="1"/>
  <c r="W88" i="4" s="1"/>
  <c r="Y87" i="4"/>
  <c r="T166" i="9"/>
  <c r="U166" i="9" s="1"/>
  <c r="W166" i="9" s="1"/>
  <c r="Y165" i="9"/>
  <c r="T163" i="7"/>
  <c r="U163" i="7" s="1"/>
  <c r="W163" i="7" s="1"/>
  <c r="Y162" i="7"/>
  <c r="T171" i="8"/>
  <c r="U171" i="8" s="1"/>
  <c r="W171" i="8" s="1"/>
  <c r="Y170" i="8"/>
  <c r="T191" i="5"/>
  <c r="U191" i="5" s="1"/>
  <c r="W191" i="5" s="1"/>
  <c r="T164" i="6"/>
  <c r="U164" i="6" s="1"/>
  <c r="W164" i="6" s="1"/>
  <c r="Y163" i="6"/>
  <c r="T165" i="3"/>
  <c r="U165" i="3" s="1"/>
  <c r="W165" i="3" s="1"/>
  <c r="Y164" i="3"/>
  <c r="T192" i="5" l="1"/>
  <c r="U192" i="5" s="1"/>
  <c r="W192" i="5" s="1"/>
  <c r="T172" i="8"/>
  <c r="U172" i="8" s="1"/>
  <c r="W172" i="8" s="1"/>
  <c r="Y171" i="8"/>
  <c r="T164" i="7"/>
  <c r="U164" i="7" s="1"/>
  <c r="W164" i="7" s="1"/>
  <c r="Y163" i="7"/>
  <c r="T167" i="9"/>
  <c r="U167" i="9" s="1"/>
  <c r="W167" i="9" s="1"/>
  <c r="T168" i="9" s="1"/>
  <c r="U168" i="9" s="1"/>
  <c r="W168" i="9" s="1"/>
  <c r="Y166" i="9"/>
  <c r="T89" i="4"/>
  <c r="U89" i="4" s="1"/>
  <c r="W89" i="4" s="1"/>
  <c r="Y88" i="4"/>
  <c r="T165" i="6"/>
  <c r="U165" i="6" s="1"/>
  <c r="W165" i="6" s="1"/>
  <c r="T166" i="6" s="1"/>
  <c r="U166" i="6" s="1"/>
  <c r="W166" i="6" s="1"/>
  <c r="Y164" i="6"/>
  <c r="Y165" i="3"/>
  <c r="T166" i="3"/>
  <c r="U166" i="3" s="1"/>
  <c r="W166" i="3" s="1"/>
  <c r="T193" i="5" l="1"/>
  <c r="U193" i="5" s="1"/>
  <c r="W193" i="5" s="1"/>
  <c r="Y167" i="9"/>
  <c r="T90" i="4"/>
  <c r="U90" i="4" s="1"/>
  <c r="W90" i="4" s="1"/>
  <c r="Y89" i="4"/>
  <c r="T169" i="9"/>
  <c r="U169" i="9" s="1"/>
  <c r="W169" i="9" s="1"/>
  <c r="Y168" i="9"/>
  <c r="T165" i="7"/>
  <c r="U165" i="7" s="1"/>
  <c r="W165" i="7" s="1"/>
  <c r="Y164" i="7"/>
  <c r="T173" i="8"/>
  <c r="U173" i="8" s="1"/>
  <c r="W173" i="8" s="1"/>
  <c r="T174" i="8" s="1"/>
  <c r="U174" i="8" s="1"/>
  <c r="W174" i="8" s="1"/>
  <c r="Y172" i="8"/>
  <c r="Y165" i="6"/>
  <c r="T167" i="6"/>
  <c r="U167" i="6" s="1"/>
  <c r="W167" i="6" s="1"/>
  <c r="Y166" i="6"/>
  <c r="Y166" i="3"/>
  <c r="T167" i="3"/>
  <c r="U167" i="3" s="1"/>
  <c r="W167" i="3" s="1"/>
  <c r="T194" i="5" l="1"/>
  <c r="U194" i="5" s="1"/>
  <c r="W194" i="5" s="1"/>
  <c r="T175" i="8"/>
  <c r="U175" i="8" s="1"/>
  <c r="W175" i="8" s="1"/>
  <c r="Y174" i="8"/>
  <c r="T166" i="7"/>
  <c r="U166" i="7" s="1"/>
  <c r="W166" i="7" s="1"/>
  <c r="Y165" i="7"/>
  <c r="T170" i="9"/>
  <c r="U170" i="9" s="1"/>
  <c r="W170" i="9" s="1"/>
  <c r="Y169" i="9"/>
  <c r="T91" i="4"/>
  <c r="U91" i="4" s="1"/>
  <c r="W91" i="4" s="1"/>
  <c r="Y90" i="4"/>
  <c r="Y173" i="8"/>
  <c r="T168" i="6"/>
  <c r="U168" i="6" s="1"/>
  <c r="W168" i="6" s="1"/>
  <c r="Y167" i="6"/>
  <c r="Y167" i="3"/>
  <c r="T168" i="3"/>
  <c r="U168" i="3" s="1"/>
  <c r="W168" i="3" s="1"/>
  <c r="T195" i="5" l="1"/>
  <c r="U195" i="5" s="1"/>
  <c r="W195" i="5" s="1"/>
  <c r="T92" i="4"/>
  <c r="U92" i="4" s="1"/>
  <c r="W92" i="4" s="1"/>
  <c r="Y91" i="4"/>
  <c r="T171" i="9"/>
  <c r="U171" i="9" s="1"/>
  <c r="W171" i="9" s="1"/>
  <c r="Y170" i="9"/>
  <c r="T167" i="7"/>
  <c r="U167" i="7" s="1"/>
  <c r="W167" i="7" s="1"/>
  <c r="Y166" i="7"/>
  <c r="T176" i="8"/>
  <c r="U176" i="8" s="1"/>
  <c r="W176" i="8" s="1"/>
  <c r="Y175" i="8"/>
  <c r="T169" i="6"/>
  <c r="U169" i="6" s="1"/>
  <c r="W169" i="6" s="1"/>
  <c r="Y168" i="6"/>
  <c r="T169" i="3"/>
  <c r="U169" i="3" s="1"/>
  <c r="W169" i="3" s="1"/>
  <c r="Y168" i="3"/>
  <c r="T196" i="5" l="1"/>
  <c r="U196" i="5" s="1"/>
  <c r="T177" i="8"/>
  <c r="U177" i="8" s="1"/>
  <c r="W177" i="8" s="1"/>
  <c r="Y176" i="8"/>
  <c r="T168" i="7"/>
  <c r="U168" i="7" s="1"/>
  <c r="W168" i="7" s="1"/>
  <c r="Y167" i="7"/>
  <c r="T172" i="9"/>
  <c r="U172" i="9" s="1"/>
  <c r="W172" i="9" s="1"/>
  <c r="Y171" i="9"/>
  <c r="T93" i="4"/>
  <c r="U93" i="4" s="1"/>
  <c r="W93" i="4" s="1"/>
  <c r="Y92" i="4"/>
  <c r="T170" i="6"/>
  <c r="U170" i="6" s="1"/>
  <c r="W170" i="6" s="1"/>
  <c r="Y169" i="6"/>
  <c r="T170" i="3"/>
  <c r="U170" i="3" s="1"/>
  <c r="W170" i="3" s="1"/>
  <c r="Y169" i="3"/>
  <c r="W196" i="5" l="1"/>
  <c r="T197" i="5" s="1"/>
  <c r="U197" i="5" s="1"/>
  <c r="W197" i="5" s="1"/>
  <c r="T198" i="5" s="1"/>
  <c r="U198" i="5" s="1"/>
  <c r="W198" i="5" s="1"/>
  <c r="T199" i="5" s="1"/>
  <c r="U199" i="5" s="1"/>
  <c r="W199" i="5" s="1"/>
  <c r="T94" i="4"/>
  <c r="U94" i="4" s="1"/>
  <c r="W94" i="4" s="1"/>
  <c r="Y93" i="4"/>
  <c r="T173" i="9"/>
  <c r="U173" i="9" s="1"/>
  <c r="W173" i="9" s="1"/>
  <c r="Y172" i="9"/>
  <c r="T169" i="7"/>
  <c r="U169" i="7" s="1"/>
  <c r="W169" i="7" s="1"/>
  <c r="Y168" i="7"/>
  <c r="T178" i="8"/>
  <c r="U178" i="8" s="1"/>
  <c r="W178" i="8" s="1"/>
  <c r="Y177" i="8"/>
  <c r="T171" i="6"/>
  <c r="U171" i="6" s="1"/>
  <c r="W171" i="6" s="1"/>
  <c r="Y170" i="6"/>
  <c r="Y170" i="3"/>
  <c r="T171" i="3"/>
  <c r="U171" i="3" s="1"/>
  <c r="W171" i="3" s="1"/>
  <c r="T200" i="5" l="1"/>
  <c r="U200" i="5" s="1"/>
  <c r="W200" i="5" s="1"/>
  <c r="T179" i="8"/>
  <c r="U179" i="8" s="1"/>
  <c r="W179" i="8" s="1"/>
  <c r="Y178" i="8"/>
  <c r="T170" i="7"/>
  <c r="U170" i="7" s="1"/>
  <c r="W170" i="7" s="1"/>
  <c r="Y169" i="7"/>
  <c r="T174" i="9"/>
  <c r="U174" i="9" s="1"/>
  <c r="W174" i="9" s="1"/>
  <c r="Y173" i="9"/>
  <c r="T95" i="4"/>
  <c r="U95" i="4" s="1"/>
  <c r="W95" i="4" s="1"/>
  <c r="Y94" i="4"/>
  <c r="T172" i="6"/>
  <c r="U172" i="6" s="1"/>
  <c r="W172" i="6" s="1"/>
  <c r="Y171" i="6"/>
  <c r="T172" i="3"/>
  <c r="U172" i="3" s="1"/>
  <c r="W172" i="3" s="1"/>
  <c r="Y171" i="3"/>
  <c r="T201" i="5" l="1"/>
  <c r="U201" i="5" s="1"/>
  <c r="W201" i="5" s="1"/>
  <c r="T96" i="4"/>
  <c r="U96" i="4" s="1"/>
  <c r="W96" i="4" s="1"/>
  <c r="Y95" i="4"/>
  <c r="T175" i="9"/>
  <c r="U175" i="9" s="1"/>
  <c r="W175" i="9" s="1"/>
  <c r="Y174" i="9"/>
  <c r="T171" i="7"/>
  <c r="U171" i="7" s="1"/>
  <c r="W171" i="7" s="1"/>
  <c r="Y170" i="7"/>
  <c r="T180" i="8"/>
  <c r="U180" i="8" s="1"/>
  <c r="W180" i="8" s="1"/>
  <c r="Y179" i="8"/>
  <c r="T173" i="6"/>
  <c r="U173" i="6" s="1"/>
  <c r="W173" i="6" s="1"/>
  <c r="Y172" i="6"/>
  <c r="Y172" i="3"/>
  <c r="T173" i="3"/>
  <c r="U173" i="3" s="1"/>
  <c r="W173" i="3" s="1"/>
  <c r="T202" i="5" l="1"/>
  <c r="U202" i="5" s="1"/>
  <c r="W202" i="5" s="1"/>
  <c r="T181" i="8"/>
  <c r="U181" i="8" s="1"/>
  <c r="W181" i="8" s="1"/>
  <c r="Y180" i="8"/>
  <c r="T172" i="7"/>
  <c r="U172" i="7" s="1"/>
  <c r="W172" i="7" s="1"/>
  <c r="Y171" i="7"/>
  <c r="T176" i="9"/>
  <c r="U176" i="9" s="1"/>
  <c r="W176" i="9" s="1"/>
  <c r="Y175" i="9"/>
  <c r="T97" i="4"/>
  <c r="U97" i="4" s="1"/>
  <c r="W97" i="4" s="1"/>
  <c r="Y96" i="4"/>
  <c r="T174" i="6"/>
  <c r="U174" i="6" s="1"/>
  <c r="W174" i="6" s="1"/>
  <c r="Y173" i="6"/>
  <c r="T174" i="3"/>
  <c r="U174" i="3" s="1"/>
  <c r="W174" i="3" s="1"/>
  <c r="Y173" i="3"/>
  <c r="T203" i="5" l="1"/>
  <c r="U203" i="5" s="1"/>
  <c r="W203" i="5" s="1"/>
  <c r="T98" i="4"/>
  <c r="U98" i="4" s="1"/>
  <c r="W98" i="4" s="1"/>
  <c r="Y97" i="4"/>
  <c r="T177" i="9"/>
  <c r="U177" i="9" s="1"/>
  <c r="W177" i="9" s="1"/>
  <c r="Y176" i="9"/>
  <c r="T173" i="7"/>
  <c r="U173" i="7" s="1"/>
  <c r="W173" i="7" s="1"/>
  <c r="Y172" i="7"/>
  <c r="T182" i="8"/>
  <c r="U182" i="8" s="1"/>
  <c r="W182" i="8" s="1"/>
  <c r="Y181" i="8"/>
  <c r="T175" i="6"/>
  <c r="U175" i="6" s="1"/>
  <c r="W175" i="6" s="1"/>
  <c r="Y174" i="6"/>
  <c r="Y174" i="3"/>
  <c r="T175" i="3"/>
  <c r="U175" i="3" s="1"/>
  <c r="W175" i="3" s="1"/>
  <c r="T204" i="5" l="1"/>
  <c r="U204" i="5" s="1"/>
  <c r="W204" i="5" s="1"/>
  <c r="T183" i="8"/>
  <c r="U183" i="8" s="1"/>
  <c r="W183" i="8" s="1"/>
  <c r="T184" i="8" s="1"/>
  <c r="U184" i="8" s="1"/>
  <c r="W184" i="8" s="1"/>
  <c r="T185" i="8" s="1"/>
  <c r="U185" i="8" s="1"/>
  <c r="W185" i="8" s="1"/>
  <c r="T186" i="8" s="1"/>
  <c r="U186" i="8" s="1"/>
  <c r="W186" i="8" s="1"/>
  <c r="T187" i="8" s="1"/>
  <c r="U187" i="8" s="1"/>
  <c r="W187" i="8" s="1"/>
  <c r="T188" i="8" s="1"/>
  <c r="U188" i="8" s="1"/>
  <c r="W188" i="8" s="1"/>
  <c r="T189" i="8" s="1"/>
  <c r="U189" i="8" s="1"/>
  <c r="W189" i="8" s="1"/>
  <c r="T190" i="8" s="1"/>
  <c r="U190" i="8" s="1"/>
  <c r="W190" i="8" s="1"/>
  <c r="T191" i="8" s="1"/>
  <c r="U191" i="8" s="1"/>
  <c r="W191" i="8" s="1"/>
  <c r="T192" i="8" s="1"/>
  <c r="U192" i="8" s="1"/>
  <c r="W192" i="8" s="1"/>
  <c r="T193" i="8" s="1"/>
  <c r="U193" i="8" s="1"/>
  <c r="W193" i="8" s="1"/>
  <c r="Y182" i="8"/>
  <c r="T174" i="7"/>
  <c r="U174" i="7" s="1"/>
  <c r="W174" i="7" s="1"/>
  <c r="Y173" i="7"/>
  <c r="T178" i="9"/>
  <c r="U178" i="9" s="1"/>
  <c r="W178" i="9" s="1"/>
  <c r="Y177" i="9"/>
  <c r="T99" i="4"/>
  <c r="U99" i="4" s="1"/>
  <c r="W99" i="4" s="1"/>
  <c r="Y98" i="4"/>
  <c r="T176" i="6"/>
  <c r="U176" i="6" s="1"/>
  <c r="W176" i="6" s="1"/>
  <c r="Y175" i="6"/>
  <c r="T176" i="3"/>
  <c r="U176" i="3" s="1"/>
  <c r="W176" i="3" s="1"/>
  <c r="Y175" i="3"/>
  <c r="T205" i="5" l="1"/>
  <c r="U205" i="5" s="1"/>
  <c r="W205" i="5" s="1"/>
  <c r="T194" i="8"/>
  <c r="U194" i="8" s="1"/>
  <c r="W194" i="8" s="1"/>
  <c r="T100" i="4"/>
  <c r="U100" i="4" s="1"/>
  <c r="W100" i="4" s="1"/>
  <c r="Y99" i="4"/>
  <c r="T179" i="9"/>
  <c r="U179" i="9" s="1"/>
  <c r="W179" i="9" s="1"/>
  <c r="Y178" i="9"/>
  <c r="T175" i="7"/>
  <c r="U175" i="7" s="1"/>
  <c r="W175" i="7" s="1"/>
  <c r="Y174" i="7"/>
  <c r="T177" i="6"/>
  <c r="U177" i="6" s="1"/>
  <c r="W177" i="6" s="1"/>
  <c r="Y176" i="6"/>
  <c r="T177" i="3"/>
  <c r="U177" i="3" s="1"/>
  <c r="W177" i="3" s="1"/>
  <c r="Y176" i="3"/>
  <c r="T206" i="5" l="1"/>
  <c r="U206" i="5" s="1"/>
  <c r="W206" i="5" s="1"/>
  <c r="T195" i="8"/>
  <c r="U195" i="8" s="1"/>
  <c r="W195" i="8" s="1"/>
  <c r="T196" i="8" s="1"/>
  <c r="U196" i="8" s="1"/>
  <c r="W196" i="8" s="1"/>
  <c r="Y175" i="7"/>
  <c r="T176" i="7"/>
  <c r="U176" i="7" s="1"/>
  <c r="W176" i="7" s="1"/>
  <c r="T180" i="9"/>
  <c r="U180" i="9" s="1"/>
  <c r="W180" i="9" s="1"/>
  <c r="Y179" i="9"/>
  <c r="T101" i="4"/>
  <c r="U101" i="4" s="1"/>
  <c r="W101" i="4" s="1"/>
  <c r="Y100" i="4"/>
  <c r="T178" i="6"/>
  <c r="U178" i="6" s="1"/>
  <c r="W178" i="6" s="1"/>
  <c r="Y177" i="6"/>
  <c r="T178" i="3"/>
  <c r="U178" i="3" s="1"/>
  <c r="W178" i="3" s="1"/>
  <c r="Y177" i="3"/>
  <c r="T207" i="5" l="1"/>
  <c r="U207" i="5" s="1"/>
  <c r="W207" i="5" s="1"/>
  <c r="T197" i="8"/>
  <c r="U197" i="8" s="1"/>
  <c r="W197" i="8" s="1"/>
  <c r="T198" i="8" s="1"/>
  <c r="U198" i="8" s="1"/>
  <c r="W198" i="8" s="1"/>
  <c r="T199" i="8" s="1"/>
  <c r="U199" i="8" s="1"/>
  <c r="W199" i="8" s="1"/>
  <c r="T200" i="8" s="1"/>
  <c r="U200" i="8" s="1"/>
  <c r="W200" i="8" s="1"/>
  <c r="T201" i="8" s="1"/>
  <c r="U201" i="8" s="1"/>
  <c r="W201" i="8" s="1"/>
  <c r="T202" i="8" s="1"/>
  <c r="U202" i="8" s="1"/>
  <c r="W202" i="8" s="1"/>
  <c r="T203" i="8" s="1"/>
  <c r="U203" i="8" s="1"/>
  <c r="W203" i="8" s="1"/>
  <c r="T204" i="8" s="1"/>
  <c r="U204" i="8" s="1"/>
  <c r="W204" i="8" s="1"/>
  <c r="T205" i="8" s="1"/>
  <c r="U205" i="8" s="1"/>
  <c r="W205" i="8" s="1"/>
  <c r="T206" i="8" s="1"/>
  <c r="U206" i="8" s="1"/>
  <c r="W206" i="8" s="1"/>
  <c r="T207" i="8" s="1"/>
  <c r="U207" i="8" s="1"/>
  <c r="W207" i="8" s="1"/>
  <c r="T208" i="8" s="1"/>
  <c r="U208" i="8" s="1"/>
  <c r="W208" i="8" s="1"/>
  <c r="T209" i="8" s="1"/>
  <c r="U209" i="8" s="1"/>
  <c r="W209" i="8" s="1"/>
  <c r="T210" i="8" s="1"/>
  <c r="U210" i="8" s="1"/>
  <c r="W210" i="8" s="1"/>
  <c r="T102" i="4"/>
  <c r="U102" i="4" s="1"/>
  <c r="W102" i="4" s="1"/>
  <c r="Y101" i="4"/>
  <c r="T181" i="9"/>
  <c r="U181" i="9" s="1"/>
  <c r="W181" i="9" s="1"/>
  <c r="T182" i="9" s="1"/>
  <c r="U182" i="9" s="1"/>
  <c r="W182" i="9" s="1"/>
  <c r="Y180" i="9"/>
  <c r="Y176" i="7"/>
  <c r="T177" i="7"/>
  <c r="U177" i="7" s="1"/>
  <c r="W177" i="7" s="1"/>
  <c r="T179" i="6"/>
  <c r="U179" i="6" s="1"/>
  <c r="W179" i="6" s="1"/>
  <c r="Y178" i="6"/>
  <c r="T179" i="3"/>
  <c r="U179" i="3" s="1"/>
  <c r="W179" i="3" s="1"/>
  <c r="Y178" i="3"/>
  <c r="T208" i="5" l="1"/>
  <c r="U208" i="5" s="1"/>
  <c r="W208" i="5" s="1"/>
  <c r="Y181" i="9"/>
  <c r="Y177" i="7"/>
  <c r="T178" i="7"/>
  <c r="U178" i="7" s="1"/>
  <c r="W178" i="7" s="1"/>
  <c r="T183" i="9"/>
  <c r="U183" i="9" s="1"/>
  <c r="W183" i="9" s="1"/>
  <c r="T184" i="9" s="1"/>
  <c r="U184" i="9" s="1"/>
  <c r="W184" i="9" s="1"/>
  <c r="T185" i="9" s="1"/>
  <c r="U185" i="9" s="1"/>
  <c r="W185" i="9" s="1"/>
  <c r="T186" i="9" s="1"/>
  <c r="U186" i="9" s="1"/>
  <c r="W186" i="9" s="1"/>
  <c r="T187" i="9" s="1"/>
  <c r="U187" i="9" s="1"/>
  <c r="W187" i="9" s="1"/>
  <c r="T188" i="9" s="1"/>
  <c r="U188" i="9" s="1"/>
  <c r="W188" i="9" s="1"/>
  <c r="T189" i="9" s="1"/>
  <c r="U189" i="9" s="1"/>
  <c r="W189" i="9" s="1"/>
  <c r="T190" i="9" s="1"/>
  <c r="U190" i="9" s="1"/>
  <c r="W190" i="9" s="1"/>
  <c r="T191" i="9" s="1"/>
  <c r="U191" i="9" s="1"/>
  <c r="W191" i="9" s="1"/>
  <c r="T192" i="9" s="1"/>
  <c r="U192" i="9" s="1"/>
  <c r="W192" i="9" s="1"/>
  <c r="T193" i="9" s="1"/>
  <c r="U193" i="9" s="1"/>
  <c r="W193" i="9" s="1"/>
  <c r="Y182" i="9"/>
  <c r="T103" i="4"/>
  <c r="U103" i="4" s="1"/>
  <c r="W103" i="4" s="1"/>
  <c r="Y102" i="4"/>
  <c r="T180" i="6"/>
  <c r="U180" i="6" s="1"/>
  <c r="W180" i="6" s="1"/>
  <c r="Y179" i="6"/>
  <c r="T180" i="3"/>
  <c r="U180" i="3" s="1"/>
  <c r="W180" i="3" s="1"/>
  <c r="Y179" i="3"/>
  <c r="T209" i="5" l="1"/>
  <c r="U209" i="5" s="1"/>
  <c r="W209" i="5" s="1"/>
  <c r="T194" i="9"/>
  <c r="U194" i="9" s="1"/>
  <c r="W194" i="9" s="1"/>
  <c r="T104" i="4"/>
  <c r="U104" i="4" s="1"/>
  <c r="W104" i="4" s="1"/>
  <c r="Y103" i="4"/>
  <c r="Y178" i="7"/>
  <c r="T179" i="7"/>
  <c r="U179" i="7" s="1"/>
  <c r="W179" i="7" s="1"/>
  <c r="T181" i="6"/>
  <c r="U181" i="6" s="1"/>
  <c r="W181" i="6" s="1"/>
  <c r="Y180" i="6"/>
  <c r="T181" i="3"/>
  <c r="U181" i="3" s="1"/>
  <c r="W181" i="3" s="1"/>
  <c r="Y180" i="3"/>
  <c r="T210" i="5" l="1"/>
  <c r="U210" i="5" s="1"/>
  <c r="W210" i="5" s="1"/>
  <c r="T195" i="9"/>
  <c r="U195" i="9" s="1"/>
  <c r="W195" i="9" s="1"/>
  <c r="T196" i="9" s="1"/>
  <c r="U196" i="9" s="1"/>
  <c r="W196" i="9" s="1"/>
  <c r="T197" i="9" s="1"/>
  <c r="U197" i="9" s="1"/>
  <c r="W197" i="9" s="1"/>
  <c r="T198" i="9" s="1"/>
  <c r="U198" i="9" s="1"/>
  <c r="W198" i="9" s="1"/>
  <c r="T199" i="9" s="1"/>
  <c r="U199" i="9" s="1"/>
  <c r="W199" i="9" s="1"/>
  <c r="T200" i="9" s="1"/>
  <c r="U200" i="9" s="1"/>
  <c r="W200" i="9" s="1"/>
  <c r="T201" i="9" s="1"/>
  <c r="U201" i="9" s="1"/>
  <c r="W201" i="9" s="1"/>
  <c r="T202" i="9" s="1"/>
  <c r="U202" i="9" s="1"/>
  <c r="W202" i="9" s="1"/>
  <c r="T203" i="9" s="1"/>
  <c r="U203" i="9" s="1"/>
  <c r="W203" i="9" s="1"/>
  <c r="T204" i="9" s="1"/>
  <c r="U204" i="9" s="1"/>
  <c r="W204" i="9" s="1"/>
  <c r="T205" i="9" s="1"/>
  <c r="U205" i="9" s="1"/>
  <c r="W205" i="9" s="1"/>
  <c r="T206" i="9" s="1"/>
  <c r="U206" i="9" s="1"/>
  <c r="W206" i="9" s="1"/>
  <c r="T207" i="9" s="1"/>
  <c r="U207" i="9" s="1"/>
  <c r="W207" i="9" s="1"/>
  <c r="T208" i="9" s="1"/>
  <c r="U208" i="9" s="1"/>
  <c r="W208" i="9" s="1"/>
  <c r="T209" i="9" s="1"/>
  <c r="U209" i="9" s="1"/>
  <c r="W209" i="9" s="1"/>
  <c r="T210" i="9" s="1"/>
  <c r="U210" i="9" s="1"/>
  <c r="W210" i="9" s="1"/>
  <c r="T180" i="7"/>
  <c r="U180" i="7" s="1"/>
  <c r="W180" i="7" s="1"/>
  <c r="Y179" i="7"/>
  <c r="T105" i="4"/>
  <c r="U105" i="4" s="1"/>
  <c r="W105" i="4" s="1"/>
  <c r="Y104" i="4"/>
  <c r="T182" i="6"/>
  <c r="U182" i="6" s="1"/>
  <c r="W182" i="6" s="1"/>
  <c r="Y181" i="6"/>
  <c r="T182" i="3"/>
  <c r="U182" i="3" s="1"/>
  <c r="W182" i="3" s="1"/>
  <c r="Y181" i="3"/>
  <c r="T106" i="4" l="1"/>
  <c r="U106" i="4" s="1"/>
  <c r="W106" i="4" s="1"/>
  <c r="Y105" i="4"/>
  <c r="T181" i="7"/>
  <c r="U181" i="7" s="1"/>
  <c r="W181" i="7" s="1"/>
  <c r="Y180" i="7"/>
  <c r="Y182" i="6"/>
  <c r="T183" i="6"/>
  <c r="U183" i="6" s="1"/>
  <c r="W183" i="6" s="1"/>
  <c r="T184" i="6" s="1"/>
  <c r="U184" i="6" s="1"/>
  <c r="W184" i="6" s="1"/>
  <c r="T185" i="6" s="1"/>
  <c r="U185" i="6" s="1"/>
  <c r="W185" i="6" s="1"/>
  <c r="T186" i="6" s="1"/>
  <c r="U186" i="6" s="1"/>
  <c r="W186" i="6" s="1"/>
  <c r="T187" i="6" s="1"/>
  <c r="U187" i="6" s="1"/>
  <c r="W187" i="6" s="1"/>
  <c r="T188" i="6" s="1"/>
  <c r="U188" i="6" s="1"/>
  <c r="W188" i="6" s="1"/>
  <c r="T189" i="6" s="1"/>
  <c r="U189" i="6" s="1"/>
  <c r="W189" i="6" s="1"/>
  <c r="T190" i="6" s="1"/>
  <c r="U190" i="6" s="1"/>
  <c r="W190" i="6" s="1"/>
  <c r="T191" i="6" s="1"/>
  <c r="U191" i="6" s="1"/>
  <c r="W191" i="6" s="1"/>
  <c r="T192" i="6" s="1"/>
  <c r="T183" i="3"/>
  <c r="U183" i="3" s="1"/>
  <c r="W183" i="3" s="1"/>
  <c r="Y182" i="3"/>
  <c r="U192" i="6" l="1"/>
  <c r="W192" i="6" s="1"/>
  <c r="T193" i="6" s="1"/>
  <c r="U193" i="6" s="1"/>
  <c r="T182" i="7"/>
  <c r="U182" i="7" s="1"/>
  <c r="W182" i="7" s="1"/>
  <c r="Y181" i="7"/>
  <c r="T107" i="4"/>
  <c r="U107" i="4" s="1"/>
  <c r="W107" i="4" s="1"/>
  <c r="Y106" i="4"/>
  <c r="T184" i="3"/>
  <c r="U184" i="3" s="1"/>
  <c r="W184" i="3" s="1"/>
  <c r="W193" i="6" l="1"/>
  <c r="T194" i="6" s="1"/>
  <c r="T108" i="4"/>
  <c r="U108" i="4" s="1"/>
  <c r="W108" i="4" s="1"/>
  <c r="Y107" i="4"/>
  <c r="T183" i="7"/>
  <c r="U183" i="7" s="1"/>
  <c r="W183" i="7" s="1"/>
  <c r="T184" i="7" s="1"/>
  <c r="U184" i="7" s="1"/>
  <c r="W184" i="7" s="1"/>
  <c r="T185" i="7" s="1"/>
  <c r="U185" i="7" s="1"/>
  <c r="W185" i="7" s="1"/>
  <c r="T186" i="7" s="1"/>
  <c r="U186" i="7" s="1"/>
  <c r="W186" i="7" s="1"/>
  <c r="T187" i="7" s="1"/>
  <c r="U187" i="7" s="1"/>
  <c r="W187" i="7" s="1"/>
  <c r="T188" i="7" s="1"/>
  <c r="U188" i="7" s="1"/>
  <c r="W188" i="7" s="1"/>
  <c r="T189" i="7" s="1"/>
  <c r="U189" i="7" s="1"/>
  <c r="W189" i="7" s="1"/>
  <c r="T190" i="7" s="1"/>
  <c r="U190" i="7" s="1"/>
  <c r="W190" i="7" s="1"/>
  <c r="T191" i="7" s="1"/>
  <c r="U191" i="7" s="1"/>
  <c r="W191" i="7" s="1"/>
  <c r="Y182" i="7"/>
  <c r="T185" i="3"/>
  <c r="U185" i="3" s="1"/>
  <c r="W185" i="3" s="1"/>
  <c r="U194" i="6" l="1"/>
  <c r="W194" i="6" s="1"/>
  <c r="T195" i="6" s="1"/>
  <c r="T192" i="7"/>
  <c r="U192" i="7" s="1"/>
  <c r="W192" i="7" s="1"/>
  <c r="T193" i="7" s="1"/>
  <c r="T109" i="4"/>
  <c r="U109" i="4" s="1"/>
  <c r="W109" i="4" s="1"/>
  <c r="Y108" i="4"/>
  <c r="T186" i="3"/>
  <c r="U186" i="3" s="1"/>
  <c r="W186" i="3" s="1"/>
  <c r="T187" i="3" s="1"/>
  <c r="U187" i="3" s="1"/>
  <c r="W187" i="3" s="1"/>
  <c r="O188" i="1" s="1"/>
  <c r="U195" i="6" l="1"/>
  <c r="W195" i="6" s="1"/>
  <c r="T196" i="6" s="1"/>
  <c r="U193" i="7"/>
  <c r="W193" i="7" s="1"/>
  <c r="T194" i="7" s="1"/>
  <c r="T188" i="3"/>
  <c r="U188" i="3" s="1"/>
  <c r="W188" i="3" s="1"/>
  <c r="O189" i="1" s="1"/>
  <c r="T110" i="4"/>
  <c r="U110" i="4" s="1"/>
  <c r="W110" i="4" s="1"/>
  <c r="Y109" i="4"/>
  <c r="U196" i="6" l="1"/>
  <c r="W196" i="6" s="1"/>
  <c r="T197" i="6" s="1"/>
  <c r="U194" i="7"/>
  <c r="W194" i="7" s="1"/>
  <c r="T195" i="7" s="1"/>
  <c r="T111" i="4"/>
  <c r="U111" i="4" s="1"/>
  <c r="W111" i="4" s="1"/>
  <c r="Y110" i="4"/>
  <c r="T189" i="3"/>
  <c r="U189" i="3" s="1"/>
  <c r="W189" i="3" s="1"/>
  <c r="O190" i="1" s="1"/>
  <c r="U197" i="6" l="1"/>
  <c r="W197" i="6" s="1"/>
  <c r="T198" i="6" s="1"/>
  <c r="U198" i="6" s="1"/>
  <c r="W198" i="6" s="1"/>
  <c r="T199" i="6" s="1"/>
  <c r="U199" i="6" s="1"/>
  <c r="W199" i="6" s="1"/>
  <c r="T200" i="6" s="1"/>
  <c r="U200" i="6" s="1"/>
  <c r="W200" i="6" s="1"/>
  <c r="T201" i="6" s="1"/>
  <c r="U201" i="6" s="1"/>
  <c r="W201" i="6" s="1"/>
  <c r="T202" i="6" s="1"/>
  <c r="U202" i="6" s="1"/>
  <c r="W202" i="6" s="1"/>
  <c r="T203" i="6" s="1"/>
  <c r="U203" i="6" s="1"/>
  <c r="W203" i="6" s="1"/>
  <c r="T204" i="6" s="1"/>
  <c r="U204" i="6" s="1"/>
  <c r="W204" i="6" s="1"/>
  <c r="T205" i="6" s="1"/>
  <c r="U205" i="6" s="1"/>
  <c r="W205" i="6" s="1"/>
  <c r="T206" i="6" s="1"/>
  <c r="U206" i="6" s="1"/>
  <c r="W206" i="6" s="1"/>
  <c r="T207" i="6" s="1"/>
  <c r="U207" i="6" s="1"/>
  <c r="W207" i="6" s="1"/>
  <c r="T208" i="6" s="1"/>
  <c r="U208" i="6" s="1"/>
  <c r="W208" i="6" s="1"/>
  <c r="T209" i="6" s="1"/>
  <c r="U209" i="6" s="1"/>
  <c r="W209" i="6" s="1"/>
  <c r="T210" i="6" s="1"/>
  <c r="U210" i="6" s="1"/>
  <c r="W210" i="6" s="1"/>
  <c r="U195" i="7"/>
  <c r="W195" i="7" s="1"/>
  <c r="T196" i="7" s="1"/>
  <c r="T190" i="3"/>
  <c r="U190" i="3" s="1"/>
  <c r="W190" i="3" s="1"/>
  <c r="O191" i="1" s="1"/>
  <c r="T112" i="4"/>
  <c r="U112" i="4" s="1"/>
  <c r="W112" i="4" s="1"/>
  <c r="Y111" i="4"/>
  <c r="U196" i="7" l="1"/>
  <c r="W196" i="7" s="1"/>
  <c r="T197" i="7" s="1"/>
  <c r="T113" i="4"/>
  <c r="U113" i="4" s="1"/>
  <c r="W113" i="4" s="1"/>
  <c r="Y112" i="4"/>
  <c r="T191" i="3"/>
  <c r="U191" i="3" s="1"/>
  <c r="W191" i="3" s="1"/>
  <c r="O192" i="1" s="1"/>
  <c r="U197" i="7" l="1"/>
  <c r="W197" i="7" s="1"/>
  <c r="T198" i="7" s="1"/>
  <c r="T192" i="3"/>
  <c r="U192" i="3" s="1"/>
  <c r="W192" i="3" s="1"/>
  <c r="O193" i="1" s="1"/>
  <c r="T114" i="4"/>
  <c r="U114" i="4" s="1"/>
  <c r="W114" i="4" s="1"/>
  <c r="Y113" i="4"/>
  <c r="T193" i="3" l="1"/>
  <c r="U193" i="3" s="1"/>
  <c r="W193" i="3" s="1"/>
  <c r="O194" i="1" s="1"/>
  <c r="U198" i="7"/>
  <c r="W198" i="7" s="1"/>
  <c r="T199" i="7" s="1"/>
  <c r="U199" i="7" s="1"/>
  <c r="W199" i="7" s="1"/>
  <c r="T200" i="7" s="1"/>
  <c r="U200" i="7" s="1"/>
  <c r="W200" i="7" s="1"/>
  <c r="T201" i="7" s="1"/>
  <c r="U201" i="7" s="1"/>
  <c r="W201" i="7" s="1"/>
  <c r="T202" i="7" s="1"/>
  <c r="U202" i="7" s="1"/>
  <c r="W202" i="7" s="1"/>
  <c r="T203" i="7" s="1"/>
  <c r="U203" i="7" s="1"/>
  <c r="W203" i="7" s="1"/>
  <c r="T204" i="7" s="1"/>
  <c r="U204" i="7" s="1"/>
  <c r="W204" i="7" s="1"/>
  <c r="T205" i="7" s="1"/>
  <c r="U205" i="7" s="1"/>
  <c r="W205" i="7" s="1"/>
  <c r="T206" i="7" s="1"/>
  <c r="U206" i="7" s="1"/>
  <c r="W206" i="7" s="1"/>
  <c r="T207" i="7" s="1"/>
  <c r="U207" i="7" s="1"/>
  <c r="W207" i="7" s="1"/>
  <c r="T208" i="7" s="1"/>
  <c r="U208" i="7" s="1"/>
  <c r="W208" i="7" s="1"/>
  <c r="T209" i="7" s="1"/>
  <c r="U209" i="7" s="1"/>
  <c r="W209" i="7" s="1"/>
  <c r="T210" i="7" s="1"/>
  <c r="U210" i="7" s="1"/>
  <c r="W210" i="7" s="1"/>
  <c r="T115" i="4"/>
  <c r="U115" i="4" s="1"/>
  <c r="W115" i="4" s="1"/>
  <c r="Y114" i="4"/>
  <c r="T194" i="3" l="1"/>
  <c r="U194" i="3" s="1"/>
  <c r="W194" i="3" s="1"/>
  <c r="O195" i="1" s="1"/>
  <c r="T116" i="4"/>
  <c r="U116" i="4" s="1"/>
  <c r="W116" i="4" s="1"/>
  <c r="Y115" i="4"/>
  <c r="T195" i="3" l="1"/>
  <c r="T117" i="4"/>
  <c r="U117" i="4" s="1"/>
  <c r="W117" i="4" s="1"/>
  <c r="Y116" i="4"/>
  <c r="U195" i="3" l="1"/>
  <c r="W195" i="3" s="1"/>
  <c r="O196" i="1" s="1"/>
  <c r="T118" i="4"/>
  <c r="U118" i="4" s="1"/>
  <c r="W118" i="4" s="1"/>
  <c r="Y117" i="4"/>
  <c r="T196" i="3" l="1"/>
  <c r="U196" i="3" s="1"/>
  <c r="W196" i="3" s="1"/>
  <c r="O197" i="1" s="1"/>
  <c r="T119" i="4"/>
  <c r="U119" i="4" s="1"/>
  <c r="W119" i="4" s="1"/>
  <c r="Y118" i="4"/>
  <c r="T197" i="3" l="1"/>
  <c r="U197" i="3" s="1"/>
  <c r="W197" i="3" s="1"/>
  <c r="O198" i="1" s="1"/>
  <c r="T120" i="4"/>
  <c r="U120" i="4" s="1"/>
  <c r="W120" i="4" s="1"/>
  <c r="Y119" i="4"/>
  <c r="T198" i="3" l="1"/>
  <c r="U198" i="3" s="1"/>
  <c r="W198" i="3" s="1"/>
  <c r="T121" i="4"/>
  <c r="U121" i="4" s="1"/>
  <c r="W121" i="4" s="1"/>
  <c r="Y120" i="4"/>
  <c r="O199" i="1" l="1"/>
  <c r="T199" i="3"/>
  <c r="U199" i="3" s="1"/>
  <c r="W199" i="3" s="1"/>
  <c r="T122" i="4"/>
  <c r="U122" i="4" s="1"/>
  <c r="W122" i="4" s="1"/>
  <c r="Y121" i="4"/>
  <c r="T200" i="3" l="1"/>
  <c r="U200" i="3" s="1"/>
  <c r="W200" i="3" s="1"/>
  <c r="O200" i="1"/>
  <c r="T123" i="4"/>
  <c r="U123" i="4" s="1"/>
  <c r="W123" i="4" s="1"/>
  <c r="Y122" i="4"/>
  <c r="T201" i="3" l="1"/>
  <c r="U201" i="3" s="1"/>
  <c r="W201" i="3" s="1"/>
  <c r="O201" i="1"/>
  <c r="T124" i="4"/>
  <c r="U124" i="4" s="1"/>
  <c r="W124" i="4" s="1"/>
  <c r="Y123" i="4"/>
  <c r="T202" i="3" l="1"/>
  <c r="U202" i="3" s="1"/>
  <c r="W202" i="3" s="1"/>
  <c r="O202" i="1"/>
  <c r="T125" i="4"/>
  <c r="U125" i="4" s="1"/>
  <c r="W125" i="4" s="1"/>
  <c r="Y124" i="4"/>
  <c r="T203" i="3" l="1"/>
  <c r="U203" i="3" s="1"/>
  <c r="W203" i="3" s="1"/>
  <c r="O203" i="1"/>
  <c r="T126" i="4"/>
  <c r="U126" i="4" s="1"/>
  <c r="W126" i="4" s="1"/>
  <c r="Y125" i="4"/>
  <c r="T204" i="3" l="1"/>
  <c r="U204" i="3" s="1"/>
  <c r="W204" i="3" s="1"/>
  <c r="O204" i="1"/>
  <c r="T127" i="4"/>
  <c r="U127" i="4" s="1"/>
  <c r="W127" i="4" s="1"/>
  <c r="Y126" i="4"/>
  <c r="T205" i="3" l="1"/>
  <c r="U205" i="3" s="1"/>
  <c r="W205" i="3" s="1"/>
  <c r="O205" i="1"/>
  <c r="T128" i="4"/>
  <c r="U128" i="4" s="1"/>
  <c r="W128" i="4" s="1"/>
  <c r="Y127" i="4"/>
  <c r="T206" i="3" l="1"/>
  <c r="U206" i="3" s="1"/>
  <c r="W206" i="3" s="1"/>
  <c r="O206" i="1"/>
  <c r="T129" i="4"/>
  <c r="U129" i="4" s="1"/>
  <c r="W129" i="4" s="1"/>
  <c r="Y128" i="4"/>
  <c r="T207" i="3" l="1"/>
  <c r="U207" i="3" s="1"/>
  <c r="W207" i="3" s="1"/>
  <c r="O207" i="1"/>
  <c r="T130" i="4"/>
  <c r="U130" i="4" s="1"/>
  <c r="W130" i="4" s="1"/>
  <c r="Y129" i="4"/>
  <c r="T208" i="3" l="1"/>
  <c r="U208" i="3" s="1"/>
  <c r="W208" i="3" s="1"/>
  <c r="O208" i="1"/>
  <c r="T131" i="4"/>
  <c r="U131" i="4" s="1"/>
  <c r="W131" i="4" s="1"/>
  <c r="Y130" i="4"/>
  <c r="T209" i="3" l="1"/>
  <c r="U209" i="3" s="1"/>
  <c r="W209" i="3" s="1"/>
  <c r="O209" i="1"/>
  <c r="T132" i="4"/>
  <c r="U132" i="4" s="1"/>
  <c r="W132" i="4" s="1"/>
  <c r="Y131" i="4"/>
  <c r="T210" i="3" l="1"/>
  <c r="U210" i="3" s="1"/>
  <c r="W210" i="3" s="1"/>
  <c r="O211" i="1" s="1"/>
  <c r="O210" i="1"/>
  <c r="T133" i="4"/>
  <c r="U133" i="4" s="1"/>
  <c r="W133" i="4" s="1"/>
  <c r="Y132" i="4"/>
  <c r="T134" i="4" l="1"/>
  <c r="U134" i="4" s="1"/>
  <c r="W134" i="4" s="1"/>
  <c r="Y133" i="4"/>
  <c r="T135" i="4" l="1"/>
  <c r="U135" i="4" s="1"/>
  <c r="W135" i="4" s="1"/>
  <c r="Y134" i="4"/>
  <c r="T136" i="4" l="1"/>
  <c r="U136" i="4" s="1"/>
  <c r="W136" i="4" s="1"/>
  <c r="Y135" i="4"/>
  <c r="T137" i="4" l="1"/>
  <c r="U137" i="4" s="1"/>
  <c r="W137" i="4" s="1"/>
  <c r="Y136" i="4"/>
  <c r="T138" i="4" l="1"/>
  <c r="U138" i="4" s="1"/>
  <c r="W138" i="4" s="1"/>
  <c r="Y137" i="4"/>
  <c r="T139" i="4" l="1"/>
  <c r="U139" i="4" s="1"/>
  <c r="W139" i="4" s="1"/>
  <c r="Y138" i="4"/>
  <c r="T140" i="4" l="1"/>
  <c r="U140" i="4" s="1"/>
  <c r="W140" i="4" s="1"/>
  <c r="Y139" i="4"/>
  <c r="T141" i="4" l="1"/>
  <c r="U141" i="4" s="1"/>
  <c r="W141" i="4" s="1"/>
  <c r="Y140" i="4"/>
  <c r="T142" i="4" l="1"/>
  <c r="U142" i="4" s="1"/>
  <c r="W142" i="4" s="1"/>
  <c r="Y141" i="4"/>
  <c r="T143" i="4" l="1"/>
  <c r="U143" i="4" s="1"/>
  <c r="W143" i="4" s="1"/>
  <c r="Y142" i="4"/>
  <c r="T144" i="4" l="1"/>
  <c r="U144" i="4" s="1"/>
  <c r="W144" i="4" s="1"/>
  <c r="Y143" i="4"/>
  <c r="T145" i="4" l="1"/>
  <c r="U145" i="4" s="1"/>
  <c r="W145" i="4" s="1"/>
  <c r="Y144" i="4"/>
  <c r="T146" i="4" l="1"/>
  <c r="U146" i="4" s="1"/>
  <c r="W146" i="4" s="1"/>
  <c r="Y145" i="4"/>
  <c r="T147" i="4" l="1"/>
  <c r="U147" i="4" s="1"/>
  <c r="W147" i="4" s="1"/>
  <c r="Y146" i="4"/>
  <c r="T148" i="4" l="1"/>
  <c r="U148" i="4" s="1"/>
  <c r="W148" i="4" s="1"/>
  <c r="Y147" i="4"/>
  <c r="T149" i="4" l="1"/>
  <c r="U149" i="4" s="1"/>
  <c r="W149" i="4" s="1"/>
  <c r="Y148" i="4"/>
  <c r="T150" i="4" l="1"/>
  <c r="U150" i="4" s="1"/>
  <c r="W150" i="4" s="1"/>
  <c r="Y149" i="4"/>
  <c r="T151" i="4" l="1"/>
  <c r="U151" i="4" s="1"/>
  <c r="W151" i="4" s="1"/>
  <c r="Y150" i="4"/>
  <c r="T152" i="4" l="1"/>
  <c r="U152" i="4" s="1"/>
  <c r="W152" i="4" s="1"/>
  <c r="Y151" i="4"/>
  <c r="T153" i="4" l="1"/>
  <c r="U153" i="4" s="1"/>
  <c r="W153" i="4" s="1"/>
  <c r="Y152" i="4"/>
  <c r="T154" i="4" l="1"/>
  <c r="U154" i="4" s="1"/>
  <c r="W154" i="4" s="1"/>
  <c r="Y153" i="4"/>
  <c r="T155" i="4" l="1"/>
  <c r="U155" i="4" s="1"/>
  <c r="W155" i="4" s="1"/>
  <c r="Y154" i="4"/>
  <c r="T156" i="4" l="1"/>
  <c r="U156" i="4" s="1"/>
  <c r="W156" i="4" s="1"/>
  <c r="Y155" i="4"/>
  <c r="T157" i="4" l="1"/>
  <c r="U157" i="4" s="1"/>
  <c r="W157" i="4" s="1"/>
  <c r="Y156" i="4"/>
  <c r="T158" i="4" l="1"/>
  <c r="U158" i="4" s="1"/>
  <c r="W158" i="4" s="1"/>
  <c r="Y157" i="4"/>
  <c r="T159" i="4" l="1"/>
  <c r="U159" i="4" s="1"/>
  <c r="W159" i="4" s="1"/>
  <c r="Y158" i="4"/>
  <c r="T160" i="4" l="1"/>
  <c r="U160" i="4" s="1"/>
  <c r="W160" i="4" s="1"/>
  <c r="Y159" i="4"/>
  <c r="T161" i="4" l="1"/>
  <c r="U161" i="4" s="1"/>
  <c r="W161" i="4" s="1"/>
  <c r="Y160" i="4"/>
  <c r="T162" i="4" l="1"/>
  <c r="U162" i="4" s="1"/>
  <c r="W162" i="4" s="1"/>
  <c r="Y161" i="4"/>
  <c r="T163" i="4" l="1"/>
  <c r="U163" i="4" s="1"/>
  <c r="W163" i="4" s="1"/>
  <c r="Y162" i="4"/>
  <c r="T164" i="4" l="1"/>
  <c r="U164" i="4" s="1"/>
  <c r="W164" i="4" s="1"/>
  <c r="Y163" i="4"/>
  <c r="T165" i="4" l="1"/>
  <c r="U165" i="4" s="1"/>
  <c r="W165" i="4" s="1"/>
  <c r="Y164" i="4"/>
  <c r="T166" i="4" l="1"/>
  <c r="U166" i="4" s="1"/>
  <c r="W166" i="4" s="1"/>
  <c r="Y165" i="4"/>
  <c r="T167" i="4" l="1"/>
  <c r="U167" i="4" s="1"/>
  <c r="W167" i="4" s="1"/>
  <c r="Y166" i="4"/>
  <c r="T168" i="4" l="1"/>
  <c r="U168" i="4" s="1"/>
  <c r="W168" i="4" s="1"/>
  <c r="Y167" i="4"/>
  <c r="T169" i="4" l="1"/>
  <c r="U169" i="4" s="1"/>
  <c r="W169" i="4" s="1"/>
  <c r="Y168" i="4"/>
  <c r="T170" i="4" l="1"/>
  <c r="U170" i="4" s="1"/>
  <c r="W170" i="4" s="1"/>
  <c r="Y169" i="4"/>
  <c r="T171" i="4" l="1"/>
  <c r="U171" i="4" s="1"/>
  <c r="W171" i="4" s="1"/>
  <c r="Y170" i="4"/>
  <c r="T172" i="4" l="1"/>
  <c r="U172" i="4" s="1"/>
  <c r="W172" i="4" s="1"/>
  <c r="Y171" i="4"/>
  <c r="T173" i="4" l="1"/>
  <c r="U173" i="4" s="1"/>
  <c r="W173" i="4" s="1"/>
  <c r="Y172" i="4"/>
  <c r="T174" i="4" l="1"/>
  <c r="U174" i="4" s="1"/>
  <c r="W174" i="4" s="1"/>
  <c r="Y173" i="4"/>
  <c r="T175" i="4" l="1"/>
  <c r="U175" i="4" s="1"/>
  <c r="W175" i="4" s="1"/>
  <c r="Y174" i="4"/>
  <c r="T176" i="4" l="1"/>
  <c r="U176" i="4" s="1"/>
  <c r="W176" i="4" s="1"/>
  <c r="O177" i="1" s="1"/>
  <c r="Y175" i="4"/>
  <c r="O176" i="1"/>
  <c r="Y176" i="4" l="1"/>
  <c r="T177" i="4"/>
  <c r="U177" i="4" s="1"/>
  <c r="W177" i="4" s="1"/>
  <c r="O178" i="1" s="1"/>
  <c r="Y177" i="4" l="1"/>
  <c r="T178" i="4"/>
  <c r="U178" i="4" s="1"/>
  <c r="W178" i="4" s="1"/>
  <c r="O179" i="1" s="1"/>
  <c r="Y178" i="4" l="1"/>
  <c r="T179" i="4"/>
  <c r="U179" i="4" s="1"/>
  <c r="W179" i="4" s="1"/>
  <c r="O180" i="1" s="1"/>
  <c r="Y179" i="4" l="1"/>
  <c r="T180" i="4"/>
  <c r="U180" i="4" s="1"/>
  <c r="W180" i="4" s="1"/>
  <c r="O181" i="1" s="1"/>
  <c r="Y180" i="4" l="1"/>
  <c r="T181" i="4"/>
  <c r="U181" i="4" s="1"/>
  <c r="W181" i="4" s="1"/>
  <c r="O182" i="1" s="1"/>
  <c r="Y181" i="4" l="1"/>
  <c r="T182" i="4"/>
  <c r="U182" i="4" s="1"/>
  <c r="W182" i="4" s="1"/>
  <c r="O183" i="1" s="1"/>
  <c r="Y182" i="4" l="1"/>
  <c r="T183" i="4"/>
  <c r="U183" i="4" s="1"/>
  <c r="W183" i="4" s="1"/>
  <c r="O184" i="1" s="1"/>
  <c r="T184" i="4" l="1"/>
  <c r="U184" i="4" s="1"/>
  <c r="W184" i="4" s="1"/>
  <c r="O185" i="1" s="1"/>
  <c r="T185" i="4" l="1"/>
  <c r="U185" i="4" s="1"/>
  <c r="W185" i="4" s="1"/>
  <c r="O186" i="1" s="1"/>
  <c r="T186" i="4" l="1"/>
  <c r="U186" i="4" s="1"/>
  <c r="W186" i="4" s="1"/>
  <c r="O18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</authors>
  <commentList>
    <comment ref="I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5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7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8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9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2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3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4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5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6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97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I178" authorId="1" shapeId="0" xr:uid="{00000000-0006-0000-0000-000013000000}">
      <text>
        <r>
          <rPr>
            <sz val="9"/>
            <color indexed="81"/>
            <rFont val="Tahoma"/>
            <family val="2"/>
          </rPr>
          <t>- Compra de pera de Nivel de Estanque.
- Analisis Agua Potable.</t>
        </r>
      </text>
    </comment>
    <comment ref="I179" authorId="1" shapeId="0" xr:uid="{00000000-0006-0000-0000-000014000000}">
      <text>
        <r>
          <rPr>
            <sz val="9"/>
            <color indexed="81"/>
            <rFont val="Tahoma"/>
            <family val="2"/>
          </rPr>
          <t>- Instalación de Reloj Horario Estanque.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V17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24/03/2017
Comp. 24891</t>
        </r>
      </text>
    </comment>
    <comment ref="V17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02/05/2017
Comp. 25215</t>
        </r>
      </text>
    </comment>
    <comment ref="V17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01/07/2017
Comp. 25621</t>
        </r>
      </text>
    </comment>
    <comment ref="V18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02/09/2017
Comp. </t>
        </r>
      </text>
    </comment>
    <comment ref="V182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24/11/2017
Comp. 26708</t>
        </r>
      </text>
    </comment>
    <comment ref="O185" authorId="0" shapeId="0" xr:uid="{00000000-0006-0000-0400-000006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Comp. 27027</t>
        </r>
      </text>
    </comment>
    <comment ref="O187" authorId="0" shapeId="0" xr:uid="{00000000-0006-0000-0400-000008000000}">
      <text>
        <r>
          <rPr>
            <sz val="9"/>
            <color indexed="81"/>
            <rFont val="Tahoma"/>
            <family val="2"/>
          </rPr>
          <t xml:space="preserve">$4.970.- </t>
        </r>
        <r>
          <rPr>
            <sz val="9"/>
            <color indexed="81"/>
            <rFont val="Tahoma"/>
            <family val="2"/>
          </rPr>
          <t xml:space="preserve">Materiales para reparación de rotura en camino parcelas Agricolas
</t>
        </r>
      </text>
    </comment>
    <comment ref="V18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12/02/2018
Comp. 27320</t>
        </r>
      </text>
    </comment>
    <comment ref="V189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02/04/2018
Comp. 27661</t>
        </r>
      </text>
    </comment>
    <comment ref="O190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1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23/05/2018
Comp. 28034</t>
        </r>
      </text>
    </comment>
    <comment ref="O192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6.</t>
        </r>
      </text>
    </comment>
    <comment ref="O193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O196" authorId="0" shapeId="0" xr:uid="{A27CE241-66F5-4526-AE7C-D99725B9ED2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Conexión a red eléctrica, valor cobrado por técnico
$22.222.-</t>
        </r>
      </text>
    </comment>
    <comment ref="V196" authorId="0" shapeId="0" xr:uid="{6495EE75-E104-4C9B-B807-F6AF9D885C8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Transferencias
09/11/2018
Comp. 29322-29323</t>
        </r>
      </text>
    </comment>
    <comment ref="V197" authorId="0" shapeId="0" xr:uid="{1FD4FEB1-F460-49B6-A271-67D99BEE7F97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10/12/2018
Comp. 29562</t>
        </r>
      </text>
    </comment>
    <comment ref="D199" authorId="0" shapeId="0" xr:uid="{7E69A457-887D-4DDD-8EB3-12A080C0A0D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14/01/2019
Toma de lectura, se corta suministro por no pago de Consumos.</t>
        </r>
      </text>
    </comment>
    <comment ref="O199" authorId="0" shapeId="0" xr:uid="{AA84B799-FD50-412F-BDED-E53B86A6C0B1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19/02/2019
Monto a cancelar para habilitar suministro eléctrico.</t>
        </r>
      </text>
    </comment>
    <comment ref="V199" authorId="0" shapeId="0" xr:uid="{062B6A9C-72C6-4C95-A1C4-ADD2D35C76F4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19/02/2019
Comp. 30019 - 30020
</t>
        </r>
      </text>
    </comment>
    <comment ref="V200" authorId="0" shapeId="0" xr:uid="{6F13A3BB-93DB-4CD7-824A-A816AA1C10C2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02/03/2019
Comp. 30145</t>
        </r>
      </text>
    </comment>
    <comment ref="V201" authorId="0" shapeId="0" xr:uid="{46D811D6-139C-4D02-B8E8-81F7CFFEC1DC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30373</t>
        </r>
      </text>
    </comment>
    <comment ref="V202" authorId="0" shapeId="0" xr:uid="{2FAC097E-3D5A-4C6E-8907-364B4E9AE4D5}">
      <text>
        <r>
          <rPr>
            <b/>
            <sz val="9"/>
            <color indexed="81"/>
            <rFont val="Tahoma"/>
            <charset val="1"/>
          </rPr>
          <t>Daniela:</t>
        </r>
        <r>
          <rPr>
            <sz val="9"/>
            <color indexed="81"/>
            <rFont val="Tahoma"/>
            <charset val="1"/>
          </rPr>
          <t xml:space="preserve">
Transferencia
08/05/2019
Comp. 30683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Constanza Rojas</author>
  </authors>
  <commentList>
    <comment ref="V17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09/02/2017
Comp. 24615</t>
        </r>
      </text>
    </comment>
    <comment ref="V17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16/03/2017
Comp. 24863</t>
        </r>
      </text>
    </comment>
    <comment ref="V17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08/04/2017
Comp. 25060</t>
        </r>
      </text>
    </comment>
    <comment ref="V17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13/04/2017
Comp. 25078</t>
        </r>
      </text>
    </comment>
    <comment ref="V184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22/11/2017
Comp. 26689</t>
        </r>
      </text>
    </comment>
    <comment ref="O185" authorId="0" shapeId="0" xr:uid="{00000000-0006-0000-0500-000006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26815</t>
        </r>
      </text>
    </comment>
    <comment ref="V186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Comp. 27022</t>
        </r>
      </text>
    </comment>
    <comment ref="O187" authorId="0" shapeId="0" xr:uid="{00000000-0006-0000-0500-000009000000}">
      <text>
        <r>
          <rPr>
            <sz val="9"/>
            <color indexed="81"/>
            <rFont val="Tahoma"/>
            <family val="2"/>
          </rPr>
          <t xml:space="preserve">
$4.970.- Materiales para reparación de rotura en camino parcelas Agricolas
</t>
        </r>
      </text>
    </comment>
    <comment ref="V187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16/02/2018
Comp. 27340</t>
        </r>
      </text>
    </comment>
    <comment ref="V188" authorId="0" shapeId="0" xr:uid="{00000000-0006-0000-05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01/03/2018
Comp. 27452</t>
        </r>
      </text>
    </comment>
    <comment ref="O190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0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25/05/2018
Comp. 28043</t>
        </r>
      </text>
    </comment>
    <comment ref="V191" authorId="0" shapeId="0" xr:uid="{00000000-0006-0000-05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12/06/2018
Comp. 28226</t>
        </r>
      </text>
    </comment>
    <comment ref="O192" authorId="0" shapeId="0" xr:uid="{00000000-0006-0000-05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1" shapeId="0" xr:uid="{00000000-0006-0000-0500-000010000000}">
      <text>
        <r>
          <rPr>
            <b/>
            <sz val="9"/>
            <color indexed="81"/>
            <rFont val="Tahoma"/>
            <family val="2"/>
          </rPr>
          <t>Constanza:</t>
        </r>
        <r>
          <rPr>
            <sz val="9"/>
            <color indexed="81"/>
            <rFont val="Tahoma"/>
            <family val="2"/>
          </rPr>
          <t xml:space="preserve">
Transferencia
04/07/2018
Comp. 28375</t>
        </r>
      </text>
    </comment>
    <comment ref="O193" authorId="0" shapeId="0" xr:uid="{00000000-0006-0000-0500-000011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V193" authorId="0" shapeId="0" xr:uid="{0A17431B-FADC-46EE-9587-00AA58343AA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08/08/2018
Comp. 28641</t>
        </r>
      </text>
    </comment>
    <comment ref="V194" authorId="0" shapeId="0" xr:uid="{B66801BE-2F7F-420E-9884-DC0DDB379193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04/09/2018
Comp. 28831</t>
        </r>
      </text>
    </comment>
    <comment ref="V195" authorId="0" shapeId="0" xr:uid="{B5D5B1C8-F9BE-46CA-A59C-87C15F91B425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14/10/2018
Comp. 29110
</t>
        </r>
      </text>
    </comment>
    <comment ref="O196" authorId="0" shapeId="0" xr:uid="{5EE32F09-CE0B-4B41-BB4F-2E5AC819E9CF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Corte de suministro eléctrico (tecnico) por no pago de Consumos y Derecho a uso.
13/10/2018
</t>
        </r>
      </text>
    </comment>
    <comment ref="V196" authorId="0" shapeId="0" xr:uid="{FBC0CEC9-2421-413B-9173-79EA3F34DA1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29239</t>
        </r>
      </text>
    </comment>
    <comment ref="V197" authorId="0" shapeId="0" xr:uid="{3336D690-97F3-4003-92D5-D3FE1F767B12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06/12/2018
Comp. 29537</t>
        </r>
      </text>
    </comment>
    <comment ref="V198" authorId="0" shapeId="0" xr:uid="{980D305B-F0FE-455A-AEC7-2D139735A422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10/01/2019
Comp. 29781</t>
        </r>
      </text>
    </comment>
    <comment ref="V199" authorId="0" shapeId="0" xr:uid="{CDBFFF95-E795-4133-9621-67D763A37AED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04/02/2019
Comp. 29942</t>
        </r>
      </text>
    </comment>
    <comment ref="V200" authorId="0" shapeId="0" xr:uid="{80ACC491-816C-4424-AA1C-3439B7832A5F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12/03/2019
Comp. 30240</t>
        </r>
      </text>
    </comment>
    <comment ref="V201" authorId="0" shapeId="0" xr:uid="{97EF8618-0C77-4A2C-B291-05278943E2D6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06/04/2019
Comp. 30440</t>
        </r>
      </text>
    </comment>
    <comment ref="V202" authorId="0" shapeId="0" xr:uid="{896D3FDB-7006-4F6E-827B-8D38D5CEA0F4}">
      <text>
        <r>
          <rPr>
            <b/>
            <sz val="9"/>
            <color indexed="81"/>
            <rFont val="Tahoma"/>
            <charset val="1"/>
          </rPr>
          <t>Daniela:</t>
        </r>
        <r>
          <rPr>
            <sz val="9"/>
            <color indexed="81"/>
            <rFont val="Tahoma"/>
            <charset val="1"/>
          </rPr>
          <t xml:space="preserve">
Transferencia
09/05/2019
Comp. 30691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V17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12/02/2017
Comp. 24623</t>
        </r>
      </text>
    </comment>
    <comment ref="V17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06/03/2017
Comp. 24811</t>
        </r>
      </text>
    </comment>
    <comment ref="V177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13/04/2017
Comp. 25079</t>
        </r>
      </text>
    </comment>
    <comment ref="V178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10/05/2017
Comp. 25288</t>
        </r>
      </text>
    </comment>
    <comment ref="V179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09/06/2017
Comp. 25506</t>
        </r>
      </text>
    </comment>
    <comment ref="V18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04/07/2017
Comp. 25683</t>
        </r>
      </text>
    </comment>
    <comment ref="V181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07/08/2017
Comp. 25949</t>
        </r>
      </text>
    </comment>
    <comment ref="V182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04/09/2017
Comp. 26145</t>
        </r>
      </text>
    </comment>
    <comment ref="V184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03/11/2017
Comp. 26571</t>
        </r>
      </text>
    </comment>
    <comment ref="O185" authorId="0" shapeId="0" xr:uid="{00000000-0006-0000-0600-00000A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06/12/2017
Comp. 26851</t>
        </r>
      </text>
    </comment>
    <comment ref="V186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09/01/2018
Comp. 27083</t>
        </r>
      </text>
    </comment>
    <comment ref="O187" authorId="0" shapeId="0" xr:uid="{00000000-0006-0000-0600-00000D000000}">
      <text>
        <r>
          <rPr>
            <sz val="9"/>
            <color indexed="81"/>
            <rFont val="Tahoma"/>
            <family val="2"/>
          </rPr>
          <t xml:space="preserve">
$4.970.- Materiales para reparación de rotura en camino parcelas Agricolas
</t>
        </r>
      </text>
    </comment>
    <comment ref="V187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12/02/2018
Comp. 27321</t>
        </r>
      </text>
    </comment>
    <comment ref="V188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27529</t>
        </r>
      </text>
    </comment>
    <comment ref="V189" authorId="0" shapeId="0" xr:uid="{00000000-0006-0000-06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27733</t>
        </r>
      </text>
    </comment>
    <comment ref="O190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0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07/05/2018
Comp. 27970</t>
        </r>
      </text>
    </comment>
    <comment ref="O192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0" shapeId="0" xr:uid="{00000000-0006-0000-06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11/07/2018
Comp. 28426</t>
        </r>
      </text>
    </comment>
    <comment ref="O193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V193" authorId="0" shapeId="0" xr:uid="{D1FAE28E-55AC-44F1-A9DC-175FC923FD6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14/08/2018
Comp. 28671</t>
        </r>
      </text>
    </comment>
    <comment ref="V194" authorId="0" shapeId="0" xr:uid="{4BF2E1DF-4DF9-4073-B246-5BB67B599584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12/09/2018
Comp. 28887</t>
        </r>
      </text>
    </comment>
    <comment ref="V195" authorId="0" shapeId="0" xr:uid="{CF543400-C53B-44B0-886E-F0DEED41C6D3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29039</t>
        </r>
      </text>
    </comment>
    <comment ref="V196" authorId="0" shapeId="0" xr:uid="{5B4FA475-8599-4415-95CB-633879D27ABD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29259</t>
        </r>
      </text>
    </comment>
    <comment ref="V197" authorId="0" shapeId="0" xr:uid="{93E2C74F-113B-42B1-82FF-F92D171FA306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07/12/2018
Comp. 29550</t>
        </r>
      </text>
    </comment>
    <comment ref="V198" authorId="0" shapeId="0" xr:uid="{F9B70720-6FD8-4F16-8FC3-39D4848448A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04/01/2019
Comp. 29733</t>
        </r>
      </text>
    </comment>
    <comment ref="V199" authorId="0" shapeId="0" xr:uid="{99A178ED-B512-4EDC-8F0B-6A2339835889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05/02/2019
Comp. 29954</t>
        </r>
      </text>
    </comment>
    <comment ref="V200" authorId="0" shapeId="0" xr:uid="{A6FDAA21-FCDA-452E-9A50-138F7EF8E60E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30172</t>
        </r>
      </text>
    </comment>
    <comment ref="V201" authorId="0" shapeId="0" xr:uid="{F798345D-EEFC-4A2A-9DE5-0D0F40A0D327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11/04/2019
Comp. 30462</t>
        </r>
      </text>
    </comment>
    <comment ref="V202" authorId="0" shapeId="0" xr:uid="{026DE007-5050-4032-8AF5-BA486649BC88}">
      <text>
        <r>
          <rPr>
            <b/>
            <sz val="9"/>
            <color indexed="81"/>
            <rFont val="Tahoma"/>
            <charset val="1"/>
          </rPr>
          <t>Daniela:</t>
        </r>
        <r>
          <rPr>
            <sz val="9"/>
            <color indexed="81"/>
            <rFont val="Tahoma"/>
            <charset val="1"/>
          </rPr>
          <t xml:space="preserve">
Transferencia
30/04/2019
Comp. 30572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V17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02/02/2017
Comp. 24632</t>
        </r>
      </text>
    </comment>
    <comment ref="V176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10/03/2017
Comp. 24840</t>
        </r>
      </text>
    </comment>
    <comment ref="V177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06/04/2017
Comp. 25049</t>
        </r>
      </text>
    </comment>
    <comment ref="V178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09/05/2017
Conmp. 25284</t>
        </r>
      </text>
    </comment>
    <comment ref="V179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11/06/2017
Comp.25536</t>
        </r>
      </text>
    </comment>
    <comment ref="V180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25674</t>
        </r>
      </text>
    </comment>
    <comment ref="V181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09/08/2017
Comp. 25965</t>
        </r>
      </text>
    </comment>
    <comment ref="V182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09/09/2017
Comp. 26196</t>
        </r>
      </text>
    </comment>
    <comment ref="V183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11/10/2017
Comp. 26418</t>
        </r>
      </text>
    </comment>
    <comment ref="V184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09/11/2017
Comp. 26650</t>
        </r>
      </text>
    </comment>
    <comment ref="O185" authorId="0" shapeId="0" xr:uid="{00000000-0006-0000-0700-00000B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11/12/2017
Comp. 26871</t>
        </r>
      </text>
    </comment>
    <comment ref="V186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10/01/2018
Comp. 27095</t>
        </r>
      </text>
    </comment>
    <comment ref="O187" authorId="0" shapeId="0" xr:uid="{00000000-0006-0000-0700-00000E000000}">
      <text>
        <r>
          <rPr>
            <sz val="9"/>
            <color indexed="81"/>
            <rFont val="Tahoma"/>
            <family val="2"/>
          </rPr>
          <t xml:space="preserve">
$4.970.- Materiales para reparación de rotura en camino parcelas Agricolas
</t>
        </r>
      </text>
    </comment>
    <comment ref="V187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11/02/2018
Comp. 27317</t>
        </r>
      </text>
    </comment>
    <comment ref="V188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12/03/2018
Comp. 27562</t>
        </r>
      </text>
    </comment>
    <comment ref="V189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10/04/2018
Comp. 27780</t>
        </r>
      </text>
    </comment>
    <comment ref="O190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V190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07/05/2018
Comp 27968</t>
        </r>
      </text>
    </comment>
    <comment ref="V191" authorId="0" shapeId="0" xr:uid="{00000000-0006-0000-07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06/06/2018
Comp. 28195</t>
        </r>
      </text>
    </comment>
    <comment ref="O192" authorId="0" shapeId="0" xr:uid="{00000000-0006-0000-0700-00001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0" shapeId="0" xr:uid="{00000000-0006-0000-0700-00001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11/07/2018
Comp. 28431</t>
        </r>
      </text>
    </comment>
    <comment ref="O193" authorId="0" shapeId="0" xr:uid="{00000000-0006-0000-0700-000017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V193" authorId="0" shapeId="0" xr:uid="{05AEB747-C9D0-4B13-BA6C-2DACF9ADE1BF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10/08/2018
Comp. 28658</t>
        </r>
      </text>
    </comment>
    <comment ref="V194" authorId="0" shapeId="0" xr:uid="{71C5F094-7CD7-4606-B1A0-E14B9793A6A4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10/09/2018
Comp. 28871</t>
        </r>
      </text>
    </comment>
    <comment ref="V195" authorId="0" shapeId="0" xr:uid="{102FC4E6-DFC1-4E47-AD9C-A7EDF2C858FC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10/10/2018
Comp. 29085</t>
        </r>
      </text>
    </comment>
    <comment ref="V196" authorId="0" shapeId="0" xr:uid="{C3EDD776-E545-46F2-B295-4DDAB80A7C12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12/11/2018
Comp. 29329</t>
        </r>
      </text>
    </comment>
    <comment ref="V197" authorId="0" shapeId="0" xr:uid="{3AB592EB-C4F4-4307-A29B-0D096EF04646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11/12/2018
Comp. 29564</t>
        </r>
      </text>
    </comment>
    <comment ref="V198" authorId="0" shapeId="0" xr:uid="{A8624FAE-F4AF-4961-B03C-D506E24BEA29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10/01/2019
Comp. 29779</t>
        </r>
      </text>
    </comment>
    <comment ref="V199" authorId="0" shapeId="0" xr:uid="{800E809E-D71F-4553-894E-73F43EAC77DF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10/02/2019
Comp. 29982</t>
        </r>
      </text>
    </comment>
    <comment ref="V200" authorId="0" shapeId="0" xr:uid="{3FCC3E9B-C1B9-4079-A892-7187EBA7242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11/03/2019
Comp. 30230</t>
        </r>
      </text>
    </comment>
    <comment ref="V201" authorId="0" shapeId="0" xr:uid="{45A43F53-D214-4893-9BFE-963CD4A450F9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10/04/2019
Comp. 30459</t>
        </r>
      </text>
    </comment>
    <comment ref="V202" authorId="0" shapeId="0" xr:uid="{3A646225-4258-4D82-84B1-33B1D18BB757}">
      <text>
        <r>
          <rPr>
            <b/>
            <sz val="9"/>
            <color indexed="81"/>
            <rFont val="Tahoma"/>
            <charset val="1"/>
          </rPr>
          <t>Daniela:</t>
        </r>
        <r>
          <rPr>
            <sz val="9"/>
            <color indexed="81"/>
            <rFont val="Tahoma"/>
            <charset val="1"/>
          </rPr>
          <t xml:space="preserve">
Transferencia
09/05/2019
Comp. 30690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V175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03/03/2017
Comp. 24779</t>
        </r>
      </text>
    </comment>
    <comment ref="V176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13/03/2017
Comp. 24849</t>
        </r>
      </text>
    </comment>
    <comment ref="V177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17/05/2017
Comp. 25311</t>
        </r>
      </text>
    </comment>
    <comment ref="V178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25460</t>
        </r>
      </text>
    </comment>
    <comment ref="V17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25697
</t>
        </r>
      </text>
    </comment>
    <comment ref="V18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25698</t>
        </r>
      </text>
    </comment>
    <comment ref="V18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22/08/2017
Comp. 26000</t>
        </r>
      </text>
    </comment>
    <comment ref="V182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05/09/2017
Comp. 26163</t>
        </r>
      </text>
    </comment>
    <comment ref="V183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03/10/2017
Comp. 26360</t>
        </r>
      </text>
    </comment>
    <comment ref="V184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20/11/2017
Comp. 26680</t>
        </r>
      </text>
    </comment>
    <comment ref="O185" authorId="0" shapeId="0" xr:uid="{00000000-0006-0000-0800-00000B000000}">
      <text>
        <r>
          <rPr>
            <sz val="9"/>
            <color indexed="81"/>
            <rFont val="Tahoma"/>
            <family val="2"/>
          </rPr>
          <t>$2.800.- Compra Materiales por reparación de Rotura en sector Agrícola.</t>
        </r>
      </text>
    </comment>
    <comment ref="V18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22/12/2017
Comp. 26915</t>
        </r>
      </text>
    </comment>
    <comment ref="P186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03/01/2018
Propietaria deja box libre mediante llamado telefónico.</t>
        </r>
      </text>
    </comment>
    <comment ref="V186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15/01/2018
Comp. 27111</t>
        </r>
      </text>
    </comment>
    <comment ref="O187" authorId="0" shapeId="0" xr:uid="{00000000-0006-0000-0800-00000F000000}">
      <text>
        <r>
          <rPr>
            <sz val="9"/>
            <color indexed="81"/>
            <rFont val="Tahoma"/>
            <family val="2"/>
          </rPr>
          <t xml:space="preserve">$4.970.- Materiales para reparación de rotura en camino parcelas Agricolas
</t>
        </r>
      </text>
    </comment>
    <comment ref="V188" authorId="0" shapeId="0" xr:uid="{00000000-0006-0000-0800-00001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20/03/2018
Comp. 27586</t>
        </r>
      </text>
    </comment>
    <comment ref="V189" authorId="0" shapeId="0" xr:uid="{00000000-0006-0000-0800-00001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27897</t>
        </r>
      </text>
    </comment>
    <comment ref="O190" authorId="0" shapeId="0" xr:uid="{00000000-0006-0000-0800-000012000000}">
      <text>
        <r>
          <rPr>
            <b/>
            <sz val="9"/>
            <color indexed="81"/>
            <rFont val="Tahoma"/>
            <family val="2"/>
          </rPr>
          <t xml:space="preserve">Materiales para reparación de Bomba de impusión:
</t>
        </r>
        <r>
          <rPr>
            <sz val="9"/>
            <color indexed="81"/>
            <rFont val="Tahoma"/>
            <family val="2"/>
          </rPr>
          <t xml:space="preserve">- $25.000.- Materiales.
- $80.000.- Relé de Presión y cables.
- $150.000.- Mano de obra por cambio de relé y cables </t>
        </r>
      </text>
    </comment>
    <comment ref="O192" authorId="0" shapeId="0" xr:uid="{00000000-0006-0000-08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Análisis de Agua Potable realizado solo 1 vez al año, valor total dividido en 6</t>
        </r>
      </text>
    </comment>
    <comment ref="V192" authorId="0" shapeId="0" xr:uid="{00000000-0006-0000-0800-00001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31/07/2018
Comp. 28513</t>
        </r>
      </text>
    </comment>
    <comment ref="O193" authorId="0" shapeId="0" xr:uid="{00000000-0006-0000-0800-000015000000}">
      <text>
        <r>
          <rPr>
            <b/>
            <sz val="9"/>
            <color indexed="81"/>
            <rFont val="Tahoma"/>
            <family val="2"/>
          </rPr>
          <t xml:space="preserve">- Reparación en sistema de estanque Marina.
</t>
        </r>
      </text>
    </comment>
    <comment ref="P193" authorId="0" shapeId="0" xr:uid="{00000000-0006-0000-0800-000016000000}">
      <text>
        <r>
          <rPr>
            <b/>
            <sz val="9"/>
            <color indexed="81"/>
            <rFont val="Tahoma"/>
            <family val="2"/>
          </rPr>
          <t>Valor cobrado por corte y habilitación de suministro eléctrico.</t>
        </r>
      </text>
    </comment>
    <comment ref="V193" authorId="0" shapeId="0" xr:uid="{F4BF944C-CEE8-41AD-BD3E-7074F36C49F8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14/08/2018
Comp. 28672</t>
        </r>
      </text>
    </comment>
    <comment ref="V194" authorId="0" shapeId="0" xr:uid="{C72508B4-8C42-4A46-AC11-F409F1977D64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10/09/2018
Comp. 28875</t>
        </r>
      </text>
    </comment>
    <comment ref="V195" authorId="0" shapeId="0" xr:uid="{2F299049-E19B-4582-8B1F-7ACA7B8BEF3D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11/10/2018
Comp. 29095</t>
        </r>
      </text>
    </comment>
    <comment ref="V196" authorId="0" shapeId="0" xr:uid="{0527B205-4622-48E9-92F1-AE645418DDC4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12/11/2018
Comp. 29336</t>
        </r>
      </text>
    </comment>
    <comment ref="V197" authorId="0" shapeId="0" xr:uid="{F42DD2F7-A974-456A-8910-C721E541437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08/12/2018
Comp. 29551</t>
        </r>
      </text>
    </comment>
    <comment ref="V198" authorId="0" shapeId="0" xr:uid="{C4EA1C31-519D-4B42-85F0-17D619611E58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14/01/2018
Comp. 29792</t>
        </r>
      </text>
    </comment>
    <comment ref="V199" authorId="0" shapeId="0" xr:uid="{3DD8BCB6-2B43-4E73-AE10-34B698672E1A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16/02/2019
Comp. 30007</t>
        </r>
      </text>
    </comment>
    <comment ref="V200" authorId="0" shapeId="0" xr:uid="{F8D96F71-ADBC-420D-9698-ADCE66BF028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30129</t>
        </r>
      </text>
    </comment>
    <comment ref="V201" authorId="0" shapeId="0" xr:uid="{34ACC26A-3E4C-4EAC-A847-3C1317EEECC6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03/04/2019
Comp. 30427</t>
        </r>
      </text>
    </comment>
    <comment ref="V202" authorId="0" shapeId="0" xr:uid="{F8BCC600-C95D-445B-9ACF-8E591255A87A}">
      <text>
        <r>
          <rPr>
            <b/>
            <sz val="9"/>
            <color indexed="81"/>
            <rFont val="Tahoma"/>
            <charset val="1"/>
          </rPr>
          <t xml:space="preserve">Daniela:
</t>
        </r>
        <r>
          <rPr>
            <sz val="9"/>
            <color indexed="81"/>
            <rFont val="Tahoma"/>
            <family val="2"/>
          </rPr>
          <t>Transferencia</t>
        </r>
        <r>
          <rPr>
            <sz val="9"/>
            <color indexed="81"/>
            <rFont val="Tahoma"/>
            <charset val="1"/>
          </rPr>
          <t xml:space="preserve">
10/05/2019
Comp. 30695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</authors>
  <commentList>
    <comment ref="V175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09/02/2017
Comp. 24614 </t>
        </r>
      </text>
    </comment>
    <comment ref="V17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01/04/2017
Comp. 24969</t>
        </r>
      </text>
    </comment>
    <comment ref="V178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03/05/2017
Comp. 25240</t>
        </r>
      </text>
    </comment>
    <comment ref="V17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25459</t>
        </r>
      </text>
    </comment>
    <comment ref="V18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14/07/2017
Comp. 25763</t>
        </r>
      </text>
    </comment>
    <comment ref="V181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04/08/2017
Comp. 25926</t>
        </r>
      </text>
    </comment>
    <comment ref="V183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05/10/2017
Comp. 26390</t>
        </r>
      </text>
    </comment>
    <comment ref="V184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06/11/2017
Comp. 26615</t>
        </r>
      </text>
    </comment>
    <comment ref="V18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11/12/2017
Comp. 26861</t>
        </r>
      </text>
    </comment>
    <comment ref="V18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06/01/2018
Comp. 27066</t>
        </r>
      </text>
    </comment>
    <comment ref="V187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02/02/2018
Comp. 27245</t>
        </r>
      </text>
    </comment>
    <comment ref="V188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05/03/2018
Comp. 27504</t>
        </r>
      </text>
    </comment>
    <comment ref="V189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27730</t>
        </r>
      </text>
    </comment>
    <comment ref="V190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27925</t>
        </r>
      </text>
    </comment>
    <comment ref="V191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08/06/2018
Comp. 28205</t>
        </r>
      </text>
    </comment>
    <comment ref="V193" authorId="0" shapeId="0" xr:uid="{F02CF8FE-E69A-436B-BDC4-07A88D58F685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28568</t>
        </r>
      </text>
    </comment>
    <comment ref="V194" authorId="0" shapeId="0" xr:uid="{40E7E0D1-399C-44F5-B8C0-3C24FFD21DB6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12/09/2018
Comp. 28885</t>
        </r>
      </text>
    </comment>
    <comment ref="V195" authorId="0" shapeId="0" xr:uid="{5AAAD6BB-34E0-473C-BC53-DB32AE2A540C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29035</t>
        </r>
      </text>
    </comment>
    <comment ref="V196" authorId="0" shapeId="0" xr:uid="{B48FFE35-F5A0-4ECD-BB6C-C076650B07FF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31/10/2018
Comp. 29206</t>
        </r>
      </text>
    </comment>
    <comment ref="V197" authorId="0" shapeId="0" xr:uid="{B3872112-0376-4FC1-9693-C6B740A6D582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04/12/2018
Comp. 29502</t>
        </r>
      </text>
    </comment>
    <comment ref="V198" authorId="0" shapeId="0" xr:uid="{9240B753-301C-41C0-B8CA-32B8E9B0094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05/01/2019
Comp. 29739</t>
        </r>
      </text>
    </comment>
    <comment ref="V199" authorId="0" shapeId="0" xr:uid="{1791C954-C4E0-4A05-BB6F-69D13799C53F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02/02/2019
Comp. 29915</t>
        </r>
      </text>
    </comment>
    <comment ref="V200" authorId="0" shapeId="0" xr:uid="{AE229607-4FD8-412A-80B9-73BF0D26E061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30171</t>
        </r>
      </text>
    </comment>
    <comment ref="V201" authorId="0" shapeId="0" xr:uid="{B5985C45-7FC6-47E8-ACF6-5E0EDEE8DDBE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02/04/2019
Comp. 30405</t>
        </r>
      </text>
    </comment>
    <comment ref="V202" authorId="0" shapeId="0" xr:uid="{A32FDBD9-66AF-4726-8EA8-BDE838A3654D}">
      <text>
        <r>
          <rPr>
            <b/>
            <sz val="9"/>
            <color indexed="81"/>
            <rFont val="Tahoma"/>
            <charset val="1"/>
          </rPr>
          <t>Daniela:</t>
        </r>
        <r>
          <rPr>
            <sz val="9"/>
            <color indexed="81"/>
            <rFont val="Tahoma"/>
            <charset val="1"/>
          </rPr>
          <t xml:space="preserve">
Transferencia
10/05/2019
Comp. 30692</t>
        </r>
      </text>
    </comment>
  </commentList>
</comments>
</file>

<file path=xl/sharedStrings.xml><?xml version="1.0" encoding="utf-8"?>
<sst xmlns="http://schemas.openxmlformats.org/spreadsheetml/2006/main" count="2112" uniqueCount="76">
  <si>
    <t xml:space="preserve">        Cosumo Electrico</t>
  </si>
  <si>
    <t xml:space="preserve">       Consumo Agua Potable</t>
  </si>
  <si>
    <t xml:space="preserve">                Gastos Comunes</t>
  </si>
  <si>
    <t>Total Mes</t>
  </si>
  <si>
    <t>Periodo</t>
  </si>
  <si>
    <t>Consumo</t>
  </si>
  <si>
    <t>Total</t>
  </si>
  <si>
    <t>Cargo Fijo</t>
  </si>
  <si>
    <t>Cuota</t>
  </si>
  <si>
    <t>Otros</t>
  </si>
  <si>
    <t>Embarcadero</t>
  </si>
  <si>
    <t>Gastos</t>
  </si>
  <si>
    <t>Multa</t>
  </si>
  <si>
    <t>Resultado</t>
  </si>
  <si>
    <t>Item</t>
  </si>
  <si>
    <t>KW</t>
  </si>
  <si>
    <t>Energia</t>
  </si>
  <si>
    <t>M3</t>
  </si>
  <si>
    <t>Agua</t>
  </si>
  <si>
    <t>Agua Potable</t>
  </si>
  <si>
    <t>Asociación</t>
  </si>
  <si>
    <t xml:space="preserve"> Comunes</t>
  </si>
  <si>
    <t>Mes</t>
  </si>
  <si>
    <t>Abonos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</si>
  <si>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</si>
  <si>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</si>
  <si>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</si>
  <si>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</si>
  <si>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</si>
  <si>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</si>
  <si>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</si>
  <si>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</si>
  <si>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</si>
  <si>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</si>
  <si>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</si>
  <si>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</si>
  <si>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Total abonos</t>
  </si>
  <si>
    <t>PARCELA</t>
  </si>
  <si>
    <t xml:space="preserve">SECTOR </t>
  </si>
  <si>
    <t>PROPIETARIO</t>
  </si>
  <si>
    <t>Andres Salas Diaz</t>
  </si>
  <si>
    <t xml:space="preserve">                Consumo Agua Potable</t>
  </si>
  <si>
    <t>Lectura</t>
  </si>
  <si>
    <t>Factor</t>
  </si>
  <si>
    <t>Saldo</t>
  </si>
  <si>
    <t>Total mes</t>
  </si>
  <si>
    <t>Anterior</t>
  </si>
  <si>
    <t>Actual</t>
  </si>
  <si>
    <t>$</t>
  </si>
  <si>
    <t>y saldo ant</t>
  </si>
  <si>
    <t>AGRICOLA</t>
  </si>
  <si>
    <t>LEOPOLDO BRICEÑO</t>
  </si>
  <si>
    <t>GUIDO VALENZUELA MALDONADO</t>
  </si>
  <si>
    <t>LORENA BALBONTIN MANCILLA</t>
  </si>
  <si>
    <t>CLAUDIO MOZO CORREA</t>
  </si>
  <si>
    <t>JORGE ADROVEZ TALA</t>
  </si>
  <si>
    <t>CLARA CASTILLO VALENZUELA</t>
  </si>
  <si>
    <t>Lect Anterior</t>
  </si>
  <si>
    <t>Lect Actual</t>
  </si>
  <si>
    <t xml:space="preserve">Derecho </t>
  </si>
  <si>
    <t>Uso</t>
  </si>
  <si>
    <t>Derecho</t>
  </si>
  <si>
    <t>AGRICOLAS 7 PARCELAS</t>
  </si>
  <si>
    <t>AÑO 2017</t>
  </si>
  <si>
    <t>Total Facturado</t>
  </si>
  <si>
    <t>Año</t>
  </si>
  <si>
    <t>Morosos por mas de 4 meses</t>
  </si>
  <si>
    <t>Morosos por  3 meses</t>
  </si>
  <si>
    <t>Morosos por 2 meses</t>
  </si>
  <si>
    <t>Nombre</t>
  </si>
  <si>
    <t>Parcela</t>
  </si>
  <si>
    <t>Atraso</t>
  </si>
  <si>
    <t>meses de atraso</t>
  </si>
  <si>
    <t xml:space="preserve">Peter Dragicevic </t>
  </si>
  <si>
    <t xml:space="preserve">Luz </t>
  </si>
  <si>
    <t xml:space="preserve">Materiales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</si>
</sst>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\ #,##0;\-&quot;$&quot;\ #,##0"/>
    <numFmt numFmtId="7" formatCode="&quot;$&quot;\ #,##0.00;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_ ;_ &quot;$&quot;\ * \-#,##0_ ;_ &quot;$&quot;\ * &quot;-&quot;_ ;_ @_ "/>
    <numFmt numFmtId="165" formatCode="_-* #,##0\ _€_-;\-* #,##0\ _€_-;_-* &quot;-&quot;\ _€_-;_-@_-"/>
    <numFmt numFmtId="166" formatCode="_-[$$-340A]\ * #,##0_-;\-[$$-340A]\ * #,##0_-;_-[$$-340A]\ * &quot;-&quot;_-;_-@_-"/>
    <numFmt numFmtId="167" formatCode="_-&quot;$&quot;\ * #,##0_-;\-&quot;$&quot;\ * #,##0_-;_-&quot;$&quot;\ * &quot;-&quot;??_-;_-@_-"/>
    <numFmt numFmtId="168" formatCode="#,##0\ _€"/>
    <numFmt numFmtId="169" formatCode="_-* #,##0_-;\-* #,##0_-;_-* &quot;-&quot;??_-;_-@_-"/>
  </numFmts>
  <fonts count="16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0"/>
      <color rgb="FF222222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thin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5" tint="-0.24994659260841701"/>
      </left>
      <right style="medium">
        <color theme="5" tint="-0.24994659260841701"/>
      </right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ck">
        <color rgb="FFC00000"/>
      </bottom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6" fillId="0" borderId="0"/>
    <xf numFmtId="44" fontId="12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6" fillId="0" borderId="0"/>
  </cellStyleXfs>
  <cellXfs count="174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1" fillId="2" borderId="8" xfId="0" applyFont="1" applyFill="1" applyBorder="1" applyAlignment="1">
      <alignment horizontal="center"/>
    </xf>
    <xf numFmtId="166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166" fontId="1" fillId="2" borderId="10" xfId="0" applyNumberFormat="1" applyFont="1" applyFill="1" applyBorder="1" applyAlignment="1">
      <alignment horizontal="center"/>
    </xf>
    <xf numFmtId="166" fontId="2" fillId="2" borderId="8" xfId="0" applyNumberFormat="1" applyFont="1" applyFill="1" applyBorder="1" applyAlignment="1">
      <alignment horizontal="center"/>
    </xf>
    <xf numFmtId="166" fontId="1" fillId="2" borderId="11" xfId="0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166" fontId="2" fillId="2" borderId="12" xfId="0" applyNumberFormat="1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166" fontId="1" fillId="2" borderId="12" xfId="0" applyNumberFormat="1" applyFont="1" applyFill="1" applyBorder="1" applyAlignment="1">
      <alignment horizontal="center"/>
    </xf>
    <xf numFmtId="0" fontId="1" fillId="0" borderId="12" xfId="0" applyFont="1" applyBorder="1"/>
    <xf numFmtId="166" fontId="1" fillId="2" borderId="14" xfId="0" applyNumberFormat="1" applyFont="1" applyFill="1" applyBorder="1" applyAlignment="1">
      <alignment horizontal="center"/>
    </xf>
    <xf numFmtId="0" fontId="3" fillId="0" borderId="0" xfId="0" applyFont="1"/>
    <xf numFmtId="0" fontId="1" fillId="0" borderId="2" xfId="0" applyFont="1" applyBorder="1"/>
    <xf numFmtId="167" fontId="3" fillId="0" borderId="2" xfId="0" applyNumberFormat="1" applyFont="1" applyBorder="1" applyAlignment="1">
      <alignment horizontal="center"/>
    </xf>
    <xf numFmtId="167" fontId="3" fillId="0" borderId="12" xfId="0" applyNumberFormat="1" applyFont="1" applyBorder="1" applyAlignment="1">
      <alignment horizontal="center"/>
    </xf>
    <xf numFmtId="167" fontId="3" fillId="0" borderId="12" xfId="0" applyNumberFormat="1" applyFont="1" applyBorder="1"/>
    <xf numFmtId="167" fontId="3" fillId="0" borderId="2" xfId="0" applyNumberFormat="1" applyFont="1" applyBorder="1"/>
    <xf numFmtId="0" fontId="0" fillId="0" borderId="2" xfId="0" applyBorder="1"/>
    <xf numFmtId="167" fontId="0" fillId="0" borderId="2" xfId="0" applyNumberFormat="1" applyBorder="1"/>
    <xf numFmtId="0" fontId="2" fillId="0" borderId="0" xfId="1" applyFont="1"/>
    <xf numFmtId="168" fontId="0" fillId="0" borderId="0" xfId="0" applyNumberFormat="1" applyAlignment="1">
      <alignment horizontal="left"/>
    </xf>
    <xf numFmtId="165" fontId="0" fillId="0" borderId="0" xfId="0" applyNumberForma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4" xfId="0" applyFont="1" applyFill="1" applyBorder="1"/>
    <xf numFmtId="0" fontId="3" fillId="0" borderId="2" xfId="0" applyFont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2" fillId="3" borderId="15" xfId="0" applyFont="1" applyFill="1" applyBorder="1"/>
    <xf numFmtId="0" fontId="2" fillId="3" borderId="15" xfId="0" applyFont="1" applyFill="1" applyBorder="1" applyAlignment="1">
      <alignment horizontal="center"/>
    </xf>
    <xf numFmtId="0" fontId="1" fillId="4" borderId="2" xfId="0" applyFont="1" applyFill="1" applyBorder="1"/>
    <xf numFmtId="0" fontId="1" fillId="4" borderId="2" xfId="0" applyFont="1" applyFill="1" applyBorder="1" applyAlignment="1">
      <alignment horizontal="center"/>
    </xf>
    <xf numFmtId="167" fontId="1" fillId="4" borderId="2" xfId="0" applyNumberFormat="1" applyFont="1" applyFill="1" applyBorder="1"/>
    <xf numFmtId="0" fontId="1" fillId="4" borderId="12" xfId="0" applyFont="1" applyFill="1" applyBorder="1" applyAlignment="1">
      <alignment horizontal="center"/>
    </xf>
    <xf numFmtId="166" fontId="6" fillId="0" borderId="8" xfId="0" applyNumberFormat="1" applyFont="1" applyBorder="1"/>
    <xf numFmtId="166" fontId="6" fillId="0" borderId="16" xfId="0" applyNumberFormat="1" applyFont="1" applyBorder="1"/>
    <xf numFmtId="0" fontId="3" fillId="0" borderId="8" xfId="0" applyFont="1" applyBorder="1"/>
    <xf numFmtId="0" fontId="3" fillId="0" borderId="8" xfId="0" applyFont="1" applyBorder="1" applyAlignment="1">
      <alignment horizontal="center"/>
    </xf>
    <xf numFmtId="167" fontId="3" fillId="0" borderId="8" xfId="0" applyNumberFormat="1" applyFont="1" applyBorder="1"/>
    <xf numFmtId="0" fontId="3" fillId="0" borderId="16" xfId="0" applyFont="1" applyBorder="1"/>
    <xf numFmtId="0" fontId="3" fillId="0" borderId="16" xfId="0" applyFont="1" applyBorder="1" applyAlignment="1">
      <alignment horizontal="center"/>
    </xf>
    <xf numFmtId="167" fontId="3" fillId="0" borderId="16" xfId="0" applyNumberFormat="1" applyFont="1" applyBorder="1"/>
    <xf numFmtId="0" fontId="8" fillId="0" borderId="0" xfId="0" applyFont="1"/>
    <xf numFmtId="0" fontId="9" fillId="0" borderId="0" xfId="0" applyFont="1"/>
    <xf numFmtId="0" fontId="10" fillId="0" borderId="2" xfId="0" applyFont="1" applyBorder="1"/>
    <xf numFmtId="7" fontId="0" fillId="0" borderId="2" xfId="0" applyNumberFormat="1" applyBorder="1"/>
    <xf numFmtId="5" fontId="0" fillId="0" borderId="2" xfId="0" applyNumberFormat="1" applyBorder="1"/>
    <xf numFmtId="167" fontId="3" fillId="0" borderId="9" xfId="0" applyNumberFormat="1" applyFont="1" applyBorder="1"/>
    <xf numFmtId="166" fontId="6" fillId="0" borderId="17" xfId="0" applyNumberFormat="1" applyFont="1" applyBorder="1"/>
    <xf numFmtId="167" fontId="3" fillId="0" borderId="18" xfId="0" applyNumberFormat="1" applyFont="1" applyBorder="1"/>
    <xf numFmtId="167" fontId="3" fillId="0" borderId="8" xfId="0" applyNumberFormat="1" applyFont="1" applyBorder="1" applyAlignment="1">
      <alignment horizontal="center"/>
    </xf>
    <xf numFmtId="167" fontId="3" fillId="0" borderId="16" xfId="0" applyNumberFormat="1" applyFont="1" applyBorder="1" applyAlignment="1">
      <alignment horizontal="center"/>
    </xf>
    <xf numFmtId="167" fontId="1" fillId="4" borderId="2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7" fontId="6" fillId="0" borderId="8" xfId="0" applyNumberFormat="1" applyFont="1" applyBorder="1"/>
    <xf numFmtId="167" fontId="6" fillId="0" borderId="16" xfId="0" applyNumberFormat="1" applyFont="1" applyBorder="1"/>
    <xf numFmtId="167" fontId="1" fillId="4" borderId="2" xfId="2" applyNumberFormat="1" applyFont="1" applyFill="1" applyBorder="1" applyAlignment="1">
      <alignment horizontal="center"/>
    </xf>
    <xf numFmtId="167" fontId="1" fillId="4" borderId="2" xfId="2" applyNumberFormat="1" applyFont="1" applyFill="1" applyBorder="1"/>
    <xf numFmtId="167" fontId="1" fillId="4" borderId="12" xfId="2" applyNumberFormat="1" applyFont="1" applyFill="1" applyBorder="1" applyAlignment="1">
      <alignment horizontal="center"/>
    </xf>
    <xf numFmtId="167" fontId="3" fillId="0" borderId="8" xfId="2" applyNumberFormat="1" applyFont="1" applyBorder="1" applyAlignment="1">
      <alignment horizontal="center"/>
    </xf>
    <xf numFmtId="167" fontId="3" fillId="0" borderId="16" xfId="2" applyNumberFormat="1" applyFont="1" applyBorder="1" applyAlignment="1">
      <alignment horizontal="center"/>
    </xf>
    <xf numFmtId="167" fontId="6" fillId="0" borderId="16" xfId="2" applyNumberFormat="1" applyFont="1" applyBorder="1"/>
    <xf numFmtId="167" fontId="3" fillId="0" borderId="16" xfId="2" applyNumberFormat="1" applyFont="1" applyBorder="1"/>
    <xf numFmtId="0" fontId="3" fillId="0" borderId="12" xfId="0" applyFont="1" applyBorder="1"/>
    <xf numFmtId="0" fontId="3" fillId="0" borderId="12" xfId="0" applyFont="1" applyBorder="1" applyAlignment="1">
      <alignment horizontal="center"/>
    </xf>
    <xf numFmtId="167" fontId="3" fillId="0" borderId="12" xfId="2" applyNumberFormat="1" applyFont="1" applyBorder="1" applyAlignment="1">
      <alignment horizontal="center"/>
    </xf>
    <xf numFmtId="167" fontId="3" fillId="0" borderId="12" xfId="2" applyNumberFormat="1" applyFont="1" applyBorder="1"/>
    <xf numFmtId="169" fontId="0" fillId="0" borderId="15" xfId="4" applyNumberFormat="1" applyFont="1" applyBorder="1"/>
    <xf numFmtId="169" fontId="2" fillId="0" borderId="15" xfId="4" applyNumberFormat="1" applyFont="1" applyBorder="1"/>
    <xf numFmtId="0" fontId="2" fillId="5" borderId="15" xfId="0" applyFont="1" applyFill="1" applyBorder="1"/>
    <xf numFmtId="0" fontId="1" fillId="5" borderId="2" xfId="0" applyFont="1" applyFill="1" applyBorder="1"/>
    <xf numFmtId="0" fontId="10" fillId="0" borderId="0" xfId="0" applyFont="1" applyAlignment="1">
      <alignment horizontal="center"/>
    </xf>
    <xf numFmtId="0" fontId="1" fillId="5" borderId="19" xfId="0" applyFont="1" applyFill="1" applyBorder="1"/>
    <xf numFmtId="0" fontId="0" fillId="0" borderId="20" xfId="0" applyBorder="1"/>
    <xf numFmtId="0" fontId="3" fillId="0" borderId="21" xfId="0" applyFont="1" applyBorder="1"/>
    <xf numFmtId="0" fontId="1" fillId="6" borderId="22" xfId="0" applyFont="1" applyFill="1" applyBorder="1"/>
    <xf numFmtId="0" fontId="1" fillId="6" borderId="23" xfId="0" applyFont="1" applyFill="1" applyBorder="1"/>
    <xf numFmtId="167" fontId="3" fillId="0" borderId="8" xfId="2" applyNumberFormat="1" applyFont="1" applyBorder="1"/>
    <xf numFmtId="167" fontId="3" fillId="0" borderId="0" xfId="2" applyNumberFormat="1" applyFont="1" applyAlignment="1">
      <alignment horizontal="center"/>
    </xf>
    <xf numFmtId="0" fontId="6" fillId="0" borderId="16" xfId="0" applyFont="1" applyBorder="1"/>
    <xf numFmtId="0" fontId="6" fillId="0" borderId="16" xfId="0" applyFont="1" applyBorder="1" applyAlignment="1">
      <alignment horizontal="center"/>
    </xf>
    <xf numFmtId="167" fontId="6" fillId="0" borderId="16" xfId="2" applyNumberFormat="1" applyFont="1" applyBorder="1" applyAlignment="1">
      <alignment horizontal="center"/>
    </xf>
    <xf numFmtId="0" fontId="3" fillId="0" borderId="8" xfId="4" applyNumberFormat="1" applyFont="1" applyBorder="1" applyAlignment="1">
      <alignment horizontal="center"/>
    </xf>
    <xf numFmtId="0" fontId="3" fillId="0" borderId="16" xfId="4" applyNumberFormat="1" applyFont="1" applyBorder="1" applyAlignment="1">
      <alignment horizontal="center"/>
    </xf>
    <xf numFmtId="0" fontId="3" fillId="0" borderId="12" xfId="4" applyNumberFormat="1" applyFont="1" applyBorder="1" applyAlignment="1">
      <alignment horizontal="center"/>
    </xf>
    <xf numFmtId="0" fontId="13" fillId="0" borderId="0" xfId="0" applyFont="1"/>
    <xf numFmtId="0" fontId="0" fillId="0" borderId="15" xfId="0" applyBorder="1"/>
    <xf numFmtId="0" fontId="1" fillId="7" borderId="24" xfId="0" applyFont="1" applyFill="1" applyBorder="1" applyAlignment="1">
      <alignment horizontal="center"/>
    </xf>
    <xf numFmtId="0" fontId="10" fillId="7" borderId="24" xfId="0" applyFont="1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" fillId="7" borderId="27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167" fontId="0" fillId="0" borderId="15" xfId="2" applyNumberFormat="1" applyFont="1" applyBorder="1"/>
    <xf numFmtId="167" fontId="0" fillId="0" borderId="26" xfId="2" applyNumberFormat="1" applyFont="1" applyBorder="1"/>
    <xf numFmtId="167" fontId="0" fillId="0" borderId="0" xfId="0" applyNumberFormat="1"/>
    <xf numFmtId="169" fontId="3" fillId="0" borderId="16" xfId="4" applyNumberFormat="1" applyFont="1" applyBorder="1" applyAlignment="1">
      <alignment horizontal="center"/>
    </xf>
    <xf numFmtId="169" fontId="3" fillId="0" borderId="12" xfId="4" applyNumberFormat="1" applyFont="1" applyBorder="1" applyAlignment="1">
      <alignment horizontal="center"/>
    </xf>
    <xf numFmtId="169" fontId="1" fillId="4" borderId="2" xfId="4" applyNumberFormat="1" applyFont="1" applyFill="1" applyBorder="1" applyAlignment="1">
      <alignment horizontal="center"/>
    </xf>
    <xf numFmtId="169" fontId="0" fillId="0" borderId="0" xfId="4" applyNumberFormat="1" applyFont="1"/>
    <xf numFmtId="169" fontId="3" fillId="0" borderId="8" xfId="4" applyNumberFormat="1" applyFont="1" applyBorder="1" applyAlignment="1">
      <alignment horizontal="center"/>
    </xf>
    <xf numFmtId="169" fontId="6" fillId="0" borderId="16" xfId="4" applyNumberFormat="1" applyFont="1" applyBorder="1" applyAlignment="1">
      <alignment horizontal="center"/>
    </xf>
    <xf numFmtId="0" fontId="1" fillId="8" borderId="23" xfId="0" applyFont="1" applyFill="1" applyBorder="1"/>
    <xf numFmtId="0" fontId="0" fillId="0" borderId="0" xfId="0" applyAlignment="1">
      <alignment horizontal="center"/>
    </xf>
    <xf numFmtId="169" fontId="2" fillId="0" borderId="15" xfId="4" applyNumberFormat="1" applyFont="1" applyBorder="1" applyAlignment="1">
      <alignment horizontal="center"/>
    </xf>
    <xf numFmtId="169" fontId="2" fillId="0" borderId="15" xfId="4" applyNumberFormat="1" applyFont="1" applyBorder="1" applyAlignment="1">
      <alignment horizontal="center" vertical="center"/>
    </xf>
    <xf numFmtId="169" fontId="0" fillId="0" borderId="31" xfId="4" applyNumberFormat="1" applyFont="1" applyBorder="1"/>
    <xf numFmtId="169" fontId="2" fillId="0" borderId="32" xfId="4" applyNumberFormat="1" applyFont="1" applyBorder="1"/>
    <xf numFmtId="169" fontId="0" fillId="0" borderId="33" xfId="4" applyNumberFormat="1" applyFont="1" applyBorder="1"/>
    <xf numFmtId="169" fontId="0" fillId="0" borderId="34" xfId="4" applyNumberFormat="1" applyFont="1" applyBorder="1"/>
    <xf numFmtId="169" fontId="2" fillId="0" borderId="34" xfId="4" applyNumberFormat="1" applyFont="1" applyBorder="1"/>
    <xf numFmtId="169" fontId="2" fillId="0" borderId="34" xfId="4" applyNumberFormat="1" applyFont="1" applyBorder="1" applyAlignment="1">
      <alignment horizontal="center"/>
    </xf>
    <xf numFmtId="169" fontId="2" fillId="0" borderId="35" xfId="4" applyNumberFormat="1" applyFont="1" applyBorder="1"/>
    <xf numFmtId="169" fontId="2" fillId="0" borderId="34" xfId="4" applyNumberFormat="1" applyFont="1" applyBorder="1" applyAlignment="1">
      <alignment horizontal="center" vertical="center"/>
    </xf>
    <xf numFmtId="169" fontId="0" fillId="0" borderId="36" xfId="4" applyNumberFormat="1" applyFont="1" applyBorder="1"/>
    <xf numFmtId="169" fontId="0" fillId="0" borderId="25" xfId="4" applyNumberFormat="1" applyFont="1" applyBorder="1"/>
    <xf numFmtId="169" fontId="2" fillId="0" borderId="25" xfId="4" applyNumberFormat="1" applyFont="1" applyBorder="1"/>
    <xf numFmtId="169" fontId="2" fillId="0" borderId="25" xfId="4" applyNumberFormat="1" applyFont="1" applyBorder="1" applyAlignment="1">
      <alignment horizontal="center"/>
    </xf>
    <xf numFmtId="169" fontId="2" fillId="0" borderId="37" xfId="4" applyNumberFormat="1" applyFont="1" applyBorder="1"/>
    <xf numFmtId="169" fontId="2" fillId="0" borderId="25" xfId="4" applyNumberFormat="1" applyFont="1" applyBorder="1" applyAlignment="1">
      <alignment horizontal="center" vertical="center"/>
    </xf>
    <xf numFmtId="0" fontId="2" fillId="9" borderId="38" xfId="0" applyFont="1" applyFill="1" applyBorder="1" applyAlignment="1">
      <alignment vertical="center"/>
    </xf>
    <xf numFmtId="0" fontId="2" fillId="9" borderId="39" xfId="0" applyFont="1" applyFill="1" applyBorder="1"/>
    <xf numFmtId="0" fontId="2" fillId="9" borderId="40" xfId="0" applyFont="1" applyFill="1" applyBorder="1"/>
    <xf numFmtId="0" fontId="2" fillId="9" borderId="41" xfId="0" applyFont="1" applyFill="1" applyBorder="1"/>
    <xf numFmtId="0" fontId="2" fillId="7" borderId="30" xfId="0" applyFont="1" applyFill="1" applyBorder="1" applyAlignment="1">
      <alignment horizontal="center" vertical="center" wrapText="1"/>
    </xf>
    <xf numFmtId="0" fontId="2" fillId="7" borderId="4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3" fillId="0" borderId="12" xfId="0" applyFont="1" applyFill="1" applyBorder="1"/>
    <xf numFmtId="0" fontId="3" fillId="0" borderId="12" xfId="0" applyFont="1" applyFill="1" applyBorder="1" applyAlignment="1">
      <alignment horizontal="center"/>
    </xf>
    <xf numFmtId="167" fontId="3" fillId="0" borderId="12" xfId="2" applyNumberFormat="1" applyFont="1" applyFill="1" applyBorder="1" applyAlignment="1">
      <alignment horizontal="center"/>
    </xf>
    <xf numFmtId="169" fontId="3" fillId="0" borderId="12" xfId="4" applyNumberFormat="1" applyFont="1" applyFill="1" applyBorder="1" applyAlignment="1">
      <alignment horizontal="center"/>
    </xf>
    <xf numFmtId="167" fontId="3" fillId="0" borderId="12" xfId="2" applyNumberFormat="1" applyFont="1" applyFill="1" applyBorder="1"/>
    <xf numFmtId="167" fontId="3" fillId="0" borderId="12" xfId="0" applyNumberFormat="1" applyFont="1" applyFill="1" applyBorder="1"/>
    <xf numFmtId="167" fontId="3" fillId="0" borderId="12" xfId="0" applyNumberFormat="1" applyFont="1" applyFill="1" applyBorder="1" applyAlignment="1">
      <alignment horizontal="center"/>
    </xf>
    <xf numFmtId="0" fontId="3" fillId="0" borderId="16" xfId="0" applyFont="1" applyFill="1" applyBorder="1"/>
    <xf numFmtId="0" fontId="3" fillId="0" borderId="16" xfId="0" applyFont="1" applyFill="1" applyBorder="1" applyAlignment="1">
      <alignment horizontal="center"/>
    </xf>
    <xf numFmtId="167" fontId="3" fillId="0" borderId="16" xfId="2" applyNumberFormat="1" applyFont="1" applyFill="1" applyBorder="1" applyAlignment="1">
      <alignment horizontal="center"/>
    </xf>
    <xf numFmtId="169" fontId="3" fillId="0" borderId="16" xfId="4" applyNumberFormat="1" applyFont="1" applyFill="1" applyBorder="1" applyAlignment="1">
      <alignment horizontal="center"/>
    </xf>
    <xf numFmtId="167" fontId="3" fillId="0" borderId="16" xfId="2" applyNumberFormat="1" applyFont="1" applyFill="1" applyBorder="1"/>
    <xf numFmtId="167" fontId="3" fillId="0" borderId="16" xfId="0" applyNumberFormat="1" applyFont="1" applyFill="1" applyBorder="1"/>
    <xf numFmtId="167" fontId="3" fillId="0" borderId="16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6" fontId="1" fillId="2" borderId="6" xfId="0" applyNumberFormat="1" applyFont="1" applyFill="1" applyBorder="1" applyAlignment="1">
      <alignment horizontal="center"/>
    </xf>
    <xf numFmtId="166" fontId="1" fillId="2" borderId="4" xfId="0" applyNumberFormat="1" applyFont="1" applyFill="1" applyBorder="1" applyAlignment="1">
      <alignment horizontal="center"/>
    </xf>
    <xf numFmtId="166" fontId="1" fillId="2" borderId="7" xfId="0" applyNumberFormat="1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166" fontId="1" fillId="2" borderId="8" xfId="0" applyNumberFormat="1" applyFont="1" applyFill="1" applyBorder="1" applyAlignment="1">
      <alignment horizontal="center" wrapText="1"/>
    </xf>
    <xf numFmtId="166" fontId="1" fillId="2" borderId="12" xfId="0" applyNumberFormat="1" applyFont="1" applyFill="1" applyBorder="1" applyAlignment="1">
      <alignment horizontal="center" wrapText="1"/>
    </xf>
    <xf numFmtId="166" fontId="1" fillId="2" borderId="2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center" wrapText="1"/>
    </xf>
    <xf numFmtId="0" fontId="10" fillId="0" borderId="15" xfId="0" applyFont="1" applyBorder="1" applyAlignment="1">
      <alignment horizontal="center"/>
    </xf>
  </cellXfs>
  <cellStyles count="6">
    <cellStyle name="Millares" xfId="4" builtinId="3"/>
    <cellStyle name="Moneda" xfId="2" builtinId="4"/>
    <cellStyle name="Normal" xfId="0" builtinId="0"/>
    <cellStyle name="Normal 2" xfId="1" xr:uid="{00000000-0005-0000-0000-000003000000}"/>
    <cellStyle name="Normal 4" xfId="3" xr:uid="{00000000-0005-0000-0000-000004000000}"/>
    <cellStyle name="Normal 5" xfId="5" xr:uid="{00000000-0005-0000-0000-000005000000}"/>
  </cellStyles>
  <dxfs count="21"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A8B39"/>
      <color rgb="FF649B3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Resumen!$C$216</c:f>
              <c:strCache>
                <c:ptCount val="1"/>
                <c:pt idx="0">
                  <c:v>Total Facturado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Resumen!$C$217:$C$228</c:f>
              <c:numCache>
                <c:formatCode>_-"$"\ * #,##0_-;\-"$"\ * #,##0_-;_-"$"\ * "-"??_-;_-@_-</c:formatCode>
                <c:ptCount val="12"/>
                <c:pt idx="0">
                  <c:v>635137</c:v>
                </c:pt>
                <c:pt idx="1">
                  <c:v>669727</c:v>
                </c:pt>
                <c:pt idx="2">
                  <c:v>927816</c:v>
                </c:pt>
                <c:pt idx="3">
                  <c:v>534483</c:v>
                </c:pt>
                <c:pt idx="4">
                  <c:v>384697</c:v>
                </c:pt>
                <c:pt idx="5">
                  <c:v>344917</c:v>
                </c:pt>
                <c:pt idx="6">
                  <c:v>288533</c:v>
                </c:pt>
                <c:pt idx="7">
                  <c:v>247037</c:v>
                </c:pt>
                <c:pt idx="8">
                  <c:v>305739</c:v>
                </c:pt>
                <c:pt idx="9">
                  <c:v>372617</c:v>
                </c:pt>
                <c:pt idx="10">
                  <c:v>545418</c:v>
                </c:pt>
                <c:pt idx="11">
                  <c:v>496289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9-45B2-A620-779C9A4F35B6}"/>
            </c:ext>
          </c:extLst>
        </c:ser>
        <c:ser>
          <c:idx val="1"/>
          <c:order val="1"/>
          <c:tx>
            <c:strRef>
              <c:f>Resumen!$D$216</c:f>
              <c:strCache>
                <c:ptCount val="1"/>
                <c:pt idx="0">
                  <c:v>Total abonos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Resumen!$D$217:$D$228</c:f>
              <c:numCache>
                <c:formatCode>_-"$"\ * #,##0_-;\-"$"\ * #,##0_-;_-"$"\ * "-"??_-;_-@_-</c:formatCode>
                <c:ptCount val="12"/>
                <c:pt idx="0">
                  <c:v>563296</c:v>
                </c:pt>
                <c:pt idx="1">
                  <c:v>588338</c:v>
                </c:pt>
                <c:pt idx="2">
                  <c:v>923964</c:v>
                </c:pt>
                <c:pt idx="3">
                  <c:v>734523</c:v>
                </c:pt>
                <c:pt idx="4">
                  <c:v>423649</c:v>
                </c:pt>
                <c:pt idx="5">
                  <c:v>272593</c:v>
                </c:pt>
                <c:pt idx="6">
                  <c:v>332441</c:v>
                </c:pt>
                <c:pt idx="7">
                  <c:v>249055</c:v>
                </c:pt>
                <c:pt idx="8">
                  <c:v>200150</c:v>
                </c:pt>
                <c:pt idx="9">
                  <c:v>392151</c:v>
                </c:pt>
                <c:pt idx="10">
                  <c:v>616699</c:v>
                </c:pt>
                <c:pt idx="11">
                  <c:v>410214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9-45B2-A620-779C9A4F3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806976"/>
        <c:axId val="97399168"/>
      </c:barChart>
      <c:catAx>
        <c:axId val="978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399168"/>
        <c:crosses val="autoZero"/>
        <c:auto val="1"/>
        <c:lblAlgn val="ctr"/>
        <c:lblOffset val="100"/>
        <c:noMultiLvlLbl val="0"/>
      </c:catAx>
      <c:valAx>
        <c:axId val="9739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78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37030614587343"/>
          <c:y val="7.7826118393040114E-2"/>
          <c:w val="0.74112734864300622"/>
          <c:h val="0.685714285714285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Resumen!$C$216</c:f>
              <c:strCache>
                <c:ptCount val="1"/>
                <c:pt idx="0">
                  <c:v>Total Facturado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Resumen!$C$238:$C$249</c:f>
              <c:numCache>
                <c:formatCode>_-"$"\ * #,##0_-;\-"$"\ * #,##0_-;_-"$"\ * "-"??_-;_-@_-</c:formatCode>
                <c:ptCount val="12"/>
                <c:pt idx="0">
                  <c:v>772358</c:v>
                </c:pt>
                <c:pt idx="1">
                  <c:v>569568</c:v>
                </c:pt>
                <c:pt idx="2">
                  <c:v>510210</c:v>
                </c:pt>
                <c:pt idx="3">
                  <c:v>630692</c:v>
                </c:pt>
                <c:pt idx="4">
                  <c:v>557658</c:v>
                </c:pt>
                <c:pt idx="5">
                  <c:v>801669</c:v>
                </c:pt>
                <c:pt idx="6">
                  <c:v>424576</c:v>
                </c:pt>
                <c:pt idx="7">
                  <c:v>222628</c:v>
                </c:pt>
                <c:pt idx="8">
                  <c:v>298380</c:v>
                </c:pt>
                <c:pt idx="9">
                  <c:v>392779</c:v>
                </c:pt>
                <c:pt idx="10">
                  <c:v>383304</c:v>
                </c:pt>
                <c:pt idx="11">
                  <c:v>554938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9-45B2-A620-779C9A4F35B6}"/>
            </c:ext>
          </c:extLst>
        </c:ser>
        <c:ser>
          <c:idx val="1"/>
          <c:order val="1"/>
          <c:tx>
            <c:strRef>
              <c:f>Resumen!$D$216</c:f>
              <c:strCache>
                <c:ptCount val="1"/>
                <c:pt idx="0">
                  <c:v>Total abonos</c:v>
                </c:pt>
              </c:strCache>
            </c:strRef>
          </c:tx>
          <c:spPr>
            <a:solidFill>
              <a:srgbClr val="5A8B39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4EA-4F75-9D09-4F65AC0D79B8}"/>
              </c:ext>
            </c:extLst>
          </c:dPt>
          <c:cat>
            <c:strRef>
              <c:f>[2]Resumen!$D$215:$D$226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Resumen!$D$238:$D$249</c:f>
              <c:numCache>
                <c:formatCode>_-"$"\ * #,##0_-;\-"$"\ * #,##0_-;_-"$"\ * "-"??_-;_-@_-</c:formatCode>
                <c:ptCount val="12"/>
                <c:pt idx="0">
                  <c:v>719066</c:v>
                </c:pt>
                <c:pt idx="1">
                  <c:v>540358</c:v>
                </c:pt>
                <c:pt idx="2">
                  <c:v>458664</c:v>
                </c:pt>
                <c:pt idx="3">
                  <c:v>506380</c:v>
                </c:pt>
                <c:pt idx="4">
                  <c:v>409410</c:v>
                </c:pt>
                <c:pt idx="5">
                  <c:v>835407</c:v>
                </c:pt>
                <c:pt idx="6">
                  <c:v>436851</c:v>
                </c:pt>
                <c:pt idx="7">
                  <c:v>205872</c:v>
                </c:pt>
                <c:pt idx="8">
                  <c:v>282462</c:v>
                </c:pt>
                <c:pt idx="9">
                  <c:v>885019</c:v>
                </c:pt>
                <c:pt idx="10">
                  <c:v>377008</c:v>
                </c:pt>
                <c:pt idx="11">
                  <c:v>438735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9-45B2-A620-779C9A4F3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675840"/>
        <c:axId val="46677376"/>
      </c:barChart>
      <c:catAx>
        <c:axId val="4667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6677376"/>
        <c:crosses val="autoZero"/>
        <c:auto val="1"/>
        <c:lblAlgn val="ctr"/>
        <c:lblOffset val="100"/>
        <c:noMultiLvlLbl val="0"/>
      </c:catAx>
      <c:valAx>
        <c:axId val="4667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667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390526</xdr:colOff>
      <xdr:row>214</xdr:row>
      <xdr:rowOff>9525</xdr:rowOff>
    </xdr:from>
    <xdr:to>
      <xdr:col>15</xdr:col>
      <xdr:colOff>0</xdr:colOff>
      <xdr:row>233</xdr:row>
      <xdr:rowOff>54056</xdr:rowOff>
    </xdr:to>
    <xdr:graphicFrame macro="">
      <xdr:nvGraphicFramePr>
        <xdr:cNvPr id="2" name="5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285749</xdr:colOff>
      <xdr:row>236</xdr:row>
      <xdr:rowOff>0</xdr:rowOff>
    </xdr:from>
    <xdr:to>
      <xdr:col>14</xdr:col>
      <xdr:colOff>1009649</xdr:colOff>
      <xdr:row>255</xdr:row>
      <xdr:rowOff>54056</xdr:rowOff>
    </xdr:to>
    <xdr:graphicFrame macro="">
      <xdr:nvGraphicFramePr>
        <xdr:cNvPr id="4" name="5 Gráfic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19050</xdr:rowOff>
    </xdr:from>
    <xdr:to>
      <xdr:col>1</xdr:col>
      <xdr:colOff>2781300</xdr:colOff>
      <xdr:row>4</xdr:row>
      <xdr:rowOff>0</xdr:rowOff>
    </xdr:to>
    <xdr:sp macro="[0]!buscado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81050" y="219075"/>
          <a:ext cx="2762250" cy="57150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600" b="1"/>
            <a:t>actualizar listas de morosos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STENTE\Compartida2\Compartida\Gasto%20Comun%202017\Bosqu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STENTE\Compartida2\Compartida\Gasto%20Comun%202017\Quillaye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%20pc\Desktop\planillas\Bosqu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Inicio"/>
      <sheetName val="LBA-P1"/>
      <sheetName val="LBA-P2"/>
      <sheetName val="LBA-P3"/>
      <sheetName val="LBA-P4"/>
      <sheetName val="LBA-P5"/>
      <sheetName val="LBA-P6"/>
      <sheetName val="LBA-P7"/>
      <sheetName val="LBA-P8"/>
      <sheetName val="LBA-P9"/>
      <sheetName val="LBA-P10"/>
      <sheetName val="LBA-P11"/>
      <sheetName val="LBA-P12"/>
      <sheetName val="LBA-13"/>
      <sheetName val="LBA-P14"/>
      <sheetName val="LBA-P15"/>
      <sheetName val="LBA-P16"/>
      <sheetName val="LBA-P17"/>
      <sheetName val="LBA-P18"/>
      <sheetName val="LBA-P19"/>
      <sheetName val="LBA-20"/>
      <sheetName val="LBA-P21"/>
      <sheetName val="LBA-P22"/>
      <sheetName val="LBA-P23"/>
      <sheetName val="LBA-P24"/>
      <sheetName val="LBA-P26"/>
      <sheetName val="LBA-P27"/>
      <sheetName val="LBA-P28"/>
      <sheetName val="LBA-P29"/>
      <sheetName val="LBA-P30"/>
      <sheetName val="LBA-P31"/>
      <sheetName val="LBA-P32"/>
      <sheetName val="LBA-P33"/>
      <sheetName val="LBA-P34"/>
      <sheetName val="LBA-P35"/>
      <sheetName val="LBA-P36"/>
      <sheetName val="LBA-P37"/>
      <sheetName val="LBA-P38"/>
      <sheetName val="LBA-P39"/>
      <sheetName val="LBA-P40"/>
      <sheetName val="LBA-P41"/>
      <sheetName val="LBA-P42"/>
      <sheetName val="LBA-P43"/>
      <sheetName val="LBA-P44"/>
      <sheetName val="LBA-P45"/>
      <sheetName val="LBA-P46"/>
      <sheetName val="LBA-P47"/>
      <sheetName val="LBA-P48"/>
      <sheetName val="LBA-P50"/>
      <sheetName val="LBA-P51"/>
      <sheetName val="LBA-P52"/>
      <sheetName val="LBA-P53"/>
      <sheetName val="LBA-P54"/>
      <sheetName val="LBA-P55"/>
      <sheetName val="LBA-P56"/>
      <sheetName val="LBA-P57"/>
      <sheetName val="LBA-P58"/>
      <sheetName val="LQ-5E2A"/>
      <sheetName val="LBA-P5K3A"/>
      <sheetName val="LBA-5H-5A"/>
      <sheetName val="LBA - 5H5B"/>
      <sheetName val="LBA - 5H5C"/>
      <sheetName val="LBA - 5H5D"/>
      <sheetName val="LBA-5E-2C"/>
      <sheetName val="LBA-5H-6"/>
      <sheetName val="LBA-P11 PH"/>
      <sheetName val="LBA-P34 MD"/>
      <sheetName val="Final"/>
      <sheetName val="Medidor 1"/>
      <sheetName val="Medidor 2"/>
      <sheetName val="Medidor 3 baños"/>
      <sheetName val="Datos EC"/>
      <sheetName val="EC 11-2011"/>
      <sheetName val="EC-Agua"/>
      <sheetName val="Morosos"/>
      <sheetName val="Parcela 1"/>
      <sheetName val="Parcela 2"/>
      <sheetName val="Parcela 3"/>
      <sheetName val="Parcela 4"/>
      <sheetName val="Parcela 5"/>
      <sheetName val="Parcela 6"/>
      <sheetName val="Peter Dragicevic"/>
      <sheetName val="Estanque Marina"/>
    </sheetNames>
    <sheetDataSet>
      <sheetData sheetId="0"/>
      <sheetData sheetId="1"/>
      <sheetData sheetId="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40518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2595.5</v>
          </cell>
          <cell r="G16">
            <v>163516.5</v>
          </cell>
          <cell r="J16">
            <v>334.17500000000001</v>
          </cell>
          <cell r="L16">
            <v>100252.5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302769</v>
          </cell>
          <cell r="V16">
            <v>0</v>
          </cell>
          <cell r="W16">
            <v>0</v>
          </cell>
        </row>
        <row r="17">
          <cell r="E17">
            <v>66.900000000000091</v>
          </cell>
          <cell r="G17">
            <v>4214.7000000000062</v>
          </cell>
          <cell r="J17">
            <v>3.5349999999999682</v>
          </cell>
          <cell r="L17">
            <v>1060.4999999999905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44275.199999999997</v>
          </cell>
          <cell r="V17">
            <v>0</v>
          </cell>
          <cell r="W17">
            <v>0</v>
          </cell>
        </row>
        <row r="18">
          <cell r="E18">
            <v>139</v>
          </cell>
          <cell r="G18">
            <v>8757</v>
          </cell>
          <cell r="J18">
            <v>46.29000000000002</v>
          </cell>
          <cell r="L18">
            <v>13887.000000000005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61644.000000000007</v>
          </cell>
          <cell r="V18">
            <v>0</v>
          </cell>
          <cell r="W18">
            <v>0</v>
          </cell>
        </row>
        <row r="19">
          <cell r="E19">
            <v>82.799999999999727</v>
          </cell>
          <cell r="G19">
            <v>5216.3999999999833</v>
          </cell>
          <cell r="J19">
            <v>24.300000000000011</v>
          </cell>
          <cell r="L19">
            <v>7290.0000000000036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51506.399999999987</v>
          </cell>
          <cell r="V19">
            <v>0</v>
          </cell>
          <cell r="W19">
            <v>0</v>
          </cell>
        </row>
        <row r="20">
          <cell r="E20">
            <v>121.60000000000036</v>
          </cell>
          <cell r="G20">
            <v>7660.8000000000229</v>
          </cell>
          <cell r="J20">
            <v>14.5</v>
          </cell>
          <cell r="L20">
            <v>4350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51010.800000000025</v>
          </cell>
          <cell r="V20">
            <v>0</v>
          </cell>
          <cell r="W20">
            <v>0</v>
          </cell>
        </row>
        <row r="21">
          <cell r="E21">
            <v>105.5</v>
          </cell>
          <cell r="G21">
            <v>6646.5</v>
          </cell>
          <cell r="J21">
            <v>6.5999999999999659</v>
          </cell>
          <cell r="L21">
            <v>1979.9999999999898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47626.499999999985</v>
          </cell>
          <cell r="V21">
            <v>0</v>
          </cell>
          <cell r="W21">
            <v>0</v>
          </cell>
        </row>
        <row r="22">
          <cell r="E22">
            <v>69.599999999999909</v>
          </cell>
          <cell r="G22">
            <v>4384.7999999999938</v>
          </cell>
          <cell r="J22">
            <v>4.6000000000000227</v>
          </cell>
          <cell r="L22">
            <v>1656.0000000000082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45040.800000000003</v>
          </cell>
          <cell r="V22">
            <v>0</v>
          </cell>
          <cell r="W22">
            <v>0</v>
          </cell>
        </row>
        <row r="23">
          <cell r="E23">
            <v>108.59999999999991</v>
          </cell>
          <cell r="G23">
            <v>6841.7999999999938</v>
          </cell>
          <cell r="J23">
            <v>4.1999999999999886</v>
          </cell>
          <cell r="L23">
            <v>1511.9999999999959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47353.799999999988</v>
          </cell>
          <cell r="V23">
            <v>0</v>
          </cell>
          <cell r="W23">
            <v>0</v>
          </cell>
        </row>
        <row r="24">
          <cell r="E24">
            <v>91.900000000000091</v>
          </cell>
          <cell r="G24">
            <v>5789.7000000000062</v>
          </cell>
          <cell r="J24">
            <v>3.5</v>
          </cell>
          <cell r="L24">
            <v>1260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46049.700000000004</v>
          </cell>
          <cell r="V24">
            <v>0</v>
          </cell>
          <cell r="W24">
            <v>0</v>
          </cell>
        </row>
        <row r="25">
          <cell r="E25">
            <v>103.69999999999982</v>
          </cell>
          <cell r="G25">
            <v>6533.0999999999885</v>
          </cell>
          <cell r="J25">
            <v>3.6999999999999886</v>
          </cell>
          <cell r="L25">
            <v>1331.9999999999959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46865.099999999984</v>
          </cell>
          <cell r="V25">
            <v>0</v>
          </cell>
          <cell r="W25">
            <v>0</v>
          </cell>
        </row>
        <row r="26">
          <cell r="E26">
            <v>59.200000000000273</v>
          </cell>
          <cell r="G26">
            <v>3729.6000000000172</v>
          </cell>
          <cell r="J26">
            <v>3.1000000000000227</v>
          </cell>
          <cell r="L26">
            <v>1116.0000000000082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43845.600000000028</v>
          </cell>
          <cell r="V26">
            <v>0</v>
          </cell>
          <cell r="W26">
            <v>43845.600000000028</v>
          </cell>
        </row>
        <row r="27">
          <cell r="E27">
            <v>48.099999999999909</v>
          </cell>
          <cell r="G27">
            <v>3030.2999999999943</v>
          </cell>
          <cell r="J27">
            <v>4.1000000000000227</v>
          </cell>
          <cell r="L27">
            <v>1476.0000000000082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43506.3</v>
          </cell>
          <cell r="V27">
            <v>43846</v>
          </cell>
          <cell r="W27">
            <v>43505.900000000023</v>
          </cell>
        </row>
        <row r="28">
          <cell r="E28">
            <v>67.5</v>
          </cell>
          <cell r="G28">
            <v>4252.5</v>
          </cell>
          <cell r="J28">
            <v>5.0999999999999659</v>
          </cell>
          <cell r="L28">
            <v>1835.9999999999877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45088.499999999985</v>
          </cell>
          <cell r="V28">
            <v>43505</v>
          </cell>
          <cell r="W28">
            <v>45089.400000000009</v>
          </cell>
        </row>
        <row r="29">
          <cell r="E29">
            <v>91.099999999999909</v>
          </cell>
          <cell r="G29">
            <v>5739.2999999999938</v>
          </cell>
          <cell r="J29">
            <v>8.3000000000000114</v>
          </cell>
          <cell r="L29">
            <v>2988.0000000000041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47727.299999999996</v>
          </cell>
          <cell r="V29">
            <v>50000</v>
          </cell>
          <cell r="W29">
            <v>42816.700000000012</v>
          </cell>
        </row>
        <row r="30">
          <cell r="E30">
            <v>61</v>
          </cell>
          <cell r="G30">
            <v>3843</v>
          </cell>
          <cell r="J30">
            <v>12.699999999999989</v>
          </cell>
          <cell r="L30">
            <v>4571.9999999999964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47415</v>
          </cell>
          <cell r="V30">
            <v>47001</v>
          </cell>
          <cell r="W30">
            <v>43230.700000000012</v>
          </cell>
        </row>
        <row r="31">
          <cell r="E31">
            <v>80</v>
          </cell>
          <cell r="G31">
            <v>5040</v>
          </cell>
          <cell r="J31">
            <v>24.300000000000011</v>
          </cell>
          <cell r="L31">
            <v>8748.0000000000036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52788</v>
          </cell>
          <cell r="V31">
            <v>86002</v>
          </cell>
          <cell r="W31">
            <v>53016.700000000012</v>
          </cell>
        </row>
        <row r="32">
          <cell r="E32">
            <v>114</v>
          </cell>
          <cell r="G32">
            <v>7182</v>
          </cell>
          <cell r="J32">
            <v>4</v>
          </cell>
          <cell r="L32">
            <v>1440</v>
          </cell>
          <cell r="M32">
            <v>0</v>
          </cell>
          <cell r="N32">
            <v>0</v>
          </cell>
          <cell r="O32">
            <v>39000</v>
          </cell>
          <cell r="P32">
            <v>4000</v>
          </cell>
          <cell r="Q32">
            <v>39000</v>
          </cell>
          <cell r="R32">
            <v>0</v>
          </cell>
          <cell r="S32">
            <v>51622</v>
          </cell>
          <cell r="V32">
            <v>47001</v>
          </cell>
          <cell r="W32">
            <v>57637.700000000012</v>
          </cell>
        </row>
        <row r="33">
          <cell r="E33">
            <v>76</v>
          </cell>
          <cell r="G33">
            <v>4788</v>
          </cell>
          <cell r="J33">
            <v>7.2999999999999545</v>
          </cell>
          <cell r="L33">
            <v>2627.9999999999836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50415.999999999985</v>
          </cell>
          <cell r="V33">
            <v>47001</v>
          </cell>
          <cell r="W33">
            <v>61052.7</v>
          </cell>
        </row>
        <row r="34">
          <cell r="E34">
            <v>63</v>
          </cell>
          <cell r="G34">
            <v>3969</v>
          </cell>
          <cell r="J34">
            <v>0.70000000000004547</v>
          </cell>
          <cell r="L34">
            <v>252.00000000001637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47221.000000000015</v>
          </cell>
          <cell r="V34">
            <v>47001</v>
          </cell>
          <cell r="W34">
            <v>61272.700000000012</v>
          </cell>
        </row>
        <row r="35">
          <cell r="E35">
            <v>65</v>
          </cell>
          <cell r="G35">
            <v>4095</v>
          </cell>
          <cell r="J35">
            <v>2.3500000000000227</v>
          </cell>
          <cell r="L35">
            <v>846.00000000000819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47941.000000000007</v>
          </cell>
          <cell r="V35">
            <v>47001</v>
          </cell>
          <cell r="W35">
            <v>62212.700000000012</v>
          </cell>
        </row>
        <row r="36">
          <cell r="E36">
            <v>106</v>
          </cell>
          <cell r="G36">
            <v>6678</v>
          </cell>
          <cell r="J36">
            <v>3.0099999999999909</v>
          </cell>
          <cell r="L36">
            <v>1083.5999999999967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50761.599999999999</v>
          </cell>
          <cell r="V36">
            <v>47001</v>
          </cell>
          <cell r="W36">
            <v>65973.300000000017</v>
          </cell>
        </row>
        <row r="37">
          <cell r="E37">
            <v>55</v>
          </cell>
          <cell r="G37">
            <v>3465</v>
          </cell>
          <cell r="J37">
            <v>0.63999999999998636</v>
          </cell>
          <cell r="L37">
            <v>230.39999999999509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46695.399999999994</v>
          </cell>
          <cell r="V37">
            <v>77001</v>
          </cell>
          <cell r="W37">
            <v>35667.700000000012</v>
          </cell>
        </row>
        <row r="38">
          <cell r="E38">
            <v>53</v>
          </cell>
          <cell r="G38">
            <v>3339</v>
          </cell>
          <cell r="J38">
            <v>9</v>
          </cell>
          <cell r="L38">
            <v>3240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49579</v>
          </cell>
          <cell r="V38">
            <v>47001</v>
          </cell>
          <cell r="W38">
            <v>38245.700000000012</v>
          </cell>
        </row>
        <row r="39">
          <cell r="E39">
            <v>47</v>
          </cell>
          <cell r="G39">
            <v>2961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47401</v>
          </cell>
          <cell r="V39">
            <v>47001</v>
          </cell>
          <cell r="W39">
            <v>38645.700000000012</v>
          </cell>
        </row>
        <row r="40">
          <cell r="E40">
            <v>52</v>
          </cell>
          <cell r="G40">
            <v>3276</v>
          </cell>
          <cell r="J40">
            <v>3</v>
          </cell>
          <cell r="L40">
            <v>1080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47356</v>
          </cell>
          <cell r="V40">
            <v>47001</v>
          </cell>
          <cell r="W40">
            <v>39000.700000000012</v>
          </cell>
        </row>
        <row r="41">
          <cell r="E41">
            <v>57</v>
          </cell>
          <cell r="G41">
            <v>3591</v>
          </cell>
          <cell r="J41">
            <v>13</v>
          </cell>
          <cell r="L41">
            <v>4680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51271</v>
          </cell>
          <cell r="V41">
            <v>47001</v>
          </cell>
          <cell r="W41">
            <v>43270.700000000012</v>
          </cell>
        </row>
        <row r="42">
          <cell r="E42">
            <v>102</v>
          </cell>
          <cell r="G42">
            <v>6426</v>
          </cell>
          <cell r="J42">
            <v>8</v>
          </cell>
          <cell r="L42">
            <v>2880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52306</v>
          </cell>
          <cell r="V42">
            <v>47001</v>
          </cell>
          <cell r="W42">
            <v>48575.700000000012</v>
          </cell>
        </row>
        <row r="43">
          <cell r="E43">
            <v>217</v>
          </cell>
          <cell r="G43">
            <v>13671</v>
          </cell>
          <cell r="J43">
            <v>70</v>
          </cell>
          <cell r="L43">
            <v>25200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81871</v>
          </cell>
          <cell r="V43">
            <v>47001</v>
          </cell>
          <cell r="W43">
            <v>83445.700000000012</v>
          </cell>
        </row>
        <row r="44">
          <cell r="E44">
            <v>185</v>
          </cell>
          <cell r="G44">
            <v>11655</v>
          </cell>
          <cell r="J44">
            <v>19</v>
          </cell>
          <cell r="L44">
            <v>6840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61495</v>
          </cell>
          <cell r="V44">
            <v>84002</v>
          </cell>
          <cell r="W44">
            <v>60938.700000000012</v>
          </cell>
        </row>
        <row r="45">
          <cell r="E45">
            <v>169</v>
          </cell>
          <cell r="G45">
            <v>10647</v>
          </cell>
          <cell r="J45">
            <v>8</v>
          </cell>
          <cell r="L45">
            <v>2880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56527</v>
          </cell>
          <cell r="V45">
            <v>60001</v>
          </cell>
          <cell r="W45">
            <v>57464.700000000012</v>
          </cell>
        </row>
        <row r="46">
          <cell r="E46">
            <v>185</v>
          </cell>
          <cell r="G46">
            <v>11655</v>
          </cell>
          <cell r="J46">
            <v>7</v>
          </cell>
          <cell r="L46">
            <v>2520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57175</v>
          </cell>
          <cell r="V46">
            <v>60001</v>
          </cell>
          <cell r="W46">
            <v>54638.700000000012</v>
          </cell>
        </row>
        <row r="47">
          <cell r="E47">
            <v>220</v>
          </cell>
          <cell r="G47">
            <v>13860</v>
          </cell>
          <cell r="J47">
            <v>14</v>
          </cell>
          <cell r="L47">
            <v>5040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61900</v>
          </cell>
          <cell r="V47">
            <v>60001</v>
          </cell>
          <cell r="W47">
            <v>56537.700000000012</v>
          </cell>
        </row>
        <row r="48">
          <cell r="E48">
            <v>158</v>
          </cell>
          <cell r="G48">
            <v>9954</v>
          </cell>
          <cell r="J48">
            <v>9</v>
          </cell>
          <cell r="L48">
            <v>3240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56194</v>
          </cell>
          <cell r="V48">
            <v>60001</v>
          </cell>
          <cell r="W48">
            <v>52730.700000000012</v>
          </cell>
        </row>
        <row r="49">
          <cell r="E49">
            <v>90</v>
          </cell>
          <cell r="G49">
            <v>5670</v>
          </cell>
          <cell r="J49">
            <v>12</v>
          </cell>
          <cell r="L49">
            <v>4320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52990</v>
          </cell>
          <cell r="V49">
            <v>60001</v>
          </cell>
          <cell r="W49">
            <v>45719.700000000012</v>
          </cell>
        </row>
        <row r="50">
          <cell r="E50">
            <v>142</v>
          </cell>
          <cell r="G50">
            <v>8946</v>
          </cell>
          <cell r="J50">
            <v>10</v>
          </cell>
          <cell r="L50">
            <v>3600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55546</v>
          </cell>
          <cell r="V50">
            <v>60001</v>
          </cell>
          <cell r="W50">
            <v>41264.700000000012</v>
          </cell>
        </row>
        <row r="51">
          <cell r="E51">
            <v>88</v>
          </cell>
          <cell r="G51">
            <v>5544</v>
          </cell>
          <cell r="J51">
            <v>10</v>
          </cell>
          <cell r="L51">
            <v>3600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52144</v>
          </cell>
          <cell r="V51">
            <v>60001</v>
          </cell>
          <cell r="W51">
            <v>33407.700000000012</v>
          </cell>
        </row>
        <row r="52">
          <cell r="E52">
            <v>156</v>
          </cell>
          <cell r="G52">
            <v>9828</v>
          </cell>
          <cell r="J52">
            <v>22</v>
          </cell>
          <cell r="L52">
            <v>7920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60748</v>
          </cell>
          <cell r="V52">
            <v>60001</v>
          </cell>
          <cell r="W52">
            <v>34154.700000000012</v>
          </cell>
        </row>
        <row r="53">
          <cell r="E53">
            <v>52</v>
          </cell>
          <cell r="G53">
            <v>3276</v>
          </cell>
          <cell r="J53">
            <v>8</v>
          </cell>
          <cell r="L53">
            <v>2880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49156</v>
          </cell>
          <cell r="V53">
            <v>60001</v>
          </cell>
          <cell r="W53">
            <v>23309.700000000012</v>
          </cell>
        </row>
        <row r="54">
          <cell r="E54">
            <v>173</v>
          </cell>
          <cell r="G54">
            <v>10899</v>
          </cell>
          <cell r="J54">
            <v>138</v>
          </cell>
          <cell r="L54">
            <v>49680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103579</v>
          </cell>
          <cell r="V54">
            <v>60001</v>
          </cell>
          <cell r="W54">
            <v>73887.700000000012</v>
          </cell>
        </row>
        <row r="55">
          <cell r="E55">
            <v>258</v>
          </cell>
          <cell r="G55">
            <v>16254</v>
          </cell>
          <cell r="J55">
            <v>72</v>
          </cell>
          <cell r="L55">
            <v>25920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92174</v>
          </cell>
          <cell r="V55">
            <v>60001</v>
          </cell>
          <cell r="W55">
            <v>106060.70000000001</v>
          </cell>
        </row>
        <row r="56">
          <cell r="E56">
            <v>262</v>
          </cell>
          <cell r="G56">
            <v>16506</v>
          </cell>
          <cell r="J56">
            <v>40</v>
          </cell>
          <cell r="L56">
            <v>14400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80906</v>
          </cell>
          <cell r="V56">
            <v>60001</v>
          </cell>
          <cell r="W56">
            <v>126965.70000000001</v>
          </cell>
        </row>
        <row r="57">
          <cell r="E57">
            <v>188</v>
          </cell>
          <cell r="G57">
            <v>11844</v>
          </cell>
          <cell r="J57">
            <v>21</v>
          </cell>
          <cell r="L57">
            <v>7560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69404</v>
          </cell>
          <cell r="V57">
            <v>60001</v>
          </cell>
          <cell r="W57">
            <v>136368.70000000001</v>
          </cell>
        </row>
        <row r="58">
          <cell r="E58">
            <v>226</v>
          </cell>
          <cell r="G58">
            <v>14238</v>
          </cell>
          <cell r="J58">
            <v>10</v>
          </cell>
          <cell r="L58">
            <v>3600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67838</v>
          </cell>
          <cell r="V58">
            <v>200001</v>
          </cell>
          <cell r="W58">
            <v>4205.7000000000116</v>
          </cell>
        </row>
        <row r="59">
          <cell r="E59">
            <v>211</v>
          </cell>
          <cell r="G59">
            <v>13293</v>
          </cell>
          <cell r="J59">
            <v>4</v>
          </cell>
          <cell r="L59">
            <v>1440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64733</v>
          </cell>
          <cell r="V59">
            <v>60001</v>
          </cell>
          <cell r="W59">
            <v>8937.7000000000116</v>
          </cell>
        </row>
        <row r="60">
          <cell r="E60">
            <v>246</v>
          </cell>
          <cell r="G60">
            <v>15498</v>
          </cell>
          <cell r="J60">
            <v>6</v>
          </cell>
          <cell r="L60">
            <v>2160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67658</v>
          </cell>
          <cell r="V60">
            <v>60001</v>
          </cell>
          <cell r="W60">
            <v>16594.700000000012</v>
          </cell>
        </row>
        <row r="61">
          <cell r="E61">
            <v>160</v>
          </cell>
          <cell r="G61">
            <v>10080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60080</v>
          </cell>
          <cell r="V61">
            <v>60001</v>
          </cell>
          <cell r="W61">
            <v>16673.700000000012</v>
          </cell>
        </row>
        <row r="62">
          <cell r="E62">
            <v>199</v>
          </cell>
          <cell r="G62">
            <v>12537</v>
          </cell>
          <cell r="J62">
            <v>5</v>
          </cell>
          <cell r="L62">
            <v>1800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64337</v>
          </cell>
          <cell r="V62">
            <v>60001</v>
          </cell>
          <cell r="W62">
            <v>21009.700000000012</v>
          </cell>
        </row>
        <row r="63">
          <cell r="E63">
            <v>199</v>
          </cell>
          <cell r="G63">
            <v>12537</v>
          </cell>
          <cell r="J63">
            <v>11</v>
          </cell>
          <cell r="L63">
            <v>3960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66497</v>
          </cell>
          <cell r="V63">
            <v>60001</v>
          </cell>
          <cell r="W63">
            <v>27505.700000000012</v>
          </cell>
        </row>
        <row r="64">
          <cell r="E64">
            <v>183</v>
          </cell>
          <cell r="G64">
            <v>14457</v>
          </cell>
          <cell r="J64">
            <v>13</v>
          </cell>
          <cell r="L64">
            <v>4680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69137</v>
          </cell>
          <cell r="V64">
            <v>60001</v>
          </cell>
          <cell r="W64">
            <v>36641.700000000012</v>
          </cell>
        </row>
        <row r="65">
          <cell r="E65">
            <v>190</v>
          </cell>
          <cell r="G65">
            <v>15010</v>
          </cell>
          <cell r="J65">
            <v>65</v>
          </cell>
          <cell r="L65">
            <v>23400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88410</v>
          </cell>
          <cell r="V65">
            <v>60001</v>
          </cell>
          <cell r="W65">
            <v>65050.700000000012</v>
          </cell>
        </row>
        <row r="66">
          <cell r="E66">
            <v>104</v>
          </cell>
          <cell r="G66">
            <v>8216</v>
          </cell>
          <cell r="J66">
            <v>18</v>
          </cell>
          <cell r="L66">
            <v>6480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64696</v>
          </cell>
          <cell r="V66">
            <v>60001</v>
          </cell>
          <cell r="W66">
            <v>69745.700000000012</v>
          </cell>
        </row>
        <row r="67">
          <cell r="E67">
            <v>322</v>
          </cell>
          <cell r="G67">
            <v>28014</v>
          </cell>
          <cell r="J67">
            <v>500</v>
          </cell>
          <cell r="L67">
            <v>180000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258014</v>
          </cell>
          <cell r="V67">
            <v>60001</v>
          </cell>
          <cell r="W67">
            <v>267758.7</v>
          </cell>
        </row>
        <row r="68">
          <cell r="E68">
            <v>227</v>
          </cell>
          <cell r="G68">
            <v>19749</v>
          </cell>
          <cell r="J68">
            <v>138</v>
          </cell>
          <cell r="L68">
            <v>49680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119429</v>
          </cell>
          <cell r="V68">
            <v>268002</v>
          </cell>
          <cell r="W68">
            <v>119185.70000000001</v>
          </cell>
        </row>
        <row r="69">
          <cell r="E69">
            <v>229</v>
          </cell>
          <cell r="G69">
            <v>25419</v>
          </cell>
          <cell r="J69">
            <v>213</v>
          </cell>
          <cell r="L69">
            <v>76680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152099</v>
          </cell>
          <cell r="V69">
            <v>60001</v>
          </cell>
          <cell r="W69">
            <v>211283.7</v>
          </cell>
        </row>
        <row r="70">
          <cell r="E70">
            <v>230</v>
          </cell>
          <cell r="G70">
            <v>28520</v>
          </cell>
          <cell r="J70">
            <v>88</v>
          </cell>
          <cell r="L70">
            <v>31680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110200</v>
          </cell>
          <cell r="V70">
            <v>60001</v>
          </cell>
          <cell r="W70">
            <v>261482.7</v>
          </cell>
        </row>
        <row r="71">
          <cell r="E71">
            <v>122</v>
          </cell>
          <cell r="G71">
            <v>11956</v>
          </cell>
          <cell r="J71">
            <v>35</v>
          </cell>
          <cell r="L71">
            <v>12600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74556</v>
          </cell>
          <cell r="V71">
            <v>260002</v>
          </cell>
          <cell r="W71">
            <v>76036.700000000012</v>
          </cell>
        </row>
        <row r="72">
          <cell r="E72">
            <v>123</v>
          </cell>
          <cell r="G72">
            <v>12792</v>
          </cell>
          <cell r="J72">
            <v>1</v>
          </cell>
          <cell r="L72">
            <v>360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63152</v>
          </cell>
          <cell r="V72">
            <v>60001</v>
          </cell>
          <cell r="W72">
            <v>79187.700000000012</v>
          </cell>
        </row>
        <row r="73">
          <cell r="E73">
            <v>209</v>
          </cell>
          <cell r="G73">
            <v>23408</v>
          </cell>
          <cell r="J73">
            <v>4</v>
          </cell>
          <cell r="L73">
            <v>1440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74848</v>
          </cell>
          <cell r="V73">
            <v>140002</v>
          </cell>
          <cell r="W73">
            <v>14033.700000000012</v>
          </cell>
        </row>
        <row r="74">
          <cell r="E74">
            <v>121</v>
          </cell>
          <cell r="G74">
            <v>12947</v>
          </cell>
          <cell r="J74">
            <v>3</v>
          </cell>
          <cell r="L74">
            <v>1080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64027</v>
          </cell>
          <cell r="V74">
            <v>60001</v>
          </cell>
          <cell r="W74">
            <v>18059.700000000012</v>
          </cell>
        </row>
        <row r="75">
          <cell r="E75">
            <v>167</v>
          </cell>
          <cell r="G75">
            <v>18370</v>
          </cell>
          <cell r="J75">
            <v>24</v>
          </cell>
          <cell r="L75">
            <v>8640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77010</v>
          </cell>
          <cell r="V75">
            <v>110002</v>
          </cell>
          <cell r="W75">
            <v>-14932.299999999988</v>
          </cell>
        </row>
        <row r="76">
          <cell r="E76">
            <v>97</v>
          </cell>
          <cell r="G76">
            <v>12222</v>
          </cell>
          <cell r="J76">
            <v>83</v>
          </cell>
          <cell r="L76">
            <v>29880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92102</v>
          </cell>
          <cell r="V76">
            <v>60001</v>
          </cell>
          <cell r="W76">
            <v>17168.700000000012</v>
          </cell>
        </row>
        <row r="77">
          <cell r="E77">
            <v>117</v>
          </cell>
          <cell r="G77">
            <v>13923</v>
          </cell>
          <cell r="J77">
            <v>111</v>
          </cell>
          <cell r="L77">
            <v>39960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103883</v>
          </cell>
          <cell r="V77">
            <v>161981</v>
          </cell>
          <cell r="W77">
            <v>-40929.299999999988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50000</v>
          </cell>
          <cell r="V78">
            <v>60001</v>
          </cell>
          <cell r="W78">
            <v>-50930.299999999988</v>
          </cell>
        </row>
        <row r="79">
          <cell r="E79">
            <v>510</v>
          </cell>
          <cell r="G79">
            <v>63240</v>
          </cell>
          <cell r="J79">
            <v>167</v>
          </cell>
          <cell r="L79">
            <v>60120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173360</v>
          </cell>
          <cell r="V79">
            <v>60001</v>
          </cell>
          <cell r="W79">
            <v>62428.700000000012</v>
          </cell>
        </row>
        <row r="80">
          <cell r="E80">
            <v>279</v>
          </cell>
          <cell r="G80">
            <v>36270</v>
          </cell>
          <cell r="J80">
            <v>71</v>
          </cell>
          <cell r="L80">
            <v>25560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111830</v>
          </cell>
          <cell r="V80">
            <v>160001</v>
          </cell>
          <cell r="W80">
            <v>14257.700000000012</v>
          </cell>
        </row>
        <row r="81">
          <cell r="E81">
            <v>263</v>
          </cell>
          <cell r="G81">
            <v>34190</v>
          </cell>
          <cell r="J81">
            <v>95</v>
          </cell>
          <cell r="L81">
            <v>34200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118390</v>
          </cell>
          <cell r="V81">
            <v>160001</v>
          </cell>
          <cell r="W81">
            <v>-27353.299999999988</v>
          </cell>
        </row>
        <row r="82">
          <cell r="E82">
            <v>175</v>
          </cell>
          <cell r="G82">
            <v>24500</v>
          </cell>
          <cell r="J82">
            <v>84</v>
          </cell>
          <cell r="L82">
            <v>30240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104740</v>
          </cell>
          <cell r="V82">
            <v>140002</v>
          </cell>
          <cell r="W82">
            <v>-62615.299999999988</v>
          </cell>
        </row>
        <row r="83">
          <cell r="E83">
            <v>175</v>
          </cell>
          <cell r="G83">
            <v>25550</v>
          </cell>
          <cell r="J83">
            <v>42</v>
          </cell>
          <cell r="L83">
            <v>15120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90670</v>
          </cell>
          <cell r="V83">
            <v>60001</v>
          </cell>
          <cell r="W83">
            <v>-31946.299999999988</v>
          </cell>
        </row>
        <row r="84">
          <cell r="E84">
            <v>217</v>
          </cell>
          <cell r="G84">
            <v>31682</v>
          </cell>
          <cell r="J84">
            <v>40</v>
          </cell>
          <cell r="L84">
            <v>14400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96082</v>
          </cell>
          <cell r="V84">
            <v>160001</v>
          </cell>
          <cell r="W84">
            <v>-95865.299999999988</v>
          </cell>
        </row>
        <row r="85">
          <cell r="E85">
            <v>199</v>
          </cell>
          <cell r="G85">
            <v>29054</v>
          </cell>
          <cell r="J85">
            <v>8</v>
          </cell>
          <cell r="L85">
            <v>2880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81934</v>
          </cell>
          <cell r="V85">
            <v>60001</v>
          </cell>
          <cell r="W85">
            <v>-63932.299999999988</v>
          </cell>
        </row>
        <row r="86">
          <cell r="E86">
            <v>174</v>
          </cell>
          <cell r="G86">
            <v>25404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86124</v>
          </cell>
          <cell r="V86">
            <v>60001</v>
          </cell>
          <cell r="W86">
            <v>-47809.299999999988</v>
          </cell>
        </row>
        <row r="87">
          <cell r="E87">
            <v>157</v>
          </cell>
          <cell r="G87">
            <v>22922</v>
          </cell>
          <cell r="J87">
            <v>6</v>
          </cell>
          <cell r="L87">
            <v>2160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75082</v>
          </cell>
          <cell r="V87">
            <v>80001</v>
          </cell>
          <cell r="W87">
            <v>-52728.299999999988</v>
          </cell>
        </row>
        <row r="88">
          <cell r="E88">
            <v>165</v>
          </cell>
          <cell r="G88">
            <v>24090</v>
          </cell>
          <cell r="J88">
            <v>43</v>
          </cell>
          <cell r="L88">
            <v>15480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89570</v>
          </cell>
          <cell r="V88">
            <v>80001</v>
          </cell>
          <cell r="W88">
            <v>-43159.299999999988</v>
          </cell>
        </row>
        <row r="89">
          <cell r="E89">
            <v>224</v>
          </cell>
          <cell r="G89">
            <v>32704</v>
          </cell>
          <cell r="J89">
            <v>31</v>
          </cell>
          <cell r="L89">
            <v>11160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93864</v>
          </cell>
          <cell r="V89">
            <v>80001</v>
          </cell>
          <cell r="W89">
            <v>-29296.299999999988</v>
          </cell>
        </row>
        <row r="90">
          <cell r="E90">
            <v>241</v>
          </cell>
          <cell r="G90">
            <v>35186</v>
          </cell>
          <cell r="J90">
            <v>75</v>
          </cell>
          <cell r="L90">
            <v>27000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112186</v>
          </cell>
          <cell r="V90">
            <v>130001</v>
          </cell>
          <cell r="W90">
            <v>-47111.299999999988</v>
          </cell>
        </row>
        <row r="91">
          <cell r="E91">
            <v>282</v>
          </cell>
          <cell r="G91">
            <v>41172</v>
          </cell>
          <cell r="J91">
            <v>96</v>
          </cell>
          <cell r="L91">
            <v>34560</v>
          </cell>
          <cell r="M91">
            <v>0</v>
          </cell>
          <cell r="N91">
            <v>0</v>
          </cell>
          <cell r="O91">
            <v>50000</v>
          </cell>
          <cell r="P91">
            <v>4000</v>
          </cell>
          <cell r="Q91">
            <v>55000</v>
          </cell>
          <cell r="R91">
            <v>0</v>
          </cell>
          <cell r="S91">
            <v>134732</v>
          </cell>
          <cell r="V91">
            <v>80001</v>
          </cell>
          <cell r="W91">
            <v>57619.700000000012</v>
          </cell>
        </row>
        <row r="92">
          <cell r="E92">
            <v>179</v>
          </cell>
          <cell r="G92">
            <v>26134</v>
          </cell>
          <cell r="J92">
            <v>171</v>
          </cell>
          <cell r="L92">
            <v>65340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150474</v>
          </cell>
          <cell r="V92">
            <v>70577</v>
          </cell>
          <cell r="W92">
            <v>137516.70000000001</v>
          </cell>
        </row>
        <row r="93">
          <cell r="E93">
            <v>141</v>
          </cell>
          <cell r="G93">
            <v>20586</v>
          </cell>
          <cell r="J93">
            <v>140</v>
          </cell>
          <cell r="L93">
            <v>50400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129986</v>
          </cell>
          <cell r="V93">
            <v>80001</v>
          </cell>
          <cell r="W93">
            <v>187501.7</v>
          </cell>
        </row>
        <row r="94">
          <cell r="E94">
            <v>255</v>
          </cell>
          <cell r="G94">
            <v>37230</v>
          </cell>
          <cell r="J94">
            <v>44</v>
          </cell>
          <cell r="L94">
            <v>15840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112070</v>
          </cell>
          <cell r="V94">
            <v>180001</v>
          </cell>
          <cell r="W94">
            <v>119570.70000000001</v>
          </cell>
        </row>
        <row r="95">
          <cell r="E95">
            <v>223</v>
          </cell>
          <cell r="G95">
            <v>32558</v>
          </cell>
          <cell r="J95">
            <v>7</v>
          </cell>
          <cell r="L95">
            <v>2520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94078</v>
          </cell>
          <cell r="V95">
            <v>80001</v>
          </cell>
          <cell r="W95">
            <v>133647.70000000001</v>
          </cell>
        </row>
        <row r="96">
          <cell r="E96">
            <v>193</v>
          </cell>
          <cell r="G96">
            <v>28178</v>
          </cell>
          <cell r="J96">
            <v>6</v>
          </cell>
          <cell r="L96">
            <v>2160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89338</v>
          </cell>
          <cell r="V96">
            <v>80001</v>
          </cell>
          <cell r="W96">
            <v>142984.70000000001</v>
          </cell>
        </row>
        <row r="97">
          <cell r="E97">
            <v>218</v>
          </cell>
          <cell r="G97">
            <v>31828</v>
          </cell>
          <cell r="J97">
            <v>3</v>
          </cell>
          <cell r="L97">
            <v>1080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91908</v>
          </cell>
          <cell r="V97">
            <v>245002</v>
          </cell>
          <cell r="W97">
            <v>-10109.299999999988</v>
          </cell>
        </row>
        <row r="98">
          <cell r="E98">
            <v>194</v>
          </cell>
          <cell r="G98">
            <v>28324</v>
          </cell>
          <cell r="J98">
            <v>5</v>
          </cell>
          <cell r="L98">
            <v>1800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89124</v>
          </cell>
          <cell r="V98">
            <v>80001</v>
          </cell>
          <cell r="W98">
            <v>-986.29999999998836</v>
          </cell>
        </row>
        <row r="99">
          <cell r="E99">
            <v>272</v>
          </cell>
          <cell r="G99">
            <v>39712</v>
          </cell>
          <cell r="J99">
            <v>7</v>
          </cell>
          <cell r="L99">
            <v>2520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101232</v>
          </cell>
          <cell r="V99">
            <v>80001</v>
          </cell>
          <cell r="W99">
            <v>20244.700000000012</v>
          </cell>
        </row>
        <row r="100">
          <cell r="E100">
            <v>187</v>
          </cell>
          <cell r="G100">
            <v>27302</v>
          </cell>
          <cell r="J100">
            <v>17</v>
          </cell>
          <cell r="L100">
            <v>6120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92422</v>
          </cell>
          <cell r="V100">
            <v>180002</v>
          </cell>
          <cell r="W100">
            <v>-67335.299999999988</v>
          </cell>
        </row>
        <row r="101">
          <cell r="E101">
            <v>122</v>
          </cell>
          <cell r="G101">
            <v>17812</v>
          </cell>
          <cell r="J101">
            <v>45</v>
          </cell>
          <cell r="L101">
            <v>16200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93012</v>
          </cell>
          <cell r="V101">
            <v>80001</v>
          </cell>
          <cell r="W101">
            <v>-54324.299999999988</v>
          </cell>
        </row>
        <row r="102">
          <cell r="E102">
            <v>142</v>
          </cell>
          <cell r="G102">
            <v>20732</v>
          </cell>
          <cell r="J102">
            <v>162</v>
          </cell>
          <cell r="L102">
            <v>60480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140212</v>
          </cell>
          <cell r="V102">
            <v>80001</v>
          </cell>
          <cell r="W102">
            <v>5886.7000000000116</v>
          </cell>
        </row>
        <row r="103">
          <cell r="E103">
            <v>184</v>
          </cell>
          <cell r="G103">
            <v>26864</v>
          </cell>
          <cell r="J103">
            <v>188</v>
          </cell>
          <cell r="L103">
            <v>74520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162034</v>
          </cell>
          <cell r="V103">
            <v>80001</v>
          </cell>
          <cell r="W103">
            <v>87919.700000000012</v>
          </cell>
        </row>
        <row r="104">
          <cell r="E104">
            <v>186</v>
          </cell>
          <cell r="G104">
            <v>27156</v>
          </cell>
          <cell r="J104">
            <v>178</v>
          </cell>
          <cell r="L104">
            <v>69120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156926</v>
          </cell>
          <cell r="V104">
            <v>180002</v>
          </cell>
          <cell r="W104">
            <v>64843.700000000012</v>
          </cell>
        </row>
        <row r="105">
          <cell r="E105">
            <v>197</v>
          </cell>
          <cell r="G105">
            <v>28762</v>
          </cell>
          <cell r="J105">
            <v>195</v>
          </cell>
          <cell r="L105">
            <v>78300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167712</v>
          </cell>
          <cell r="V105">
            <v>180002</v>
          </cell>
          <cell r="W105">
            <v>52553.700000000012</v>
          </cell>
        </row>
        <row r="106">
          <cell r="E106">
            <v>168</v>
          </cell>
          <cell r="G106">
            <v>24528</v>
          </cell>
          <cell r="J106">
            <v>140</v>
          </cell>
          <cell r="L106">
            <v>50400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135578</v>
          </cell>
          <cell r="V106">
            <v>80001</v>
          </cell>
          <cell r="W106">
            <v>108130.70000000001</v>
          </cell>
        </row>
        <row r="107">
          <cell r="E107">
            <v>124</v>
          </cell>
          <cell r="G107">
            <v>18104</v>
          </cell>
          <cell r="J107">
            <v>11</v>
          </cell>
          <cell r="L107">
            <v>3960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82714</v>
          </cell>
          <cell r="V107">
            <v>80001</v>
          </cell>
          <cell r="W107">
            <v>110843.70000000001</v>
          </cell>
        </row>
        <row r="108">
          <cell r="E108">
            <v>139</v>
          </cell>
          <cell r="G108">
            <v>20294</v>
          </cell>
          <cell r="J108">
            <v>10</v>
          </cell>
          <cell r="L108">
            <v>3600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84544</v>
          </cell>
          <cell r="V108">
            <v>80001</v>
          </cell>
          <cell r="W108">
            <v>115386.70000000001</v>
          </cell>
        </row>
        <row r="109">
          <cell r="E109">
            <v>166</v>
          </cell>
          <cell r="G109">
            <v>24236</v>
          </cell>
          <cell r="J109">
            <v>4</v>
          </cell>
          <cell r="L109">
            <v>1440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86326</v>
          </cell>
          <cell r="V109">
            <v>180002</v>
          </cell>
          <cell r="W109">
            <v>21710.700000000012</v>
          </cell>
        </row>
        <row r="110">
          <cell r="E110">
            <v>115</v>
          </cell>
          <cell r="G110">
            <v>16790</v>
          </cell>
          <cell r="J110">
            <v>3</v>
          </cell>
          <cell r="L110">
            <v>1080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78520</v>
          </cell>
          <cell r="V110">
            <v>80001</v>
          </cell>
          <cell r="W110">
            <v>20229.700000000012</v>
          </cell>
        </row>
        <row r="111">
          <cell r="E111">
            <v>181</v>
          </cell>
          <cell r="G111">
            <v>26426</v>
          </cell>
          <cell r="J111">
            <v>6</v>
          </cell>
          <cell r="L111">
            <v>2160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89236</v>
          </cell>
          <cell r="V111">
            <v>160002</v>
          </cell>
          <cell r="W111">
            <v>-50536.299999999988</v>
          </cell>
        </row>
        <row r="112">
          <cell r="E112">
            <v>153</v>
          </cell>
          <cell r="G112">
            <v>22338</v>
          </cell>
          <cell r="J112">
            <v>12</v>
          </cell>
          <cell r="L112">
            <v>4320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87308</v>
          </cell>
          <cell r="V112">
            <v>80001</v>
          </cell>
          <cell r="W112">
            <v>-43229.299999999988</v>
          </cell>
        </row>
        <row r="113">
          <cell r="E113">
            <v>102</v>
          </cell>
          <cell r="G113">
            <v>14892</v>
          </cell>
          <cell r="J113">
            <v>86</v>
          </cell>
          <cell r="L113">
            <v>30960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106502</v>
          </cell>
          <cell r="V113">
            <v>180002</v>
          </cell>
          <cell r="W113">
            <v>-116729.29999999999</v>
          </cell>
        </row>
        <row r="114">
          <cell r="E114">
            <v>193</v>
          </cell>
          <cell r="G114">
            <v>28178</v>
          </cell>
          <cell r="J114">
            <v>109</v>
          </cell>
          <cell r="L114">
            <v>39240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128068</v>
          </cell>
          <cell r="V114">
            <v>80001</v>
          </cell>
          <cell r="W114">
            <v>-68662.299999999988</v>
          </cell>
        </row>
        <row r="115">
          <cell r="E115">
            <v>210</v>
          </cell>
          <cell r="G115">
            <v>30660</v>
          </cell>
          <cell r="J115">
            <v>148</v>
          </cell>
          <cell r="L115">
            <v>53280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25466</v>
          </cell>
          <cell r="S115">
            <v>172265</v>
          </cell>
          <cell r="V115">
            <v>105001</v>
          </cell>
          <cell r="W115">
            <v>-1398.2999999999884</v>
          </cell>
        </row>
        <row r="116">
          <cell r="E116">
            <v>162</v>
          </cell>
          <cell r="G116">
            <v>23652</v>
          </cell>
          <cell r="J116">
            <v>162</v>
          </cell>
          <cell r="L116">
            <v>60480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146991</v>
          </cell>
          <cell r="V116">
            <v>80001</v>
          </cell>
          <cell r="W116">
            <v>65591.700000000012</v>
          </cell>
        </row>
        <row r="117">
          <cell r="E117">
            <v>170</v>
          </cell>
          <cell r="G117">
            <v>24820</v>
          </cell>
          <cell r="J117">
            <v>167</v>
          </cell>
          <cell r="L117">
            <v>63180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150859</v>
          </cell>
          <cell r="V117">
            <v>180002</v>
          </cell>
          <cell r="W117">
            <v>36448.700000000012</v>
          </cell>
        </row>
        <row r="118">
          <cell r="E118">
            <v>144</v>
          </cell>
          <cell r="G118">
            <v>21024</v>
          </cell>
          <cell r="J118">
            <v>141</v>
          </cell>
          <cell r="L118">
            <v>50760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134643</v>
          </cell>
          <cell r="V118">
            <v>180002</v>
          </cell>
          <cell r="W118">
            <v>-8910.2999999999884</v>
          </cell>
        </row>
        <row r="119">
          <cell r="E119">
            <v>175</v>
          </cell>
          <cell r="G119">
            <v>25550</v>
          </cell>
          <cell r="J119">
            <v>85</v>
          </cell>
          <cell r="L119">
            <v>30600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119009</v>
          </cell>
          <cell r="V119">
            <v>80001</v>
          </cell>
          <cell r="W119">
            <v>30097.700000000012</v>
          </cell>
        </row>
        <row r="120">
          <cell r="E120">
            <v>139</v>
          </cell>
          <cell r="G120">
            <v>20294</v>
          </cell>
          <cell r="J120">
            <v>16</v>
          </cell>
          <cell r="L120">
            <v>5760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88913</v>
          </cell>
          <cell r="V120">
            <v>80001</v>
          </cell>
          <cell r="W120">
            <v>39009.700000000012</v>
          </cell>
        </row>
        <row r="121">
          <cell r="E121">
            <v>190</v>
          </cell>
          <cell r="G121">
            <v>27740</v>
          </cell>
          <cell r="J121">
            <v>5</v>
          </cell>
          <cell r="L121">
            <v>1800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92399</v>
          </cell>
          <cell r="V121">
            <v>130001</v>
          </cell>
          <cell r="W121">
            <v>1407.7000000000116</v>
          </cell>
        </row>
        <row r="122">
          <cell r="E122">
            <v>176</v>
          </cell>
          <cell r="G122">
            <v>25696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96355</v>
          </cell>
          <cell r="V122">
            <v>160002</v>
          </cell>
          <cell r="W122">
            <v>-62239.299999999988</v>
          </cell>
        </row>
        <row r="123">
          <cell r="E123">
            <v>207</v>
          </cell>
          <cell r="G123">
            <v>30222</v>
          </cell>
          <cell r="J123">
            <v>31</v>
          </cell>
          <cell r="L123">
            <v>11160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110241</v>
          </cell>
          <cell r="V123">
            <v>100001</v>
          </cell>
          <cell r="W123">
            <v>-51999.299999999988</v>
          </cell>
        </row>
        <row r="124">
          <cell r="E124">
            <v>232</v>
          </cell>
          <cell r="G124">
            <v>33872</v>
          </cell>
          <cell r="J124">
            <v>53</v>
          </cell>
          <cell r="L124">
            <v>19080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121811</v>
          </cell>
          <cell r="V124">
            <v>80001</v>
          </cell>
          <cell r="W124">
            <v>-10189.299999999988</v>
          </cell>
        </row>
        <row r="125">
          <cell r="E125">
            <v>164</v>
          </cell>
          <cell r="G125">
            <v>23944</v>
          </cell>
          <cell r="J125">
            <v>74</v>
          </cell>
          <cell r="L125">
            <v>26640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119443</v>
          </cell>
          <cell r="V125">
            <v>80001</v>
          </cell>
          <cell r="W125">
            <v>29252.700000000012</v>
          </cell>
        </row>
        <row r="126">
          <cell r="E126">
            <v>219</v>
          </cell>
          <cell r="G126">
            <v>31974</v>
          </cell>
          <cell r="J126">
            <v>147</v>
          </cell>
          <cell r="L126">
            <v>52920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153753</v>
          </cell>
          <cell r="V126">
            <v>80001</v>
          </cell>
          <cell r="W126">
            <v>103004.70000000001</v>
          </cell>
        </row>
        <row r="127">
          <cell r="E127">
            <v>192</v>
          </cell>
          <cell r="G127">
            <v>28032</v>
          </cell>
          <cell r="J127">
            <v>220</v>
          </cell>
          <cell r="L127">
            <v>95400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193166</v>
          </cell>
          <cell r="V127">
            <v>230002</v>
          </cell>
          <cell r="W127">
            <v>66168.700000000012</v>
          </cell>
        </row>
        <row r="128">
          <cell r="E128">
            <v>189</v>
          </cell>
          <cell r="G128">
            <v>27594</v>
          </cell>
          <cell r="J128">
            <v>227</v>
          </cell>
          <cell r="L128">
            <v>100440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210056</v>
          </cell>
          <cell r="V128">
            <v>360003</v>
          </cell>
          <cell r="W128">
            <v>-83778.299999999988</v>
          </cell>
        </row>
        <row r="129">
          <cell r="E129">
            <v>184</v>
          </cell>
          <cell r="G129">
            <v>26864</v>
          </cell>
          <cell r="J129">
            <v>116</v>
          </cell>
          <cell r="L129">
            <v>41760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138358</v>
          </cell>
          <cell r="V129">
            <v>180002</v>
          </cell>
          <cell r="W129">
            <v>-125422.29999999999</v>
          </cell>
        </row>
        <row r="130">
          <cell r="E130">
            <v>187</v>
          </cell>
          <cell r="G130">
            <v>27302</v>
          </cell>
          <cell r="J130">
            <v>113</v>
          </cell>
          <cell r="L130">
            <v>40680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137716</v>
          </cell>
          <cell r="V130">
            <v>80001</v>
          </cell>
          <cell r="W130">
            <v>-67707.299999999988</v>
          </cell>
        </row>
        <row r="131">
          <cell r="E131">
            <v>201</v>
          </cell>
          <cell r="G131">
            <v>29346</v>
          </cell>
          <cell r="J131">
            <v>45</v>
          </cell>
          <cell r="L131">
            <v>16200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115280</v>
          </cell>
          <cell r="V131">
            <v>80001</v>
          </cell>
          <cell r="W131">
            <v>-32428.299999999988</v>
          </cell>
        </row>
        <row r="132">
          <cell r="E132">
            <v>160</v>
          </cell>
          <cell r="G132">
            <v>23360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94174</v>
          </cell>
          <cell r="V132">
            <v>100000</v>
          </cell>
          <cell r="W132">
            <v>-38254.299999999988</v>
          </cell>
        </row>
        <row r="133">
          <cell r="E133">
            <v>177</v>
          </cell>
          <cell r="G133">
            <v>25842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95576</v>
          </cell>
          <cell r="V133">
            <v>160002</v>
          </cell>
          <cell r="W133">
            <v>-102680.29999999999</v>
          </cell>
        </row>
        <row r="134">
          <cell r="E134">
            <v>246</v>
          </cell>
          <cell r="G134">
            <v>35916</v>
          </cell>
          <cell r="J134">
            <v>6</v>
          </cell>
          <cell r="L134">
            <v>2160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107810</v>
          </cell>
          <cell r="V134">
            <v>80001</v>
          </cell>
          <cell r="W134">
            <v>-74871.299999999988</v>
          </cell>
        </row>
        <row r="135">
          <cell r="E135">
            <v>172</v>
          </cell>
          <cell r="G135">
            <v>25112</v>
          </cell>
          <cell r="J135">
            <v>30</v>
          </cell>
          <cell r="L135">
            <v>10800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105646</v>
          </cell>
          <cell r="V135">
            <v>130002</v>
          </cell>
          <cell r="W135">
            <v>-99227.299999999988</v>
          </cell>
        </row>
        <row r="136">
          <cell r="E136">
            <v>234</v>
          </cell>
          <cell r="G136">
            <v>34164</v>
          </cell>
          <cell r="J136">
            <v>124</v>
          </cell>
          <cell r="L136">
            <v>44640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148538</v>
          </cell>
          <cell r="V136">
            <v>80001</v>
          </cell>
          <cell r="W136">
            <v>-30690.299999999988</v>
          </cell>
        </row>
        <row r="137">
          <cell r="E137">
            <v>210</v>
          </cell>
          <cell r="G137">
            <v>30660</v>
          </cell>
          <cell r="J137">
            <v>219</v>
          </cell>
          <cell r="L137">
            <v>94680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195074</v>
          </cell>
          <cell r="V137">
            <v>180002</v>
          </cell>
          <cell r="W137">
            <v>-15618.299999999988</v>
          </cell>
        </row>
        <row r="138">
          <cell r="E138">
            <v>216</v>
          </cell>
          <cell r="G138">
            <v>31536</v>
          </cell>
          <cell r="J138">
            <v>207</v>
          </cell>
          <cell r="L138">
            <v>86040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207310</v>
          </cell>
          <cell r="V138">
            <v>150001</v>
          </cell>
          <cell r="W138">
            <v>41690.700000000012</v>
          </cell>
        </row>
        <row r="139">
          <cell r="E139">
            <v>218</v>
          </cell>
          <cell r="G139">
            <v>31828</v>
          </cell>
          <cell r="J139">
            <v>262</v>
          </cell>
          <cell r="L139">
            <v>247320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355684</v>
          </cell>
          <cell r="V139">
            <v>400003</v>
          </cell>
          <cell r="W139">
            <v>-2628.2999999999884</v>
          </cell>
        </row>
        <row r="140">
          <cell r="E140">
            <v>181</v>
          </cell>
          <cell r="G140">
            <v>26426</v>
          </cell>
          <cell r="J140">
            <v>150</v>
          </cell>
          <cell r="L140">
            <v>59400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162362</v>
          </cell>
          <cell r="V140">
            <v>160002</v>
          </cell>
          <cell r="W140">
            <v>-268.29999999998836</v>
          </cell>
        </row>
        <row r="141">
          <cell r="E141">
            <v>197</v>
          </cell>
          <cell r="G141">
            <v>28762</v>
          </cell>
          <cell r="J141">
            <v>152</v>
          </cell>
          <cell r="L141">
            <v>61560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166858</v>
          </cell>
          <cell r="V141">
            <v>200001</v>
          </cell>
          <cell r="W141">
            <v>-33411.299999999988</v>
          </cell>
        </row>
        <row r="142">
          <cell r="E142">
            <v>221</v>
          </cell>
          <cell r="G142">
            <v>32266</v>
          </cell>
          <cell r="J142">
            <v>94</v>
          </cell>
          <cell r="L142">
            <v>33840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142642</v>
          </cell>
          <cell r="V142">
            <v>80001</v>
          </cell>
          <cell r="W142">
            <v>29229.700000000012</v>
          </cell>
        </row>
        <row r="143">
          <cell r="E143">
            <v>225</v>
          </cell>
          <cell r="G143">
            <v>32850</v>
          </cell>
          <cell r="J143">
            <v>48</v>
          </cell>
          <cell r="L143">
            <v>17280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46887</v>
          </cell>
          <cell r="S143">
            <v>173553</v>
          </cell>
          <cell r="V143">
            <v>180002</v>
          </cell>
          <cell r="W143">
            <v>22780.700000000012</v>
          </cell>
        </row>
        <row r="144">
          <cell r="E144">
            <v>151</v>
          </cell>
          <cell r="G144">
            <v>22046</v>
          </cell>
          <cell r="J144">
            <v>22</v>
          </cell>
          <cell r="L144">
            <v>7920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106502</v>
          </cell>
          <cell r="V144">
            <v>180002</v>
          </cell>
          <cell r="W144">
            <v>-50719.299999999988</v>
          </cell>
        </row>
        <row r="145">
          <cell r="E145">
            <v>243</v>
          </cell>
          <cell r="G145">
            <v>35478</v>
          </cell>
          <cell r="J145">
            <v>20</v>
          </cell>
          <cell r="L145">
            <v>7200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119214</v>
          </cell>
          <cell r="V145">
            <v>80001</v>
          </cell>
          <cell r="W145">
            <v>-11506.299999999988</v>
          </cell>
        </row>
        <row r="146">
          <cell r="E146">
            <v>193</v>
          </cell>
          <cell r="G146">
            <v>28178</v>
          </cell>
          <cell r="J146">
            <v>31</v>
          </cell>
          <cell r="L146">
            <v>11160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115874</v>
          </cell>
          <cell r="V146">
            <v>180002</v>
          </cell>
          <cell r="W146">
            <v>-75634.299999999988</v>
          </cell>
        </row>
        <row r="147">
          <cell r="E147">
            <v>207</v>
          </cell>
          <cell r="G147">
            <v>30222</v>
          </cell>
          <cell r="J147">
            <v>35</v>
          </cell>
          <cell r="L147">
            <v>12600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119358</v>
          </cell>
          <cell r="V147">
            <v>80001</v>
          </cell>
          <cell r="W147">
            <v>-36277.299999999988</v>
          </cell>
        </row>
        <row r="148">
          <cell r="E148">
            <v>214</v>
          </cell>
          <cell r="G148">
            <v>31244</v>
          </cell>
          <cell r="J148">
            <v>92</v>
          </cell>
          <cell r="L148">
            <v>33120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140900</v>
          </cell>
          <cell r="V148">
            <v>180002</v>
          </cell>
          <cell r="W148">
            <v>-75379.299999999988</v>
          </cell>
        </row>
        <row r="149">
          <cell r="E149">
            <v>223</v>
          </cell>
          <cell r="G149">
            <v>32558</v>
          </cell>
          <cell r="J149">
            <v>129</v>
          </cell>
          <cell r="L149">
            <v>48060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157154</v>
          </cell>
          <cell r="V149">
            <v>160002</v>
          </cell>
          <cell r="W149">
            <v>-78227.299999999988</v>
          </cell>
        </row>
        <row r="150">
          <cell r="E150">
            <v>203</v>
          </cell>
          <cell r="G150">
            <v>29638</v>
          </cell>
          <cell r="J150">
            <v>148</v>
          </cell>
          <cell r="L150">
            <v>58320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166494</v>
          </cell>
          <cell r="V150">
            <v>200001</v>
          </cell>
          <cell r="W150">
            <v>-111734.29999999999</v>
          </cell>
        </row>
        <row r="151">
          <cell r="E151">
            <v>239</v>
          </cell>
          <cell r="G151">
            <v>34894</v>
          </cell>
          <cell r="J151">
            <v>136</v>
          </cell>
          <cell r="L151">
            <v>51840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168129</v>
          </cell>
          <cell r="V151">
            <v>160002</v>
          </cell>
          <cell r="W151">
            <v>-103607.29999999999</v>
          </cell>
        </row>
        <row r="152">
          <cell r="E152">
            <v>182</v>
          </cell>
          <cell r="G152">
            <v>26572</v>
          </cell>
          <cell r="J152">
            <v>135</v>
          </cell>
          <cell r="L152">
            <v>51300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159267</v>
          </cell>
          <cell r="V152">
            <v>100001</v>
          </cell>
          <cell r="W152">
            <v>-44341.299999999988</v>
          </cell>
        </row>
        <row r="153">
          <cell r="E153">
            <v>190</v>
          </cell>
          <cell r="G153">
            <v>27740</v>
          </cell>
          <cell r="J153">
            <v>129</v>
          </cell>
          <cell r="L153">
            <v>48060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162154</v>
          </cell>
          <cell r="V153">
            <v>160002</v>
          </cell>
          <cell r="W153">
            <v>-42189.299999999988</v>
          </cell>
        </row>
        <row r="154">
          <cell r="E154">
            <v>193</v>
          </cell>
          <cell r="G154">
            <v>28178</v>
          </cell>
          <cell r="J154">
            <v>160</v>
          </cell>
          <cell r="L154">
            <v>70200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49509</v>
          </cell>
          <cell r="S154">
            <v>234241</v>
          </cell>
          <cell r="V154">
            <v>0</v>
          </cell>
          <cell r="W154">
            <v>192051.7</v>
          </cell>
        </row>
        <row r="155">
          <cell r="E155">
            <v>132</v>
          </cell>
          <cell r="G155">
            <v>19272</v>
          </cell>
          <cell r="J155">
            <v>121</v>
          </cell>
          <cell r="L155">
            <v>43560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49810</v>
          </cell>
          <cell r="S155">
            <v>198996</v>
          </cell>
          <cell r="V155">
            <v>0</v>
          </cell>
          <cell r="W155">
            <v>391047.7</v>
          </cell>
        </row>
        <row r="156">
          <cell r="E156">
            <v>130</v>
          </cell>
          <cell r="G156">
            <v>18980</v>
          </cell>
          <cell r="J156">
            <v>64</v>
          </cell>
          <cell r="L156">
            <v>23040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128374</v>
          </cell>
          <cell r="V156">
            <v>519422</v>
          </cell>
          <cell r="W156">
            <v>-0.29999999998835847</v>
          </cell>
        </row>
        <row r="157">
          <cell r="E157">
            <v>56</v>
          </cell>
          <cell r="G157">
            <v>8176</v>
          </cell>
          <cell r="J157">
            <v>54</v>
          </cell>
          <cell r="L157">
            <v>19440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113970</v>
          </cell>
          <cell r="V157">
            <v>113970</v>
          </cell>
          <cell r="W157">
            <v>-0.29999999998835847</v>
          </cell>
        </row>
        <row r="158">
          <cell r="E158">
            <v>132</v>
          </cell>
          <cell r="G158">
            <v>19272</v>
          </cell>
          <cell r="J158">
            <v>106</v>
          </cell>
          <cell r="L158">
            <v>38160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143786</v>
          </cell>
          <cell r="V158">
            <v>0</v>
          </cell>
          <cell r="W158">
            <v>143785.70000000001</v>
          </cell>
        </row>
        <row r="159">
          <cell r="E159">
            <v>135</v>
          </cell>
          <cell r="G159">
            <v>19710</v>
          </cell>
          <cell r="J159">
            <v>8</v>
          </cell>
          <cell r="L159">
            <v>2880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108944</v>
          </cell>
          <cell r="V159">
            <v>252730</v>
          </cell>
          <cell r="W159">
            <v>-0.29999999998835847</v>
          </cell>
        </row>
        <row r="160">
          <cell r="E160">
            <v>131</v>
          </cell>
          <cell r="G160">
            <v>19126</v>
          </cell>
          <cell r="J160">
            <v>123</v>
          </cell>
          <cell r="L160">
            <v>44820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150300</v>
          </cell>
          <cell r="V160">
            <v>0</v>
          </cell>
          <cell r="W160">
            <v>150299.70000000001</v>
          </cell>
        </row>
        <row r="161">
          <cell r="E161">
            <v>195</v>
          </cell>
          <cell r="G161">
            <v>28470</v>
          </cell>
          <cell r="J161">
            <v>190</v>
          </cell>
          <cell r="L161">
            <v>102600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217424</v>
          </cell>
          <cell r="V161">
            <v>367724</v>
          </cell>
          <cell r="W161">
            <v>-0.29999999998835847</v>
          </cell>
        </row>
        <row r="162">
          <cell r="E162">
            <v>167</v>
          </cell>
          <cell r="G162">
            <v>24382</v>
          </cell>
          <cell r="J162">
            <v>165</v>
          </cell>
          <cell r="L162">
            <v>75600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186042</v>
          </cell>
          <cell r="V162">
            <v>0</v>
          </cell>
          <cell r="W162">
            <v>186041.7</v>
          </cell>
        </row>
        <row r="163">
          <cell r="E163">
            <v>141</v>
          </cell>
          <cell r="G163">
            <v>20586</v>
          </cell>
          <cell r="J163">
            <v>53</v>
          </cell>
          <cell r="L163">
            <v>19080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135726</v>
          </cell>
          <cell r="V163">
            <v>321768</v>
          </cell>
          <cell r="W163">
            <v>-0.29999999998835847</v>
          </cell>
        </row>
        <row r="164">
          <cell r="E164">
            <v>144</v>
          </cell>
          <cell r="G164">
            <v>21024</v>
          </cell>
          <cell r="J164">
            <v>41</v>
          </cell>
          <cell r="L164">
            <v>14760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131844</v>
          </cell>
          <cell r="V164">
            <v>0</v>
          </cell>
          <cell r="W164">
            <v>131843.70000000001</v>
          </cell>
        </row>
        <row r="165">
          <cell r="E165">
            <v>133</v>
          </cell>
          <cell r="G165">
            <v>19418</v>
          </cell>
          <cell r="J165">
            <v>30</v>
          </cell>
          <cell r="L165">
            <v>10800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126278</v>
          </cell>
          <cell r="V165">
            <v>321768</v>
          </cell>
          <cell r="W165">
            <v>-63646.299999999988</v>
          </cell>
        </row>
        <row r="166">
          <cell r="E166">
            <v>91</v>
          </cell>
          <cell r="G166">
            <v>13286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124870</v>
          </cell>
          <cell r="V166">
            <v>61224</v>
          </cell>
          <cell r="W166">
            <v>-0.29999999998835847</v>
          </cell>
        </row>
        <row r="167">
          <cell r="E167">
            <v>98</v>
          </cell>
          <cell r="G167">
            <v>14308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110412</v>
          </cell>
          <cell r="V167">
            <v>0</v>
          </cell>
          <cell r="W167">
            <v>110411.70000000001</v>
          </cell>
        </row>
        <row r="168">
          <cell r="E168">
            <v>128</v>
          </cell>
          <cell r="G168">
            <v>18688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114792</v>
          </cell>
          <cell r="V168">
            <v>225204</v>
          </cell>
          <cell r="W168">
            <v>-0.29999999998835847</v>
          </cell>
        </row>
        <row r="169">
          <cell r="E169">
            <v>109</v>
          </cell>
          <cell r="G169">
            <v>15914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111984</v>
          </cell>
          <cell r="V169">
            <v>0</v>
          </cell>
          <cell r="W169">
            <v>111983.70000000001</v>
          </cell>
        </row>
        <row r="170">
          <cell r="E170">
            <v>110</v>
          </cell>
          <cell r="G170">
            <v>16060</v>
          </cell>
          <cell r="J170">
            <v>1</v>
          </cell>
          <cell r="L170">
            <v>360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112130</v>
          </cell>
          <cell r="V170">
            <v>224114</v>
          </cell>
          <cell r="W170">
            <v>-0.29999999998835847</v>
          </cell>
        </row>
        <row r="171">
          <cell r="E171">
            <v>119</v>
          </cell>
          <cell r="G171">
            <v>17374</v>
          </cell>
          <cell r="J171">
            <v>22</v>
          </cell>
          <cell r="L171">
            <v>7920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116689</v>
          </cell>
          <cell r="V171">
            <v>116689</v>
          </cell>
          <cell r="W171">
            <v>-0.29999999998835847</v>
          </cell>
        </row>
        <row r="172">
          <cell r="E172">
            <v>105</v>
          </cell>
          <cell r="G172">
            <v>15330</v>
          </cell>
          <cell r="J172">
            <v>39</v>
          </cell>
          <cell r="L172">
            <v>14040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120765</v>
          </cell>
          <cell r="V172">
            <v>0</v>
          </cell>
          <cell r="W172">
            <v>120764.70000000001</v>
          </cell>
        </row>
        <row r="173">
          <cell r="E173">
            <v>111</v>
          </cell>
          <cell r="G173">
            <v>16206</v>
          </cell>
          <cell r="J173">
            <v>105</v>
          </cell>
          <cell r="L173">
            <v>37800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145401</v>
          </cell>
          <cell r="V173">
            <v>266166</v>
          </cell>
          <cell r="W173">
            <v>-0.29999999998835847</v>
          </cell>
        </row>
        <row r="174">
          <cell r="E174">
            <v>122</v>
          </cell>
          <cell r="G174">
            <v>17812</v>
          </cell>
          <cell r="J174">
            <v>123</v>
          </cell>
          <cell r="L174">
            <v>44820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154027</v>
          </cell>
          <cell r="V174">
            <v>0</v>
          </cell>
          <cell r="W174">
            <v>154026.70000000001</v>
          </cell>
        </row>
      </sheetData>
      <sheetData sheetId="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39000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39002</v>
          </cell>
          <cell r="W27">
            <v>38998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39002</v>
          </cell>
          <cell r="W28">
            <v>38996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39002</v>
          </cell>
          <cell r="W29">
            <v>38994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39002</v>
          </cell>
          <cell r="W30">
            <v>38992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39002</v>
          </cell>
          <cell r="W31">
            <v>77990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39002</v>
          </cell>
          <cell r="W32">
            <v>77988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39003</v>
          </cell>
          <cell r="W33">
            <v>77985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39003</v>
          </cell>
          <cell r="W34">
            <v>81982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39003</v>
          </cell>
          <cell r="W35">
            <v>85979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39003</v>
          </cell>
          <cell r="W36">
            <v>89976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39003</v>
          </cell>
          <cell r="W37">
            <v>93973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59003</v>
          </cell>
          <cell r="W38">
            <v>77970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43003</v>
          </cell>
          <cell r="W39">
            <v>77967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43003</v>
          </cell>
          <cell r="W40">
            <v>77964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43003</v>
          </cell>
          <cell r="W41">
            <v>77961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43003</v>
          </cell>
          <cell r="W42">
            <v>77958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120958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86006</v>
          </cell>
          <cell r="W44">
            <v>77952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43003</v>
          </cell>
          <cell r="W45">
            <v>77949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43003</v>
          </cell>
          <cell r="W46">
            <v>77946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43003</v>
          </cell>
          <cell r="W47">
            <v>77943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43003</v>
          </cell>
          <cell r="W48">
            <v>77940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43003</v>
          </cell>
          <cell r="W49">
            <v>77937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43003</v>
          </cell>
          <cell r="W50">
            <v>77934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43003</v>
          </cell>
          <cell r="W51">
            <v>77931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86006</v>
          </cell>
          <cell r="W52">
            <v>34925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77925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43003</v>
          </cell>
          <cell r="W54">
            <v>84922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43003</v>
          </cell>
          <cell r="W55">
            <v>91919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43003</v>
          </cell>
          <cell r="W56">
            <v>98916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43003</v>
          </cell>
          <cell r="W57">
            <v>105913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43003</v>
          </cell>
          <cell r="W58">
            <v>112910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43003</v>
          </cell>
          <cell r="W59">
            <v>119907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43003</v>
          </cell>
          <cell r="W60">
            <v>126904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80904</v>
          </cell>
          <cell r="W61">
            <v>92000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138000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184000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230000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276000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276000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322000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368000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414000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460000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506000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552000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598000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644000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690000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73600</v>
          </cell>
          <cell r="S76">
            <v>46000</v>
          </cell>
          <cell r="V76">
            <v>0</v>
          </cell>
          <cell r="W76">
            <v>809600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855600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855600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52000</v>
          </cell>
          <cell r="V79">
            <v>0</v>
          </cell>
          <cell r="W79">
            <v>140527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228675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316595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404583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492562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580428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678345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766180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853849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941763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1029798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1117684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1224420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1331261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1438258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1545321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1652546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1749950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1847405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1945041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2042721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2140509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2238377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2293377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2350027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2406677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2463327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2519977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2576627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2633277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2689927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2746577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2803227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2859877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2916527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2973177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3032036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3090895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3149754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3208613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500000</v>
          </cell>
          <cell r="W119">
            <v>2767472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1400000</v>
          </cell>
          <cell r="W120">
            <v>1426331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1485190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1544049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1600000</v>
          </cell>
          <cell r="W123">
            <v>2908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58859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11771</v>
          </cell>
          <cell r="S125">
            <v>70630</v>
          </cell>
          <cell r="V125">
            <v>0</v>
          </cell>
          <cell r="W125">
            <v>129489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188348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248082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70022</v>
          </cell>
          <cell r="W128">
            <v>2000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61734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167348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272854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378293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483927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589738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695654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801762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907969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1014322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1122729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1231282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1340032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1449115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1558514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1668097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1777758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1887501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1949037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110190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110643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110790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64395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114205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114205</v>
          </cell>
          <cell r="W156">
            <v>156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114724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114783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64395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64395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64395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64395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74395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74395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74395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74395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74395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74395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75395</v>
          </cell>
          <cell r="W170">
            <v>-1000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74395</v>
          </cell>
          <cell r="W171">
            <v>-1000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74395</v>
          </cell>
          <cell r="W172">
            <v>-1000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74395</v>
          </cell>
          <cell r="W173">
            <v>-1000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0</v>
          </cell>
          <cell r="W174">
            <v>73395</v>
          </cell>
        </row>
      </sheetData>
      <sheetData sheetId="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39000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78000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78000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78000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39000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39000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39000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39000</v>
          </cell>
          <cell r="W41">
            <v>78000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39000</v>
          </cell>
          <cell r="W42">
            <v>78000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39000</v>
          </cell>
          <cell r="W43">
            <v>78000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39000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39000</v>
          </cell>
          <cell r="W45">
            <v>78000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39000</v>
          </cell>
          <cell r="W46">
            <v>78000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39000</v>
          </cell>
          <cell r="W47">
            <v>78000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39000</v>
          </cell>
          <cell r="W48">
            <v>78000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39000</v>
          </cell>
          <cell r="W49">
            <v>78000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39000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39000</v>
          </cell>
          <cell r="W51">
            <v>78000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39000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39000</v>
          </cell>
          <cell r="W53">
            <v>78000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39000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39000</v>
          </cell>
          <cell r="W55">
            <v>92000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39000</v>
          </cell>
          <cell r="W56">
            <v>99000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53000</v>
          </cell>
          <cell r="W57">
            <v>92000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46000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46000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46000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92000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92000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92000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92000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92000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92000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92000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92000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92000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52000</v>
          </cell>
          <cell r="V79">
            <v>46000</v>
          </cell>
          <cell r="W79">
            <v>92000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92000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92000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92000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92000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92000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102000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92000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92000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92000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92000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92000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65000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35000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90000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66536</v>
          </cell>
          <cell r="W150">
            <v>2000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73395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39000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39000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39000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39000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39000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39000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53000</v>
          </cell>
          <cell r="W57">
            <v>53000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53000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53000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53000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53000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53000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53000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53000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53000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53000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53000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53000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53000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53000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53000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53000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53000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53000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53000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53000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53000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53000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53000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53000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53000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53000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53000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53000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46000</v>
          </cell>
          <cell r="V85">
            <v>46000</v>
          </cell>
          <cell r="W85">
            <v>63000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56000</v>
          </cell>
          <cell r="V86">
            <v>46000</v>
          </cell>
          <cell r="W86">
            <v>63000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63000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63000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63000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63000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55000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55000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55000</v>
          </cell>
          <cell r="V93">
            <v>65000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55000</v>
          </cell>
          <cell r="V94">
            <v>65000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55000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35000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90000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117718</v>
          </cell>
          <cell r="W119">
            <v>0</v>
          </cell>
        </row>
        <row r="120">
          <cell r="E120">
            <v>95</v>
          </cell>
          <cell r="G120">
            <v>13870</v>
          </cell>
          <cell r="J120">
            <v>3</v>
          </cell>
          <cell r="L120">
            <v>1080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73809</v>
          </cell>
          <cell r="V120">
            <v>73809</v>
          </cell>
          <cell r="W120">
            <v>0</v>
          </cell>
        </row>
        <row r="121">
          <cell r="E121">
            <v>245</v>
          </cell>
          <cell r="G121">
            <v>35770</v>
          </cell>
          <cell r="J121">
            <v>15</v>
          </cell>
          <cell r="L121">
            <v>5400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100029</v>
          </cell>
          <cell r="V121">
            <v>100029</v>
          </cell>
          <cell r="W121">
            <v>0</v>
          </cell>
        </row>
        <row r="122">
          <cell r="E122">
            <v>70</v>
          </cell>
          <cell r="G122">
            <v>10220</v>
          </cell>
          <cell r="J122">
            <v>6</v>
          </cell>
          <cell r="L122">
            <v>2160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71239</v>
          </cell>
          <cell r="V122">
            <v>71239</v>
          </cell>
          <cell r="W122">
            <v>0</v>
          </cell>
        </row>
        <row r="123">
          <cell r="E123">
            <v>205</v>
          </cell>
          <cell r="G123">
            <v>29930</v>
          </cell>
          <cell r="J123">
            <v>6</v>
          </cell>
          <cell r="L123">
            <v>2160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90949</v>
          </cell>
          <cell r="V123">
            <v>90949</v>
          </cell>
          <cell r="W123">
            <v>0</v>
          </cell>
        </row>
        <row r="124">
          <cell r="E124">
            <v>141</v>
          </cell>
          <cell r="G124">
            <v>20586</v>
          </cell>
          <cell r="J124">
            <v>13</v>
          </cell>
          <cell r="L124">
            <v>4680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84125</v>
          </cell>
          <cell r="V124">
            <v>84125</v>
          </cell>
          <cell r="W124">
            <v>0</v>
          </cell>
        </row>
        <row r="125">
          <cell r="E125">
            <v>104</v>
          </cell>
          <cell r="G125">
            <v>15184</v>
          </cell>
          <cell r="J125">
            <v>18</v>
          </cell>
          <cell r="L125">
            <v>6480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80523</v>
          </cell>
          <cell r="V125">
            <v>0</v>
          </cell>
          <cell r="W125">
            <v>80523</v>
          </cell>
        </row>
        <row r="126">
          <cell r="E126">
            <v>149</v>
          </cell>
          <cell r="G126">
            <v>21754</v>
          </cell>
          <cell r="J126">
            <v>23</v>
          </cell>
          <cell r="L126">
            <v>8280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16941</v>
          </cell>
          <cell r="S126">
            <v>105834</v>
          </cell>
          <cell r="V126">
            <v>186357</v>
          </cell>
          <cell r="W126">
            <v>0</v>
          </cell>
        </row>
        <row r="127">
          <cell r="E127">
            <v>159</v>
          </cell>
          <cell r="G127">
            <v>23214</v>
          </cell>
          <cell r="J127">
            <v>31</v>
          </cell>
          <cell r="L127">
            <v>11160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94108</v>
          </cell>
          <cell r="V127">
            <v>94108</v>
          </cell>
          <cell r="W127">
            <v>0</v>
          </cell>
        </row>
        <row r="128">
          <cell r="E128">
            <v>179</v>
          </cell>
          <cell r="G128">
            <v>26134</v>
          </cell>
          <cell r="J128">
            <v>26</v>
          </cell>
          <cell r="L128">
            <v>9360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107516</v>
          </cell>
          <cell r="V128">
            <v>107516</v>
          </cell>
          <cell r="W128">
            <v>0</v>
          </cell>
        </row>
        <row r="129">
          <cell r="E129">
            <v>100</v>
          </cell>
          <cell r="G129">
            <v>14600</v>
          </cell>
          <cell r="J129">
            <v>15</v>
          </cell>
          <cell r="L129">
            <v>5400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79734</v>
          </cell>
          <cell r="V129">
            <v>79734</v>
          </cell>
          <cell r="W129">
            <v>0</v>
          </cell>
        </row>
        <row r="130">
          <cell r="E130">
            <v>81</v>
          </cell>
          <cell r="G130">
            <v>11826</v>
          </cell>
          <cell r="J130">
            <v>16</v>
          </cell>
          <cell r="L130">
            <v>5760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77320</v>
          </cell>
          <cell r="V130">
            <v>77320</v>
          </cell>
          <cell r="W130">
            <v>0</v>
          </cell>
        </row>
        <row r="131">
          <cell r="E131">
            <v>149</v>
          </cell>
          <cell r="G131">
            <v>21754</v>
          </cell>
          <cell r="J131">
            <v>14</v>
          </cell>
          <cell r="L131">
            <v>5040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86528</v>
          </cell>
          <cell r="V131">
            <v>86528</v>
          </cell>
          <cell r="W131">
            <v>0</v>
          </cell>
        </row>
        <row r="132">
          <cell r="E132">
            <v>133</v>
          </cell>
          <cell r="G132">
            <v>19418</v>
          </cell>
          <cell r="J132">
            <v>7</v>
          </cell>
          <cell r="L132">
            <v>2520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81672</v>
          </cell>
          <cell r="V132">
            <v>81672</v>
          </cell>
          <cell r="W132">
            <v>0</v>
          </cell>
        </row>
        <row r="133">
          <cell r="E133">
            <v>199</v>
          </cell>
          <cell r="G133">
            <v>29054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93108</v>
          </cell>
          <cell r="V133">
            <v>93108</v>
          </cell>
          <cell r="W133">
            <v>0</v>
          </cell>
        </row>
        <row r="134">
          <cell r="E134">
            <v>124</v>
          </cell>
          <cell r="G134">
            <v>18104</v>
          </cell>
          <cell r="J134">
            <v>8</v>
          </cell>
          <cell r="L134">
            <v>2880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80718</v>
          </cell>
          <cell r="V134">
            <v>80718</v>
          </cell>
          <cell r="W134">
            <v>0</v>
          </cell>
        </row>
        <row r="135">
          <cell r="E135">
            <v>131</v>
          </cell>
          <cell r="G135">
            <v>19126</v>
          </cell>
          <cell r="J135">
            <v>15</v>
          </cell>
          <cell r="L135">
            <v>5400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84260</v>
          </cell>
          <cell r="V135">
            <v>84260</v>
          </cell>
          <cell r="W135">
            <v>0</v>
          </cell>
        </row>
        <row r="136">
          <cell r="E136">
            <v>75</v>
          </cell>
          <cell r="G136">
            <v>10950</v>
          </cell>
          <cell r="J136">
            <v>16</v>
          </cell>
          <cell r="L136">
            <v>5760</v>
          </cell>
          <cell r="M136">
            <v>0</v>
          </cell>
          <cell r="N136">
            <v>0</v>
          </cell>
          <cell r="O136">
            <v>12570</v>
          </cell>
          <cell r="P136">
            <v>0</v>
          </cell>
          <cell r="Q136">
            <v>59734</v>
          </cell>
          <cell r="R136">
            <v>0</v>
          </cell>
          <cell r="S136">
            <v>89014</v>
          </cell>
          <cell r="V136">
            <v>89014</v>
          </cell>
          <cell r="W136">
            <v>0</v>
          </cell>
        </row>
        <row r="137">
          <cell r="E137">
            <v>115</v>
          </cell>
          <cell r="G137">
            <v>16790</v>
          </cell>
          <cell r="J137">
            <v>19</v>
          </cell>
          <cell r="L137">
            <v>6840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83364</v>
          </cell>
          <cell r="V137">
            <v>83364</v>
          </cell>
          <cell r="W137">
            <v>0</v>
          </cell>
        </row>
        <row r="138">
          <cell r="E138">
            <v>109</v>
          </cell>
          <cell r="G138">
            <v>15914</v>
          </cell>
          <cell r="J138">
            <v>30</v>
          </cell>
          <cell r="L138">
            <v>10800</v>
          </cell>
          <cell r="M138">
            <v>0</v>
          </cell>
          <cell r="N138">
            <v>20000</v>
          </cell>
          <cell r="O138">
            <v>25466</v>
          </cell>
          <cell r="P138">
            <v>0</v>
          </cell>
          <cell r="Q138">
            <v>59734</v>
          </cell>
          <cell r="R138">
            <v>0</v>
          </cell>
          <cell r="S138">
            <v>131914</v>
          </cell>
          <cell r="V138">
            <v>131914</v>
          </cell>
          <cell r="W138">
            <v>0</v>
          </cell>
        </row>
        <row r="139">
          <cell r="E139">
            <v>188</v>
          </cell>
          <cell r="G139">
            <v>27448</v>
          </cell>
          <cell r="J139">
            <v>57</v>
          </cell>
          <cell r="L139">
            <v>20520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114504</v>
          </cell>
          <cell r="V139">
            <v>114504</v>
          </cell>
          <cell r="W139">
            <v>0</v>
          </cell>
        </row>
        <row r="140">
          <cell r="E140">
            <v>142</v>
          </cell>
          <cell r="G140">
            <v>20732</v>
          </cell>
          <cell r="J140">
            <v>27</v>
          </cell>
          <cell r="L140">
            <v>9720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96988</v>
          </cell>
          <cell r="V140">
            <v>96988</v>
          </cell>
          <cell r="W140">
            <v>0</v>
          </cell>
        </row>
        <row r="141">
          <cell r="E141">
            <v>101</v>
          </cell>
          <cell r="G141">
            <v>14746</v>
          </cell>
          <cell r="J141">
            <v>26</v>
          </cell>
          <cell r="L141">
            <v>9360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90642</v>
          </cell>
          <cell r="V141">
            <v>90642</v>
          </cell>
          <cell r="W141">
            <v>0</v>
          </cell>
        </row>
        <row r="142">
          <cell r="E142">
            <v>73</v>
          </cell>
          <cell r="G142">
            <v>10658</v>
          </cell>
          <cell r="J142">
            <v>21</v>
          </cell>
          <cell r="L142">
            <v>7560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84754</v>
          </cell>
          <cell r="V142">
            <v>84754</v>
          </cell>
          <cell r="W142">
            <v>0</v>
          </cell>
        </row>
        <row r="143">
          <cell r="E143">
            <v>60</v>
          </cell>
          <cell r="G143">
            <v>8760</v>
          </cell>
          <cell r="J143">
            <v>6</v>
          </cell>
          <cell r="L143">
            <v>2160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77456</v>
          </cell>
          <cell r="V143">
            <v>77456</v>
          </cell>
          <cell r="W143">
            <v>0</v>
          </cell>
        </row>
        <row r="144">
          <cell r="E144">
            <v>51</v>
          </cell>
          <cell r="G144">
            <v>7446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73982</v>
          </cell>
          <cell r="V144">
            <v>73982</v>
          </cell>
          <cell r="W144">
            <v>0</v>
          </cell>
        </row>
        <row r="145">
          <cell r="E145">
            <v>110</v>
          </cell>
          <cell r="G145">
            <v>16060</v>
          </cell>
          <cell r="J145">
            <v>5</v>
          </cell>
          <cell r="L145">
            <v>1800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84396</v>
          </cell>
          <cell r="V145">
            <v>84396</v>
          </cell>
          <cell r="W145">
            <v>0</v>
          </cell>
        </row>
        <row r="146">
          <cell r="E146">
            <v>31</v>
          </cell>
          <cell r="G146">
            <v>4526</v>
          </cell>
          <cell r="J146">
            <v>3</v>
          </cell>
          <cell r="L146">
            <v>1080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72142</v>
          </cell>
          <cell r="V146">
            <v>72142</v>
          </cell>
          <cell r="W146">
            <v>0</v>
          </cell>
        </row>
        <row r="147">
          <cell r="E147">
            <v>85</v>
          </cell>
          <cell r="G147">
            <v>12410</v>
          </cell>
          <cell r="J147">
            <v>7</v>
          </cell>
          <cell r="L147">
            <v>2520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81466</v>
          </cell>
          <cell r="V147">
            <v>0</v>
          </cell>
          <cell r="W147">
            <v>81466</v>
          </cell>
        </row>
        <row r="148">
          <cell r="E148">
            <v>86</v>
          </cell>
          <cell r="G148">
            <v>12556</v>
          </cell>
          <cell r="J148">
            <v>28</v>
          </cell>
          <cell r="L148">
            <v>10080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89172</v>
          </cell>
          <cell r="V148">
            <v>170638</v>
          </cell>
          <cell r="W148">
            <v>0</v>
          </cell>
        </row>
        <row r="149">
          <cell r="E149">
            <v>147</v>
          </cell>
          <cell r="G149">
            <v>21462</v>
          </cell>
          <cell r="J149">
            <v>71</v>
          </cell>
          <cell r="L149">
            <v>25560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113558</v>
          </cell>
          <cell r="V149">
            <v>113558</v>
          </cell>
          <cell r="W149">
            <v>0</v>
          </cell>
        </row>
        <row r="150">
          <cell r="E150">
            <v>234</v>
          </cell>
          <cell r="G150">
            <v>34164</v>
          </cell>
          <cell r="J150">
            <v>112</v>
          </cell>
          <cell r="L150">
            <v>40320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143020</v>
          </cell>
          <cell r="V150">
            <v>143020</v>
          </cell>
          <cell r="W150">
            <v>0</v>
          </cell>
        </row>
        <row r="151">
          <cell r="E151">
            <v>248</v>
          </cell>
          <cell r="G151">
            <v>36208</v>
          </cell>
          <cell r="J151">
            <v>71</v>
          </cell>
          <cell r="L151">
            <v>25560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133163</v>
          </cell>
          <cell r="V151">
            <v>133163</v>
          </cell>
          <cell r="W151">
            <v>0</v>
          </cell>
        </row>
        <row r="152">
          <cell r="E152">
            <v>363</v>
          </cell>
          <cell r="G152">
            <v>52998</v>
          </cell>
          <cell r="J152">
            <v>60</v>
          </cell>
          <cell r="L152">
            <v>21600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145993</v>
          </cell>
          <cell r="V152">
            <v>145993</v>
          </cell>
          <cell r="W152">
            <v>0</v>
          </cell>
        </row>
        <row r="153">
          <cell r="E153">
            <v>294</v>
          </cell>
          <cell r="G153">
            <v>42924</v>
          </cell>
          <cell r="J153">
            <v>68</v>
          </cell>
          <cell r="L153">
            <v>24480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143758</v>
          </cell>
          <cell r="V153">
            <v>143758</v>
          </cell>
          <cell r="W153">
            <v>0</v>
          </cell>
        </row>
        <row r="154">
          <cell r="E154">
            <v>269</v>
          </cell>
          <cell r="G154">
            <v>39274</v>
          </cell>
          <cell r="J154">
            <v>56</v>
          </cell>
          <cell r="L154">
            <v>20160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135788</v>
          </cell>
          <cell r="V154">
            <v>135788</v>
          </cell>
          <cell r="W154">
            <v>0</v>
          </cell>
        </row>
        <row r="155">
          <cell r="E155">
            <v>249</v>
          </cell>
          <cell r="G155">
            <v>36354</v>
          </cell>
          <cell r="J155">
            <v>47</v>
          </cell>
          <cell r="L155">
            <v>16920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129628</v>
          </cell>
          <cell r="V155">
            <v>129628</v>
          </cell>
          <cell r="W155">
            <v>0</v>
          </cell>
        </row>
        <row r="156">
          <cell r="E156">
            <v>306</v>
          </cell>
          <cell r="G156">
            <v>44676</v>
          </cell>
          <cell r="J156">
            <v>41</v>
          </cell>
          <cell r="L156">
            <v>14760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135790</v>
          </cell>
          <cell r="V156">
            <v>135790</v>
          </cell>
          <cell r="W156">
            <v>0</v>
          </cell>
        </row>
        <row r="157">
          <cell r="E157">
            <v>387</v>
          </cell>
          <cell r="G157">
            <v>56502</v>
          </cell>
          <cell r="J157">
            <v>28</v>
          </cell>
          <cell r="L157">
            <v>10080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142936</v>
          </cell>
          <cell r="V157">
            <v>142936</v>
          </cell>
          <cell r="W157">
            <v>0</v>
          </cell>
        </row>
        <row r="158">
          <cell r="E158">
            <v>267</v>
          </cell>
          <cell r="G158">
            <v>38982</v>
          </cell>
          <cell r="J158">
            <v>16</v>
          </cell>
          <cell r="L158">
            <v>5760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121096</v>
          </cell>
          <cell r="V158">
            <v>121096</v>
          </cell>
          <cell r="W158">
            <v>0</v>
          </cell>
        </row>
        <row r="159">
          <cell r="E159">
            <v>312</v>
          </cell>
          <cell r="G159">
            <v>45552</v>
          </cell>
          <cell r="J159">
            <v>33</v>
          </cell>
          <cell r="L159">
            <v>11880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133786</v>
          </cell>
          <cell r="V159">
            <v>133786</v>
          </cell>
          <cell r="W159">
            <v>0</v>
          </cell>
        </row>
        <row r="160">
          <cell r="E160">
            <v>287</v>
          </cell>
          <cell r="G160">
            <v>41902</v>
          </cell>
          <cell r="J160">
            <v>27</v>
          </cell>
          <cell r="L160">
            <v>9720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127976</v>
          </cell>
          <cell r="V160">
            <v>127976</v>
          </cell>
          <cell r="W160">
            <v>0</v>
          </cell>
        </row>
        <row r="161">
          <cell r="E161">
            <v>267</v>
          </cell>
          <cell r="G161">
            <v>38982</v>
          </cell>
          <cell r="J161">
            <v>56</v>
          </cell>
          <cell r="L161">
            <v>20160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135496</v>
          </cell>
          <cell r="V161">
            <v>135496</v>
          </cell>
          <cell r="W161">
            <v>0</v>
          </cell>
        </row>
        <row r="162">
          <cell r="E162">
            <v>410</v>
          </cell>
          <cell r="G162">
            <v>59860</v>
          </cell>
          <cell r="J162">
            <v>98</v>
          </cell>
          <cell r="L162">
            <v>35280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171200</v>
          </cell>
          <cell r="V162">
            <v>171200</v>
          </cell>
          <cell r="W162">
            <v>0</v>
          </cell>
        </row>
        <row r="163">
          <cell r="E163">
            <v>406</v>
          </cell>
          <cell r="G163">
            <v>59276</v>
          </cell>
          <cell r="J163">
            <v>77</v>
          </cell>
          <cell r="L163">
            <v>27720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173056</v>
          </cell>
          <cell r="V163">
            <v>173056</v>
          </cell>
          <cell r="W163">
            <v>0</v>
          </cell>
        </row>
        <row r="164">
          <cell r="E164">
            <v>309</v>
          </cell>
          <cell r="G164">
            <v>45114</v>
          </cell>
          <cell r="J164">
            <v>67</v>
          </cell>
          <cell r="L164">
            <v>24120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155294</v>
          </cell>
          <cell r="V164">
            <v>155294</v>
          </cell>
          <cell r="W164">
            <v>0</v>
          </cell>
        </row>
        <row r="165">
          <cell r="E165">
            <v>404</v>
          </cell>
          <cell r="G165">
            <v>58984</v>
          </cell>
          <cell r="J165">
            <v>85</v>
          </cell>
          <cell r="L165">
            <v>30600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175644</v>
          </cell>
          <cell r="V165">
            <v>175644</v>
          </cell>
          <cell r="W165">
            <v>0</v>
          </cell>
        </row>
        <row r="166">
          <cell r="E166">
            <v>339</v>
          </cell>
          <cell r="G166">
            <v>49494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151078</v>
          </cell>
          <cell r="V166">
            <v>151078</v>
          </cell>
          <cell r="W166">
            <v>0</v>
          </cell>
        </row>
        <row r="167">
          <cell r="E167">
            <v>357</v>
          </cell>
          <cell r="G167">
            <v>52122</v>
          </cell>
          <cell r="J167">
            <v>20</v>
          </cell>
          <cell r="L167">
            <v>7200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145426</v>
          </cell>
          <cell r="V167">
            <v>145426</v>
          </cell>
          <cell r="W167">
            <v>0</v>
          </cell>
        </row>
        <row r="168">
          <cell r="E168">
            <v>651</v>
          </cell>
          <cell r="G168">
            <v>95046</v>
          </cell>
          <cell r="J168">
            <v>15</v>
          </cell>
          <cell r="L168">
            <v>5400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186550</v>
          </cell>
          <cell r="V168">
            <v>186550</v>
          </cell>
          <cell r="W168">
            <v>0</v>
          </cell>
        </row>
        <row r="169">
          <cell r="E169">
            <v>465</v>
          </cell>
          <cell r="G169">
            <v>67890</v>
          </cell>
          <cell r="J169">
            <v>16</v>
          </cell>
          <cell r="L169">
            <v>5760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159360</v>
          </cell>
          <cell r="V169">
            <v>159360</v>
          </cell>
          <cell r="W169">
            <v>0</v>
          </cell>
        </row>
        <row r="170">
          <cell r="E170">
            <v>390</v>
          </cell>
          <cell r="G170">
            <v>56940</v>
          </cell>
          <cell r="J170">
            <v>16</v>
          </cell>
          <cell r="L170">
            <v>5760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148410</v>
          </cell>
          <cell r="V170">
            <v>148410</v>
          </cell>
          <cell r="W170">
            <v>0</v>
          </cell>
        </row>
        <row r="171">
          <cell r="E171">
            <v>403</v>
          </cell>
          <cell r="G171">
            <v>58838</v>
          </cell>
          <cell r="J171">
            <v>36</v>
          </cell>
          <cell r="L171">
            <v>12960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153193</v>
          </cell>
          <cell r="V171">
            <v>153193</v>
          </cell>
          <cell r="W171">
            <v>0</v>
          </cell>
        </row>
        <row r="172">
          <cell r="E172">
            <v>356</v>
          </cell>
          <cell r="G172">
            <v>51976</v>
          </cell>
          <cell r="J172">
            <v>59</v>
          </cell>
          <cell r="L172">
            <v>21240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154611</v>
          </cell>
          <cell r="V172">
            <v>154611</v>
          </cell>
          <cell r="W172">
            <v>0</v>
          </cell>
        </row>
        <row r="173">
          <cell r="E173">
            <v>396</v>
          </cell>
          <cell r="G173">
            <v>57816</v>
          </cell>
          <cell r="J173">
            <v>60</v>
          </cell>
          <cell r="L173">
            <v>21600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160811</v>
          </cell>
          <cell r="V173">
            <v>160811</v>
          </cell>
          <cell r="W173">
            <v>0</v>
          </cell>
        </row>
        <row r="174">
          <cell r="E174">
            <v>335</v>
          </cell>
          <cell r="G174">
            <v>48910</v>
          </cell>
          <cell r="J174">
            <v>54</v>
          </cell>
          <cell r="L174">
            <v>19440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149745</v>
          </cell>
          <cell r="V174">
            <v>149745</v>
          </cell>
          <cell r="W174">
            <v>0</v>
          </cell>
        </row>
      </sheetData>
      <sheetData sheetId="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354.7</v>
          </cell>
          <cell r="G16">
            <v>22346.1</v>
          </cell>
          <cell r="J16">
            <v>205.35400000000001</v>
          </cell>
          <cell r="L16">
            <v>61606.200000000004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122952.30000000002</v>
          </cell>
          <cell r="V16">
            <v>0</v>
          </cell>
          <cell r="W16">
            <v>0</v>
          </cell>
        </row>
        <row r="17">
          <cell r="E17">
            <v>37.5</v>
          </cell>
          <cell r="G17">
            <v>2362.5</v>
          </cell>
          <cell r="J17">
            <v>3.7119999999999891</v>
          </cell>
          <cell r="L17">
            <v>1113.5999999999967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42476.1</v>
          </cell>
          <cell r="V17">
            <v>0</v>
          </cell>
          <cell r="W17">
            <v>0</v>
          </cell>
        </row>
        <row r="18">
          <cell r="E18">
            <v>159.19999999999999</v>
          </cell>
          <cell r="G18">
            <v>10029.599999999999</v>
          </cell>
          <cell r="J18">
            <v>61.933999999999997</v>
          </cell>
          <cell r="L18">
            <v>18580.2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67609.799999999988</v>
          </cell>
          <cell r="V18">
            <v>0</v>
          </cell>
          <cell r="W18">
            <v>0</v>
          </cell>
        </row>
        <row r="19">
          <cell r="E19">
            <v>85.700000000000045</v>
          </cell>
          <cell r="G19">
            <v>5399.1000000000031</v>
          </cell>
          <cell r="J19">
            <v>98.399999999999977</v>
          </cell>
          <cell r="L19">
            <v>29519.999999999993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73919.100000000006</v>
          </cell>
          <cell r="V19">
            <v>0</v>
          </cell>
          <cell r="W19">
            <v>0</v>
          </cell>
        </row>
        <row r="20">
          <cell r="E20">
            <v>415.6</v>
          </cell>
          <cell r="G20">
            <v>26182.800000000003</v>
          </cell>
          <cell r="J20">
            <v>69.900000000000034</v>
          </cell>
          <cell r="L20">
            <v>20970.000000000011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86152.800000000017</v>
          </cell>
          <cell r="V20">
            <v>0</v>
          </cell>
          <cell r="W20">
            <v>0</v>
          </cell>
        </row>
        <row r="21">
          <cell r="E21">
            <v>340.39999999999986</v>
          </cell>
          <cell r="G21">
            <v>21445.19999999999</v>
          </cell>
          <cell r="J21">
            <v>52.899999999999977</v>
          </cell>
          <cell r="L21">
            <v>15869.999999999993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76315.199999999983</v>
          </cell>
          <cell r="V21">
            <v>0</v>
          </cell>
          <cell r="W21">
            <v>0</v>
          </cell>
        </row>
        <row r="22">
          <cell r="E22">
            <v>12.200000000000045</v>
          </cell>
          <cell r="G22">
            <v>768.60000000000286</v>
          </cell>
          <cell r="J22">
            <v>3.6000000000000227</v>
          </cell>
          <cell r="L22">
            <v>1296.0000000000082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41064.600000000013</v>
          </cell>
          <cell r="V22">
            <v>0</v>
          </cell>
          <cell r="W22">
            <v>0</v>
          </cell>
        </row>
        <row r="23">
          <cell r="E23">
            <v>41.600000000000136</v>
          </cell>
          <cell r="G23">
            <v>2620.8000000000084</v>
          </cell>
          <cell r="J23">
            <v>58.800000000000011</v>
          </cell>
          <cell r="L23">
            <v>21168.000000000004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62788.80000000001</v>
          </cell>
          <cell r="V23">
            <v>0</v>
          </cell>
          <cell r="W23">
            <v>0</v>
          </cell>
        </row>
        <row r="24">
          <cell r="E24">
            <v>99.799999999999955</v>
          </cell>
          <cell r="G24">
            <v>6287.3999999999969</v>
          </cell>
          <cell r="J24">
            <v>6.1999999999999318</v>
          </cell>
          <cell r="L24">
            <v>2231.9999999999754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47519.399999999972</v>
          </cell>
          <cell r="V24">
            <v>0</v>
          </cell>
          <cell r="W24">
            <v>0</v>
          </cell>
        </row>
        <row r="25">
          <cell r="E25">
            <v>122</v>
          </cell>
          <cell r="G25">
            <v>7686</v>
          </cell>
          <cell r="J25">
            <v>6.4000000000000909</v>
          </cell>
          <cell r="L25">
            <v>2304.0000000000327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48990.000000000029</v>
          </cell>
          <cell r="V25">
            <v>0</v>
          </cell>
          <cell r="W25">
            <v>48990.000000000029</v>
          </cell>
        </row>
        <row r="26">
          <cell r="E26">
            <v>91.200000000000045</v>
          </cell>
          <cell r="G26">
            <v>5745.6000000000031</v>
          </cell>
          <cell r="J26">
            <v>5.2999999999999545</v>
          </cell>
          <cell r="L26">
            <v>1907.9999999999836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46653.599999999991</v>
          </cell>
          <cell r="V26">
            <v>0</v>
          </cell>
          <cell r="W26">
            <v>95643.60000000002</v>
          </cell>
        </row>
        <row r="27">
          <cell r="E27">
            <v>91.899999999999864</v>
          </cell>
          <cell r="G27">
            <v>5789.6999999999916</v>
          </cell>
          <cell r="J27">
            <v>14.299999999999955</v>
          </cell>
          <cell r="L27">
            <v>5147.9999999999836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49937.699999999975</v>
          </cell>
          <cell r="V27">
            <v>0</v>
          </cell>
          <cell r="W27">
            <v>145581.29999999999</v>
          </cell>
        </row>
        <row r="28">
          <cell r="E28">
            <v>131.60000000000014</v>
          </cell>
          <cell r="G28">
            <v>8290.8000000000084</v>
          </cell>
          <cell r="J28">
            <v>22.200000000000045</v>
          </cell>
          <cell r="L28">
            <v>7992.0000000000164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55282.800000000025</v>
          </cell>
          <cell r="V28">
            <v>96591</v>
          </cell>
          <cell r="W28">
            <v>104273.1</v>
          </cell>
        </row>
        <row r="29">
          <cell r="E29">
            <v>238.59999999999991</v>
          </cell>
          <cell r="G29">
            <v>15031.799999999994</v>
          </cell>
          <cell r="J29">
            <v>1</v>
          </cell>
          <cell r="L29">
            <v>360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54391.799999999996</v>
          </cell>
          <cell r="V29">
            <v>0</v>
          </cell>
          <cell r="W29">
            <v>158664.9</v>
          </cell>
        </row>
        <row r="30">
          <cell r="E30">
            <v>181</v>
          </cell>
          <cell r="G30">
            <v>11403</v>
          </cell>
          <cell r="J30">
            <v>91.600000000000023</v>
          </cell>
          <cell r="L30">
            <v>32976.000000000007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83379</v>
          </cell>
          <cell r="V30">
            <v>55283</v>
          </cell>
          <cell r="W30">
            <v>186760.9</v>
          </cell>
        </row>
        <row r="31">
          <cell r="E31">
            <v>162</v>
          </cell>
          <cell r="G31">
            <v>10206</v>
          </cell>
          <cell r="J31">
            <v>65.399999999999977</v>
          </cell>
          <cell r="L31">
            <v>23543.999999999993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72750</v>
          </cell>
          <cell r="V31">
            <v>83379</v>
          </cell>
          <cell r="W31">
            <v>176131.9</v>
          </cell>
        </row>
        <row r="32">
          <cell r="E32">
            <v>399</v>
          </cell>
          <cell r="G32">
            <v>25137</v>
          </cell>
          <cell r="J32">
            <v>33.29999999999999</v>
          </cell>
          <cell r="L32">
            <v>11987.999999999996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76125</v>
          </cell>
          <cell r="V32">
            <v>54391</v>
          </cell>
          <cell r="W32">
            <v>197865.9</v>
          </cell>
        </row>
        <row r="33">
          <cell r="E33">
            <v>187</v>
          </cell>
          <cell r="G33">
            <v>11781</v>
          </cell>
          <cell r="J33">
            <v>37</v>
          </cell>
          <cell r="L33">
            <v>13320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64101</v>
          </cell>
          <cell r="V33">
            <v>108087</v>
          </cell>
          <cell r="W33">
            <v>153879.9</v>
          </cell>
        </row>
        <row r="34">
          <cell r="E34">
            <v>232</v>
          </cell>
          <cell r="G34">
            <v>14616</v>
          </cell>
          <cell r="J34">
            <v>17</v>
          </cell>
          <cell r="L34">
            <v>6120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59736</v>
          </cell>
          <cell r="V34">
            <v>64102</v>
          </cell>
          <cell r="W34">
            <v>149513.9</v>
          </cell>
        </row>
        <row r="35">
          <cell r="E35">
            <v>175</v>
          </cell>
          <cell r="G35">
            <v>11025</v>
          </cell>
          <cell r="J35">
            <v>13</v>
          </cell>
          <cell r="L35">
            <v>4680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54705</v>
          </cell>
          <cell r="V35">
            <v>59736</v>
          </cell>
          <cell r="W35">
            <v>144482.9</v>
          </cell>
        </row>
        <row r="36">
          <cell r="E36">
            <v>219.5</v>
          </cell>
          <cell r="G36">
            <v>13828.5</v>
          </cell>
          <cell r="J36">
            <v>1</v>
          </cell>
          <cell r="L36">
            <v>360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53188.5</v>
          </cell>
          <cell r="V36">
            <v>59736</v>
          </cell>
          <cell r="W36">
            <v>137935.4</v>
          </cell>
        </row>
        <row r="37">
          <cell r="E37">
            <v>120.69999999999982</v>
          </cell>
          <cell r="G37">
            <v>7604.0999999999885</v>
          </cell>
          <cell r="J37">
            <v>4</v>
          </cell>
          <cell r="L37">
            <v>1440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48044.099999999991</v>
          </cell>
          <cell r="V37">
            <v>48157</v>
          </cell>
          <cell r="W37">
            <v>137822.5</v>
          </cell>
        </row>
        <row r="38">
          <cell r="E38">
            <v>183.10000000000036</v>
          </cell>
          <cell r="G38">
            <v>11535.300000000023</v>
          </cell>
          <cell r="J38">
            <v>21</v>
          </cell>
          <cell r="L38">
            <v>7560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58095.300000000025</v>
          </cell>
          <cell r="V38">
            <v>49000</v>
          </cell>
          <cell r="W38">
            <v>146917.80000000002</v>
          </cell>
        </row>
        <row r="39">
          <cell r="E39">
            <v>90.699999999999818</v>
          </cell>
          <cell r="G39">
            <v>5714.0999999999885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46154.099999999991</v>
          </cell>
          <cell r="V39">
            <v>58095</v>
          </cell>
          <cell r="W39">
            <v>134976.90000000002</v>
          </cell>
        </row>
        <row r="40">
          <cell r="E40">
            <v>86</v>
          </cell>
          <cell r="G40">
            <v>5418</v>
          </cell>
          <cell r="J40">
            <v>14</v>
          </cell>
          <cell r="L40">
            <v>5040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49458</v>
          </cell>
          <cell r="V40">
            <v>46154</v>
          </cell>
          <cell r="W40">
            <v>138280.90000000002</v>
          </cell>
        </row>
        <row r="41">
          <cell r="E41">
            <v>134</v>
          </cell>
          <cell r="G41">
            <v>8442</v>
          </cell>
          <cell r="J41">
            <v>25</v>
          </cell>
          <cell r="L41">
            <v>9000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56442</v>
          </cell>
          <cell r="V41">
            <v>49458</v>
          </cell>
          <cell r="W41">
            <v>145264.90000000002</v>
          </cell>
        </row>
        <row r="42">
          <cell r="E42">
            <v>185</v>
          </cell>
          <cell r="G42">
            <v>11655</v>
          </cell>
          <cell r="J42">
            <v>29</v>
          </cell>
          <cell r="L42">
            <v>10440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61095</v>
          </cell>
          <cell r="V42">
            <v>56442</v>
          </cell>
          <cell r="W42">
            <v>149917.90000000002</v>
          </cell>
        </row>
        <row r="43">
          <cell r="E43">
            <v>293</v>
          </cell>
          <cell r="G43">
            <v>18459</v>
          </cell>
          <cell r="J43">
            <v>49</v>
          </cell>
          <cell r="L43">
            <v>17640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75099</v>
          </cell>
          <cell r="V43">
            <v>61095</v>
          </cell>
          <cell r="W43">
            <v>163921.90000000002</v>
          </cell>
        </row>
        <row r="44">
          <cell r="E44">
            <v>271</v>
          </cell>
          <cell r="G44">
            <v>17073</v>
          </cell>
          <cell r="J44">
            <v>37</v>
          </cell>
          <cell r="L44">
            <v>13320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69393</v>
          </cell>
          <cell r="V44">
            <v>75099</v>
          </cell>
          <cell r="W44">
            <v>158215.90000000002</v>
          </cell>
        </row>
        <row r="45">
          <cell r="E45">
            <v>112</v>
          </cell>
          <cell r="G45">
            <v>7056</v>
          </cell>
          <cell r="J45">
            <v>7</v>
          </cell>
          <cell r="L45">
            <v>2520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48576</v>
          </cell>
          <cell r="V45">
            <v>69393</v>
          </cell>
          <cell r="W45">
            <v>137398.90000000002</v>
          </cell>
        </row>
        <row r="46">
          <cell r="E46">
            <v>77</v>
          </cell>
          <cell r="G46">
            <v>4851</v>
          </cell>
          <cell r="J46">
            <v>31</v>
          </cell>
          <cell r="L46">
            <v>11160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55011</v>
          </cell>
          <cell r="V46">
            <v>48576</v>
          </cell>
          <cell r="W46">
            <v>143833.90000000002</v>
          </cell>
        </row>
        <row r="47">
          <cell r="E47">
            <v>69</v>
          </cell>
          <cell r="G47">
            <v>4347</v>
          </cell>
          <cell r="J47">
            <v>11</v>
          </cell>
          <cell r="L47">
            <v>3960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47307</v>
          </cell>
          <cell r="V47">
            <v>55011</v>
          </cell>
          <cell r="W47">
            <v>136129.90000000002</v>
          </cell>
        </row>
        <row r="48">
          <cell r="E48">
            <v>75</v>
          </cell>
          <cell r="G48">
            <v>4725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44085</v>
          </cell>
          <cell r="V48">
            <v>47307</v>
          </cell>
          <cell r="W48">
            <v>132907.90000000002</v>
          </cell>
        </row>
        <row r="49">
          <cell r="E49">
            <v>69</v>
          </cell>
          <cell r="G49">
            <v>4347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43707</v>
          </cell>
          <cell r="V49">
            <v>44085</v>
          </cell>
          <cell r="W49">
            <v>132529.90000000002</v>
          </cell>
        </row>
        <row r="50">
          <cell r="E50">
            <v>37</v>
          </cell>
          <cell r="G50">
            <v>2331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41331</v>
          </cell>
          <cell r="V50">
            <v>43707</v>
          </cell>
          <cell r="W50">
            <v>130153.90000000002</v>
          </cell>
        </row>
        <row r="51">
          <cell r="E51">
            <v>113</v>
          </cell>
          <cell r="G51">
            <v>7119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46119</v>
          </cell>
          <cell r="V51">
            <v>82662</v>
          </cell>
          <cell r="W51">
            <v>93610.900000000023</v>
          </cell>
        </row>
        <row r="52">
          <cell r="E52">
            <v>83</v>
          </cell>
          <cell r="G52">
            <v>5229</v>
          </cell>
          <cell r="J52">
            <v>7</v>
          </cell>
          <cell r="L52">
            <v>2520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46749</v>
          </cell>
          <cell r="V52">
            <v>0</v>
          </cell>
          <cell r="W52">
            <v>140359.90000000002</v>
          </cell>
        </row>
        <row r="53">
          <cell r="E53">
            <v>130</v>
          </cell>
          <cell r="G53">
            <v>8190</v>
          </cell>
          <cell r="J53">
            <v>24</v>
          </cell>
          <cell r="L53">
            <v>8640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55830</v>
          </cell>
          <cell r="V53">
            <v>46749</v>
          </cell>
          <cell r="W53">
            <v>149440.90000000002</v>
          </cell>
        </row>
        <row r="54">
          <cell r="E54">
            <v>194</v>
          </cell>
          <cell r="G54">
            <v>12222</v>
          </cell>
          <cell r="J54">
            <v>11</v>
          </cell>
          <cell r="L54">
            <v>3960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62182</v>
          </cell>
          <cell r="V54">
            <v>55830</v>
          </cell>
          <cell r="W54">
            <v>155792.90000000002</v>
          </cell>
        </row>
        <row r="55">
          <cell r="E55">
            <v>539</v>
          </cell>
          <cell r="G55">
            <v>33957</v>
          </cell>
          <cell r="J55">
            <v>81</v>
          </cell>
          <cell r="L55">
            <v>29160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109117</v>
          </cell>
          <cell r="V55">
            <v>62182</v>
          </cell>
          <cell r="W55">
            <v>202727.90000000002</v>
          </cell>
        </row>
        <row r="56">
          <cell r="E56">
            <v>283</v>
          </cell>
          <cell r="G56">
            <v>17829</v>
          </cell>
          <cell r="J56">
            <v>51</v>
          </cell>
          <cell r="L56">
            <v>18360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82189</v>
          </cell>
          <cell r="V56">
            <v>70000</v>
          </cell>
          <cell r="W56">
            <v>214916.90000000002</v>
          </cell>
        </row>
        <row r="57">
          <cell r="E57">
            <v>88</v>
          </cell>
          <cell r="G57">
            <v>5544</v>
          </cell>
          <cell r="J57">
            <v>30</v>
          </cell>
          <cell r="L57">
            <v>10800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62344</v>
          </cell>
          <cell r="V57">
            <v>70000</v>
          </cell>
          <cell r="W57">
            <v>207260.90000000002</v>
          </cell>
        </row>
        <row r="58">
          <cell r="E58">
            <v>60</v>
          </cell>
          <cell r="G58">
            <v>3780</v>
          </cell>
          <cell r="J58">
            <v>9</v>
          </cell>
          <cell r="L58">
            <v>3240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53020</v>
          </cell>
          <cell r="V58">
            <v>113650</v>
          </cell>
          <cell r="W58">
            <v>146630.90000000002</v>
          </cell>
        </row>
        <row r="59">
          <cell r="E59">
            <v>50</v>
          </cell>
          <cell r="G59">
            <v>3150</v>
          </cell>
          <cell r="J59">
            <v>7</v>
          </cell>
          <cell r="L59">
            <v>2520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51670</v>
          </cell>
          <cell r="V59">
            <v>53020</v>
          </cell>
          <cell r="W59">
            <v>145280.90000000002</v>
          </cell>
        </row>
        <row r="60">
          <cell r="E60">
            <v>67</v>
          </cell>
          <cell r="G60">
            <v>4221</v>
          </cell>
          <cell r="J60">
            <v>2</v>
          </cell>
          <cell r="L60">
            <v>720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50941</v>
          </cell>
          <cell r="V60">
            <v>51670</v>
          </cell>
          <cell r="W60">
            <v>144551.90000000002</v>
          </cell>
        </row>
        <row r="61">
          <cell r="E61">
            <v>1</v>
          </cell>
          <cell r="G61">
            <v>63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46063</v>
          </cell>
          <cell r="V61">
            <v>50941</v>
          </cell>
          <cell r="W61">
            <v>139673.90000000002</v>
          </cell>
        </row>
        <row r="62">
          <cell r="E62">
            <v>9</v>
          </cell>
          <cell r="G62">
            <v>567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46567</v>
          </cell>
          <cell r="V62">
            <v>46063</v>
          </cell>
          <cell r="W62">
            <v>140177.90000000002</v>
          </cell>
        </row>
        <row r="63">
          <cell r="E63">
            <v>56</v>
          </cell>
          <cell r="G63">
            <v>3528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49528</v>
          </cell>
          <cell r="V63">
            <v>46567</v>
          </cell>
          <cell r="W63">
            <v>143138.90000000002</v>
          </cell>
        </row>
        <row r="64">
          <cell r="E64">
            <v>63</v>
          </cell>
          <cell r="G64">
            <v>4977</v>
          </cell>
          <cell r="J64">
            <v>12</v>
          </cell>
          <cell r="L64">
            <v>4320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55297</v>
          </cell>
          <cell r="V64">
            <v>49528</v>
          </cell>
          <cell r="W64">
            <v>148907.90000000002</v>
          </cell>
        </row>
        <row r="65">
          <cell r="E65">
            <v>123</v>
          </cell>
          <cell r="G65">
            <v>9717</v>
          </cell>
          <cell r="J65">
            <v>91</v>
          </cell>
          <cell r="L65">
            <v>32760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88477</v>
          </cell>
          <cell r="V65">
            <v>55297</v>
          </cell>
          <cell r="W65">
            <v>182087.90000000002</v>
          </cell>
        </row>
        <row r="66">
          <cell r="E66">
            <v>105</v>
          </cell>
          <cell r="G66">
            <v>8295</v>
          </cell>
          <cell r="J66">
            <v>139</v>
          </cell>
          <cell r="L66">
            <v>50040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104335</v>
          </cell>
          <cell r="V66">
            <v>0</v>
          </cell>
          <cell r="W66">
            <v>286422.90000000002</v>
          </cell>
        </row>
        <row r="67">
          <cell r="E67">
            <v>332</v>
          </cell>
          <cell r="G67">
            <v>28884</v>
          </cell>
          <cell r="J67">
            <v>218</v>
          </cell>
          <cell r="L67">
            <v>78480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153364</v>
          </cell>
          <cell r="V67">
            <v>100000</v>
          </cell>
          <cell r="W67">
            <v>339786.9</v>
          </cell>
        </row>
        <row r="68">
          <cell r="E68">
            <v>100</v>
          </cell>
          <cell r="G68">
            <v>8700</v>
          </cell>
          <cell r="J68">
            <v>19</v>
          </cell>
          <cell r="L68">
            <v>6840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61540</v>
          </cell>
          <cell r="V68">
            <v>0</v>
          </cell>
          <cell r="W68">
            <v>401326.9</v>
          </cell>
        </row>
        <row r="69">
          <cell r="E69">
            <v>65</v>
          </cell>
          <cell r="G69">
            <v>7215</v>
          </cell>
          <cell r="J69">
            <v>7</v>
          </cell>
          <cell r="L69">
            <v>2520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55735</v>
          </cell>
          <cell r="V69">
            <v>200000</v>
          </cell>
          <cell r="W69">
            <v>257061.90000000002</v>
          </cell>
        </row>
        <row r="70">
          <cell r="E70">
            <v>58</v>
          </cell>
          <cell r="G70">
            <v>7192</v>
          </cell>
          <cell r="J70">
            <v>5</v>
          </cell>
          <cell r="L70">
            <v>1800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54992</v>
          </cell>
          <cell r="V70">
            <v>163451</v>
          </cell>
          <cell r="W70">
            <v>148602.90000000002</v>
          </cell>
        </row>
        <row r="71">
          <cell r="E71">
            <v>28</v>
          </cell>
          <cell r="G71">
            <v>2744</v>
          </cell>
          <cell r="J71">
            <v>2</v>
          </cell>
          <cell r="L71">
            <v>720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49464</v>
          </cell>
          <cell r="V71">
            <v>54992</v>
          </cell>
          <cell r="W71">
            <v>143074.90000000002</v>
          </cell>
        </row>
        <row r="72">
          <cell r="E72">
            <v>9</v>
          </cell>
          <cell r="G72">
            <v>936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46936</v>
          </cell>
          <cell r="V72">
            <v>49464</v>
          </cell>
          <cell r="W72">
            <v>140546.90000000002</v>
          </cell>
        </row>
        <row r="73">
          <cell r="E73">
            <v>12</v>
          </cell>
          <cell r="G73">
            <v>1344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47344</v>
          </cell>
          <cell r="V73">
            <v>46936</v>
          </cell>
          <cell r="W73">
            <v>140954.90000000002</v>
          </cell>
        </row>
        <row r="74">
          <cell r="E74">
            <v>11</v>
          </cell>
          <cell r="G74">
            <v>1177</v>
          </cell>
          <cell r="J74">
            <v>128</v>
          </cell>
          <cell r="L74">
            <v>46080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93257</v>
          </cell>
          <cell r="V74">
            <v>46936</v>
          </cell>
          <cell r="W74">
            <v>187275.90000000002</v>
          </cell>
        </row>
        <row r="75">
          <cell r="E75">
            <v>2</v>
          </cell>
          <cell r="G75">
            <v>220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46220</v>
          </cell>
          <cell r="V75">
            <v>50000</v>
          </cell>
          <cell r="W75">
            <v>183495.90000000002</v>
          </cell>
        </row>
        <row r="76">
          <cell r="E76">
            <v>4</v>
          </cell>
          <cell r="G76">
            <v>504</v>
          </cell>
          <cell r="J76">
            <v>115</v>
          </cell>
          <cell r="L76">
            <v>41400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87904</v>
          </cell>
          <cell r="V76">
            <v>89883</v>
          </cell>
          <cell r="W76">
            <v>181516.90000000002</v>
          </cell>
        </row>
        <row r="77">
          <cell r="E77">
            <v>14</v>
          </cell>
          <cell r="G77">
            <v>1666</v>
          </cell>
          <cell r="J77">
            <v>17</v>
          </cell>
          <cell r="L77">
            <v>6120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53786</v>
          </cell>
          <cell r="V77">
            <v>141690</v>
          </cell>
          <cell r="W77">
            <v>93612.900000000023</v>
          </cell>
        </row>
        <row r="78">
          <cell r="E78">
            <v>11</v>
          </cell>
          <cell r="G78">
            <v>1188</v>
          </cell>
          <cell r="J78">
            <v>35</v>
          </cell>
          <cell r="L78">
            <v>12600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59788</v>
          </cell>
          <cell r="V78">
            <v>0</v>
          </cell>
          <cell r="W78">
            <v>153400.90000000002</v>
          </cell>
        </row>
        <row r="79">
          <cell r="E79">
            <v>330</v>
          </cell>
          <cell r="G79">
            <v>40920</v>
          </cell>
          <cell r="J79">
            <v>101</v>
          </cell>
          <cell r="L79">
            <v>36360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135280</v>
          </cell>
          <cell r="V79">
            <v>59788</v>
          </cell>
          <cell r="W79">
            <v>228892.90000000002</v>
          </cell>
        </row>
        <row r="80">
          <cell r="E80">
            <v>222</v>
          </cell>
          <cell r="G80">
            <v>28860</v>
          </cell>
          <cell r="J80">
            <v>215</v>
          </cell>
          <cell r="L80">
            <v>101160</v>
          </cell>
          <cell r="M80">
            <v>0</v>
          </cell>
          <cell r="N80">
            <v>0</v>
          </cell>
          <cell r="O80">
            <v>12000</v>
          </cell>
          <cell r="P80">
            <v>0</v>
          </cell>
          <cell r="Q80">
            <v>46000</v>
          </cell>
          <cell r="R80">
            <v>0</v>
          </cell>
          <cell r="S80">
            <v>176020</v>
          </cell>
          <cell r="V80">
            <v>135280</v>
          </cell>
          <cell r="W80">
            <v>269632.90000000002</v>
          </cell>
        </row>
        <row r="81">
          <cell r="E81">
            <v>286</v>
          </cell>
          <cell r="G81">
            <v>37180</v>
          </cell>
          <cell r="J81">
            <v>42</v>
          </cell>
          <cell r="L81">
            <v>15120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98300</v>
          </cell>
          <cell r="V81">
            <v>135280</v>
          </cell>
          <cell r="W81">
            <v>232652.90000000002</v>
          </cell>
        </row>
        <row r="82">
          <cell r="E82">
            <v>28</v>
          </cell>
          <cell r="G82">
            <v>3920</v>
          </cell>
          <cell r="J82">
            <v>2</v>
          </cell>
          <cell r="L82">
            <v>720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50640</v>
          </cell>
          <cell r="V82">
            <v>183663</v>
          </cell>
          <cell r="W82">
            <v>99629.900000000023</v>
          </cell>
        </row>
        <row r="83">
          <cell r="E83">
            <v>20</v>
          </cell>
          <cell r="G83">
            <v>2920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48920</v>
          </cell>
          <cell r="V83">
            <v>50640</v>
          </cell>
          <cell r="W83">
            <v>97909.900000000023</v>
          </cell>
        </row>
        <row r="84">
          <cell r="E84">
            <v>23</v>
          </cell>
          <cell r="G84">
            <v>3358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49718</v>
          </cell>
          <cell r="V84">
            <v>48920</v>
          </cell>
          <cell r="W84">
            <v>98707.900000000023</v>
          </cell>
        </row>
        <row r="85">
          <cell r="E85">
            <v>26</v>
          </cell>
          <cell r="G85">
            <v>3796</v>
          </cell>
          <cell r="J85">
            <v>2</v>
          </cell>
          <cell r="L85">
            <v>720</v>
          </cell>
          <cell r="M85">
            <v>0</v>
          </cell>
          <cell r="N85">
            <v>0</v>
          </cell>
          <cell r="O85">
            <v>4000</v>
          </cell>
          <cell r="P85">
            <v>0</v>
          </cell>
          <cell r="Q85">
            <v>46000</v>
          </cell>
          <cell r="R85">
            <v>0</v>
          </cell>
          <cell r="S85">
            <v>60516</v>
          </cell>
          <cell r="V85">
            <v>49719</v>
          </cell>
          <cell r="W85">
            <v>109504.90000000002</v>
          </cell>
        </row>
        <row r="86">
          <cell r="E86">
            <v>38</v>
          </cell>
          <cell r="G86">
            <v>5548</v>
          </cell>
          <cell r="J86">
            <v>1</v>
          </cell>
          <cell r="L86">
            <v>360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51908</v>
          </cell>
          <cell r="V86">
            <v>60516</v>
          </cell>
          <cell r="W86">
            <v>100896.90000000002</v>
          </cell>
        </row>
        <row r="87">
          <cell r="E87">
            <v>36</v>
          </cell>
          <cell r="G87">
            <v>5256</v>
          </cell>
          <cell r="J87">
            <v>4</v>
          </cell>
          <cell r="L87">
            <v>1440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52696</v>
          </cell>
          <cell r="V87">
            <v>51907</v>
          </cell>
          <cell r="W87">
            <v>101685.90000000002</v>
          </cell>
        </row>
        <row r="88">
          <cell r="E88">
            <v>27</v>
          </cell>
          <cell r="G88">
            <v>3942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49942</v>
          </cell>
          <cell r="V88">
            <v>52696</v>
          </cell>
          <cell r="W88">
            <v>98931.900000000023</v>
          </cell>
        </row>
        <row r="89">
          <cell r="E89">
            <v>53</v>
          </cell>
          <cell r="G89">
            <v>7738</v>
          </cell>
          <cell r="J89">
            <v>108</v>
          </cell>
          <cell r="L89">
            <v>38880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92618</v>
          </cell>
          <cell r="V89">
            <v>49942</v>
          </cell>
          <cell r="W89">
            <v>141607.90000000002</v>
          </cell>
        </row>
        <row r="90">
          <cell r="E90">
            <v>170</v>
          </cell>
          <cell r="G90">
            <v>24820</v>
          </cell>
          <cell r="J90">
            <v>98</v>
          </cell>
          <cell r="L90">
            <v>35280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106100</v>
          </cell>
          <cell r="V90">
            <v>92618</v>
          </cell>
          <cell r="W90">
            <v>155089.90000000002</v>
          </cell>
        </row>
        <row r="91">
          <cell r="E91">
            <v>104</v>
          </cell>
          <cell r="G91">
            <v>15184</v>
          </cell>
          <cell r="J91">
            <v>59</v>
          </cell>
          <cell r="L91">
            <v>21240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0</v>
          </cell>
          <cell r="S91">
            <v>101424</v>
          </cell>
          <cell r="V91">
            <v>106100</v>
          </cell>
          <cell r="W91">
            <v>150413.90000000002</v>
          </cell>
        </row>
        <row r="92">
          <cell r="E92">
            <v>81</v>
          </cell>
          <cell r="G92">
            <v>11826</v>
          </cell>
          <cell r="J92">
            <v>69</v>
          </cell>
          <cell r="L92">
            <v>24840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0</v>
          </cell>
          <cell r="S92">
            <v>101666</v>
          </cell>
          <cell r="V92">
            <v>101424</v>
          </cell>
          <cell r="W92">
            <v>0</v>
          </cell>
        </row>
        <row r="93">
          <cell r="E93">
            <v>45</v>
          </cell>
          <cell r="G93">
            <v>6570</v>
          </cell>
          <cell r="J93">
            <v>25</v>
          </cell>
          <cell r="L93">
            <v>9000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0</v>
          </cell>
          <cell r="S93">
            <v>80570</v>
          </cell>
          <cell r="V93">
            <v>101666</v>
          </cell>
          <cell r="W93">
            <v>0</v>
          </cell>
        </row>
        <row r="94">
          <cell r="E94">
            <v>1</v>
          </cell>
          <cell r="G94">
            <v>146</v>
          </cell>
          <cell r="J94">
            <v>63</v>
          </cell>
          <cell r="L94">
            <v>22680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0</v>
          </cell>
          <cell r="S94">
            <v>87826</v>
          </cell>
          <cell r="V94">
            <v>80570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87826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12</v>
          </cell>
          <cell r="L97">
            <v>4320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59320</v>
          </cell>
          <cell r="V97">
            <v>55000</v>
          </cell>
          <cell r="W97">
            <v>4320</v>
          </cell>
        </row>
        <row r="98">
          <cell r="E98">
            <v>14</v>
          </cell>
          <cell r="G98">
            <v>2044</v>
          </cell>
          <cell r="J98">
            <v>4</v>
          </cell>
          <cell r="L98">
            <v>1440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58484</v>
          </cell>
          <cell r="V98">
            <v>59320</v>
          </cell>
          <cell r="W98">
            <v>-836</v>
          </cell>
        </row>
        <row r="99">
          <cell r="E99">
            <v>50</v>
          </cell>
          <cell r="G99">
            <v>7300</v>
          </cell>
          <cell r="J99">
            <v>3</v>
          </cell>
          <cell r="L99">
            <v>1080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63380</v>
          </cell>
          <cell r="V99">
            <v>58484</v>
          </cell>
          <cell r="W99">
            <v>4896</v>
          </cell>
        </row>
        <row r="100">
          <cell r="E100">
            <v>12</v>
          </cell>
          <cell r="G100">
            <v>1752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56752</v>
          </cell>
          <cell r="V100">
            <v>56752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56158</v>
          </cell>
          <cell r="W101">
            <v>-1158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97824</v>
          </cell>
          <cell r="W102">
            <v>-42824</v>
          </cell>
        </row>
        <row r="103">
          <cell r="E103">
            <v>9846</v>
          </cell>
          <cell r="G103">
            <v>1437516</v>
          </cell>
          <cell r="J103">
            <v>3056</v>
          </cell>
          <cell r="L103">
            <v>1100160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2594326</v>
          </cell>
          <cell r="V103">
            <v>98888</v>
          </cell>
          <cell r="W103">
            <v>2495438</v>
          </cell>
        </row>
        <row r="104">
          <cell r="E104">
            <v>1</v>
          </cell>
          <cell r="G104">
            <v>146</v>
          </cell>
          <cell r="J104">
            <v>91</v>
          </cell>
          <cell r="L104">
            <v>32760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89556</v>
          </cell>
          <cell r="V104">
            <v>0</v>
          </cell>
          <cell r="W104">
            <v>89556</v>
          </cell>
        </row>
        <row r="105">
          <cell r="E105">
            <v>13</v>
          </cell>
          <cell r="G105">
            <v>1898</v>
          </cell>
          <cell r="J105">
            <v>4</v>
          </cell>
          <cell r="L105">
            <v>1440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59988</v>
          </cell>
          <cell r="V105">
            <v>0</v>
          </cell>
          <cell r="W105">
            <v>59988</v>
          </cell>
        </row>
        <row r="106">
          <cell r="E106">
            <v>5</v>
          </cell>
          <cell r="G106">
            <v>730</v>
          </cell>
          <cell r="J106">
            <v>18</v>
          </cell>
          <cell r="L106">
            <v>6480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63860</v>
          </cell>
          <cell r="V106">
            <v>213404</v>
          </cell>
          <cell r="W106">
            <v>-149544</v>
          </cell>
        </row>
        <row r="107">
          <cell r="E107">
            <v>0</v>
          </cell>
          <cell r="G107">
            <v>0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57010</v>
          </cell>
          <cell r="V107">
            <v>57010</v>
          </cell>
          <cell r="W107">
            <v>0</v>
          </cell>
        </row>
        <row r="108">
          <cell r="E108">
            <v>7</v>
          </cell>
          <cell r="G108">
            <v>1022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57672</v>
          </cell>
          <cell r="V108">
            <v>0</v>
          </cell>
          <cell r="W108">
            <v>57672</v>
          </cell>
        </row>
        <row r="109">
          <cell r="E109">
            <v>2</v>
          </cell>
          <cell r="G109">
            <v>292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56942</v>
          </cell>
          <cell r="V109">
            <v>114614</v>
          </cell>
          <cell r="W109">
            <v>-57672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1</v>
          </cell>
          <cell r="G112">
            <v>146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56796</v>
          </cell>
          <cell r="V112">
            <v>0</v>
          </cell>
          <cell r="W112">
            <v>56796</v>
          </cell>
        </row>
        <row r="113">
          <cell r="E113">
            <v>1</v>
          </cell>
          <cell r="G113">
            <v>146</v>
          </cell>
          <cell r="J113">
            <v>29</v>
          </cell>
          <cell r="L113">
            <v>10440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67236</v>
          </cell>
          <cell r="V113">
            <v>124032</v>
          </cell>
          <cell r="W113">
            <v>-56796</v>
          </cell>
        </row>
        <row r="114">
          <cell r="E114">
            <v>222</v>
          </cell>
          <cell r="G114">
            <v>32412</v>
          </cell>
          <cell r="J114">
            <v>23</v>
          </cell>
          <cell r="L114">
            <v>8280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97342</v>
          </cell>
          <cell r="V114">
            <v>97342</v>
          </cell>
          <cell r="W114">
            <v>0</v>
          </cell>
        </row>
        <row r="115">
          <cell r="E115">
            <v>47</v>
          </cell>
          <cell r="G115">
            <v>6862</v>
          </cell>
          <cell r="J115">
            <v>9</v>
          </cell>
          <cell r="L115">
            <v>3240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68961</v>
          </cell>
          <cell r="V115">
            <v>68961</v>
          </cell>
          <cell r="W115">
            <v>0</v>
          </cell>
        </row>
        <row r="116">
          <cell r="E116">
            <v>272</v>
          </cell>
          <cell r="G116">
            <v>39712</v>
          </cell>
          <cell r="J116">
            <v>26</v>
          </cell>
          <cell r="L116">
            <v>9360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107931</v>
          </cell>
          <cell r="V116">
            <v>107931</v>
          </cell>
          <cell r="W116">
            <v>0</v>
          </cell>
        </row>
        <row r="117">
          <cell r="E117">
            <v>386</v>
          </cell>
          <cell r="G117">
            <v>56356</v>
          </cell>
          <cell r="J117">
            <v>29</v>
          </cell>
          <cell r="L117">
            <v>10440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125655</v>
          </cell>
          <cell r="V117">
            <v>66796</v>
          </cell>
          <cell r="W117">
            <v>58859</v>
          </cell>
        </row>
        <row r="118">
          <cell r="E118">
            <v>162</v>
          </cell>
          <cell r="G118">
            <v>23652</v>
          </cell>
          <cell r="J118">
            <v>10</v>
          </cell>
          <cell r="L118">
            <v>3600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86111</v>
          </cell>
          <cell r="V118">
            <v>144970</v>
          </cell>
          <cell r="W118">
            <v>-58859</v>
          </cell>
        </row>
        <row r="119">
          <cell r="E119">
            <v>274</v>
          </cell>
          <cell r="G119">
            <v>40004</v>
          </cell>
          <cell r="J119">
            <v>17</v>
          </cell>
          <cell r="L119">
            <v>6120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104983</v>
          </cell>
          <cell r="V119">
            <v>46124</v>
          </cell>
          <cell r="W119">
            <v>58859</v>
          </cell>
        </row>
        <row r="120">
          <cell r="E120">
            <v>227</v>
          </cell>
          <cell r="G120">
            <v>33142</v>
          </cell>
          <cell r="J120">
            <v>13</v>
          </cell>
          <cell r="L120">
            <v>4680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96681</v>
          </cell>
          <cell r="V120">
            <v>108397</v>
          </cell>
          <cell r="W120">
            <v>-11716</v>
          </cell>
        </row>
        <row r="121">
          <cell r="E121">
            <v>173</v>
          </cell>
          <cell r="G121">
            <v>25258</v>
          </cell>
          <cell r="J121">
            <v>12</v>
          </cell>
          <cell r="L121">
            <v>4320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88437</v>
          </cell>
          <cell r="V121">
            <v>135580</v>
          </cell>
          <cell r="W121">
            <v>-47143</v>
          </cell>
        </row>
        <row r="122">
          <cell r="E122">
            <v>347</v>
          </cell>
          <cell r="G122">
            <v>50662</v>
          </cell>
          <cell r="J122">
            <v>14</v>
          </cell>
          <cell r="L122">
            <v>5040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114561</v>
          </cell>
          <cell r="V122">
            <v>114561</v>
          </cell>
          <cell r="W122">
            <v>0</v>
          </cell>
        </row>
        <row r="123">
          <cell r="E123">
            <v>231</v>
          </cell>
          <cell r="G123">
            <v>33726</v>
          </cell>
          <cell r="J123">
            <v>11</v>
          </cell>
          <cell r="L123">
            <v>3960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96545</v>
          </cell>
          <cell r="V123">
            <v>37686</v>
          </cell>
          <cell r="W123">
            <v>58859</v>
          </cell>
        </row>
        <row r="124">
          <cell r="E124">
            <v>260</v>
          </cell>
          <cell r="G124">
            <v>37960</v>
          </cell>
          <cell r="J124">
            <v>16</v>
          </cell>
          <cell r="L124">
            <v>5760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102579</v>
          </cell>
          <cell r="V124">
            <v>161438</v>
          </cell>
          <cell r="W124">
            <v>-58859</v>
          </cell>
        </row>
        <row r="125">
          <cell r="E125">
            <v>224</v>
          </cell>
          <cell r="G125">
            <v>32704</v>
          </cell>
          <cell r="J125">
            <v>45</v>
          </cell>
          <cell r="L125">
            <v>16200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107763</v>
          </cell>
          <cell r="V125">
            <v>48904</v>
          </cell>
          <cell r="W125">
            <v>58859</v>
          </cell>
        </row>
        <row r="126">
          <cell r="E126">
            <v>338</v>
          </cell>
          <cell r="G126">
            <v>49348</v>
          </cell>
          <cell r="J126">
            <v>67</v>
          </cell>
          <cell r="L126">
            <v>24120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15771</v>
          </cell>
          <cell r="S126">
            <v>148098</v>
          </cell>
          <cell r="V126">
            <v>73468</v>
          </cell>
          <cell r="W126">
            <v>74630</v>
          </cell>
        </row>
        <row r="127">
          <cell r="E127">
            <v>486</v>
          </cell>
          <cell r="G127">
            <v>70956</v>
          </cell>
          <cell r="J127">
            <v>97</v>
          </cell>
          <cell r="L127">
            <v>34920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165610</v>
          </cell>
          <cell r="V127">
            <v>339099</v>
          </cell>
          <cell r="W127">
            <v>-173489</v>
          </cell>
        </row>
        <row r="128">
          <cell r="E128">
            <v>268</v>
          </cell>
          <cell r="G128">
            <v>39128</v>
          </cell>
          <cell r="J128">
            <v>48</v>
          </cell>
          <cell r="L128">
            <v>17280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116142</v>
          </cell>
          <cell r="V128">
            <v>56408</v>
          </cell>
          <cell r="W128">
            <v>59734</v>
          </cell>
        </row>
        <row r="129">
          <cell r="E129">
            <v>249</v>
          </cell>
          <cell r="G129">
            <v>36354</v>
          </cell>
          <cell r="J129">
            <v>81</v>
          </cell>
          <cell r="L129">
            <v>29160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125248</v>
          </cell>
          <cell r="V129">
            <v>131756</v>
          </cell>
          <cell r="W129">
            <v>-6508</v>
          </cell>
        </row>
        <row r="130">
          <cell r="E130">
            <v>109</v>
          </cell>
          <cell r="G130">
            <v>15914</v>
          </cell>
          <cell r="J130">
            <v>13</v>
          </cell>
          <cell r="L130">
            <v>4680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14584</v>
          </cell>
          <cell r="S130">
            <v>94912</v>
          </cell>
          <cell r="V130">
            <v>0</v>
          </cell>
          <cell r="W130">
            <v>94912</v>
          </cell>
        </row>
        <row r="131">
          <cell r="E131">
            <v>92</v>
          </cell>
          <cell r="G131">
            <v>13432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73166</v>
          </cell>
          <cell r="V131">
            <v>0</v>
          </cell>
          <cell r="W131">
            <v>73166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29332</v>
          </cell>
          <cell r="S132">
            <v>89066</v>
          </cell>
          <cell r="V132">
            <v>0</v>
          </cell>
          <cell r="W132">
            <v>89066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44212</v>
          </cell>
          <cell r="S134">
            <v>103946</v>
          </cell>
          <cell r="V134">
            <v>442126</v>
          </cell>
          <cell r="W134">
            <v>-338180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59734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16368</v>
          </cell>
          <cell r="S136">
            <v>76102</v>
          </cell>
          <cell r="V136">
            <v>0</v>
          </cell>
          <cell r="W136">
            <v>76102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239782</v>
          </cell>
          <cell r="W137">
            <v>-180048</v>
          </cell>
        </row>
        <row r="138">
          <cell r="E138">
            <v>1</v>
          </cell>
          <cell r="G138">
            <v>146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79880</v>
          </cell>
          <cell r="V138">
            <v>79880</v>
          </cell>
          <cell r="W138">
            <v>0</v>
          </cell>
        </row>
        <row r="139">
          <cell r="E139">
            <v>31</v>
          </cell>
          <cell r="G139">
            <v>4526</v>
          </cell>
          <cell r="J139">
            <v>6</v>
          </cell>
          <cell r="L139">
            <v>2160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73222</v>
          </cell>
          <cell r="V139">
            <v>0</v>
          </cell>
          <cell r="W139">
            <v>73222</v>
          </cell>
        </row>
        <row r="140">
          <cell r="E140">
            <v>137</v>
          </cell>
          <cell r="G140">
            <v>20002</v>
          </cell>
          <cell r="J140">
            <v>27</v>
          </cell>
          <cell r="L140">
            <v>9720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96258</v>
          </cell>
          <cell r="V140">
            <v>177860</v>
          </cell>
          <cell r="W140">
            <v>-81602</v>
          </cell>
        </row>
        <row r="141">
          <cell r="E141">
            <v>143</v>
          </cell>
          <cell r="G141">
            <v>20878</v>
          </cell>
          <cell r="J141">
            <v>6</v>
          </cell>
          <cell r="L141">
            <v>2160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89574</v>
          </cell>
          <cell r="V141">
            <v>89574</v>
          </cell>
          <cell r="W141">
            <v>0</v>
          </cell>
        </row>
        <row r="142">
          <cell r="E142">
            <v>91</v>
          </cell>
          <cell r="G142">
            <v>13286</v>
          </cell>
          <cell r="J142">
            <v>2</v>
          </cell>
          <cell r="L142">
            <v>720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80542</v>
          </cell>
          <cell r="V142">
            <v>80542</v>
          </cell>
          <cell r="W142">
            <v>0</v>
          </cell>
        </row>
        <row r="143">
          <cell r="E143">
            <v>44</v>
          </cell>
          <cell r="G143">
            <v>6424</v>
          </cell>
          <cell r="J143">
            <v>2</v>
          </cell>
          <cell r="L143">
            <v>720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73680</v>
          </cell>
          <cell r="V143">
            <v>73680</v>
          </cell>
          <cell r="W143">
            <v>0</v>
          </cell>
        </row>
        <row r="144">
          <cell r="E144">
            <v>35</v>
          </cell>
          <cell r="G144">
            <v>5110</v>
          </cell>
          <cell r="J144">
            <v>8</v>
          </cell>
          <cell r="L144">
            <v>2880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74526</v>
          </cell>
          <cell r="V144">
            <v>74526</v>
          </cell>
          <cell r="W144">
            <v>0</v>
          </cell>
        </row>
        <row r="145">
          <cell r="E145">
            <v>73</v>
          </cell>
          <cell r="G145">
            <v>10658</v>
          </cell>
          <cell r="J145">
            <v>2</v>
          </cell>
          <cell r="L145">
            <v>720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77914</v>
          </cell>
          <cell r="V145">
            <v>77914</v>
          </cell>
          <cell r="W145">
            <v>0</v>
          </cell>
        </row>
        <row r="146">
          <cell r="E146">
            <v>45</v>
          </cell>
          <cell r="G146">
            <v>6570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73106</v>
          </cell>
          <cell r="V146">
            <v>73106</v>
          </cell>
          <cell r="W146">
            <v>0</v>
          </cell>
        </row>
        <row r="147">
          <cell r="E147">
            <v>88</v>
          </cell>
          <cell r="G147">
            <v>12848</v>
          </cell>
          <cell r="J147">
            <v>6</v>
          </cell>
          <cell r="L147">
            <v>2160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81544</v>
          </cell>
          <cell r="V147">
            <v>81544</v>
          </cell>
          <cell r="W147">
            <v>0</v>
          </cell>
        </row>
        <row r="148">
          <cell r="E148">
            <v>66</v>
          </cell>
          <cell r="G148">
            <v>9636</v>
          </cell>
          <cell r="J148">
            <v>4</v>
          </cell>
          <cell r="L148">
            <v>1440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77612</v>
          </cell>
          <cell r="V148">
            <v>77812</v>
          </cell>
          <cell r="W148">
            <v>-200</v>
          </cell>
        </row>
        <row r="149">
          <cell r="E149">
            <v>33</v>
          </cell>
          <cell r="G149">
            <v>4818</v>
          </cell>
          <cell r="J149">
            <v>19</v>
          </cell>
          <cell r="L149">
            <v>6840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78194</v>
          </cell>
          <cell r="V149">
            <v>77994</v>
          </cell>
          <cell r="W149">
            <v>200</v>
          </cell>
        </row>
        <row r="150">
          <cell r="E150">
            <v>114</v>
          </cell>
          <cell r="G150">
            <v>16644</v>
          </cell>
          <cell r="J150">
            <v>3</v>
          </cell>
          <cell r="L150">
            <v>1080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86260</v>
          </cell>
          <cell r="V150">
            <v>86260</v>
          </cell>
          <cell r="W150">
            <v>0</v>
          </cell>
        </row>
        <row r="151">
          <cell r="E151">
            <v>94</v>
          </cell>
          <cell r="G151">
            <v>13724</v>
          </cell>
          <cell r="J151">
            <v>21</v>
          </cell>
          <cell r="L151">
            <v>7560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92679</v>
          </cell>
          <cell r="V151">
            <v>92679</v>
          </cell>
          <cell r="W151">
            <v>0</v>
          </cell>
        </row>
        <row r="152">
          <cell r="E152">
            <v>96</v>
          </cell>
          <cell r="G152">
            <v>14016</v>
          </cell>
          <cell r="J152">
            <v>6</v>
          </cell>
          <cell r="L152">
            <v>2160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87571</v>
          </cell>
          <cell r="V152">
            <v>87571</v>
          </cell>
          <cell r="W152">
            <v>0</v>
          </cell>
        </row>
        <row r="153">
          <cell r="E153">
            <v>65</v>
          </cell>
          <cell r="G153">
            <v>9490</v>
          </cell>
          <cell r="J153">
            <v>0</v>
          </cell>
          <cell r="L153">
            <v>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85844</v>
          </cell>
          <cell r="V153">
            <v>85844</v>
          </cell>
          <cell r="W153">
            <v>0</v>
          </cell>
        </row>
        <row r="154">
          <cell r="E154">
            <v>61</v>
          </cell>
          <cell r="G154">
            <v>8906</v>
          </cell>
          <cell r="J154">
            <v>2</v>
          </cell>
          <cell r="L154">
            <v>720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85980</v>
          </cell>
          <cell r="V154">
            <v>85980</v>
          </cell>
          <cell r="W154">
            <v>0</v>
          </cell>
        </row>
        <row r="155">
          <cell r="E155">
            <v>48</v>
          </cell>
          <cell r="G155">
            <v>7008</v>
          </cell>
          <cell r="J155">
            <v>3</v>
          </cell>
          <cell r="L155">
            <v>1080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84442</v>
          </cell>
          <cell r="V155">
            <v>84442</v>
          </cell>
          <cell r="W155">
            <v>0</v>
          </cell>
        </row>
        <row r="156">
          <cell r="E156">
            <v>34</v>
          </cell>
          <cell r="G156">
            <v>4964</v>
          </cell>
          <cell r="J156">
            <v>1</v>
          </cell>
          <cell r="L156">
            <v>360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81678</v>
          </cell>
          <cell r="V156">
            <v>81678</v>
          </cell>
          <cell r="W156">
            <v>0</v>
          </cell>
        </row>
        <row r="157">
          <cell r="E157">
            <v>125</v>
          </cell>
          <cell r="G157">
            <v>18250</v>
          </cell>
          <cell r="J157">
            <v>3</v>
          </cell>
          <cell r="L157">
            <v>1080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95684</v>
          </cell>
          <cell r="V157">
            <v>95684</v>
          </cell>
          <cell r="W157">
            <v>0</v>
          </cell>
        </row>
        <row r="158">
          <cell r="E158">
            <v>37</v>
          </cell>
          <cell r="G158">
            <v>5402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81756</v>
          </cell>
          <cell r="V158">
            <v>81756</v>
          </cell>
          <cell r="W158">
            <v>0</v>
          </cell>
        </row>
        <row r="159">
          <cell r="E159">
            <v>66</v>
          </cell>
          <cell r="G159">
            <v>9636</v>
          </cell>
          <cell r="J159">
            <v>3</v>
          </cell>
          <cell r="L159">
            <v>1080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87070</v>
          </cell>
          <cell r="V159">
            <v>87070</v>
          </cell>
          <cell r="W159">
            <v>0</v>
          </cell>
        </row>
        <row r="160">
          <cell r="E160">
            <v>42</v>
          </cell>
          <cell r="G160">
            <v>6132</v>
          </cell>
          <cell r="J160">
            <v>1</v>
          </cell>
          <cell r="L160">
            <v>360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82846</v>
          </cell>
          <cell r="V160">
            <v>82846</v>
          </cell>
          <cell r="W160">
            <v>0</v>
          </cell>
        </row>
        <row r="161">
          <cell r="E161">
            <v>48</v>
          </cell>
          <cell r="G161">
            <v>7008</v>
          </cell>
          <cell r="J161">
            <v>2</v>
          </cell>
          <cell r="L161">
            <v>720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84082</v>
          </cell>
          <cell r="V161">
            <v>84082</v>
          </cell>
          <cell r="W161">
            <v>0</v>
          </cell>
        </row>
        <row r="162">
          <cell r="E162">
            <v>147</v>
          </cell>
          <cell r="G162">
            <v>21462</v>
          </cell>
          <cell r="J162">
            <v>34</v>
          </cell>
          <cell r="L162">
            <v>12240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109762</v>
          </cell>
          <cell r="V162">
            <v>109762</v>
          </cell>
          <cell r="W162">
            <v>0</v>
          </cell>
        </row>
        <row r="163">
          <cell r="E163">
            <v>201</v>
          </cell>
          <cell r="G163">
            <v>29346</v>
          </cell>
          <cell r="J163">
            <v>18</v>
          </cell>
          <cell r="L163">
            <v>6480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121886</v>
          </cell>
          <cell r="V163">
            <v>121886</v>
          </cell>
          <cell r="W163">
            <v>0</v>
          </cell>
        </row>
        <row r="164">
          <cell r="E164">
            <v>224</v>
          </cell>
          <cell r="G164">
            <v>32704</v>
          </cell>
          <cell r="J164">
            <v>26</v>
          </cell>
          <cell r="L164">
            <v>9360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128124</v>
          </cell>
          <cell r="V164">
            <v>128124</v>
          </cell>
          <cell r="W164">
            <v>0</v>
          </cell>
        </row>
        <row r="165">
          <cell r="E165">
            <v>238</v>
          </cell>
          <cell r="G165">
            <v>34748</v>
          </cell>
          <cell r="J165">
            <v>23</v>
          </cell>
          <cell r="L165">
            <v>8280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129088</v>
          </cell>
          <cell r="V165">
            <v>129088</v>
          </cell>
          <cell r="W165">
            <v>0</v>
          </cell>
        </row>
        <row r="166">
          <cell r="E166">
            <v>149</v>
          </cell>
          <cell r="G166">
            <v>21754</v>
          </cell>
          <cell r="J166">
            <v>6</v>
          </cell>
          <cell r="L166">
            <v>2160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110018</v>
          </cell>
          <cell r="V166">
            <v>110018</v>
          </cell>
          <cell r="W166">
            <v>0</v>
          </cell>
        </row>
        <row r="167">
          <cell r="E167">
            <v>96</v>
          </cell>
          <cell r="G167">
            <v>14016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100120</v>
          </cell>
          <cell r="V167">
            <v>100120</v>
          </cell>
          <cell r="W167">
            <v>0</v>
          </cell>
        </row>
        <row r="168">
          <cell r="E168">
            <v>46</v>
          </cell>
          <cell r="G168">
            <v>6716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93540</v>
          </cell>
          <cell r="V168">
            <v>93540</v>
          </cell>
          <cell r="W168">
            <v>0</v>
          </cell>
        </row>
        <row r="169">
          <cell r="E169">
            <v>36</v>
          </cell>
          <cell r="G169">
            <v>5256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90966</v>
          </cell>
          <cell r="V169">
            <v>90966</v>
          </cell>
          <cell r="W169">
            <v>0</v>
          </cell>
        </row>
        <row r="170">
          <cell r="E170">
            <v>133</v>
          </cell>
          <cell r="G170">
            <v>19418</v>
          </cell>
          <cell r="J170">
            <v>3</v>
          </cell>
          <cell r="L170">
            <v>1080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106208</v>
          </cell>
          <cell r="V170">
            <v>106208</v>
          </cell>
          <cell r="W170">
            <v>0</v>
          </cell>
        </row>
        <row r="171">
          <cell r="E171">
            <v>213</v>
          </cell>
          <cell r="G171">
            <v>31098</v>
          </cell>
          <cell r="J171">
            <v>5</v>
          </cell>
          <cell r="L171">
            <v>1800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114293</v>
          </cell>
          <cell r="V171">
            <v>114293</v>
          </cell>
          <cell r="W171">
            <v>0</v>
          </cell>
        </row>
        <row r="172">
          <cell r="E172">
            <v>59</v>
          </cell>
          <cell r="G172">
            <v>8614</v>
          </cell>
          <cell r="J172">
            <v>6</v>
          </cell>
          <cell r="L172">
            <v>2160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92169</v>
          </cell>
          <cell r="V172">
            <v>92169</v>
          </cell>
          <cell r="W172">
            <v>0</v>
          </cell>
        </row>
        <row r="173">
          <cell r="E173">
            <v>78</v>
          </cell>
          <cell r="G173">
            <v>11388</v>
          </cell>
          <cell r="J173">
            <v>21</v>
          </cell>
          <cell r="L173">
            <v>7560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100343</v>
          </cell>
          <cell r="V173">
            <v>100343</v>
          </cell>
          <cell r="W173">
            <v>0</v>
          </cell>
        </row>
        <row r="174">
          <cell r="E174">
            <v>180</v>
          </cell>
          <cell r="G174">
            <v>26280</v>
          </cell>
          <cell r="J174">
            <v>13</v>
          </cell>
          <cell r="L174">
            <v>4680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112355</v>
          </cell>
          <cell r="V174">
            <v>112355</v>
          </cell>
          <cell r="W174">
            <v>0</v>
          </cell>
        </row>
      </sheetData>
      <sheetData sheetId="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39000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78000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117000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156000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195000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234000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273000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312000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351000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156000</v>
          </cell>
          <cell r="W28">
            <v>273000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273000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312000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390000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429000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468000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507000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546000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585000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624000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663000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702000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741000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780000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819000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858000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897000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936000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975000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1014000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1053000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1092000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1131000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1209000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1248000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1294000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1340000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1386000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1432000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1478000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1524000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1570000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1616000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1616000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276000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322000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322000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121</v>
          </cell>
          <cell r="G74">
            <v>12947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58947</v>
          </cell>
          <cell r="V74">
            <v>0</v>
          </cell>
          <cell r="W74">
            <v>104947</v>
          </cell>
        </row>
        <row r="75">
          <cell r="E75">
            <v>127</v>
          </cell>
          <cell r="G75">
            <v>13970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59970</v>
          </cell>
          <cell r="V75">
            <v>0</v>
          </cell>
          <cell r="W75">
            <v>164917</v>
          </cell>
        </row>
        <row r="76">
          <cell r="E76">
            <v>86</v>
          </cell>
          <cell r="G76">
            <v>10836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56836</v>
          </cell>
          <cell r="V76">
            <v>0</v>
          </cell>
          <cell r="W76">
            <v>221753</v>
          </cell>
        </row>
        <row r="77">
          <cell r="E77">
            <v>140</v>
          </cell>
          <cell r="G77">
            <v>16660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62660</v>
          </cell>
          <cell r="V77">
            <v>0</v>
          </cell>
          <cell r="W77">
            <v>284413</v>
          </cell>
        </row>
        <row r="78">
          <cell r="E78">
            <v>181</v>
          </cell>
          <cell r="G78">
            <v>19548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65548</v>
          </cell>
          <cell r="V78">
            <v>284413</v>
          </cell>
          <cell r="W78">
            <v>65548</v>
          </cell>
        </row>
        <row r="79">
          <cell r="E79">
            <v>87</v>
          </cell>
          <cell r="G79">
            <v>10788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56788</v>
          </cell>
          <cell r="V79">
            <v>65548</v>
          </cell>
          <cell r="W79">
            <v>56788</v>
          </cell>
        </row>
        <row r="80">
          <cell r="E80">
            <v>131</v>
          </cell>
          <cell r="G80">
            <v>17030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63030</v>
          </cell>
          <cell r="V80">
            <v>0</v>
          </cell>
          <cell r="W80">
            <v>119818</v>
          </cell>
        </row>
        <row r="81">
          <cell r="E81">
            <v>133</v>
          </cell>
          <cell r="G81">
            <v>17290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63290</v>
          </cell>
          <cell r="V81">
            <v>119818</v>
          </cell>
          <cell r="W81">
            <v>63290</v>
          </cell>
        </row>
        <row r="82">
          <cell r="E82">
            <v>108</v>
          </cell>
          <cell r="G82">
            <v>15120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61120</v>
          </cell>
          <cell r="V82">
            <v>0</v>
          </cell>
          <cell r="W82">
            <v>124410</v>
          </cell>
        </row>
        <row r="83">
          <cell r="E83">
            <v>113</v>
          </cell>
          <cell r="G83">
            <v>16498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62498</v>
          </cell>
          <cell r="V83">
            <v>0</v>
          </cell>
          <cell r="W83">
            <v>186908</v>
          </cell>
        </row>
        <row r="84">
          <cell r="E84">
            <v>118</v>
          </cell>
          <cell r="G84">
            <v>17228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25014</v>
          </cell>
          <cell r="S84">
            <v>88242</v>
          </cell>
          <cell r="V84">
            <v>0</v>
          </cell>
          <cell r="W84">
            <v>275150</v>
          </cell>
        </row>
        <row r="85">
          <cell r="E85">
            <v>118</v>
          </cell>
          <cell r="G85">
            <v>17228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63228</v>
          </cell>
          <cell r="V85">
            <v>186908</v>
          </cell>
          <cell r="W85">
            <v>161470</v>
          </cell>
        </row>
        <row r="86">
          <cell r="E86">
            <v>136</v>
          </cell>
          <cell r="G86">
            <v>19856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75856</v>
          </cell>
          <cell r="V86">
            <v>227326</v>
          </cell>
          <cell r="W86">
            <v>0</v>
          </cell>
        </row>
        <row r="87">
          <cell r="E87">
            <v>124</v>
          </cell>
          <cell r="G87">
            <v>18104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64104</v>
          </cell>
          <cell r="V87">
            <v>0</v>
          </cell>
          <cell r="W87">
            <v>64104</v>
          </cell>
        </row>
        <row r="88">
          <cell r="E88">
            <v>113</v>
          </cell>
          <cell r="G88">
            <v>16498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62498</v>
          </cell>
          <cell r="V88">
            <v>0</v>
          </cell>
          <cell r="W88">
            <v>126602</v>
          </cell>
        </row>
        <row r="89">
          <cell r="E89">
            <v>112</v>
          </cell>
          <cell r="G89">
            <v>16352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16394</v>
          </cell>
          <cell r="S89">
            <v>78746</v>
          </cell>
          <cell r="V89">
            <v>205348</v>
          </cell>
          <cell r="W89">
            <v>0</v>
          </cell>
        </row>
        <row r="90">
          <cell r="E90">
            <v>136</v>
          </cell>
          <cell r="G90">
            <v>19856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65856</v>
          </cell>
          <cell r="V90">
            <v>65856</v>
          </cell>
          <cell r="W90">
            <v>0</v>
          </cell>
        </row>
        <row r="91">
          <cell r="E91">
            <v>115</v>
          </cell>
          <cell r="G91">
            <v>16790</v>
          </cell>
          <cell r="J91">
            <v>1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71790</v>
          </cell>
          <cell r="V91">
            <v>81791</v>
          </cell>
          <cell r="W91">
            <v>-1</v>
          </cell>
        </row>
        <row r="92">
          <cell r="E92">
            <v>151</v>
          </cell>
          <cell r="G92">
            <v>22046</v>
          </cell>
          <cell r="J92">
            <v>1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77046</v>
          </cell>
          <cell r="V92">
            <v>87048</v>
          </cell>
          <cell r="W92">
            <v>-3</v>
          </cell>
        </row>
        <row r="93">
          <cell r="E93">
            <v>136</v>
          </cell>
          <cell r="G93">
            <v>19856</v>
          </cell>
          <cell r="J93">
            <v>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74856</v>
          </cell>
          <cell r="V93">
            <v>84859</v>
          </cell>
          <cell r="W93">
            <v>-6</v>
          </cell>
        </row>
        <row r="94">
          <cell r="E94">
            <v>184</v>
          </cell>
          <cell r="G94">
            <v>26864</v>
          </cell>
          <cell r="J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81864</v>
          </cell>
          <cell r="V94">
            <v>0</v>
          </cell>
          <cell r="W94">
            <v>91858</v>
          </cell>
        </row>
        <row r="95">
          <cell r="E95">
            <v>151</v>
          </cell>
          <cell r="G95">
            <v>22046</v>
          </cell>
          <cell r="J95">
            <v>1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77046</v>
          </cell>
          <cell r="V95">
            <v>178919</v>
          </cell>
          <cell r="W95">
            <v>-15</v>
          </cell>
        </row>
        <row r="96">
          <cell r="E96">
            <v>164</v>
          </cell>
          <cell r="G96">
            <v>23944</v>
          </cell>
          <cell r="J96">
            <v>1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78944</v>
          </cell>
          <cell r="V96">
            <v>0</v>
          </cell>
          <cell r="W96">
            <v>78929</v>
          </cell>
        </row>
        <row r="97">
          <cell r="E97">
            <v>260</v>
          </cell>
          <cell r="G97">
            <v>37960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92960</v>
          </cell>
          <cell r="V97">
            <v>171917</v>
          </cell>
          <cell r="W97">
            <v>-28</v>
          </cell>
        </row>
        <row r="98">
          <cell r="E98">
            <v>196</v>
          </cell>
          <cell r="G98">
            <v>28616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83616</v>
          </cell>
          <cell r="V98">
            <v>0</v>
          </cell>
          <cell r="W98">
            <v>83588</v>
          </cell>
        </row>
        <row r="99">
          <cell r="E99">
            <v>161</v>
          </cell>
          <cell r="G99">
            <v>23506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78506</v>
          </cell>
          <cell r="V99">
            <v>83624</v>
          </cell>
          <cell r="W99">
            <v>78470</v>
          </cell>
        </row>
        <row r="100">
          <cell r="E100">
            <v>155</v>
          </cell>
          <cell r="G100">
            <v>22630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77630</v>
          </cell>
          <cell r="V100">
            <v>78470</v>
          </cell>
          <cell r="W100">
            <v>77630</v>
          </cell>
        </row>
        <row r="101">
          <cell r="E101">
            <v>139</v>
          </cell>
          <cell r="G101">
            <v>20294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75294</v>
          </cell>
          <cell r="V101">
            <v>77630</v>
          </cell>
          <cell r="W101">
            <v>75294</v>
          </cell>
        </row>
        <row r="102">
          <cell r="E102">
            <v>118</v>
          </cell>
          <cell r="G102">
            <v>17228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72228</v>
          </cell>
          <cell r="V102">
            <v>147522</v>
          </cell>
          <cell r="W102">
            <v>0</v>
          </cell>
        </row>
        <row r="103">
          <cell r="E103">
            <v>117</v>
          </cell>
          <cell r="G103">
            <v>17082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73732</v>
          </cell>
          <cell r="V103">
            <v>0</v>
          </cell>
          <cell r="W103">
            <v>73732</v>
          </cell>
        </row>
        <row r="104">
          <cell r="E104">
            <v>127</v>
          </cell>
          <cell r="G104">
            <v>18542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14892</v>
          </cell>
          <cell r="S104">
            <v>90084</v>
          </cell>
          <cell r="V104">
            <v>0</v>
          </cell>
          <cell r="W104">
            <v>163816</v>
          </cell>
        </row>
        <row r="105">
          <cell r="E105">
            <v>131</v>
          </cell>
          <cell r="G105">
            <v>19126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75776</v>
          </cell>
          <cell r="V105">
            <v>239592</v>
          </cell>
          <cell r="W105">
            <v>0</v>
          </cell>
        </row>
        <row r="106">
          <cell r="E106">
            <v>202</v>
          </cell>
          <cell r="G106">
            <v>29492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86142</v>
          </cell>
          <cell r="V106">
            <v>0</v>
          </cell>
          <cell r="W106">
            <v>86142</v>
          </cell>
        </row>
        <row r="107">
          <cell r="E107">
            <v>132</v>
          </cell>
          <cell r="G107">
            <v>19272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75922</v>
          </cell>
          <cell r="V107">
            <v>162064</v>
          </cell>
          <cell r="W107">
            <v>0</v>
          </cell>
        </row>
        <row r="108">
          <cell r="E108">
            <v>144</v>
          </cell>
          <cell r="G108">
            <v>21024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77674</v>
          </cell>
          <cell r="V108">
            <v>0</v>
          </cell>
          <cell r="W108">
            <v>77674</v>
          </cell>
        </row>
        <row r="109">
          <cell r="E109">
            <v>162</v>
          </cell>
          <cell r="G109">
            <v>23652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80302</v>
          </cell>
          <cell r="V109">
            <v>157976</v>
          </cell>
          <cell r="W109">
            <v>0</v>
          </cell>
        </row>
        <row r="110">
          <cell r="E110">
            <v>152</v>
          </cell>
          <cell r="G110">
            <v>22192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78842</v>
          </cell>
          <cell r="V110">
            <v>78842</v>
          </cell>
          <cell r="W110">
            <v>0</v>
          </cell>
        </row>
        <row r="111">
          <cell r="E111">
            <v>172</v>
          </cell>
          <cell r="G111">
            <v>25112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81762</v>
          </cell>
          <cell r="V111">
            <v>0</v>
          </cell>
          <cell r="W111">
            <v>81762</v>
          </cell>
        </row>
        <row r="112">
          <cell r="E112">
            <v>152</v>
          </cell>
          <cell r="G112">
            <v>22192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78842</v>
          </cell>
          <cell r="V112">
            <v>160604</v>
          </cell>
          <cell r="W112">
            <v>0</v>
          </cell>
        </row>
        <row r="113">
          <cell r="E113">
            <v>182</v>
          </cell>
          <cell r="G113">
            <v>26572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83222</v>
          </cell>
          <cell r="V113">
            <v>0</v>
          </cell>
          <cell r="W113">
            <v>83222</v>
          </cell>
        </row>
        <row r="114">
          <cell r="E114">
            <v>182</v>
          </cell>
          <cell r="G114">
            <v>26572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83222</v>
          </cell>
          <cell r="V114">
            <v>166444</v>
          </cell>
          <cell r="W114">
            <v>0</v>
          </cell>
        </row>
        <row r="115">
          <cell r="E115">
            <v>181</v>
          </cell>
          <cell r="G115">
            <v>26426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85285</v>
          </cell>
          <cell r="V115">
            <v>85285</v>
          </cell>
          <cell r="W115">
            <v>0</v>
          </cell>
        </row>
        <row r="116">
          <cell r="E116">
            <v>185</v>
          </cell>
          <cell r="G116">
            <v>27010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85869</v>
          </cell>
          <cell r="V116">
            <v>0</v>
          </cell>
          <cell r="W116">
            <v>85869</v>
          </cell>
        </row>
        <row r="117">
          <cell r="E117">
            <v>187</v>
          </cell>
          <cell r="G117">
            <v>27302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17203</v>
          </cell>
          <cell r="S117">
            <v>103364</v>
          </cell>
          <cell r="V117">
            <v>0</v>
          </cell>
          <cell r="W117">
            <v>189233</v>
          </cell>
        </row>
        <row r="118">
          <cell r="E118">
            <v>189</v>
          </cell>
          <cell r="G118">
            <v>27594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86453</v>
          </cell>
          <cell r="V118">
            <v>275693</v>
          </cell>
          <cell r="W118">
            <v>-7</v>
          </cell>
        </row>
        <row r="119">
          <cell r="E119">
            <v>241</v>
          </cell>
          <cell r="G119">
            <v>35186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94045</v>
          </cell>
          <cell r="V119">
            <v>0</v>
          </cell>
          <cell r="W119">
            <v>94038</v>
          </cell>
        </row>
        <row r="120">
          <cell r="E120">
            <v>148</v>
          </cell>
          <cell r="G120">
            <v>21608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17452</v>
          </cell>
          <cell r="S120">
            <v>97919</v>
          </cell>
          <cell r="V120">
            <v>191975</v>
          </cell>
          <cell r="W120">
            <v>-18</v>
          </cell>
        </row>
        <row r="121">
          <cell r="E121">
            <v>184</v>
          </cell>
          <cell r="G121">
            <v>26864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85723</v>
          </cell>
          <cell r="V121">
            <v>0</v>
          </cell>
          <cell r="W121">
            <v>85705</v>
          </cell>
        </row>
        <row r="122">
          <cell r="E122">
            <v>196</v>
          </cell>
          <cell r="G122">
            <v>28616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87475</v>
          </cell>
          <cell r="V122">
            <v>173188</v>
          </cell>
          <cell r="W122">
            <v>-8</v>
          </cell>
        </row>
        <row r="123">
          <cell r="E123">
            <v>157</v>
          </cell>
          <cell r="G123">
            <v>22922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81781</v>
          </cell>
          <cell r="V123">
            <v>0</v>
          </cell>
          <cell r="W123">
            <v>81773</v>
          </cell>
        </row>
        <row r="124">
          <cell r="E124">
            <v>167</v>
          </cell>
          <cell r="G124">
            <v>24382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83241</v>
          </cell>
          <cell r="V124">
            <v>165022</v>
          </cell>
          <cell r="W124">
            <v>-8</v>
          </cell>
        </row>
        <row r="125">
          <cell r="E125">
            <v>150</v>
          </cell>
          <cell r="G125">
            <v>21900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80759</v>
          </cell>
          <cell r="V125">
            <v>80751</v>
          </cell>
          <cell r="W125">
            <v>0</v>
          </cell>
        </row>
        <row r="126">
          <cell r="E126">
            <v>144</v>
          </cell>
          <cell r="G126">
            <v>21024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79883</v>
          </cell>
          <cell r="V126">
            <v>0</v>
          </cell>
          <cell r="W126">
            <v>79883</v>
          </cell>
        </row>
        <row r="127">
          <cell r="E127">
            <v>170</v>
          </cell>
          <cell r="G127">
            <v>24820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84554</v>
          </cell>
          <cell r="V127">
            <v>164437</v>
          </cell>
          <cell r="W127">
            <v>0</v>
          </cell>
        </row>
        <row r="128">
          <cell r="E128">
            <v>170</v>
          </cell>
          <cell r="G128">
            <v>24820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96842</v>
          </cell>
          <cell r="V128">
            <v>0</v>
          </cell>
          <cell r="W128">
            <v>96842</v>
          </cell>
        </row>
        <row r="129">
          <cell r="E129">
            <v>152</v>
          </cell>
          <cell r="G129">
            <v>22192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81926</v>
          </cell>
          <cell r="V129">
            <v>166480</v>
          </cell>
          <cell r="W129">
            <v>12288</v>
          </cell>
        </row>
        <row r="130">
          <cell r="E130">
            <v>286</v>
          </cell>
          <cell r="G130">
            <v>41756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101490</v>
          </cell>
          <cell r="V130">
            <v>0</v>
          </cell>
          <cell r="W130">
            <v>113778</v>
          </cell>
        </row>
        <row r="131">
          <cell r="E131">
            <v>261</v>
          </cell>
          <cell r="G131">
            <v>38106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97840</v>
          </cell>
          <cell r="V131">
            <v>211618</v>
          </cell>
          <cell r="W131">
            <v>0</v>
          </cell>
        </row>
        <row r="132">
          <cell r="E132">
            <v>170</v>
          </cell>
          <cell r="G132">
            <v>24820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84554</v>
          </cell>
          <cell r="V132">
            <v>0</v>
          </cell>
          <cell r="W132">
            <v>84554</v>
          </cell>
        </row>
        <row r="133">
          <cell r="E133">
            <v>208</v>
          </cell>
          <cell r="G133">
            <v>30368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17465</v>
          </cell>
          <cell r="S133">
            <v>107567</v>
          </cell>
          <cell r="V133">
            <v>192121</v>
          </cell>
          <cell r="W133">
            <v>0</v>
          </cell>
        </row>
        <row r="134">
          <cell r="E134">
            <v>187</v>
          </cell>
          <cell r="G134">
            <v>27302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87036</v>
          </cell>
          <cell r="V134">
            <v>87036</v>
          </cell>
          <cell r="W134">
            <v>0</v>
          </cell>
        </row>
        <row r="135">
          <cell r="E135">
            <v>181</v>
          </cell>
          <cell r="G135">
            <v>26426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86160</v>
          </cell>
          <cell r="V135">
            <v>0</v>
          </cell>
          <cell r="W135">
            <v>86160</v>
          </cell>
        </row>
        <row r="136">
          <cell r="E136">
            <v>241</v>
          </cell>
          <cell r="G136">
            <v>35186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18108</v>
          </cell>
          <cell r="S136">
            <v>113028</v>
          </cell>
          <cell r="V136">
            <v>199188</v>
          </cell>
          <cell r="W136">
            <v>0</v>
          </cell>
        </row>
        <row r="137">
          <cell r="E137">
            <v>206</v>
          </cell>
          <cell r="G137">
            <v>30076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89810</v>
          </cell>
          <cell r="V137">
            <v>0</v>
          </cell>
          <cell r="W137">
            <v>89810</v>
          </cell>
        </row>
        <row r="138">
          <cell r="E138">
            <v>153</v>
          </cell>
          <cell r="G138">
            <v>22338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102072</v>
          </cell>
          <cell r="V138">
            <v>191882</v>
          </cell>
          <cell r="W138">
            <v>0</v>
          </cell>
        </row>
        <row r="139">
          <cell r="E139">
            <v>197</v>
          </cell>
          <cell r="G139">
            <v>28762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95298</v>
          </cell>
          <cell r="V139">
            <v>0</v>
          </cell>
          <cell r="W139">
            <v>95298</v>
          </cell>
        </row>
        <row r="140">
          <cell r="E140">
            <v>236</v>
          </cell>
          <cell r="G140">
            <v>34456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19629</v>
          </cell>
          <cell r="S140">
            <v>120621</v>
          </cell>
          <cell r="V140">
            <v>215919</v>
          </cell>
          <cell r="W140">
            <v>0</v>
          </cell>
        </row>
        <row r="141">
          <cell r="E141">
            <v>237</v>
          </cell>
          <cell r="G141">
            <v>34602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101138</v>
          </cell>
          <cell r="V141">
            <v>0</v>
          </cell>
          <cell r="W141">
            <v>101138</v>
          </cell>
        </row>
        <row r="142">
          <cell r="E142">
            <v>275</v>
          </cell>
          <cell r="G142">
            <v>40150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106686</v>
          </cell>
          <cell r="V142">
            <v>207824</v>
          </cell>
          <cell r="W142">
            <v>0</v>
          </cell>
        </row>
        <row r="143">
          <cell r="E143">
            <v>231</v>
          </cell>
          <cell r="G143">
            <v>33726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100262</v>
          </cell>
          <cell r="V143">
            <v>100262</v>
          </cell>
          <cell r="W143">
            <v>0</v>
          </cell>
        </row>
        <row r="144">
          <cell r="E144">
            <v>218</v>
          </cell>
          <cell r="G144">
            <v>31828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98364</v>
          </cell>
          <cell r="V144">
            <v>0</v>
          </cell>
          <cell r="W144">
            <v>98364</v>
          </cell>
        </row>
        <row r="145">
          <cell r="E145">
            <v>321</v>
          </cell>
          <cell r="G145">
            <v>46866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113402</v>
          </cell>
          <cell r="V145">
            <v>211766</v>
          </cell>
          <cell r="W145">
            <v>0</v>
          </cell>
        </row>
        <row r="146">
          <cell r="E146">
            <v>319</v>
          </cell>
          <cell r="G146">
            <v>46574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113110</v>
          </cell>
          <cell r="V146">
            <v>0</v>
          </cell>
          <cell r="W146">
            <v>113110</v>
          </cell>
        </row>
        <row r="147">
          <cell r="E147">
            <v>155</v>
          </cell>
          <cell r="G147">
            <v>22630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89166</v>
          </cell>
          <cell r="V147">
            <v>202276</v>
          </cell>
          <cell r="W147">
            <v>0</v>
          </cell>
        </row>
        <row r="148">
          <cell r="E148">
            <v>312</v>
          </cell>
          <cell r="G148">
            <v>45552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112088</v>
          </cell>
          <cell r="V148">
            <v>0</v>
          </cell>
          <cell r="W148">
            <v>112088</v>
          </cell>
        </row>
        <row r="149">
          <cell r="E149">
            <v>207</v>
          </cell>
          <cell r="G149">
            <v>30222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96758</v>
          </cell>
          <cell r="V149">
            <v>208846</v>
          </cell>
          <cell r="W149">
            <v>0</v>
          </cell>
        </row>
        <row r="150">
          <cell r="E150">
            <v>195</v>
          </cell>
          <cell r="G150">
            <v>28470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97006</v>
          </cell>
          <cell r="V150">
            <v>0</v>
          </cell>
          <cell r="W150">
            <v>97006</v>
          </cell>
        </row>
        <row r="151">
          <cell r="E151">
            <v>181</v>
          </cell>
          <cell r="G151">
            <v>26426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97821</v>
          </cell>
          <cell r="V151">
            <v>194827</v>
          </cell>
          <cell r="W151">
            <v>0</v>
          </cell>
        </row>
        <row r="152">
          <cell r="E152">
            <v>98</v>
          </cell>
          <cell r="G152">
            <v>14308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85703</v>
          </cell>
          <cell r="V152">
            <v>0</v>
          </cell>
          <cell r="W152">
            <v>85703</v>
          </cell>
        </row>
        <row r="153">
          <cell r="E153">
            <v>352</v>
          </cell>
          <cell r="G153">
            <v>51392</v>
          </cell>
          <cell r="J153">
            <v>0</v>
          </cell>
          <cell r="L153">
            <v>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127746</v>
          </cell>
          <cell r="V153">
            <v>0</v>
          </cell>
          <cell r="W153">
            <v>213449</v>
          </cell>
        </row>
        <row r="154">
          <cell r="E154">
            <v>449</v>
          </cell>
          <cell r="G154">
            <v>65554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141908</v>
          </cell>
          <cell r="V154">
            <v>355357</v>
          </cell>
          <cell r="W154">
            <v>0</v>
          </cell>
        </row>
        <row r="155">
          <cell r="E155">
            <v>646</v>
          </cell>
          <cell r="G155">
            <v>94316</v>
          </cell>
          <cell r="J155">
            <v>0</v>
          </cell>
          <cell r="L155">
            <v>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170670</v>
          </cell>
          <cell r="V155">
            <v>0</v>
          </cell>
          <cell r="W155">
            <v>170670</v>
          </cell>
        </row>
        <row r="156">
          <cell r="E156">
            <v>695</v>
          </cell>
          <cell r="G156">
            <v>101470</v>
          </cell>
          <cell r="J156">
            <v>0</v>
          </cell>
          <cell r="L156">
            <v>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177824</v>
          </cell>
          <cell r="V156">
            <v>348494</v>
          </cell>
          <cell r="W156">
            <v>0</v>
          </cell>
        </row>
        <row r="157">
          <cell r="E157">
            <v>463</v>
          </cell>
          <cell r="G157">
            <v>67598</v>
          </cell>
          <cell r="J157">
            <v>0</v>
          </cell>
          <cell r="L157">
            <v>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194125</v>
          </cell>
          <cell r="V157">
            <v>0</v>
          </cell>
          <cell r="W157">
            <v>194125</v>
          </cell>
        </row>
        <row r="158">
          <cell r="E158">
            <v>449</v>
          </cell>
          <cell r="G158">
            <v>65554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192296</v>
          </cell>
          <cell r="V158">
            <v>386421</v>
          </cell>
          <cell r="W158">
            <v>0</v>
          </cell>
        </row>
        <row r="159">
          <cell r="E159">
            <v>327</v>
          </cell>
          <cell r="G159">
            <v>47742</v>
          </cell>
          <cell r="J159">
            <v>0</v>
          </cell>
          <cell r="L159">
            <v>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253764</v>
          </cell>
          <cell r="S159">
            <v>377860</v>
          </cell>
          <cell r="V159">
            <v>253823</v>
          </cell>
          <cell r="W159">
            <v>124037</v>
          </cell>
        </row>
        <row r="160">
          <cell r="E160">
            <v>279</v>
          </cell>
          <cell r="G160">
            <v>40734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117088</v>
          </cell>
          <cell r="V160">
            <v>241125</v>
          </cell>
          <cell r="W160">
            <v>0</v>
          </cell>
        </row>
        <row r="161">
          <cell r="E161">
            <v>201</v>
          </cell>
          <cell r="G161">
            <v>29346</v>
          </cell>
          <cell r="J161">
            <v>0</v>
          </cell>
          <cell r="L161">
            <v>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105700</v>
          </cell>
          <cell r="V161">
            <v>0</v>
          </cell>
          <cell r="W161">
            <v>105700</v>
          </cell>
        </row>
        <row r="162">
          <cell r="E162">
            <v>262</v>
          </cell>
          <cell r="G162">
            <v>38252</v>
          </cell>
          <cell r="J162">
            <v>0</v>
          </cell>
          <cell r="L162">
            <v>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114312</v>
          </cell>
          <cell r="V162">
            <v>220012</v>
          </cell>
          <cell r="W162">
            <v>0</v>
          </cell>
        </row>
        <row r="163">
          <cell r="E163">
            <v>251</v>
          </cell>
          <cell r="G163">
            <v>36646</v>
          </cell>
          <cell r="J163">
            <v>0</v>
          </cell>
          <cell r="L163">
            <v>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122706</v>
          </cell>
          <cell r="V163">
            <v>122706</v>
          </cell>
          <cell r="W163">
            <v>0</v>
          </cell>
        </row>
        <row r="164">
          <cell r="E164">
            <v>285</v>
          </cell>
          <cell r="G164">
            <v>41610</v>
          </cell>
          <cell r="J164">
            <v>0</v>
          </cell>
          <cell r="L164">
            <v>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127670</v>
          </cell>
          <cell r="V164">
            <v>127670</v>
          </cell>
          <cell r="W164">
            <v>0</v>
          </cell>
        </row>
        <row r="165">
          <cell r="E165">
            <v>334</v>
          </cell>
          <cell r="G165">
            <v>48764</v>
          </cell>
          <cell r="J165">
            <v>0</v>
          </cell>
          <cell r="L165">
            <v>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134824</v>
          </cell>
          <cell r="V165">
            <v>134824</v>
          </cell>
          <cell r="W165">
            <v>0</v>
          </cell>
        </row>
        <row r="166">
          <cell r="E166">
            <v>288</v>
          </cell>
          <cell r="G166">
            <v>42048</v>
          </cell>
          <cell r="J166">
            <v>0</v>
          </cell>
          <cell r="L166">
            <v>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128152</v>
          </cell>
          <cell r="V166">
            <v>0</v>
          </cell>
          <cell r="W166">
            <v>128152</v>
          </cell>
        </row>
        <row r="167">
          <cell r="E167">
            <v>251</v>
          </cell>
          <cell r="G167">
            <v>36646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122750</v>
          </cell>
          <cell r="V167">
            <v>250902</v>
          </cell>
          <cell r="W167">
            <v>0</v>
          </cell>
        </row>
        <row r="168">
          <cell r="E168">
            <v>519</v>
          </cell>
          <cell r="G168">
            <v>75774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161878</v>
          </cell>
          <cell r="V168">
            <v>122706</v>
          </cell>
          <cell r="W168">
            <v>39172</v>
          </cell>
        </row>
        <row r="169">
          <cell r="E169">
            <v>518</v>
          </cell>
          <cell r="G169">
            <v>75628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161338</v>
          </cell>
          <cell r="V169">
            <v>200510</v>
          </cell>
          <cell r="W169">
            <v>0</v>
          </cell>
        </row>
        <row r="170">
          <cell r="E170">
            <v>368</v>
          </cell>
          <cell r="G170">
            <v>53728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139438</v>
          </cell>
          <cell r="V170">
            <v>0</v>
          </cell>
          <cell r="W170">
            <v>139438</v>
          </cell>
        </row>
        <row r="171">
          <cell r="E171">
            <v>277</v>
          </cell>
          <cell r="G171">
            <v>40442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121837</v>
          </cell>
          <cell r="V171">
            <v>261275</v>
          </cell>
          <cell r="W171">
            <v>0</v>
          </cell>
        </row>
        <row r="172">
          <cell r="E172">
            <v>279</v>
          </cell>
          <cell r="G172">
            <v>40734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122129</v>
          </cell>
          <cell r="V172">
            <v>122129</v>
          </cell>
          <cell r="W172">
            <v>0</v>
          </cell>
        </row>
        <row r="173">
          <cell r="E173">
            <v>212</v>
          </cell>
          <cell r="G173">
            <v>30952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112347</v>
          </cell>
          <cell r="V173">
            <v>112347</v>
          </cell>
          <cell r="W173">
            <v>0</v>
          </cell>
        </row>
        <row r="174">
          <cell r="E174">
            <v>268</v>
          </cell>
          <cell r="G174">
            <v>39128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120523</v>
          </cell>
          <cell r="V174">
            <v>0</v>
          </cell>
          <cell r="W174">
            <v>120523</v>
          </cell>
        </row>
      </sheetData>
      <sheetData sheetId="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39000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78000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117000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156000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195000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234000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273000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312000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351000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156000</v>
          </cell>
          <cell r="W28">
            <v>273000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273000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312000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390000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429000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468000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0</v>
          </cell>
          <cell r="W34">
            <v>507000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0</v>
          </cell>
          <cell r="W35">
            <v>546000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585000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0</v>
          </cell>
          <cell r="W37">
            <v>624000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0</v>
          </cell>
          <cell r="W38">
            <v>663000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0</v>
          </cell>
          <cell r="W39">
            <v>702000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0</v>
          </cell>
          <cell r="W40">
            <v>741000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0</v>
          </cell>
          <cell r="W41">
            <v>780000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0</v>
          </cell>
          <cell r="W42">
            <v>819000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858000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0</v>
          </cell>
          <cell r="W44">
            <v>897000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0</v>
          </cell>
          <cell r="W45">
            <v>936000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0</v>
          </cell>
          <cell r="W46">
            <v>975000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0</v>
          </cell>
          <cell r="W47">
            <v>1014000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0</v>
          </cell>
          <cell r="W48">
            <v>1053000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0</v>
          </cell>
          <cell r="W49">
            <v>1092000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0</v>
          </cell>
          <cell r="W50">
            <v>1131000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0</v>
          </cell>
          <cell r="W51">
            <v>1170000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0</v>
          </cell>
          <cell r="W52">
            <v>1209000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1248000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0</v>
          </cell>
          <cell r="W54">
            <v>1294000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0</v>
          </cell>
          <cell r="W55">
            <v>1340000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0</v>
          </cell>
          <cell r="W56">
            <v>1386000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0</v>
          </cell>
          <cell r="W57">
            <v>1432000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0</v>
          </cell>
          <cell r="W58">
            <v>1478000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0</v>
          </cell>
          <cell r="W59">
            <v>1524000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0</v>
          </cell>
          <cell r="W60">
            <v>1570000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1616000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1662000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1616000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276000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322000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322000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184000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230000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230000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52000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92000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92000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92000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138000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18400</v>
          </cell>
          <cell r="S84">
            <v>46000</v>
          </cell>
          <cell r="V84">
            <v>0</v>
          </cell>
          <cell r="W84">
            <v>202400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258400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304400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33200</v>
          </cell>
          <cell r="S87">
            <v>46000</v>
          </cell>
          <cell r="V87">
            <v>0</v>
          </cell>
          <cell r="W87">
            <v>383600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429600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42400</v>
          </cell>
          <cell r="S89">
            <v>46000</v>
          </cell>
          <cell r="V89">
            <v>0</v>
          </cell>
          <cell r="W89">
            <v>518000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564000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629000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60000</v>
          </cell>
          <cell r="S92">
            <v>65000</v>
          </cell>
          <cell r="V92">
            <v>0</v>
          </cell>
          <cell r="W92">
            <v>754000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819000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884000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79500</v>
          </cell>
          <cell r="S95">
            <v>65000</v>
          </cell>
          <cell r="V95">
            <v>0</v>
          </cell>
          <cell r="W95">
            <v>1028500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1083500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1138500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96000</v>
          </cell>
          <cell r="S98">
            <v>151000</v>
          </cell>
          <cell r="V98">
            <v>0</v>
          </cell>
          <cell r="W98">
            <v>1289500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1344500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1399500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1</v>
          </cell>
          <cell r="G115">
            <v>146</v>
          </cell>
          <cell r="J115">
            <v>32</v>
          </cell>
          <cell r="L115">
            <v>11520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70525</v>
          </cell>
          <cell r="V115">
            <v>70525</v>
          </cell>
          <cell r="W115">
            <v>0</v>
          </cell>
        </row>
        <row r="116">
          <cell r="E116">
            <v>17</v>
          </cell>
          <cell r="G116">
            <v>2482</v>
          </cell>
          <cell r="J116">
            <v>8</v>
          </cell>
          <cell r="L116">
            <v>2880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64221</v>
          </cell>
          <cell r="V116">
            <v>64221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1</v>
          </cell>
          <cell r="L118">
            <v>360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59219</v>
          </cell>
          <cell r="V118">
            <v>59219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-18</v>
          </cell>
          <cell r="G127">
            <v>0</v>
          </cell>
          <cell r="J127">
            <v>-41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59734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119468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119468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71395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142790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0</v>
          </cell>
          <cell r="W157">
            <v>71395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142790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0</v>
          </cell>
          <cell r="W161">
            <v>71395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0</v>
          </cell>
          <cell r="W162">
            <v>142790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224185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81395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162790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51814</v>
          </cell>
          <cell r="S166">
            <v>133209</v>
          </cell>
          <cell r="V166">
            <v>0</v>
          </cell>
          <cell r="W166">
            <v>133209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133381</v>
          </cell>
          <cell r="V167">
            <v>0</v>
          </cell>
          <cell r="W167">
            <v>266590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133499</v>
          </cell>
          <cell r="V168">
            <v>0</v>
          </cell>
          <cell r="W168">
            <v>400089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133678</v>
          </cell>
          <cell r="V169">
            <v>0</v>
          </cell>
          <cell r="W169">
            <v>533767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133813</v>
          </cell>
          <cell r="V170">
            <v>0</v>
          </cell>
          <cell r="W170">
            <v>667580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133843</v>
          </cell>
          <cell r="V171">
            <v>0</v>
          </cell>
          <cell r="W171">
            <v>801423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133918</v>
          </cell>
          <cell r="V172">
            <v>0</v>
          </cell>
          <cell r="W172">
            <v>935341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651160</v>
          </cell>
          <cell r="W173">
            <v>365576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365576</v>
          </cell>
        </row>
      </sheetData>
      <sheetData sheetId="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16.600000000000001</v>
          </cell>
          <cell r="G17">
            <v>1045.8000000000002</v>
          </cell>
          <cell r="J17">
            <v>7.2409999999999997</v>
          </cell>
          <cell r="L17">
            <v>2172.2999999999997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42218.1</v>
          </cell>
          <cell r="V17">
            <v>0</v>
          </cell>
          <cell r="W17">
            <v>0</v>
          </cell>
        </row>
        <row r="18">
          <cell r="E18">
            <v>39.5</v>
          </cell>
          <cell r="G18">
            <v>2488.5</v>
          </cell>
          <cell r="J18">
            <v>-7.2409999999999997</v>
          </cell>
          <cell r="L18">
            <v>-2172.2999999999997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39316.199999999997</v>
          </cell>
          <cell r="V18">
            <v>0</v>
          </cell>
          <cell r="W18">
            <v>0</v>
          </cell>
        </row>
        <row r="19">
          <cell r="E19">
            <v>38.300000000000004</v>
          </cell>
          <cell r="G19">
            <v>2412.9</v>
          </cell>
          <cell r="J19">
            <v>19.190000000000001</v>
          </cell>
          <cell r="L19">
            <v>5757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47169.9</v>
          </cell>
          <cell r="V19">
            <v>0</v>
          </cell>
          <cell r="W19">
            <v>0</v>
          </cell>
        </row>
        <row r="20">
          <cell r="E20">
            <v>136.1</v>
          </cell>
          <cell r="G20">
            <v>8574.2999999999993</v>
          </cell>
          <cell r="J20">
            <v>28.209999999999997</v>
          </cell>
          <cell r="L20">
            <v>8463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56037.3</v>
          </cell>
          <cell r="V20">
            <v>0</v>
          </cell>
          <cell r="W20">
            <v>0</v>
          </cell>
        </row>
        <row r="21">
          <cell r="E21">
            <v>84.300000000000011</v>
          </cell>
          <cell r="G21">
            <v>5310.9000000000005</v>
          </cell>
          <cell r="J21">
            <v>12.75</v>
          </cell>
          <cell r="L21">
            <v>3825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48135.9</v>
          </cell>
          <cell r="V21">
            <v>0</v>
          </cell>
          <cell r="W21">
            <v>0</v>
          </cell>
        </row>
        <row r="22">
          <cell r="E22">
            <v>64</v>
          </cell>
          <cell r="G22">
            <v>4032</v>
          </cell>
          <cell r="J22">
            <v>6.6499999999999986</v>
          </cell>
          <cell r="L22">
            <v>2393.9999999999995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45426</v>
          </cell>
          <cell r="V22">
            <v>0</v>
          </cell>
          <cell r="W22">
            <v>0</v>
          </cell>
        </row>
        <row r="23">
          <cell r="E23">
            <v>51.099999999999966</v>
          </cell>
          <cell r="G23">
            <v>3219.2999999999979</v>
          </cell>
          <cell r="J23">
            <v>3.4000000000000057</v>
          </cell>
          <cell r="L23">
            <v>1224.000000000002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43443.3</v>
          </cell>
          <cell r="V23">
            <v>0</v>
          </cell>
          <cell r="W23">
            <v>43443.299999999996</v>
          </cell>
        </row>
        <row r="24">
          <cell r="E24">
            <v>26.200000000000045</v>
          </cell>
          <cell r="G24">
            <v>1650.6000000000029</v>
          </cell>
          <cell r="J24">
            <v>1.0999999999999943</v>
          </cell>
          <cell r="L24">
            <v>395.99999999999795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41046.6</v>
          </cell>
          <cell r="V24">
            <v>0</v>
          </cell>
          <cell r="W24">
            <v>84489.9</v>
          </cell>
        </row>
        <row r="25">
          <cell r="E25">
            <v>79.199999999999932</v>
          </cell>
          <cell r="G25">
            <v>4989.5999999999958</v>
          </cell>
          <cell r="J25">
            <v>4.1000000000000085</v>
          </cell>
          <cell r="L25">
            <v>1476.0000000000032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45465.599999999999</v>
          </cell>
          <cell r="V25">
            <v>0</v>
          </cell>
          <cell r="W25">
            <v>129955.5</v>
          </cell>
        </row>
        <row r="26">
          <cell r="E26">
            <v>83.400000000000091</v>
          </cell>
          <cell r="G26">
            <v>5254.2000000000062</v>
          </cell>
          <cell r="J26">
            <v>9.9999999999994316E-2</v>
          </cell>
          <cell r="L26">
            <v>35.999999999997954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44290.200000000004</v>
          </cell>
          <cell r="V26">
            <v>89270</v>
          </cell>
          <cell r="W26">
            <v>84975.700000000012</v>
          </cell>
        </row>
        <row r="27">
          <cell r="E27">
            <v>91.5</v>
          </cell>
          <cell r="G27">
            <v>5764.5</v>
          </cell>
          <cell r="J27">
            <v>7</v>
          </cell>
          <cell r="L27">
            <v>2520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47284.5</v>
          </cell>
          <cell r="V27">
            <v>0</v>
          </cell>
          <cell r="W27">
            <v>132260.20000000001</v>
          </cell>
        </row>
        <row r="28">
          <cell r="E28">
            <v>35</v>
          </cell>
          <cell r="G28">
            <v>2205</v>
          </cell>
          <cell r="J28">
            <v>3.4000000000000057</v>
          </cell>
          <cell r="L28">
            <v>1224.000000000002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42429</v>
          </cell>
          <cell r="V28">
            <v>62315</v>
          </cell>
          <cell r="W28">
            <v>112374.20000000001</v>
          </cell>
        </row>
        <row r="29">
          <cell r="E29">
            <v>60.899999999999977</v>
          </cell>
          <cell r="G29">
            <v>3836.6999999999985</v>
          </cell>
          <cell r="J29">
            <v>7.5999999999999943</v>
          </cell>
          <cell r="L29">
            <v>2735.9999999999982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45572.7</v>
          </cell>
          <cell r="V29">
            <v>62315</v>
          </cell>
          <cell r="W29">
            <v>95631.900000000023</v>
          </cell>
        </row>
        <row r="30">
          <cell r="E30">
            <v>40.899999999999977</v>
          </cell>
          <cell r="G30">
            <v>2576.6999999999985</v>
          </cell>
          <cell r="J30">
            <v>6</v>
          </cell>
          <cell r="L30">
            <v>2160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43736.7</v>
          </cell>
          <cell r="V30">
            <v>62315</v>
          </cell>
          <cell r="W30">
            <v>77053.600000000035</v>
          </cell>
        </row>
        <row r="31">
          <cell r="E31">
            <v>113</v>
          </cell>
          <cell r="G31">
            <v>7119</v>
          </cell>
          <cell r="J31">
            <v>30.5</v>
          </cell>
          <cell r="L31">
            <v>10980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57099</v>
          </cell>
          <cell r="V31">
            <v>62315</v>
          </cell>
          <cell r="W31">
            <v>114837.60000000003</v>
          </cell>
        </row>
        <row r="32">
          <cell r="E32">
            <v>174</v>
          </cell>
          <cell r="G32">
            <v>10962</v>
          </cell>
          <cell r="J32">
            <v>33</v>
          </cell>
          <cell r="L32">
            <v>11880</v>
          </cell>
          <cell r="M32">
            <v>0</v>
          </cell>
          <cell r="N32">
            <v>0</v>
          </cell>
          <cell r="O32">
            <v>39000</v>
          </cell>
          <cell r="P32">
            <v>4000</v>
          </cell>
          <cell r="Q32">
            <v>39000</v>
          </cell>
          <cell r="R32">
            <v>0</v>
          </cell>
          <cell r="S32">
            <v>65842</v>
          </cell>
          <cell r="V32">
            <v>180680</v>
          </cell>
          <cell r="W32">
            <v>-0.3999999999650754</v>
          </cell>
        </row>
        <row r="33">
          <cell r="E33">
            <v>83</v>
          </cell>
          <cell r="G33">
            <v>5229</v>
          </cell>
          <cell r="J33">
            <v>10</v>
          </cell>
          <cell r="L33">
            <v>3600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51829</v>
          </cell>
          <cell r="V33">
            <v>0</v>
          </cell>
          <cell r="W33">
            <v>51828.600000000035</v>
          </cell>
        </row>
        <row r="34">
          <cell r="E34">
            <v>107</v>
          </cell>
          <cell r="G34">
            <v>6741</v>
          </cell>
          <cell r="J34">
            <v>33</v>
          </cell>
          <cell r="L34">
            <v>11880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61621</v>
          </cell>
          <cell r="V34">
            <v>0</v>
          </cell>
          <cell r="W34">
            <v>113449.60000000003</v>
          </cell>
        </row>
        <row r="35">
          <cell r="E35">
            <v>48</v>
          </cell>
          <cell r="G35">
            <v>3024</v>
          </cell>
          <cell r="J35">
            <v>5</v>
          </cell>
          <cell r="L35">
            <v>1800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47824</v>
          </cell>
          <cell r="V35">
            <v>0</v>
          </cell>
          <cell r="W35">
            <v>161273.60000000003</v>
          </cell>
        </row>
        <row r="36">
          <cell r="E36">
            <v>75.099999999999909</v>
          </cell>
          <cell r="G36">
            <v>4731.2999999999938</v>
          </cell>
          <cell r="J36">
            <v>2.6999999999999886</v>
          </cell>
          <cell r="L36">
            <v>971.99999999999591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48703.299999999988</v>
          </cell>
          <cell r="V36">
            <v>161274</v>
          </cell>
          <cell r="W36">
            <v>48702.900000000023</v>
          </cell>
        </row>
        <row r="37">
          <cell r="E37">
            <v>84.5</v>
          </cell>
          <cell r="G37">
            <v>5323.5</v>
          </cell>
          <cell r="J37">
            <v>4.3000000000000114</v>
          </cell>
          <cell r="L37">
            <v>1548.0000000000041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49871.5</v>
          </cell>
          <cell r="V37">
            <v>0</v>
          </cell>
          <cell r="W37">
            <v>98574.400000000023</v>
          </cell>
        </row>
        <row r="38">
          <cell r="E38">
            <v>135.40000000000009</v>
          </cell>
          <cell r="G38">
            <v>8530.2000000000062</v>
          </cell>
          <cell r="J38">
            <v>7</v>
          </cell>
          <cell r="L38">
            <v>2520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54050.200000000004</v>
          </cell>
          <cell r="V38">
            <v>0</v>
          </cell>
          <cell r="W38">
            <v>152624.60000000003</v>
          </cell>
        </row>
        <row r="39">
          <cell r="E39">
            <v>88</v>
          </cell>
          <cell r="G39">
            <v>5544</v>
          </cell>
          <cell r="J39">
            <v>8</v>
          </cell>
          <cell r="L39">
            <v>2880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51424</v>
          </cell>
          <cell r="V39">
            <v>0</v>
          </cell>
          <cell r="W39">
            <v>204048.60000000003</v>
          </cell>
        </row>
        <row r="40">
          <cell r="E40">
            <v>36</v>
          </cell>
          <cell r="G40">
            <v>2268</v>
          </cell>
          <cell r="J40">
            <v>9</v>
          </cell>
          <cell r="L40">
            <v>3240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48508</v>
          </cell>
          <cell r="V40">
            <v>0</v>
          </cell>
          <cell r="W40">
            <v>252556.60000000003</v>
          </cell>
        </row>
        <row r="41">
          <cell r="E41">
            <v>93</v>
          </cell>
          <cell r="G41">
            <v>5859</v>
          </cell>
          <cell r="J41">
            <v>29</v>
          </cell>
          <cell r="L41">
            <v>10440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59299</v>
          </cell>
          <cell r="V41">
            <v>0</v>
          </cell>
          <cell r="W41">
            <v>311855.60000000003</v>
          </cell>
        </row>
        <row r="42">
          <cell r="E42">
            <v>95</v>
          </cell>
          <cell r="G42">
            <v>5985</v>
          </cell>
          <cell r="J42">
            <v>16</v>
          </cell>
          <cell r="L42">
            <v>5760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54745</v>
          </cell>
          <cell r="V42">
            <v>311856</v>
          </cell>
          <cell r="W42">
            <v>54744.600000000035</v>
          </cell>
        </row>
        <row r="43">
          <cell r="E43">
            <v>227</v>
          </cell>
          <cell r="G43">
            <v>14301</v>
          </cell>
          <cell r="J43">
            <v>39</v>
          </cell>
          <cell r="L43">
            <v>14040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71341</v>
          </cell>
          <cell r="V43">
            <v>150000</v>
          </cell>
          <cell r="W43">
            <v>-23914.399999999965</v>
          </cell>
        </row>
        <row r="44">
          <cell r="E44">
            <v>188</v>
          </cell>
          <cell r="G44">
            <v>11844</v>
          </cell>
          <cell r="J44">
            <v>82</v>
          </cell>
          <cell r="L44">
            <v>29520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84364</v>
          </cell>
          <cell r="V44">
            <v>0</v>
          </cell>
          <cell r="W44">
            <v>60449.600000000035</v>
          </cell>
        </row>
        <row r="45">
          <cell r="E45">
            <v>98</v>
          </cell>
          <cell r="G45">
            <v>6174</v>
          </cell>
          <cell r="J45">
            <v>31</v>
          </cell>
          <cell r="L45">
            <v>11160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60334</v>
          </cell>
          <cell r="V45">
            <v>0</v>
          </cell>
          <cell r="W45">
            <v>120783.60000000003</v>
          </cell>
        </row>
        <row r="46">
          <cell r="E46">
            <v>108</v>
          </cell>
          <cell r="G46">
            <v>6804</v>
          </cell>
          <cell r="J46">
            <v>32</v>
          </cell>
          <cell r="L46">
            <v>11520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61324</v>
          </cell>
          <cell r="V46">
            <v>0</v>
          </cell>
          <cell r="W46">
            <v>182107.60000000003</v>
          </cell>
        </row>
        <row r="47">
          <cell r="E47">
            <v>86</v>
          </cell>
          <cell r="G47">
            <v>5418</v>
          </cell>
          <cell r="J47">
            <v>12</v>
          </cell>
          <cell r="L47">
            <v>4320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52738</v>
          </cell>
          <cell r="V47">
            <v>91053</v>
          </cell>
          <cell r="W47">
            <v>143792.60000000003</v>
          </cell>
        </row>
        <row r="48">
          <cell r="E48">
            <v>126</v>
          </cell>
          <cell r="G48">
            <v>7938</v>
          </cell>
          <cell r="J48">
            <v>8</v>
          </cell>
          <cell r="L48">
            <v>2880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53818</v>
          </cell>
          <cell r="V48">
            <v>0</v>
          </cell>
          <cell r="W48">
            <v>197610.60000000003</v>
          </cell>
        </row>
        <row r="49">
          <cell r="E49">
            <v>48</v>
          </cell>
          <cell r="G49">
            <v>3024</v>
          </cell>
          <cell r="J49">
            <v>2</v>
          </cell>
          <cell r="L49">
            <v>720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46744</v>
          </cell>
          <cell r="V49">
            <v>0</v>
          </cell>
          <cell r="W49">
            <v>244354.60000000003</v>
          </cell>
        </row>
        <row r="50">
          <cell r="E50">
            <v>71</v>
          </cell>
          <cell r="G50">
            <v>4473</v>
          </cell>
          <cell r="J50">
            <v>6</v>
          </cell>
          <cell r="L50">
            <v>2160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49633</v>
          </cell>
          <cell r="V50">
            <v>0</v>
          </cell>
          <cell r="W50">
            <v>293987.60000000003</v>
          </cell>
        </row>
        <row r="51">
          <cell r="E51">
            <v>134</v>
          </cell>
          <cell r="G51">
            <v>8442</v>
          </cell>
          <cell r="J51">
            <v>19</v>
          </cell>
          <cell r="L51">
            <v>6840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58282</v>
          </cell>
          <cell r="V51">
            <v>570093</v>
          </cell>
          <cell r="W51">
            <v>-217823.39999999997</v>
          </cell>
        </row>
        <row r="52">
          <cell r="E52">
            <v>61</v>
          </cell>
          <cell r="G52">
            <v>3843</v>
          </cell>
          <cell r="J52">
            <v>47</v>
          </cell>
          <cell r="L52">
            <v>16920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63763</v>
          </cell>
          <cell r="V52">
            <v>0</v>
          </cell>
          <cell r="W52">
            <v>-154060.39999999997</v>
          </cell>
        </row>
        <row r="53">
          <cell r="E53">
            <v>61</v>
          </cell>
          <cell r="G53">
            <v>3843</v>
          </cell>
          <cell r="J53">
            <v>43</v>
          </cell>
          <cell r="L53">
            <v>15480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62323</v>
          </cell>
          <cell r="V53">
            <v>0</v>
          </cell>
          <cell r="W53">
            <v>-91737.399999999965</v>
          </cell>
        </row>
        <row r="54">
          <cell r="E54">
            <v>28</v>
          </cell>
          <cell r="G54">
            <v>1764</v>
          </cell>
          <cell r="J54">
            <v>17</v>
          </cell>
          <cell r="L54">
            <v>6120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50884</v>
          </cell>
          <cell r="V54">
            <v>0</v>
          </cell>
          <cell r="W54">
            <v>-33853.399999999965</v>
          </cell>
        </row>
        <row r="55">
          <cell r="E55">
            <v>233</v>
          </cell>
          <cell r="G55">
            <v>14679</v>
          </cell>
          <cell r="J55">
            <v>62</v>
          </cell>
          <cell r="L55">
            <v>22320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86999</v>
          </cell>
          <cell r="V55">
            <v>0</v>
          </cell>
          <cell r="W55">
            <v>53145.600000000035</v>
          </cell>
        </row>
        <row r="56">
          <cell r="E56">
            <v>266</v>
          </cell>
          <cell r="G56">
            <v>16758</v>
          </cell>
          <cell r="J56">
            <v>81</v>
          </cell>
          <cell r="L56">
            <v>29160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95918</v>
          </cell>
          <cell r="V56">
            <v>53146</v>
          </cell>
          <cell r="W56">
            <v>95917.600000000035</v>
          </cell>
        </row>
        <row r="57">
          <cell r="E57">
            <v>99</v>
          </cell>
          <cell r="G57">
            <v>6237</v>
          </cell>
          <cell r="J57">
            <v>38</v>
          </cell>
          <cell r="L57">
            <v>13680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69917</v>
          </cell>
          <cell r="V57">
            <v>0</v>
          </cell>
          <cell r="W57">
            <v>165834.60000000003</v>
          </cell>
        </row>
        <row r="58">
          <cell r="E58">
            <v>94</v>
          </cell>
          <cell r="G58">
            <v>5922</v>
          </cell>
          <cell r="J58">
            <v>14</v>
          </cell>
          <cell r="L58">
            <v>5040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60962</v>
          </cell>
          <cell r="V58">
            <v>0</v>
          </cell>
          <cell r="W58">
            <v>226796.60000000003</v>
          </cell>
        </row>
        <row r="59">
          <cell r="E59">
            <v>73</v>
          </cell>
          <cell r="G59">
            <v>4599</v>
          </cell>
          <cell r="J59">
            <v>20</v>
          </cell>
          <cell r="L59">
            <v>7200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61799</v>
          </cell>
          <cell r="V59">
            <v>226797</v>
          </cell>
          <cell r="W59">
            <v>61798.600000000035</v>
          </cell>
        </row>
        <row r="60">
          <cell r="E60">
            <v>62</v>
          </cell>
          <cell r="G60">
            <v>3906</v>
          </cell>
          <cell r="J60">
            <v>4</v>
          </cell>
          <cell r="L60">
            <v>1440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55346</v>
          </cell>
          <cell r="V60">
            <v>0</v>
          </cell>
          <cell r="W60">
            <v>117144.60000000003</v>
          </cell>
        </row>
        <row r="61">
          <cell r="E61">
            <v>101</v>
          </cell>
          <cell r="G61">
            <v>6363</v>
          </cell>
          <cell r="J61">
            <v>7</v>
          </cell>
          <cell r="L61">
            <v>2520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58883</v>
          </cell>
          <cell r="V61">
            <v>0</v>
          </cell>
          <cell r="W61">
            <v>176027.60000000003</v>
          </cell>
        </row>
        <row r="62">
          <cell r="E62">
            <v>22</v>
          </cell>
          <cell r="G62">
            <v>1386</v>
          </cell>
          <cell r="J62">
            <v>5</v>
          </cell>
          <cell r="L62">
            <v>1800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53186</v>
          </cell>
          <cell r="V62">
            <v>117144</v>
          </cell>
          <cell r="W62">
            <v>112069.60000000003</v>
          </cell>
        </row>
        <row r="63">
          <cell r="E63">
            <v>79</v>
          </cell>
          <cell r="G63">
            <v>4977</v>
          </cell>
          <cell r="J63">
            <v>49</v>
          </cell>
          <cell r="L63">
            <v>17640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72617</v>
          </cell>
          <cell r="V63">
            <v>0</v>
          </cell>
          <cell r="W63">
            <v>184686.60000000003</v>
          </cell>
        </row>
        <row r="64">
          <cell r="E64">
            <v>43</v>
          </cell>
          <cell r="G64">
            <v>3397</v>
          </cell>
          <cell r="J64">
            <v>17</v>
          </cell>
          <cell r="L64">
            <v>6120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59517</v>
          </cell>
          <cell r="V64">
            <v>0</v>
          </cell>
          <cell r="W64">
            <v>244203.60000000003</v>
          </cell>
        </row>
        <row r="65">
          <cell r="E65">
            <v>103</v>
          </cell>
          <cell r="G65">
            <v>8137</v>
          </cell>
          <cell r="J65">
            <v>43</v>
          </cell>
          <cell r="L65">
            <v>15480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73617</v>
          </cell>
          <cell r="V65">
            <v>0</v>
          </cell>
          <cell r="W65">
            <v>317820.60000000003</v>
          </cell>
        </row>
        <row r="66">
          <cell r="E66">
            <v>98</v>
          </cell>
          <cell r="G66">
            <v>7742</v>
          </cell>
          <cell r="J66">
            <v>15</v>
          </cell>
          <cell r="L66">
            <v>5400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63142</v>
          </cell>
          <cell r="V66">
            <v>0</v>
          </cell>
          <cell r="W66">
            <v>380962.60000000003</v>
          </cell>
        </row>
        <row r="67">
          <cell r="E67">
            <v>171</v>
          </cell>
          <cell r="G67">
            <v>14877</v>
          </cell>
          <cell r="J67">
            <v>53</v>
          </cell>
          <cell r="L67">
            <v>19080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83957</v>
          </cell>
          <cell r="V67">
            <v>0</v>
          </cell>
          <cell r="W67">
            <v>464919.60000000003</v>
          </cell>
        </row>
        <row r="68">
          <cell r="E68">
            <v>97</v>
          </cell>
          <cell r="G68">
            <v>8439</v>
          </cell>
          <cell r="J68">
            <v>24</v>
          </cell>
          <cell r="L68">
            <v>8640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67079</v>
          </cell>
          <cell r="V68">
            <v>0</v>
          </cell>
          <cell r="W68">
            <v>531998.60000000009</v>
          </cell>
        </row>
        <row r="69">
          <cell r="E69">
            <v>95</v>
          </cell>
          <cell r="G69">
            <v>10545</v>
          </cell>
          <cell r="J69">
            <v>62</v>
          </cell>
          <cell r="L69">
            <v>22320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82865</v>
          </cell>
          <cell r="V69">
            <v>0</v>
          </cell>
          <cell r="W69">
            <v>614863.60000000009</v>
          </cell>
        </row>
        <row r="70">
          <cell r="E70">
            <v>98</v>
          </cell>
          <cell r="G70">
            <v>12152</v>
          </cell>
          <cell r="J70">
            <v>30</v>
          </cell>
          <cell r="L70">
            <v>10800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72952</v>
          </cell>
          <cell r="V70">
            <v>599418</v>
          </cell>
          <cell r="W70">
            <v>88397.600000000093</v>
          </cell>
        </row>
        <row r="71">
          <cell r="E71">
            <v>39</v>
          </cell>
          <cell r="G71">
            <v>3822</v>
          </cell>
          <cell r="J71">
            <v>9</v>
          </cell>
          <cell r="L71">
            <v>3240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57062</v>
          </cell>
          <cell r="V71">
            <v>0</v>
          </cell>
          <cell r="W71">
            <v>145459.60000000009</v>
          </cell>
        </row>
        <row r="72">
          <cell r="E72">
            <v>42</v>
          </cell>
          <cell r="G72">
            <v>4368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55088</v>
          </cell>
          <cell r="V72">
            <v>0</v>
          </cell>
          <cell r="W72">
            <v>200547.60000000009</v>
          </cell>
        </row>
        <row r="73">
          <cell r="E73">
            <v>55</v>
          </cell>
          <cell r="G73">
            <v>6160</v>
          </cell>
          <cell r="J73">
            <v>3</v>
          </cell>
          <cell r="L73">
            <v>1080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57240</v>
          </cell>
          <cell r="V73">
            <v>0</v>
          </cell>
          <cell r="W73">
            <v>257787.60000000009</v>
          </cell>
        </row>
        <row r="74">
          <cell r="E74">
            <v>28</v>
          </cell>
          <cell r="G74">
            <v>2996</v>
          </cell>
          <cell r="J74">
            <v>1</v>
          </cell>
          <cell r="L74">
            <v>360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53356</v>
          </cell>
          <cell r="V74">
            <v>131787</v>
          </cell>
          <cell r="W74">
            <v>179356.60000000009</v>
          </cell>
        </row>
        <row r="75">
          <cell r="E75">
            <v>94</v>
          </cell>
          <cell r="G75">
            <v>10340</v>
          </cell>
          <cell r="J75">
            <v>12</v>
          </cell>
          <cell r="L75">
            <v>4320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64660</v>
          </cell>
          <cell r="V75">
            <v>126000</v>
          </cell>
          <cell r="W75">
            <v>118016.60000000009</v>
          </cell>
        </row>
        <row r="76">
          <cell r="E76">
            <v>61</v>
          </cell>
          <cell r="G76">
            <v>7686</v>
          </cell>
          <cell r="J76">
            <v>10</v>
          </cell>
          <cell r="L76">
            <v>3600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61286</v>
          </cell>
          <cell r="V76">
            <v>0</v>
          </cell>
          <cell r="W76">
            <v>179302.60000000009</v>
          </cell>
        </row>
        <row r="77">
          <cell r="E77">
            <v>54</v>
          </cell>
          <cell r="G77">
            <v>6426</v>
          </cell>
          <cell r="J77">
            <v>13</v>
          </cell>
          <cell r="L77">
            <v>4680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61106</v>
          </cell>
          <cell r="V77">
            <v>0</v>
          </cell>
          <cell r="W77">
            <v>240408.60000000009</v>
          </cell>
        </row>
        <row r="78">
          <cell r="E78">
            <v>136</v>
          </cell>
          <cell r="G78">
            <v>14688</v>
          </cell>
          <cell r="J78">
            <v>125</v>
          </cell>
          <cell r="L78">
            <v>45000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109688</v>
          </cell>
          <cell r="V78">
            <v>240408</v>
          </cell>
          <cell r="W78">
            <v>109688.60000000009</v>
          </cell>
        </row>
        <row r="79">
          <cell r="E79">
            <v>81</v>
          </cell>
          <cell r="G79">
            <v>10044</v>
          </cell>
          <cell r="J79">
            <v>40</v>
          </cell>
          <cell r="L79">
            <v>14400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74444</v>
          </cell>
          <cell r="V79">
            <v>0</v>
          </cell>
          <cell r="W79">
            <v>184132.60000000009</v>
          </cell>
        </row>
        <row r="80">
          <cell r="E80">
            <v>231</v>
          </cell>
          <cell r="G80">
            <v>30030</v>
          </cell>
          <cell r="J80">
            <v>110</v>
          </cell>
          <cell r="L80">
            <v>39600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119630</v>
          </cell>
          <cell r="V80">
            <v>0</v>
          </cell>
          <cell r="W80">
            <v>334138.8600000001</v>
          </cell>
        </row>
        <row r="81">
          <cell r="E81">
            <v>87</v>
          </cell>
          <cell r="G81">
            <v>11310</v>
          </cell>
          <cell r="J81">
            <v>35</v>
          </cell>
          <cell r="L81">
            <v>12600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73910</v>
          </cell>
          <cell r="V81">
            <v>0</v>
          </cell>
          <cell r="W81">
            <v>408048.8600000001</v>
          </cell>
        </row>
        <row r="82">
          <cell r="E82">
            <v>85</v>
          </cell>
          <cell r="G82">
            <v>11900</v>
          </cell>
          <cell r="J82">
            <v>12</v>
          </cell>
          <cell r="L82">
            <v>4320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66220</v>
          </cell>
          <cell r="V82">
            <v>408048</v>
          </cell>
          <cell r="W82">
            <v>66220.860000000102</v>
          </cell>
        </row>
        <row r="83">
          <cell r="E83">
            <v>69</v>
          </cell>
          <cell r="G83">
            <v>10074</v>
          </cell>
          <cell r="J83">
            <v>11</v>
          </cell>
          <cell r="L83">
            <v>3960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64034</v>
          </cell>
          <cell r="V83">
            <v>66220</v>
          </cell>
          <cell r="W83">
            <v>64034.860000000102</v>
          </cell>
        </row>
        <row r="84">
          <cell r="E84">
            <v>98</v>
          </cell>
          <cell r="G84">
            <v>14308</v>
          </cell>
          <cell r="J84">
            <v>9</v>
          </cell>
          <cell r="L84">
            <v>3240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67548</v>
          </cell>
          <cell r="V84">
            <v>64000</v>
          </cell>
          <cell r="W84">
            <v>67582.860000000102</v>
          </cell>
        </row>
        <row r="85">
          <cell r="E85">
            <v>19</v>
          </cell>
          <cell r="G85">
            <v>2774</v>
          </cell>
          <cell r="J85">
            <v>4</v>
          </cell>
          <cell r="L85">
            <v>1440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54214</v>
          </cell>
          <cell r="V85">
            <v>131797</v>
          </cell>
          <cell r="W85">
            <v>-0.13999999989755452</v>
          </cell>
        </row>
        <row r="86">
          <cell r="E86">
            <v>17</v>
          </cell>
          <cell r="G86">
            <v>2482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63202</v>
          </cell>
          <cell r="V86">
            <v>49202</v>
          </cell>
          <cell r="W86">
            <v>-0.13999999989755452</v>
          </cell>
        </row>
        <row r="87">
          <cell r="E87">
            <v>89</v>
          </cell>
          <cell r="G87">
            <v>12994</v>
          </cell>
          <cell r="J87">
            <v>11</v>
          </cell>
          <cell r="L87">
            <v>3960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62954</v>
          </cell>
          <cell r="V87">
            <v>0</v>
          </cell>
          <cell r="W87">
            <v>62953.860000000102</v>
          </cell>
        </row>
        <row r="88">
          <cell r="E88">
            <v>64</v>
          </cell>
          <cell r="G88">
            <v>9344</v>
          </cell>
          <cell r="J88">
            <v>11</v>
          </cell>
          <cell r="L88">
            <v>3960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59304</v>
          </cell>
          <cell r="V88">
            <v>100000</v>
          </cell>
          <cell r="W88">
            <v>22257.860000000102</v>
          </cell>
        </row>
        <row r="89">
          <cell r="E89">
            <v>63</v>
          </cell>
          <cell r="G89">
            <v>9198</v>
          </cell>
          <cell r="J89">
            <v>129</v>
          </cell>
          <cell r="L89">
            <v>46440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101638</v>
          </cell>
          <cell r="V89">
            <v>0</v>
          </cell>
          <cell r="W89">
            <v>134575.8600000001</v>
          </cell>
        </row>
        <row r="90">
          <cell r="E90">
            <v>86</v>
          </cell>
          <cell r="G90">
            <v>12556</v>
          </cell>
          <cell r="J90">
            <v>123</v>
          </cell>
          <cell r="L90">
            <v>44280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102836</v>
          </cell>
          <cell r="V90">
            <v>237412</v>
          </cell>
          <cell r="W90">
            <v>0</v>
          </cell>
        </row>
        <row r="91">
          <cell r="E91">
            <v>218</v>
          </cell>
          <cell r="G91">
            <v>31828</v>
          </cell>
          <cell r="J91">
            <v>213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0</v>
          </cell>
          <cell r="S91">
            <v>86828</v>
          </cell>
          <cell r="V91">
            <v>187188</v>
          </cell>
          <cell r="W91">
            <v>0</v>
          </cell>
        </row>
        <row r="92">
          <cell r="E92">
            <v>559</v>
          </cell>
          <cell r="G92">
            <v>81614</v>
          </cell>
          <cell r="J92">
            <v>227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0</v>
          </cell>
          <cell r="S92">
            <v>136614</v>
          </cell>
          <cell r="V92">
            <v>247054</v>
          </cell>
          <cell r="W92">
            <v>0</v>
          </cell>
        </row>
        <row r="93">
          <cell r="E93">
            <v>131</v>
          </cell>
          <cell r="G93">
            <v>19126</v>
          </cell>
          <cell r="J93">
            <v>250</v>
          </cell>
          <cell r="L93">
            <v>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0</v>
          </cell>
          <cell r="S93">
            <v>74126</v>
          </cell>
          <cell r="V93">
            <v>200000</v>
          </cell>
          <cell r="W93">
            <v>1126</v>
          </cell>
        </row>
        <row r="94">
          <cell r="E94">
            <v>34</v>
          </cell>
          <cell r="G94">
            <v>4964</v>
          </cell>
          <cell r="J94">
            <v>75</v>
          </cell>
          <cell r="L94">
            <v>27000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0</v>
          </cell>
          <cell r="S94">
            <v>86964</v>
          </cell>
          <cell r="V94">
            <v>98090</v>
          </cell>
          <cell r="W94">
            <v>0</v>
          </cell>
        </row>
        <row r="95">
          <cell r="E95">
            <v>53</v>
          </cell>
          <cell r="G95">
            <v>7738</v>
          </cell>
          <cell r="J95">
            <v>35</v>
          </cell>
          <cell r="L95">
            <v>12600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0</v>
          </cell>
          <cell r="S95">
            <v>75338</v>
          </cell>
          <cell r="V95">
            <v>0</v>
          </cell>
          <cell r="W95">
            <v>85338</v>
          </cell>
        </row>
        <row r="96">
          <cell r="E96">
            <v>40</v>
          </cell>
          <cell r="G96">
            <v>5840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61920</v>
          </cell>
          <cell r="V96">
            <v>147258</v>
          </cell>
          <cell r="W96">
            <v>0</v>
          </cell>
        </row>
        <row r="97">
          <cell r="E97">
            <v>195</v>
          </cell>
          <cell r="G97">
            <v>28470</v>
          </cell>
          <cell r="J97">
            <v>16</v>
          </cell>
          <cell r="L97">
            <v>5760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89230</v>
          </cell>
          <cell r="V97">
            <v>0</v>
          </cell>
          <cell r="W97">
            <v>89230</v>
          </cell>
        </row>
        <row r="98">
          <cell r="E98">
            <v>22</v>
          </cell>
          <cell r="G98">
            <v>3212</v>
          </cell>
          <cell r="J98">
            <v>4</v>
          </cell>
          <cell r="L98">
            <v>1440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59652</v>
          </cell>
          <cell r="V98">
            <v>148882</v>
          </cell>
          <cell r="W98">
            <v>0</v>
          </cell>
        </row>
        <row r="99">
          <cell r="E99">
            <v>117</v>
          </cell>
          <cell r="G99">
            <v>17082</v>
          </cell>
          <cell r="J99">
            <v>52</v>
          </cell>
          <cell r="L99">
            <v>18720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90802</v>
          </cell>
          <cell r="V99">
            <v>90802</v>
          </cell>
          <cell r="W99">
            <v>0</v>
          </cell>
        </row>
        <row r="100">
          <cell r="E100">
            <v>85</v>
          </cell>
          <cell r="G100">
            <v>12410</v>
          </cell>
          <cell r="J100">
            <v>112</v>
          </cell>
          <cell r="L100">
            <v>40320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107730</v>
          </cell>
          <cell r="V100">
            <v>0</v>
          </cell>
          <cell r="W100">
            <v>107730</v>
          </cell>
        </row>
        <row r="101">
          <cell r="E101">
            <v>215</v>
          </cell>
          <cell r="G101">
            <v>31390</v>
          </cell>
          <cell r="J101">
            <v>148</v>
          </cell>
          <cell r="L101">
            <v>53280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139670</v>
          </cell>
          <cell r="V101">
            <v>247400</v>
          </cell>
          <cell r="W101">
            <v>0</v>
          </cell>
        </row>
        <row r="102">
          <cell r="E102">
            <v>264</v>
          </cell>
          <cell r="G102">
            <v>38544</v>
          </cell>
          <cell r="J102">
            <v>241</v>
          </cell>
          <cell r="L102">
            <v>110520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204064</v>
          </cell>
          <cell r="V102">
            <v>204064</v>
          </cell>
          <cell r="W102">
            <v>0</v>
          </cell>
        </row>
        <row r="103">
          <cell r="E103">
            <v>323</v>
          </cell>
          <cell r="G103">
            <v>47158</v>
          </cell>
          <cell r="J103">
            <v>292</v>
          </cell>
          <cell r="L103">
            <v>147240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251048</v>
          </cell>
          <cell r="V103">
            <v>0</v>
          </cell>
          <cell r="W103">
            <v>251048</v>
          </cell>
        </row>
        <row r="104">
          <cell r="E104">
            <v>223</v>
          </cell>
          <cell r="G104">
            <v>32558</v>
          </cell>
          <cell r="J104">
            <v>220</v>
          </cell>
          <cell r="L104">
            <v>95400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184608</v>
          </cell>
          <cell r="V104">
            <v>435656</v>
          </cell>
          <cell r="W104">
            <v>0</v>
          </cell>
        </row>
        <row r="105">
          <cell r="E105">
            <v>173</v>
          </cell>
          <cell r="G105">
            <v>25258</v>
          </cell>
          <cell r="J105">
            <v>275</v>
          </cell>
          <cell r="L105">
            <v>135000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216908</v>
          </cell>
          <cell r="V105">
            <v>216908</v>
          </cell>
          <cell r="W105">
            <v>0</v>
          </cell>
        </row>
        <row r="106">
          <cell r="E106">
            <v>86</v>
          </cell>
          <cell r="G106">
            <v>12556</v>
          </cell>
          <cell r="J106">
            <v>93</v>
          </cell>
          <cell r="L106">
            <v>33480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102686</v>
          </cell>
          <cell r="V106">
            <v>159336</v>
          </cell>
          <cell r="W106">
            <v>-56650</v>
          </cell>
        </row>
        <row r="107">
          <cell r="E107">
            <v>37</v>
          </cell>
          <cell r="G107">
            <v>5402</v>
          </cell>
          <cell r="J107">
            <v>25</v>
          </cell>
          <cell r="L107">
            <v>9000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71052</v>
          </cell>
          <cell r="V107">
            <v>0</v>
          </cell>
          <cell r="W107">
            <v>14402</v>
          </cell>
        </row>
        <row r="108">
          <cell r="E108">
            <v>13</v>
          </cell>
          <cell r="G108">
            <v>1898</v>
          </cell>
          <cell r="J108">
            <v>14</v>
          </cell>
          <cell r="L108">
            <v>5040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63588</v>
          </cell>
          <cell r="V108">
            <v>77990</v>
          </cell>
          <cell r="W108">
            <v>0</v>
          </cell>
        </row>
        <row r="109">
          <cell r="E109">
            <v>101</v>
          </cell>
          <cell r="G109">
            <v>14746</v>
          </cell>
          <cell r="J109">
            <v>7</v>
          </cell>
          <cell r="L109">
            <v>2520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73916</v>
          </cell>
          <cell r="V109">
            <v>73916</v>
          </cell>
          <cell r="W109">
            <v>0</v>
          </cell>
        </row>
        <row r="110">
          <cell r="E110">
            <v>27</v>
          </cell>
          <cell r="G110">
            <v>3942</v>
          </cell>
          <cell r="J110">
            <v>2</v>
          </cell>
          <cell r="L110">
            <v>720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61312</v>
          </cell>
          <cell r="V110">
            <v>61312</v>
          </cell>
          <cell r="W110">
            <v>0</v>
          </cell>
        </row>
        <row r="111">
          <cell r="E111">
            <v>68</v>
          </cell>
          <cell r="G111">
            <v>9928</v>
          </cell>
          <cell r="J111">
            <v>23</v>
          </cell>
          <cell r="L111">
            <v>8280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74858</v>
          </cell>
          <cell r="V111">
            <v>74858</v>
          </cell>
          <cell r="W111">
            <v>0</v>
          </cell>
        </row>
        <row r="112">
          <cell r="E112">
            <v>69</v>
          </cell>
          <cell r="G112">
            <v>10074</v>
          </cell>
          <cell r="J112">
            <v>57</v>
          </cell>
          <cell r="L112">
            <v>20520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87244</v>
          </cell>
          <cell r="V112">
            <v>0</v>
          </cell>
          <cell r="W112">
            <v>87244</v>
          </cell>
        </row>
        <row r="113">
          <cell r="E113">
            <v>57</v>
          </cell>
          <cell r="G113">
            <v>8322</v>
          </cell>
          <cell r="J113">
            <v>109</v>
          </cell>
          <cell r="L113">
            <v>39240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104212</v>
          </cell>
          <cell r="V113">
            <v>191456</v>
          </cell>
          <cell r="W113">
            <v>0</v>
          </cell>
        </row>
        <row r="114">
          <cell r="E114">
            <v>152</v>
          </cell>
          <cell r="G114">
            <v>22192</v>
          </cell>
          <cell r="J114">
            <v>184</v>
          </cell>
          <cell r="L114">
            <v>72360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151202</v>
          </cell>
          <cell r="V114">
            <v>151202</v>
          </cell>
          <cell r="W114">
            <v>0</v>
          </cell>
        </row>
        <row r="115">
          <cell r="E115">
            <v>311</v>
          </cell>
          <cell r="G115">
            <v>45406</v>
          </cell>
          <cell r="J115">
            <v>199</v>
          </cell>
          <cell r="L115">
            <v>80460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184725</v>
          </cell>
          <cell r="V115">
            <v>184725</v>
          </cell>
          <cell r="W115">
            <v>0</v>
          </cell>
        </row>
        <row r="116">
          <cell r="E116">
            <v>288</v>
          </cell>
          <cell r="G116">
            <v>42048</v>
          </cell>
          <cell r="J116">
            <v>211</v>
          </cell>
          <cell r="L116">
            <v>88920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189827</v>
          </cell>
          <cell r="V116">
            <v>189827</v>
          </cell>
          <cell r="W116">
            <v>0</v>
          </cell>
        </row>
        <row r="117">
          <cell r="E117">
            <v>266</v>
          </cell>
          <cell r="G117">
            <v>38836</v>
          </cell>
          <cell r="J117">
            <v>142</v>
          </cell>
          <cell r="L117">
            <v>51120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148815</v>
          </cell>
          <cell r="V117">
            <v>0</v>
          </cell>
          <cell r="W117">
            <v>148815</v>
          </cell>
        </row>
        <row r="118">
          <cell r="E118">
            <v>139</v>
          </cell>
          <cell r="G118">
            <v>20294</v>
          </cell>
          <cell r="J118">
            <v>76</v>
          </cell>
          <cell r="L118">
            <v>27360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106513</v>
          </cell>
          <cell r="V118">
            <v>255328</v>
          </cell>
          <cell r="W118">
            <v>0</v>
          </cell>
        </row>
        <row r="119">
          <cell r="E119">
            <v>114</v>
          </cell>
          <cell r="G119">
            <v>16644</v>
          </cell>
          <cell r="J119">
            <v>92</v>
          </cell>
          <cell r="L119">
            <v>63720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139223</v>
          </cell>
          <cell r="V119">
            <v>0</v>
          </cell>
          <cell r="W119">
            <v>139223</v>
          </cell>
        </row>
        <row r="120">
          <cell r="E120">
            <v>131</v>
          </cell>
          <cell r="G120">
            <v>19126</v>
          </cell>
          <cell r="J120">
            <v>5</v>
          </cell>
          <cell r="L120">
            <v>1800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79785</v>
          </cell>
          <cell r="V120">
            <v>219008</v>
          </cell>
          <cell r="W120">
            <v>0</v>
          </cell>
        </row>
        <row r="121">
          <cell r="E121">
            <v>72</v>
          </cell>
          <cell r="G121">
            <v>10512</v>
          </cell>
          <cell r="J121">
            <v>4</v>
          </cell>
          <cell r="L121">
            <v>1440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70811</v>
          </cell>
          <cell r="V121">
            <v>0</v>
          </cell>
          <cell r="W121">
            <v>70811</v>
          </cell>
        </row>
        <row r="122">
          <cell r="E122">
            <v>93</v>
          </cell>
          <cell r="G122">
            <v>13578</v>
          </cell>
          <cell r="J122">
            <v>7</v>
          </cell>
          <cell r="L122">
            <v>2520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74957</v>
          </cell>
          <cell r="V122">
            <v>145768</v>
          </cell>
          <cell r="W122">
            <v>0</v>
          </cell>
        </row>
        <row r="123">
          <cell r="E123">
            <v>167</v>
          </cell>
          <cell r="G123">
            <v>24382</v>
          </cell>
          <cell r="J123">
            <v>49</v>
          </cell>
          <cell r="L123">
            <v>17640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100881</v>
          </cell>
          <cell r="V123">
            <v>100881</v>
          </cell>
          <cell r="W123">
            <v>0</v>
          </cell>
        </row>
        <row r="124">
          <cell r="E124">
            <v>86</v>
          </cell>
          <cell r="G124">
            <v>12556</v>
          </cell>
          <cell r="J124">
            <v>39</v>
          </cell>
          <cell r="L124">
            <v>14040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85455</v>
          </cell>
          <cell r="V124">
            <v>162129</v>
          </cell>
          <cell r="W124">
            <v>-76674</v>
          </cell>
        </row>
        <row r="125">
          <cell r="E125">
            <v>127</v>
          </cell>
          <cell r="G125">
            <v>18542</v>
          </cell>
          <cell r="J125">
            <v>217</v>
          </cell>
          <cell r="L125">
            <v>93240</v>
          </cell>
          <cell r="M125">
            <v>0</v>
          </cell>
          <cell r="N125">
            <v>0</v>
          </cell>
          <cell r="O125">
            <v>68162</v>
          </cell>
          <cell r="P125">
            <v>0</v>
          </cell>
          <cell r="Q125">
            <v>58859</v>
          </cell>
          <cell r="R125">
            <v>0</v>
          </cell>
          <cell r="S125">
            <v>238803</v>
          </cell>
          <cell r="V125">
            <v>162129</v>
          </cell>
          <cell r="W125">
            <v>0</v>
          </cell>
        </row>
        <row r="126">
          <cell r="E126">
            <v>162</v>
          </cell>
          <cell r="G126">
            <v>23652</v>
          </cell>
          <cell r="J126">
            <v>128</v>
          </cell>
          <cell r="L126">
            <v>46080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128591</v>
          </cell>
          <cell r="V126">
            <v>0</v>
          </cell>
          <cell r="W126">
            <v>128591</v>
          </cell>
        </row>
        <row r="127">
          <cell r="E127">
            <v>276</v>
          </cell>
          <cell r="G127">
            <v>40296</v>
          </cell>
          <cell r="J127">
            <v>213</v>
          </cell>
          <cell r="L127">
            <v>90360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190390</v>
          </cell>
          <cell r="V127">
            <v>318981</v>
          </cell>
          <cell r="W127">
            <v>0</v>
          </cell>
        </row>
        <row r="128">
          <cell r="E128">
            <v>371</v>
          </cell>
          <cell r="G128">
            <v>54166</v>
          </cell>
          <cell r="J128">
            <v>277</v>
          </cell>
          <cell r="L128">
            <v>136440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262628</v>
          </cell>
          <cell r="V128">
            <v>262628</v>
          </cell>
          <cell r="W128">
            <v>0</v>
          </cell>
        </row>
        <row r="129">
          <cell r="E129">
            <v>170</v>
          </cell>
          <cell r="G129">
            <v>24820</v>
          </cell>
          <cell r="J129">
            <v>178</v>
          </cell>
          <cell r="L129">
            <v>69120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153674</v>
          </cell>
          <cell r="V129">
            <v>0</v>
          </cell>
          <cell r="W129">
            <v>153674</v>
          </cell>
        </row>
        <row r="130">
          <cell r="E130">
            <v>204</v>
          </cell>
          <cell r="G130">
            <v>29784</v>
          </cell>
          <cell r="J130">
            <v>161</v>
          </cell>
          <cell r="L130">
            <v>59940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149458</v>
          </cell>
          <cell r="V130">
            <v>303132</v>
          </cell>
          <cell r="W130">
            <v>0</v>
          </cell>
        </row>
        <row r="131">
          <cell r="E131">
            <v>247</v>
          </cell>
          <cell r="G131">
            <v>36062</v>
          </cell>
          <cell r="J131">
            <v>16</v>
          </cell>
          <cell r="L131">
            <v>5760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101556</v>
          </cell>
          <cell r="V131">
            <v>0</v>
          </cell>
          <cell r="W131">
            <v>101556</v>
          </cell>
        </row>
        <row r="132">
          <cell r="E132">
            <v>186</v>
          </cell>
          <cell r="G132">
            <v>27156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87970</v>
          </cell>
          <cell r="V132">
            <v>189526</v>
          </cell>
          <cell r="W132">
            <v>0</v>
          </cell>
        </row>
        <row r="133">
          <cell r="E133">
            <v>214</v>
          </cell>
          <cell r="G133">
            <v>31244</v>
          </cell>
          <cell r="J133">
            <v>7</v>
          </cell>
          <cell r="L133">
            <v>2520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93498</v>
          </cell>
          <cell r="V133">
            <v>0</v>
          </cell>
          <cell r="W133">
            <v>93498</v>
          </cell>
        </row>
        <row r="134">
          <cell r="E134">
            <v>235</v>
          </cell>
          <cell r="G134">
            <v>34310</v>
          </cell>
          <cell r="J134">
            <v>10</v>
          </cell>
          <cell r="L134">
            <v>3600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97644</v>
          </cell>
          <cell r="V134">
            <v>191142</v>
          </cell>
          <cell r="W134">
            <v>0</v>
          </cell>
        </row>
        <row r="135">
          <cell r="E135">
            <v>213</v>
          </cell>
          <cell r="G135">
            <v>31098</v>
          </cell>
          <cell r="J135">
            <v>16</v>
          </cell>
          <cell r="L135">
            <v>5760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96592</v>
          </cell>
          <cell r="V135">
            <v>96592</v>
          </cell>
          <cell r="W135">
            <v>0</v>
          </cell>
        </row>
        <row r="136">
          <cell r="E136">
            <v>144</v>
          </cell>
          <cell r="G136">
            <v>21024</v>
          </cell>
          <cell r="J136">
            <v>92</v>
          </cell>
          <cell r="L136">
            <v>33120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113878</v>
          </cell>
          <cell r="V136">
            <v>113878</v>
          </cell>
          <cell r="W136">
            <v>0</v>
          </cell>
        </row>
        <row r="137">
          <cell r="E137">
            <v>152</v>
          </cell>
          <cell r="G137">
            <v>22192</v>
          </cell>
          <cell r="J137">
            <v>109</v>
          </cell>
          <cell r="L137">
            <v>39240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121166</v>
          </cell>
          <cell r="V137">
            <v>0</v>
          </cell>
          <cell r="W137">
            <v>121166</v>
          </cell>
        </row>
        <row r="138">
          <cell r="E138">
            <v>210</v>
          </cell>
          <cell r="G138">
            <v>30660</v>
          </cell>
          <cell r="J138">
            <v>203</v>
          </cell>
          <cell r="L138">
            <v>83160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193554</v>
          </cell>
          <cell r="V138">
            <v>314720</v>
          </cell>
          <cell r="W138">
            <v>0</v>
          </cell>
        </row>
        <row r="139">
          <cell r="E139">
            <v>404</v>
          </cell>
          <cell r="G139">
            <v>58984</v>
          </cell>
          <cell r="J139">
            <v>162</v>
          </cell>
          <cell r="L139">
            <v>72360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197880</v>
          </cell>
          <cell r="V139">
            <v>197880</v>
          </cell>
          <cell r="W139">
            <v>0</v>
          </cell>
        </row>
        <row r="140">
          <cell r="E140">
            <v>336</v>
          </cell>
          <cell r="G140">
            <v>49056</v>
          </cell>
          <cell r="J140">
            <v>100</v>
          </cell>
          <cell r="L140">
            <v>36000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151592</v>
          </cell>
          <cell r="V140">
            <v>151592</v>
          </cell>
          <cell r="W140">
            <v>0</v>
          </cell>
        </row>
        <row r="141">
          <cell r="E141">
            <v>195</v>
          </cell>
          <cell r="G141">
            <v>28470</v>
          </cell>
          <cell r="J141">
            <v>122</v>
          </cell>
          <cell r="L141">
            <v>43920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138926</v>
          </cell>
          <cell r="V141">
            <v>138926</v>
          </cell>
          <cell r="W141">
            <v>0</v>
          </cell>
        </row>
        <row r="142">
          <cell r="E142">
            <v>154</v>
          </cell>
          <cell r="G142">
            <v>22484</v>
          </cell>
          <cell r="J142">
            <v>215</v>
          </cell>
          <cell r="L142">
            <v>77400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166420</v>
          </cell>
          <cell r="V142">
            <v>0</v>
          </cell>
          <cell r="W142">
            <v>166420</v>
          </cell>
        </row>
        <row r="143">
          <cell r="E143">
            <v>79</v>
          </cell>
          <cell r="G143">
            <v>11534</v>
          </cell>
          <cell r="J143">
            <v>44</v>
          </cell>
          <cell r="L143">
            <v>15840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93910</v>
          </cell>
          <cell r="V143">
            <v>262000</v>
          </cell>
          <cell r="W143">
            <v>-1670</v>
          </cell>
        </row>
        <row r="144">
          <cell r="E144">
            <v>128</v>
          </cell>
          <cell r="G144">
            <v>18688</v>
          </cell>
          <cell r="J144">
            <v>7</v>
          </cell>
          <cell r="L144">
            <v>2520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87744</v>
          </cell>
          <cell r="V144">
            <v>86074</v>
          </cell>
          <cell r="W144">
            <v>0</v>
          </cell>
        </row>
        <row r="145">
          <cell r="E145">
            <v>279</v>
          </cell>
          <cell r="G145">
            <v>40734</v>
          </cell>
          <cell r="J145">
            <v>71</v>
          </cell>
          <cell r="L145">
            <v>25560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132830</v>
          </cell>
          <cell r="V145">
            <v>132830</v>
          </cell>
          <cell r="W145">
            <v>0</v>
          </cell>
        </row>
        <row r="146">
          <cell r="E146">
            <v>179</v>
          </cell>
          <cell r="G146">
            <v>26134</v>
          </cell>
          <cell r="J146">
            <v>8</v>
          </cell>
          <cell r="L146">
            <v>2880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95550</v>
          </cell>
          <cell r="V146">
            <v>95550</v>
          </cell>
          <cell r="W146">
            <v>0</v>
          </cell>
        </row>
        <row r="147">
          <cell r="E147">
            <v>172</v>
          </cell>
          <cell r="G147">
            <v>25112</v>
          </cell>
          <cell r="J147">
            <v>10</v>
          </cell>
          <cell r="L147">
            <v>3600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95248</v>
          </cell>
          <cell r="V147">
            <v>95248</v>
          </cell>
          <cell r="W147">
            <v>0</v>
          </cell>
        </row>
        <row r="148">
          <cell r="E148">
            <v>164</v>
          </cell>
          <cell r="G148">
            <v>23944</v>
          </cell>
          <cell r="J148">
            <v>32</v>
          </cell>
          <cell r="L148">
            <v>11520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102000</v>
          </cell>
          <cell r="V148">
            <v>102000</v>
          </cell>
          <cell r="W148">
            <v>0</v>
          </cell>
        </row>
        <row r="149">
          <cell r="E149">
            <v>169</v>
          </cell>
          <cell r="G149">
            <v>24674</v>
          </cell>
          <cell r="J149">
            <v>81</v>
          </cell>
          <cell r="L149">
            <v>29160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120370</v>
          </cell>
          <cell r="V149">
            <v>120370</v>
          </cell>
          <cell r="W149">
            <v>0</v>
          </cell>
        </row>
        <row r="150">
          <cell r="E150">
            <v>204</v>
          </cell>
          <cell r="G150">
            <v>29784</v>
          </cell>
          <cell r="J150">
            <v>59</v>
          </cell>
          <cell r="L150">
            <v>21240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119560</v>
          </cell>
          <cell r="V150">
            <v>119560</v>
          </cell>
          <cell r="W150">
            <v>0</v>
          </cell>
        </row>
        <row r="151">
          <cell r="E151">
            <v>341</v>
          </cell>
          <cell r="G151">
            <v>49786</v>
          </cell>
          <cell r="J151">
            <v>89</v>
          </cell>
          <cell r="L151">
            <v>32040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153221</v>
          </cell>
          <cell r="V151">
            <v>153221</v>
          </cell>
          <cell r="W151">
            <v>0</v>
          </cell>
        </row>
        <row r="152">
          <cell r="E152">
            <v>263</v>
          </cell>
          <cell r="G152">
            <v>38398</v>
          </cell>
          <cell r="J152">
            <v>95</v>
          </cell>
          <cell r="L152">
            <v>34200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143993</v>
          </cell>
          <cell r="V152">
            <v>143993</v>
          </cell>
          <cell r="W152">
            <v>0</v>
          </cell>
        </row>
        <row r="153">
          <cell r="E153">
            <v>241</v>
          </cell>
          <cell r="G153">
            <v>35186</v>
          </cell>
          <cell r="J153">
            <v>74</v>
          </cell>
          <cell r="L153">
            <v>26640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138180</v>
          </cell>
          <cell r="V153">
            <v>138180</v>
          </cell>
          <cell r="W153">
            <v>0</v>
          </cell>
        </row>
        <row r="154">
          <cell r="E154">
            <v>211</v>
          </cell>
          <cell r="G154">
            <v>30806</v>
          </cell>
          <cell r="J154">
            <v>44</v>
          </cell>
          <cell r="L154">
            <v>15840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123000</v>
          </cell>
          <cell r="V154">
            <v>123000</v>
          </cell>
          <cell r="W154">
            <v>0</v>
          </cell>
        </row>
        <row r="155">
          <cell r="E155">
            <v>152</v>
          </cell>
          <cell r="G155">
            <v>22192</v>
          </cell>
          <cell r="J155">
            <v>45</v>
          </cell>
          <cell r="L155">
            <v>16200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114746</v>
          </cell>
          <cell r="V155">
            <v>114746</v>
          </cell>
          <cell r="W155">
            <v>0</v>
          </cell>
        </row>
        <row r="156">
          <cell r="E156">
            <v>155</v>
          </cell>
          <cell r="G156">
            <v>22630</v>
          </cell>
          <cell r="J156">
            <v>24</v>
          </cell>
          <cell r="L156">
            <v>8640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107624</v>
          </cell>
          <cell r="V156">
            <v>107624</v>
          </cell>
          <cell r="W156">
            <v>0</v>
          </cell>
        </row>
        <row r="157">
          <cell r="E157">
            <v>157</v>
          </cell>
          <cell r="G157">
            <v>22922</v>
          </cell>
          <cell r="J157">
            <v>19</v>
          </cell>
          <cell r="L157">
            <v>6840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106116</v>
          </cell>
          <cell r="V157">
            <v>106116</v>
          </cell>
          <cell r="W157">
            <v>0</v>
          </cell>
        </row>
        <row r="158">
          <cell r="E158">
            <v>100</v>
          </cell>
          <cell r="G158">
            <v>14600</v>
          </cell>
          <cell r="J158">
            <v>1</v>
          </cell>
          <cell r="L158">
            <v>7200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98154</v>
          </cell>
          <cell r="V158">
            <v>121076</v>
          </cell>
          <cell r="W158">
            <v>-22922</v>
          </cell>
        </row>
        <row r="159">
          <cell r="E159">
            <v>166</v>
          </cell>
          <cell r="G159">
            <v>24236</v>
          </cell>
          <cell r="J159">
            <v>12</v>
          </cell>
          <cell r="L159">
            <v>4320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104910</v>
          </cell>
          <cell r="V159">
            <v>104910</v>
          </cell>
          <cell r="W159">
            <v>-22922</v>
          </cell>
        </row>
        <row r="160">
          <cell r="E160">
            <v>221</v>
          </cell>
          <cell r="G160">
            <v>32266</v>
          </cell>
          <cell r="J160">
            <v>16</v>
          </cell>
          <cell r="L160">
            <v>5760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114380</v>
          </cell>
          <cell r="V160">
            <v>114380</v>
          </cell>
          <cell r="W160">
            <v>-22922</v>
          </cell>
        </row>
        <row r="161">
          <cell r="E161">
            <v>239</v>
          </cell>
          <cell r="G161">
            <v>34894</v>
          </cell>
          <cell r="J161">
            <v>34</v>
          </cell>
          <cell r="L161">
            <v>12240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123488</v>
          </cell>
          <cell r="V161">
            <v>123488</v>
          </cell>
          <cell r="W161">
            <v>-22922</v>
          </cell>
        </row>
        <row r="162">
          <cell r="E162">
            <v>396</v>
          </cell>
          <cell r="G162">
            <v>57816</v>
          </cell>
          <cell r="J162">
            <v>185</v>
          </cell>
          <cell r="L162">
            <v>97200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231076</v>
          </cell>
          <cell r="V162">
            <v>231076</v>
          </cell>
          <cell r="W162">
            <v>-22922</v>
          </cell>
        </row>
        <row r="163">
          <cell r="E163">
            <v>296</v>
          </cell>
          <cell r="G163">
            <v>43216</v>
          </cell>
          <cell r="J163">
            <v>43</v>
          </cell>
          <cell r="L163">
            <v>15480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144756</v>
          </cell>
          <cell r="V163">
            <v>144756</v>
          </cell>
          <cell r="W163">
            <v>-22922</v>
          </cell>
        </row>
        <row r="164">
          <cell r="E164">
            <v>325</v>
          </cell>
          <cell r="G164">
            <v>47450</v>
          </cell>
          <cell r="J164">
            <v>71</v>
          </cell>
          <cell r="L164">
            <v>25560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159070</v>
          </cell>
          <cell r="V164">
            <v>159070</v>
          </cell>
          <cell r="W164">
            <v>-22922</v>
          </cell>
        </row>
        <row r="165">
          <cell r="E165">
            <v>301</v>
          </cell>
          <cell r="G165">
            <v>43946</v>
          </cell>
          <cell r="J165">
            <v>42</v>
          </cell>
          <cell r="L165">
            <v>15120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145126</v>
          </cell>
          <cell r="V165">
            <v>145126</v>
          </cell>
          <cell r="W165">
            <v>-22922</v>
          </cell>
        </row>
        <row r="166">
          <cell r="E166">
            <v>236</v>
          </cell>
          <cell r="G166">
            <v>34456</v>
          </cell>
          <cell r="J166">
            <v>25</v>
          </cell>
          <cell r="L166">
            <v>9000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129560</v>
          </cell>
          <cell r="V166">
            <v>129560</v>
          </cell>
          <cell r="W166">
            <v>-22922</v>
          </cell>
        </row>
        <row r="167">
          <cell r="E167">
            <v>199</v>
          </cell>
          <cell r="G167">
            <v>29054</v>
          </cell>
          <cell r="J167">
            <v>11</v>
          </cell>
          <cell r="L167">
            <v>3960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119118</v>
          </cell>
          <cell r="V167">
            <v>119118</v>
          </cell>
          <cell r="W167">
            <v>-22922</v>
          </cell>
        </row>
        <row r="168">
          <cell r="E168">
            <v>258</v>
          </cell>
          <cell r="G168">
            <v>37668</v>
          </cell>
          <cell r="J168">
            <v>15</v>
          </cell>
          <cell r="L168">
            <v>5400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129172</v>
          </cell>
          <cell r="V168">
            <v>129172</v>
          </cell>
          <cell r="W168">
            <v>-22922</v>
          </cell>
        </row>
        <row r="169">
          <cell r="E169">
            <v>197</v>
          </cell>
          <cell r="G169">
            <v>28762</v>
          </cell>
          <cell r="J169">
            <v>11</v>
          </cell>
          <cell r="L169">
            <v>3960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118432</v>
          </cell>
          <cell r="V169">
            <v>118432</v>
          </cell>
          <cell r="W169">
            <v>-22922</v>
          </cell>
        </row>
        <row r="170">
          <cell r="E170">
            <v>143</v>
          </cell>
          <cell r="G170">
            <v>20878</v>
          </cell>
          <cell r="J170">
            <v>1</v>
          </cell>
          <cell r="L170">
            <v>360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106948</v>
          </cell>
          <cell r="V170">
            <v>106948</v>
          </cell>
          <cell r="W170">
            <v>-22922</v>
          </cell>
        </row>
        <row r="171">
          <cell r="E171">
            <v>199</v>
          </cell>
          <cell r="G171">
            <v>29054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115129</v>
          </cell>
          <cell r="V171">
            <v>115129</v>
          </cell>
          <cell r="W171">
            <v>-22922</v>
          </cell>
        </row>
        <row r="172">
          <cell r="E172">
            <v>222</v>
          </cell>
          <cell r="G172">
            <v>32412</v>
          </cell>
          <cell r="J172">
            <v>16</v>
          </cell>
          <cell r="L172">
            <v>5760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119567</v>
          </cell>
          <cell r="V172">
            <v>119567</v>
          </cell>
          <cell r="W172">
            <v>-22922</v>
          </cell>
        </row>
        <row r="173">
          <cell r="E173">
            <v>235</v>
          </cell>
          <cell r="G173">
            <v>34310</v>
          </cell>
          <cell r="J173">
            <v>26</v>
          </cell>
          <cell r="L173">
            <v>9360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125065</v>
          </cell>
          <cell r="V173">
            <v>125065</v>
          </cell>
          <cell r="W173">
            <v>-22922</v>
          </cell>
        </row>
        <row r="174">
          <cell r="E174">
            <v>408</v>
          </cell>
          <cell r="G174">
            <v>59568</v>
          </cell>
          <cell r="J174">
            <v>38</v>
          </cell>
          <cell r="L174">
            <v>13680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154643</v>
          </cell>
          <cell r="V174">
            <v>154643</v>
          </cell>
          <cell r="W174">
            <v>-22922</v>
          </cell>
        </row>
      </sheetData>
      <sheetData sheetId="1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2890</v>
          </cell>
          <cell r="G40">
            <v>182070</v>
          </cell>
          <cell r="J40">
            <v>261</v>
          </cell>
          <cell r="L40">
            <v>93960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315030</v>
          </cell>
          <cell r="V40">
            <v>39000</v>
          </cell>
          <cell r="W40">
            <v>52572</v>
          </cell>
        </row>
        <row r="41">
          <cell r="E41">
            <v>29</v>
          </cell>
          <cell r="G41">
            <v>1827</v>
          </cell>
          <cell r="J41">
            <v>314</v>
          </cell>
          <cell r="L41">
            <v>113040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153867</v>
          </cell>
          <cell r="V41">
            <v>0</v>
          </cell>
          <cell r="W41">
            <v>206439</v>
          </cell>
        </row>
        <row r="42">
          <cell r="E42">
            <v>26666</v>
          </cell>
          <cell r="G42">
            <v>1679958</v>
          </cell>
          <cell r="J42">
            <v>280</v>
          </cell>
          <cell r="L42">
            <v>100800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1819758</v>
          </cell>
          <cell r="V42">
            <v>0</v>
          </cell>
          <cell r="W42">
            <v>370809</v>
          </cell>
        </row>
        <row r="43">
          <cell r="E43">
            <v>645</v>
          </cell>
          <cell r="G43">
            <v>40635</v>
          </cell>
          <cell r="J43">
            <v>241</v>
          </cell>
          <cell r="L43">
            <v>86760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166395</v>
          </cell>
          <cell r="V43">
            <v>334809</v>
          </cell>
          <cell r="W43">
            <v>202395</v>
          </cell>
        </row>
        <row r="44">
          <cell r="E44">
            <v>330</v>
          </cell>
          <cell r="G44">
            <v>20790</v>
          </cell>
          <cell r="J44">
            <v>159</v>
          </cell>
          <cell r="L44">
            <v>57240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117030</v>
          </cell>
          <cell r="V44">
            <v>166395</v>
          </cell>
          <cell r="W44">
            <v>153030</v>
          </cell>
        </row>
        <row r="45">
          <cell r="E45">
            <v>264</v>
          </cell>
          <cell r="G45">
            <v>16632</v>
          </cell>
          <cell r="J45">
            <v>126</v>
          </cell>
          <cell r="L45">
            <v>45360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100992</v>
          </cell>
          <cell r="V45">
            <v>117030</v>
          </cell>
          <cell r="W45">
            <v>136992</v>
          </cell>
        </row>
        <row r="46">
          <cell r="E46">
            <v>147</v>
          </cell>
          <cell r="G46">
            <v>9261</v>
          </cell>
          <cell r="J46">
            <v>85</v>
          </cell>
          <cell r="L46">
            <v>30600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78861</v>
          </cell>
          <cell r="V46">
            <v>100992</v>
          </cell>
          <cell r="W46">
            <v>114861</v>
          </cell>
        </row>
        <row r="47">
          <cell r="E47">
            <v>91</v>
          </cell>
          <cell r="G47">
            <v>5733</v>
          </cell>
          <cell r="J47">
            <v>88</v>
          </cell>
          <cell r="L47">
            <v>31680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76413</v>
          </cell>
          <cell r="V47">
            <v>78861</v>
          </cell>
          <cell r="W47">
            <v>112413</v>
          </cell>
        </row>
        <row r="48">
          <cell r="E48">
            <v>70</v>
          </cell>
          <cell r="G48">
            <v>4410</v>
          </cell>
          <cell r="J48">
            <v>25</v>
          </cell>
          <cell r="L48">
            <v>9000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52410</v>
          </cell>
          <cell r="V48">
            <v>76413</v>
          </cell>
          <cell r="W48">
            <v>88410</v>
          </cell>
        </row>
        <row r="49">
          <cell r="E49">
            <v>33</v>
          </cell>
          <cell r="G49">
            <v>2079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41079</v>
          </cell>
          <cell r="V49">
            <v>52410</v>
          </cell>
          <cell r="W49">
            <v>77079</v>
          </cell>
        </row>
        <row r="50">
          <cell r="E50">
            <v>92</v>
          </cell>
          <cell r="G50">
            <v>5796</v>
          </cell>
          <cell r="J50">
            <v>4</v>
          </cell>
          <cell r="L50">
            <v>1440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46236</v>
          </cell>
          <cell r="V50">
            <v>41079</v>
          </cell>
          <cell r="W50">
            <v>82236</v>
          </cell>
        </row>
        <row r="51">
          <cell r="E51">
            <v>125</v>
          </cell>
          <cell r="G51">
            <v>7875</v>
          </cell>
          <cell r="J51">
            <v>6</v>
          </cell>
          <cell r="L51">
            <v>2160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49035</v>
          </cell>
          <cell r="V51">
            <v>0</v>
          </cell>
          <cell r="W51">
            <v>131271</v>
          </cell>
        </row>
        <row r="52">
          <cell r="E52">
            <v>155</v>
          </cell>
          <cell r="G52">
            <v>9765</v>
          </cell>
          <cell r="J52">
            <v>7</v>
          </cell>
          <cell r="L52">
            <v>2520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51285</v>
          </cell>
          <cell r="V52">
            <v>95271</v>
          </cell>
          <cell r="W52">
            <v>87285</v>
          </cell>
        </row>
        <row r="53">
          <cell r="E53">
            <v>283</v>
          </cell>
          <cell r="G53">
            <v>17829</v>
          </cell>
          <cell r="J53">
            <v>159</v>
          </cell>
          <cell r="L53">
            <v>57240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114069</v>
          </cell>
          <cell r="V53">
            <v>51285</v>
          </cell>
          <cell r="W53">
            <v>150069</v>
          </cell>
        </row>
        <row r="54">
          <cell r="E54">
            <v>308</v>
          </cell>
          <cell r="G54">
            <v>19404</v>
          </cell>
          <cell r="J54">
            <v>192</v>
          </cell>
          <cell r="L54">
            <v>69120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127524</v>
          </cell>
          <cell r="V54">
            <v>114069</v>
          </cell>
          <cell r="W54">
            <v>170524</v>
          </cell>
        </row>
        <row r="55">
          <cell r="E55">
            <v>873</v>
          </cell>
          <cell r="G55">
            <v>54999</v>
          </cell>
          <cell r="J55">
            <v>308</v>
          </cell>
          <cell r="L55">
            <v>110880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211879</v>
          </cell>
          <cell r="V55">
            <v>127524</v>
          </cell>
          <cell r="W55">
            <v>254879</v>
          </cell>
        </row>
        <row r="56">
          <cell r="E56">
            <v>357</v>
          </cell>
          <cell r="G56">
            <v>22491</v>
          </cell>
          <cell r="J56">
            <v>182</v>
          </cell>
          <cell r="L56">
            <v>65520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134011</v>
          </cell>
          <cell r="V56">
            <v>0</v>
          </cell>
          <cell r="W56">
            <v>388890</v>
          </cell>
        </row>
        <row r="57">
          <cell r="E57">
            <v>582</v>
          </cell>
          <cell r="G57">
            <v>36666</v>
          </cell>
          <cell r="J57">
            <v>136</v>
          </cell>
          <cell r="L57">
            <v>48960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131626</v>
          </cell>
          <cell r="V57">
            <v>345890</v>
          </cell>
          <cell r="W57">
            <v>174626</v>
          </cell>
        </row>
        <row r="58">
          <cell r="E58">
            <v>364</v>
          </cell>
          <cell r="G58">
            <v>22932</v>
          </cell>
          <cell r="J58">
            <v>146</v>
          </cell>
          <cell r="L58">
            <v>52560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121492</v>
          </cell>
          <cell r="V58">
            <v>131626</v>
          </cell>
          <cell r="W58">
            <v>164492</v>
          </cell>
        </row>
        <row r="59">
          <cell r="E59">
            <v>82</v>
          </cell>
          <cell r="G59">
            <v>5166</v>
          </cell>
          <cell r="J59">
            <v>80</v>
          </cell>
          <cell r="L59">
            <v>28800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79966</v>
          </cell>
          <cell r="V59">
            <v>121492</v>
          </cell>
          <cell r="W59">
            <v>122966</v>
          </cell>
        </row>
        <row r="60">
          <cell r="E60">
            <v>36</v>
          </cell>
          <cell r="G60">
            <v>2268</v>
          </cell>
          <cell r="J60">
            <v>5</v>
          </cell>
          <cell r="L60">
            <v>1800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50068</v>
          </cell>
          <cell r="V60">
            <v>79966</v>
          </cell>
          <cell r="W60">
            <v>93068</v>
          </cell>
        </row>
        <row r="61">
          <cell r="E61">
            <v>61</v>
          </cell>
          <cell r="G61">
            <v>3843</v>
          </cell>
          <cell r="J61">
            <v>5</v>
          </cell>
          <cell r="L61">
            <v>1800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51643</v>
          </cell>
          <cell r="V61">
            <v>50068</v>
          </cell>
          <cell r="W61">
            <v>94643</v>
          </cell>
        </row>
        <row r="62">
          <cell r="E62">
            <v>31</v>
          </cell>
          <cell r="G62">
            <v>1953</v>
          </cell>
          <cell r="J62">
            <v>4</v>
          </cell>
          <cell r="L62">
            <v>1440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49393</v>
          </cell>
          <cell r="V62">
            <v>51643</v>
          </cell>
          <cell r="W62">
            <v>92393</v>
          </cell>
        </row>
        <row r="63">
          <cell r="E63">
            <v>84</v>
          </cell>
          <cell r="G63">
            <v>5292</v>
          </cell>
          <cell r="J63">
            <v>9</v>
          </cell>
          <cell r="L63">
            <v>3240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54532</v>
          </cell>
          <cell r="V63">
            <v>49393</v>
          </cell>
          <cell r="W63">
            <v>97532</v>
          </cell>
        </row>
        <row r="64">
          <cell r="E64">
            <v>83</v>
          </cell>
          <cell r="G64">
            <v>6557</v>
          </cell>
          <cell r="J64">
            <v>46</v>
          </cell>
          <cell r="L64">
            <v>16560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69117</v>
          </cell>
          <cell r="V64">
            <v>0</v>
          </cell>
          <cell r="W64">
            <v>166649</v>
          </cell>
        </row>
        <row r="65">
          <cell r="E65">
            <v>249</v>
          </cell>
          <cell r="G65">
            <v>19671</v>
          </cell>
          <cell r="J65">
            <v>156</v>
          </cell>
          <cell r="L65">
            <v>56160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121831</v>
          </cell>
          <cell r="V65">
            <v>123649</v>
          </cell>
          <cell r="W65">
            <v>164831</v>
          </cell>
        </row>
        <row r="66">
          <cell r="E66">
            <v>378</v>
          </cell>
          <cell r="G66">
            <v>29862</v>
          </cell>
          <cell r="J66">
            <v>121</v>
          </cell>
          <cell r="L66">
            <v>43560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119422</v>
          </cell>
          <cell r="V66">
            <v>0</v>
          </cell>
          <cell r="W66">
            <v>284253</v>
          </cell>
        </row>
        <row r="67">
          <cell r="E67">
            <v>774</v>
          </cell>
          <cell r="G67">
            <v>67338</v>
          </cell>
          <cell r="J67">
            <v>285</v>
          </cell>
          <cell r="L67">
            <v>102600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215938</v>
          </cell>
          <cell r="V67">
            <v>241253</v>
          </cell>
          <cell r="W67">
            <v>258938</v>
          </cell>
        </row>
        <row r="68">
          <cell r="E68">
            <v>327</v>
          </cell>
          <cell r="G68">
            <v>28449</v>
          </cell>
          <cell r="J68">
            <v>153</v>
          </cell>
          <cell r="L68">
            <v>55080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129529</v>
          </cell>
          <cell r="V68">
            <v>215938</v>
          </cell>
          <cell r="W68">
            <v>172529</v>
          </cell>
        </row>
        <row r="69">
          <cell r="E69">
            <v>377</v>
          </cell>
          <cell r="G69">
            <v>41847</v>
          </cell>
          <cell r="J69">
            <v>67</v>
          </cell>
          <cell r="L69">
            <v>24120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111967</v>
          </cell>
          <cell r="V69">
            <v>129529</v>
          </cell>
          <cell r="W69">
            <v>154967</v>
          </cell>
        </row>
        <row r="70">
          <cell r="E70">
            <v>236</v>
          </cell>
          <cell r="G70">
            <v>29264</v>
          </cell>
          <cell r="J70">
            <v>41</v>
          </cell>
          <cell r="L70">
            <v>14760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90024</v>
          </cell>
          <cell r="V70">
            <v>70120</v>
          </cell>
          <cell r="W70">
            <v>174871</v>
          </cell>
        </row>
        <row r="71">
          <cell r="E71">
            <v>50</v>
          </cell>
          <cell r="G71">
            <v>4900</v>
          </cell>
          <cell r="J71">
            <v>3</v>
          </cell>
          <cell r="L71">
            <v>1080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51980</v>
          </cell>
          <cell r="V71">
            <v>131871</v>
          </cell>
          <cell r="W71">
            <v>94980</v>
          </cell>
        </row>
        <row r="72">
          <cell r="E72">
            <v>65</v>
          </cell>
          <cell r="G72">
            <v>6760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53480</v>
          </cell>
          <cell r="V72">
            <v>51980</v>
          </cell>
          <cell r="W72">
            <v>96480</v>
          </cell>
        </row>
        <row r="73">
          <cell r="E73">
            <v>58</v>
          </cell>
          <cell r="G73">
            <v>6496</v>
          </cell>
          <cell r="J73">
            <v>3</v>
          </cell>
          <cell r="L73">
            <v>1080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53576</v>
          </cell>
          <cell r="V73">
            <v>53480</v>
          </cell>
          <cell r="W73">
            <v>96576</v>
          </cell>
        </row>
        <row r="74">
          <cell r="E74">
            <v>25</v>
          </cell>
          <cell r="G74">
            <v>2675</v>
          </cell>
          <cell r="J74">
            <v>1</v>
          </cell>
          <cell r="L74">
            <v>360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49035</v>
          </cell>
          <cell r="V74">
            <v>53576</v>
          </cell>
          <cell r="W74">
            <v>92035</v>
          </cell>
        </row>
        <row r="75">
          <cell r="E75">
            <v>197</v>
          </cell>
          <cell r="G75">
            <v>21670</v>
          </cell>
          <cell r="J75">
            <v>40</v>
          </cell>
          <cell r="L75">
            <v>14400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82070</v>
          </cell>
          <cell r="V75">
            <v>131105</v>
          </cell>
          <cell r="W75">
            <v>43000</v>
          </cell>
        </row>
        <row r="76">
          <cell r="E76">
            <v>106</v>
          </cell>
          <cell r="G76">
            <v>13356</v>
          </cell>
          <cell r="J76">
            <v>14</v>
          </cell>
          <cell r="L76">
            <v>5040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64396</v>
          </cell>
          <cell r="V76">
            <v>0</v>
          </cell>
          <cell r="W76">
            <v>107396</v>
          </cell>
        </row>
        <row r="77">
          <cell r="E77">
            <v>108</v>
          </cell>
          <cell r="G77">
            <v>12852</v>
          </cell>
          <cell r="J77">
            <v>35</v>
          </cell>
          <cell r="L77">
            <v>12600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71452</v>
          </cell>
          <cell r="V77">
            <v>59536</v>
          </cell>
          <cell r="W77">
            <v>119312</v>
          </cell>
        </row>
        <row r="78">
          <cell r="E78">
            <v>541</v>
          </cell>
          <cell r="G78">
            <v>58428</v>
          </cell>
          <cell r="J78">
            <v>261</v>
          </cell>
          <cell r="L78">
            <v>93960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198388</v>
          </cell>
          <cell r="V78">
            <v>71452</v>
          </cell>
          <cell r="W78">
            <v>246248</v>
          </cell>
        </row>
        <row r="79">
          <cell r="E79">
            <v>241</v>
          </cell>
          <cell r="G79">
            <v>29884</v>
          </cell>
          <cell r="J79">
            <v>193</v>
          </cell>
          <cell r="L79">
            <v>69480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145364</v>
          </cell>
          <cell r="V79">
            <v>198388</v>
          </cell>
          <cell r="W79">
            <v>199224</v>
          </cell>
        </row>
        <row r="80">
          <cell r="E80">
            <v>269</v>
          </cell>
          <cell r="G80">
            <v>34970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134970</v>
          </cell>
          <cell r="V80">
            <v>145364</v>
          </cell>
          <cell r="W80">
            <v>257410</v>
          </cell>
        </row>
        <row r="81">
          <cell r="E81">
            <v>377</v>
          </cell>
          <cell r="G81">
            <v>49010</v>
          </cell>
          <cell r="J81">
            <v>378</v>
          </cell>
          <cell r="L81">
            <v>204120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299130</v>
          </cell>
          <cell r="V81">
            <v>203550</v>
          </cell>
          <cell r="W81">
            <v>283870</v>
          </cell>
        </row>
        <row r="82">
          <cell r="E82">
            <v>136</v>
          </cell>
          <cell r="G82">
            <v>19040</v>
          </cell>
          <cell r="J82">
            <v>127</v>
          </cell>
          <cell r="L82">
            <v>45720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110760</v>
          </cell>
          <cell r="V82">
            <v>230010</v>
          </cell>
          <cell r="W82">
            <v>164620</v>
          </cell>
        </row>
        <row r="83">
          <cell r="E83">
            <v>28</v>
          </cell>
          <cell r="G83">
            <v>4088</v>
          </cell>
          <cell r="J83">
            <v>39</v>
          </cell>
          <cell r="L83">
            <v>14040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64128</v>
          </cell>
          <cell r="V83">
            <v>110760</v>
          </cell>
          <cell r="W83">
            <v>117988</v>
          </cell>
        </row>
        <row r="84">
          <cell r="E84">
            <v>52</v>
          </cell>
          <cell r="G84">
            <v>7592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53592</v>
          </cell>
          <cell r="V84">
            <v>64128</v>
          </cell>
          <cell r="W84">
            <v>107452</v>
          </cell>
        </row>
        <row r="85">
          <cell r="E85">
            <v>14</v>
          </cell>
          <cell r="G85">
            <v>2044</v>
          </cell>
          <cell r="J85">
            <v>34</v>
          </cell>
          <cell r="L85">
            <v>12240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60284</v>
          </cell>
          <cell r="V85">
            <v>123876</v>
          </cell>
          <cell r="W85">
            <v>53860</v>
          </cell>
        </row>
        <row r="86">
          <cell r="E86">
            <v>37</v>
          </cell>
          <cell r="G86">
            <v>5402</v>
          </cell>
          <cell r="J86">
            <v>42</v>
          </cell>
          <cell r="L86">
            <v>15120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76522</v>
          </cell>
          <cell r="V86">
            <v>66522</v>
          </cell>
          <cell r="W86">
            <v>53860</v>
          </cell>
        </row>
        <row r="87">
          <cell r="E87">
            <v>27</v>
          </cell>
          <cell r="G87">
            <v>3942</v>
          </cell>
          <cell r="J87">
            <v>52</v>
          </cell>
          <cell r="L87">
            <v>18720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68662</v>
          </cell>
          <cell r="V87">
            <v>68662</v>
          </cell>
          <cell r="W87">
            <v>53860</v>
          </cell>
        </row>
        <row r="88">
          <cell r="E88">
            <v>15</v>
          </cell>
          <cell r="G88">
            <v>2190</v>
          </cell>
          <cell r="J88">
            <v>49</v>
          </cell>
          <cell r="L88">
            <v>17640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65830</v>
          </cell>
          <cell r="V88">
            <v>69830</v>
          </cell>
          <cell r="W88">
            <v>53860</v>
          </cell>
        </row>
        <row r="89">
          <cell r="E89">
            <v>7</v>
          </cell>
          <cell r="G89">
            <v>1022</v>
          </cell>
          <cell r="J89">
            <v>63</v>
          </cell>
          <cell r="L89">
            <v>22680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73702</v>
          </cell>
          <cell r="V89">
            <v>73702</v>
          </cell>
          <cell r="W89">
            <v>53860</v>
          </cell>
        </row>
        <row r="90">
          <cell r="E90">
            <v>246</v>
          </cell>
          <cell r="G90">
            <v>35916</v>
          </cell>
          <cell r="J90">
            <v>293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85916</v>
          </cell>
          <cell r="V90">
            <v>233876</v>
          </cell>
          <cell r="W90">
            <v>53860</v>
          </cell>
        </row>
        <row r="91">
          <cell r="E91">
            <v>260</v>
          </cell>
          <cell r="G91">
            <v>37960</v>
          </cell>
          <cell r="J91">
            <v>338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4000</v>
          </cell>
          <cell r="Q91">
            <v>55000</v>
          </cell>
          <cell r="R91">
            <v>0</v>
          </cell>
          <cell r="S91">
            <v>96960</v>
          </cell>
          <cell r="V91">
            <v>291000</v>
          </cell>
          <cell r="W91">
            <v>63860</v>
          </cell>
        </row>
        <row r="92">
          <cell r="E92">
            <v>260</v>
          </cell>
          <cell r="G92">
            <v>37960</v>
          </cell>
          <cell r="J92">
            <v>163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4000</v>
          </cell>
          <cell r="Q92">
            <v>55000</v>
          </cell>
          <cell r="R92">
            <v>0</v>
          </cell>
          <cell r="S92">
            <v>96960</v>
          </cell>
          <cell r="V92">
            <v>157980</v>
          </cell>
          <cell r="W92">
            <v>73860</v>
          </cell>
        </row>
        <row r="93">
          <cell r="E93">
            <v>339</v>
          </cell>
          <cell r="G93">
            <v>49494</v>
          </cell>
          <cell r="J93">
            <v>116</v>
          </cell>
          <cell r="L93">
            <v>41760</v>
          </cell>
          <cell r="M93">
            <v>0</v>
          </cell>
          <cell r="N93">
            <v>0</v>
          </cell>
          <cell r="O93">
            <v>10000</v>
          </cell>
          <cell r="P93">
            <v>4000</v>
          </cell>
          <cell r="Q93">
            <v>55000</v>
          </cell>
          <cell r="R93">
            <v>0</v>
          </cell>
          <cell r="S93">
            <v>150254</v>
          </cell>
          <cell r="V93">
            <v>160254</v>
          </cell>
          <cell r="W93">
            <v>73860</v>
          </cell>
        </row>
        <row r="94">
          <cell r="E94">
            <v>233</v>
          </cell>
          <cell r="G94">
            <v>34018</v>
          </cell>
          <cell r="J94">
            <v>69</v>
          </cell>
          <cell r="L94">
            <v>24840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0</v>
          </cell>
          <cell r="S94">
            <v>113858</v>
          </cell>
          <cell r="V94">
            <v>127858</v>
          </cell>
          <cell r="W94">
            <v>69860</v>
          </cell>
        </row>
        <row r="95">
          <cell r="E95">
            <v>74</v>
          </cell>
          <cell r="G95">
            <v>10804</v>
          </cell>
          <cell r="J95">
            <v>19</v>
          </cell>
          <cell r="L95">
            <v>6840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0</v>
          </cell>
          <cell r="S95">
            <v>72644</v>
          </cell>
          <cell r="V95">
            <v>86644</v>
          </cell>
          <cell r="W95">
            <v>65860</v>
          </cell>
        </row>
        <row r="96">
          <cell r="E96">
            <v>53</v>
          </cell>
          <cell r="G96">
            <v>7738</v>
          </cell>
          <cell r="J96">
            <v>4</v>
          </cell>
          <cell r="L96">
            <v>1440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64178</v>
          </cell>
          <cell r="V96">
            <v>68178</v>
          </cell>
          <cell r="W96">
            <v>61860</v>
          </cell>
        </row>
        <row r="97">
          <cell r="E97">
            <v>111</v>
          </cell>
          <cell r="G97">
            <v>16206</v>
          </cell>
          <cell r="J97">
            <v>9</v>
          </cell>
          <cell r="L97">
            <v>3240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74446</v>
          </cell>
          <cell r="V97">
            <v>78446</v>
          </cell>
          <cell r="W97">
            <v>57860</v>
          </cell>
        </row>
        <row r="98">
          <cell r="E98">
            <v>48</v>
          </cell>
          <cell r="G98">
            <v>7008</v>
          </cell>
          <cell r="J98">
            <v>3</v>
          </cell>
          <cell r="L98">
            <v>1080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63088</v>
          </cell>
          <cell r="V98">
            <v>87088</v>
          </cell>
          <cell r="W98">
            <v>33860</v>
          </cell>
        </row>
        <row r="99">
          <cell r="E99">
            <v>54</v>
          </cell>
          <cell r="G99">
            <v>7884</v>
          </cell>
          <cell r="J99">
            <v>14</v>
          </cell>
          <cell r="L99">
            <v>5040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67924</v>
          </cell>
          <cell r="V99">
            <v>71924</v>
          </cell>
          <cell r="W99">
            <v>29860</v>
          </cell>
        </row>
        <row r="100">
          <cell r="E100">
            <v>95</v>
          </cell>
          <cell r="G100">
            <v>13870</v>
          </cell>
          <cell r="J100">
            <v>20</v>
          </cell>
          <cell r="L100">
            <v>7200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76070</v>
          </cell>
          <cell r="V100">
            <v>80070</v>
          </cell>
          <cell r="W100">
            <v>25860</v>
          </cell>
        </row>
        <row r="101">
          <cell r="E101">
            <v>71</v>
          </cell>
          <cell r="G101">
            <v>10366</v>
          </cell>
          <cell r="J101">
            <v>92</v>
          </cell>
          <cell r="L101">
            <v>33120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98486</v>
          </cell>
          <cell r="V101">
            <v>102486</v>
          </cell>
          <cell r="W101">
            <v>21860</v>
          </cell>
        </row>
        <row r="102">
          <cell r="E102">
            <v>478</v>
          </cell>
          <cell r="G102">
            <v>69788</v>
          </cell>
          <cell r="J102">
            <v>277</v>
          </cell>
          <cell r="L102">
            <v>136440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261228</v>
          </cell>
          <cell r="V102">
            <v>260228</v>
          </cell>
          <cell r="W102">
            <v>22860</v>
          </cell>
        </row>
        <row r="103">
          <cell r="E103">
            <v>408</v>
          </cell>
          <cell r="G103">
            <v>59568</v>
          </cell>
          <cell r="J103">
            <v>133</v>
          </cell>
          <cell r="L103">
            <v>47880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164098</v>
          </cell>
          <cell r="V103">
            <v>168098</v>
          </cell>
          <cell r="W103">
            <v>18860</v>
          </cell>
        </row>
        <row r="104">
          <cell r="E104">
            <v>254</v>
          </cell>
          <cell r="G104">
            <v>37084</v>
          </cell>
          <cell r="J104">
            <v>307</v>
          </cell>
          <cell r="L104">
            <v>160560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254294</v>
          </cell>
          <cell r="V104">
            <v>258294</v>
          </cell>
          <cell r="W104">
            <v>14860</v>
          </cell>
        </row>
        <row r="105">
          <cell r="E105">
            <v>250</v>
          </cell>
          <cell r="G105">
            <v>36500</v>
          </cell>
          <cell r="J105">
            <v>52</v>
          </cell>
          <cell r="L105">
            <v>18720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111870</v>
          </cell>
          <cell r="V105">
            <v>115870</v>
          </cell>
          <cell r="W105">
            <v>10860</v>
          </cell>
        </row>
        <row r="106">
          <cell r="E106">
            <v>93</v>
          </cell>
          <cell r="G106">
            <v>13578</v>
          </cell>
          <cell r="J106">
            <v>59</v>
          </cell>
          <cell r="L106">
            <v>21240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91468</v>
          </cell>
          <cell r="V106">
            <v>95468</v>
          </cell>
          <cell r="W106">
            <v>6860</v>
          </cell>
        </row>
        <row r="107">
          <cell r="E107">
            <v>54</v>
          </cell>
          <cell r="G107">
            <v>7884</v>
          </cell>
          <cell r="J107">
            <v>13</v>
          </cell>
          <cell r="L107">
            <v>4680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69214</v>
          </cell>
          <cell r="V107">
            <v>73214</v>
          </cell>
          <cell r="W107">
            <v>2860</v>
          </cell>
        </row>
        <row r="108">
          <cell r="E108">
            <v>31</v>
          </cell>
          <cell r="G108">
            <v>4526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61176</v>
          </cell>
          <cell r="V108">
            <v>65176</v>
          </cell>
          <cell r="W108">
            <v>-1140</v>
          </cell>
        </row>
        <row r="109">
          <cell r="E109">
            <v>59</v>
          </cell>
          <cell r="G109">
            <v>8614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65984</v>
          </cell>
          <cell r="V109">
            <v>65984</v>
          </cell>
          <cell r="W109">
            <v>-1140</v>
          </cell>
        </row>
        <row r="110">
          <cell r="E110">
            <v>49</v>
          </cell>
          <cell r="G110">
            <v>7154</v>
          </cell>
          <cell r="J110">
            <v>9</v>
          </cell>
          <cell r="L110">
            <v>3240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67044</v>
          </cell>
          <cell r="V110">
            <v>67044</v>
          </cell>
          <cell r="W110">
            <v>-1140</v>
          </cell>
        </row>
        <row r="111">
          <cell r="E111">
            <v>78</v>
          </cell>
          <cell r="G111">
            <v>11388</v>
          </cell>
          <cell r="J111">
            <v>22</v>
          </cell>
          <cell r="L111">
            <v>7920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75958</v>
          </cell>
          <cell r="V111">
            <v>75958</v>
          </cell>
          <cell r="W111">
            <v>-1140</v>
          </cell>
        </row>
        <row r="112">
          <cell r="E112">
            <v>46</v>
          </cell>
          <cell r="G112">
            <v>6716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63366</v>
          </cell>
          <cell r="V112">
            <v>63366</v>
          </cell>
          <cell r="W112">
            <v>-1140</v>
          </cell>
        </row>
        <row r="113">
          <cell r="E113">
            <v>225</v>
          </cell>
          <cell r="G113">
            <v>32850</v>
          </cell>
          <cell r="J113">
            <v>114</v>
          </cell>
          <cell r="L113">
            <v>41040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130540</v>
          </cell>
          <cell r="V113">
            <v>130540</v>
          </cell>
          <cell r="W113">
            <v>-1140</v>
          </cell>
        </row>
        <row r="114">
          <cell r="E114">
            <v>340</v>
          </cell>
          <cell r="G114">
            <v>49640</v>
          </cell>
          <cell r="J114">
            <v>152</v>
          </cell>
          <cell r="L114">
            <v>55080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161370</v>
          </cell>
          <cell r="V114">
            <v>161370</v>
          </cell>
          <cell r="W114">
            <v>-1140</v>
          </cell>
        </row>
        <row r="115">
          <cell r="E115">
            <v>470</v>
          </cell>
          <cell r="G115">
            <v>68620</v>
          </cell>
          <cell r="J115">
            <v>277</v>
          </cell>
          <cell r="L115">
            <v>136440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263919</v>
          </cell>
          <cell r="V115">
            <v>0</v>
          </cell>
          <cell r="W115">
            <v>262779</v>
          </cell>
        </row>
        <row r="116">
          <cell r="E116">
            <v>355</v>
          </cell>
          <cell r="G116">
            <v>51830</v>
          </cell>
          <cell r="J116">
            <v>151</v>
          </cell>
          <cell r="L116">
            <v>54360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165049</v>
          </cell>
          <cell r="V116">
            <v>428968</v>
          </cell>
          <cell r="W116">
            <v>-1140</v>
          </cell>
        </row>
        <row r="117">
          <cell r="E117">
            <v>353</v>
          </cell>
          <cell r="G117">
            <v>51538</v>
          </cell>
          <cell r="J117">
            <v>199</v>
          </cell>
          <cell r="L117">
            <v>80460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190857</v>
          </cell>
          <cell r="V117">
            <v>190857</v>
          </cell>
          <cell r="W117">
            <v>-1140</v>
          </cell>
        </row>
        <row r="118">
          <cell r="E118">
            <v>175</v>
          </cell>
          <cell r="G118">
            <v>25550</v>
          </cell>
          <cell r="J118">
            <v>55</v>
          </cell>
          <cell r="L118">
            <v>19800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104209</v>
          </cell>
          <cell r="V118">
            <v>104209</v>
          </cell>
          <cell r="W118">
            <v>-1140</v>
          </cell>
        </row>
        <row r="119">
          <cell r="E119">
            <v>142</v>
          </cell>
          <cell r="G119">
            <v>20732</v>
          </cell>
          <cell r="J119">
            <v>71</v>
          </cell>
          <cell r="L119">
            <v>25560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105151</v>
          </cell>
          <cell r="V119">
            <v>105151</v>
          </cell>
          <cell r="W119">
            <v>-1140</v>
          </cell>
        </row>
        <row r="120">
          <cell r="E120">
            <v>64</v>
          </cell>
          <cell r="G120">
            <v>9344</v>
          </cell>
          <cell r="J120">
            <v>26</v>
          </cell>
          <cell r="L120">
            <v>9360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77563</v>
          </cell>
          <cell r="V120">
            <v>77563</v>
          </cell>
          <cell r="W120">
            <v>-1140</v>
          </cell>
        </row>
        <row r="121">
          <cell r="E121">
            <v>62</v>
          </cell>
          <cell r="G121">
            <v>9052</v>
          </cell>
          <cell r="J121">
            <v>67</v>
          </cell>
          <cell r="L121">
            <v>24120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92031</v>
          </cell>
          <cell r="V121">
            <v>90891</v>
          </cell>
          <cell r="W121">
            <v>0</v>
          </cell>
        </row>
        <row r="122">
          <cell r="E122">
            <v>20</v>
          </cell>
          <cell r="G122">
            <v>2920</v>
          </cell>
          <cell r="J122">
            <v>21</v>
          </cell>
          <cell r="L122">
            <v>7560</v>
          </cell>
          <cell r="M122">
            <v>0</v>
          </cell>
          <cell r="N122">
            <v>0</v>
          </cell>
          <cell r="O122">
            <v>0</v>
          </cell>
          <cell r="P122">
            <v>5000</v>
          </cell>
          <cell r="Q122">
            <v>58859</v>
          </cell>
          <cell r="R122">
            <v>0</v>
          </cell>
          <cell r="S122">
            <v>74339</v>
          </cell>
          <cell r="V122">
            <v>74339</v>
          </cell>
          <cell r="W122">
            <v>0</v>
          </cell>
        </row>
        <row r="123">
          <cell r="E123">
            <v>18</v>
          </cell>
          <cell r="G123">
            <v>2628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5000</v>
          </cell>
          <cell r="Q123">
            <v>58859</v>
          </cell>
          <cell r="R123">
            <v>0</v>
          </cell>
          <cell r="S123">
            <v>66487</v>
          </cell>
          <cell r="V123">
            <v>66487</v>
          </cell>
          <cell r="W123">
            <v>0</v>
          </cell>
        </row>
        <row r="124">
          <cell r="E124">
            <v>96</v>
          </cell>
          <cell r="G124">
            <v>14016</v>
          </cell>
          <cell r="J124">
            <v>26</v>
          </cell>
          <cell r="L124">
            <v>9360</v>
          </cell>
          <cell r="M124">
            <v>0</v>
          </cell>
          <cell r="N124">
            <v>0</v>
          </cell>
          <cell r="O124">
            <v>0</v>
          </cell>
          <cell r="P124">
            <v>5000</v>
          </cell>
          <cell r="Q124">
            <v>58859</v>
          </cell>
          <cell r="R124">
            <v>0</v>
          </cell>
          <cell r="S124">
            <v>87235</v>
          </cell>
          <cell r="V124">
            <v>0</v>
          </cell>
          <cell r="W124">
            <v>87235</v>
          </cell>
        </row>
        <row r="125">
          <cell r="E125">
            <v>198</v>
          </cell>
          <cell r="G125">
            <v>28908</v>
          </cell>
          <cell r="J125">
            <v>91</v>
          </cell>
          <cell r="L125">
            <v>32760</v>
          </cell>
          <cell r="M125">
            <v>0</v>
          </cell>
          <cell r="N125">
            <v>0</v>
          </cell>
          <cell r="O125">
            <v>0</v>
          </cell>
          <cell r="P125">
            <v>5000</v>
          </cell>
          <cell r="Q125">
            <v>58859</v>
          </cell>
          <cell r="R125">
            <v>21276</v>
          </cell>
          <cell r="S125">
            <v>146803</v>
          </cell>
          <cell r="V125">
            <v>234038</v>
          </cell>
          <cell r="W125">
            <v>0</v>
          </cell>
        </row>
        <row r="126">
          <cell r="E126">
            <v>390</v>
          </cell>
          <cell r="G126">
            <v>56940</v>
          </cell>
          <cell r="J126">
            <v>155</v>
          </cell>
          <cell r="L126">
            <v>56700</v>
          </cell>
          <cell r="M126">
            <v>0</v>
          </cell>
          <cell r="N126">
            <v>0</v>
          </cell>
          <cell r="O126">
            <v>0</v>
          </cell>
          <cell r="P126">
            <v>5000</v>
          </cell>
          <cell r="Q126">
            <v>58859</v>
          </cell>
          <cell r="R126">
            <v>0</v>
          </cell>
          <cell r="S126">
            <v>177499</v>
          </cell>
          <cell r="V126">
            <v>177499</v>
          </cell>
          <cell r="W126">
            <v>0</v>
          </cell>
        </row>
        <row r="127">
          <cell r="E127">
            <v>452</v>
          </cell>
          <cell r="G127">
            <v>65992</v>
          </cell>
          <cell r="J127">
            <v>208</v>
          </cell>
          <cell r="L127">
            <v>86760</v>
          </cell>
          <cell r="M127">
            <v>0</v>
          </cell>
          <cell r="N127">
            <v>0</v>
          </cell>
          <cell r="O127">
            <v>0</v>
          </cell>
          <cell r="P127">
            <v>5000</v>
          </cell>
          <cell r="Q127">
            <v>59734</v>
          </cell>
          <cell r="R127">
            <v>0</v>
          </cell>
          <cell r="S127">
            <v>217486</v>
          </cell>
          <cell r="V127">
            <v>217486</v>
          </cell>
          <cell r="W127">
            <v>0</v>
          </cell>
        </row>
        <row r="128">
          <cell r="E128">
            <v>403</v>
          </cell>
          <cell r="G128">
            <v>58838</v>
          </cell>
          <cell r="J128">
            <v>116</v>
          </cell>
          <cell r="L128">
            <v>41760</v>
          </cell>
          <cell r="M128">
            <v>0</v>
          </cell>
          <cell r="N128">
            <v>0</v>
          </cell>
          <cell r="O128">
            <v>12288</v>
          </cell>
          <cell r="P128">
            <v>5000</v>
          </cell>
          <cell r="Q128">
            <v>59734</v>
          </cell>
          <cell r="R128">
            <v>0</v>
          </cell>
          <cell r="S128">
            <v>177620</v>
          </cell>
          <cell r="V128">
            <v>165332</v>
          </cell>
          <cell r="W128">
            <v>12288</v>
          </cell>
        </row>
        <row r="129">
          <cell r="E129">
            <v>222</v>
          </cell>
          <cell r="G129">
            <v>32412</v>
          </cell>
          <cell r="J129">
            <v>51</v>
          </cell>
          <cell r="L129">
            <v>18360</v>
          </cell>
          <cell r="M129">
            <v>0</v>
          </cell>
          <cell r="N129">
            <v>0</v>
          </cell>
          <cell r="O129">
            <v>0</v>
          </cell>
          <cell r="P129">
            <v>5000</v>
          </cell>
          <cell r="Q129">
            <v>59734</v>
          </cell>
          <cell r="R129">
            <v>0</v>
          </cell>
          <cell r="S129">
            <v>115506</v>
          </cell>
          <cell r="V129">
            <v>115506</v>
          </cell>
          <cell r="W129">
            <v>12288</v>
          </cell>
        </row>
        <row r="130">
          <cell r="E130">
            <v>207</v>
          </cell>
          <cell r="G130">
            <v>30222</v>
          </cell>
          <cell r="J130">
            <v>20</v>
          </cell>
          <cell r="L130">
            <v>7200</v>
          </cell>
          <cell r="M130">
            <v>0</v>
          </cell>
          <cell r="N130">
            <v>0</v>
          </cell>
          <cell r="O130">
            <v>0</v>
          </cell>
          <cell r="P130">
            <v>5000</v>
          </cell>
          <cell r="Q130">
            <v>59734</v>
          </cell>
          <cell r="R130">
            <v>0</v>
          </cell>
          <cell r="S130">
            <v>102156</v>
          </cell>
          <cell r="V130">
            <v>114444</v>
          </cell>
          <cell r="W130">
            <v>0</v>
          </cell>
        </row>
        <row r="131">
          <cell r="E131">
            <v>215</v>
          </cell>
          <cell r="G131">
            <v>31390</v>
          </cell>
          <cell r="J131">
            <v>12</v>
          </cell>
          <cell r="L131">
            <v>4320</v>
          </cell>
          <cell r="M131">
            <v>0</v>
          </cell>
          <cell r="N131">
            <v>0</v>
          </cell>
          <cell r="O131">
            <v>0</v>
          </cell>
          <cell r="P131">
            <v>5000</v>
          </cell>
          <cell r="Q131">
            <v>59734</v>
          </cell>
          <cell r="R131">
            <v>0</v>
          </cell>
          <cell r="S131">
            <v>100444</v>
          </cell>
          <cell r="V131">
            <v>100444</v>
          </cell>
          <cell r="W131">
            <v>0</v>
          </cell>
        </row>
        <row r="132">
          <cell r="E132">
            <v>180</v>
          </cell>
          <cell r="G132">
            <v>26280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5000</v>
          </cell>
          <cell r="Q132">
            <v>59734</v>
          </cell>
          <cell r="R132">
            <v>0</v>
          </cell>
          <cell r="S132">
            <v>91374</v>
          </cell>
          <cell r="V132">
            <v>91374</v>
          </cell>
          <cell r="W132">
            <v>0</v>
          </cell>
        </row>
        <row r="133">
          <cell r="E133">
            <v>273</v>
          </cell>
          <cell r="G133">
            <v>39858</v>
          </cell>
          <cell r="J133">
            <v>14</v>
          </cell>
          <cell r="L133">
            <v>5040</v>
          </cell>
          <cell r="M133">
            <v>0</v>
          </cell>
          <cell r="N133">
            <v>0</v>
          </cell>
          <cell r="O133">
            <v>0</v>
          </cell>
          <cell r="P133">
            <v>5000</v>
          </cell>
          <cell r="Q133">
            <v>59734</v>
          </cell>
          <cell r="R133">
            <v>0</v>
          </cell>
          <cell r="S133">
            <v>109632</v>
          </cell>
          <cell r="V133">
            <v>109631</v>
          </cell>
          <cell r="W133">
            <v>1</v>
          </cell>
        </row>
        <row r="134">
          <cell r="E134">
            <v>162</v>
          </cell>
          <cell r="G134">
            <v>23652</v>
          </cell>
          <cell r="J134">
            <v>7</v>
          </cell>
          <cell r="L134">
            <v>2520</v>
          </cell>
          <cell r="M134">
            <v>0</v>
          </cell>
          <cell r="N134">
            <v>0</v>
          </cell>
          <cell r="O134">
            <v>0</v>
          </cell>
          <cell r="P134">
            <v>5000</v>
          </cell>
          <cell r="Q134">
            <v>59734</v>
          </cell>
          <cell r="R134">
            <v>0</v>
          </cell>
          <cell r="S134">
            <v>90906</v>
          </cell>
          <cell r="V134">
            <v>90906</v>
          </cell>
          <cell r="W134">
            <v>1</v>
          </cell>
        </row>
        <row r="135">
          <cell r="E135">
            <v>96</v>
          </cell>
          <cell r="G135">
            <v>14016</v>
          </cell>
          <cell r="J135">
            <v>28</v>
          </cell>
          <cell r="L135">
            <v>10080</v>
          </cell>
          <cell r="M135">
            <v>0</v>
          </cell>
          <cell r="N135">
            <v>0</v>
          </cell>
          <cell r="O135">
            <v>0</v>
          </cell>
          <cell r="P135">
            <v>5000</v>
          </cell>
          <cell r="Q135">
            <v>59734</v>
          </cell>
          <cell r="R135">
            <v>0</v>
          </cell>
          <cell r="S135">
            <v>88830</v>
          </cell>
          <cell r="V135">
            <v>88831</v>
          </cell>
          <cell r="W135">
            <v>0</v>
          </cell>
        </row>
        <row r="136">
          <cell r="E136">
            <v>118</v>
          </cell>
          <cell r="G136">
            <v>17228</v>
          </cell>
          <cell r="J136">
            <v>56</v>
          </cell>
          <cell r="L136">
            <v>20160</v>
          </cell>
          <cell r="M136">
            <v>0</v>
          </cell>
          <cell r="N136">
            <v>0</v>
          </cell>
          <cell r="O136">
            <v>0</v>
          </cell>
          <cell r="P136">
            <v>5000</v>
          </cell>
          <cell r="Q136">
            <v>59734</v>
          </cell>
          <cell r="R136">
            <v>0</v>
          </cell>
          <cell r="S136">
            <v>102122</v>
          </cell>
          <cell r="V136">
            <v>102122</v>
          </cell>
          <cell r="W136">
            <v>0</v>
          </cell>
        </row>
        <row r="137">
          <cell r="E137">
            <v>251</v>
          </cell>
          <cell r="G137">
            <v>36646</v>
          </cell>
          <cell r="J137">
            <v>106</v>
          </cell>
          <cell r="L137">
            <v>38160</v>
          </cell>
          <cell r="M137">
            <v>0</v>
          </cell>
          <cell r="N137">
            <v>0</v>
          </cell>
          <cell r="O137">
            <v>0</v>
          </cell>
          <cell r="P137">
            <v>5000</v>
          </cell>
          <cell r="Q137">
            <v>59734</v>
          </cell>
          <cell r="R137">
            <v>0</v>
          </cell>
          <cell r="S137">
            <v>139540</v>
          </cell>
          <cell r="V137">
            <v>139540</v>
          </cell>
          <cell r="W137">
            <v>0</v>
          </cell>
        </row>
        <row r="138">
          <cell r="E138">
            <v>245</v>
          </cell>
          <cell r="G138">
            <v>35770</v>
          </cell>
          <cell r="J138">
            <v>282</v>
          </cell>
          <cell r="L138">
            <v>140040</v>
          </cell>
          <cell r="M138">
            <v>0</v>
          </cell>
          <cell r="N138">
            <v>0</v>
          </cell>
          <cell r="O138">
            <v>0</v>
          </cell>
          <cell r="P138">
            <v>5000</v>
          </cell>
          <cell r="Q138">
            <v>59734</v>
          </cell>
          <cell r="R138">
            <v>0</v>
          </cell>
          <cell r="S138">
            <v>240544</v>
          </cell>
          <cell r="V138">
            <v>240544</v>
          </cell>
          <cell r="W138">
            <v>0</v>
          </cell>
        </row>
        <row r="139">
          <cell r="E139">
            <v>401</v>
          </cell>
          <cell r="G139">
            <v>58546</v>
          </cell>
          <cell r="J139">
            <v>257</v>
          </cell>
          <cell r="L139">
            <v>92520</v>
          </cell>
          <cell r="M139">
            <v>0</v>
          </cell>
          <cell r="N139">
            <v>0</v>
          </cell>
          <cell r="O139">
            <v>0</v>
          </cell>
          <cell r="P139">
            <v>5000</v>
          </cell>
          <cell r="Q139">
            <v>61536</v>
          </cell>
          <cell r="R139">
            <v>0</v>
          </cell>
          <cell r="S139">
            <v>217602</v>
          </cell>
          <cell r="V139">
            <v>217602</v>
          </cell>
          <cell r="W139">
            <v>0</v>
          </cell>
        </row>
        <row r="140">
          <cell r="E140">
            <v>462</v>
          </cell>
          <cell r="G140">
            <v>67452</v>
          </cell>
          <cell r="J140">
            <v>141</v>
          </cell>
          <cell r="L140">
            <v>54540</v>
          </cell>
          <cell r="M140">
            <v>0</v>
          </cell>
          <cell r="N140">
            <v>0</v>
          </cell>
          <cell r="O140">
            <v>0</v>
          </cell>
          <cell r="P140">
            <v>5000</v>
          </cell>
          <cell r="Q140">
            <v>61536</v>
          </cell>
          <cell r="R140">
            <v>0</v>
          </cell>
          <cell r="S140">
            <v>188528</v>
          </cell>
          <cell r="V140">
            <v>188528</v>
          </cell>
          <cell r="W140">
            <v>0</v>
          </cell>
        </row>
        <row r="141">
          <cell r="E141">
            <v>126</v>
          </cell>
          <cell r="G141">
            <v>18396</v>
          </cell>
          <cell r="J141">
            <v>75</v>
          </cell>
          <cell r="L141">
            <v>27000</v>
          </cell>
          <cell r="M141">
            <v>0</v>
          </cell>
          <cell r="N141">
            <v>0</v>
          </cell>
          <cell r="O141">
            <v>0</v>
          </cell>
          <cell r="P141">
            <v>5000</v>
          </cell>
          <cell r="Q141">
            <v>61536</v>
          </cell>
          <cell r="R141">
            <v>0</v>
          </cell>
          <cell r="S141">
            <v>111932</v>
          </cell>
          <cell r="V141">
            <v>111932</v>
          </cell>
          <cell r="W141">
            <v>0</v>
          </cell>
        </row>
        <row r="142">
          <cell r="E142">
            <v>154</v>
          </cell>
          <cell r="G142">
            <v>22484</v>
          </cell>
          <cell r="J142">
            <v>40</v>
          </cell>
          <cell r="L142">
            <v>14400</v>
          </cell>
          <cell r="M142">
            <v>0</v>
          </cell>
          <cell r="N142">
            <v>0</v>
          </cell>
          <cell r="O142">
            <v>0</v>
          </cell>
          <cell r="P142">
            <v>5000</v>
          </cell>
          <cell r="Q142">
            <v>61536</v>
          </cell>
          <cell r="R142">
            <v>0</v>
          </cell>
          <cell r="S142">
            <v>103420</v>
          </cell>
          <cell r="V142">
            <v>103420</v>
          </cell>
          <cell r="W142">
            <v>0</v>
          </cell>
        </row>
        <row r="143">
          <cell r="E143">
            <v>118</v>
          </cell>
          <cell r="G143">
            <v>17228</v>
          </cell>
          <cell r="J143">
            <v>6</v>
          </cell>
          <cell r="L143">
            <v>2160</v>
          </cell>
          <cell r="M143">
            <v>0</v>
          </cell>
          <cell r="N143">
            <v>0</v>
          </cell>
          <cell r="O143">
            <v>0</v>
          </cell>
          <cell r="P143">
            <v>5000</v>
          </cell>
          <cell r="Q143">
            <v>61536</v>
          </cell>
          <cell r="R143">
            <v>0</v>
          </cell>
          <cell r="S143">
            <v>85924</v>
          </cell>
          <cell r="V143">
            <v>85924</v>
          </cell>
          <cell r="W143">
            <v>0</v>
          </cell>
        </row>
        <row r="144">
          <cell r="E144">
            <v>153</v>
          </cell>
          <cell r="G144">
            <v>22338</v>
          </cell>
          <cell r="J144">
            <v>2</v>
          </cell>
          <cell r="L144">
            <v>720</v>
          </cell>
          <cell r="M144">
            <v>0</v>
          </cell>
          <cell r="N144">
            <v>0</v>
          </cell>
          <cell r="O144">
            <v>0</v>
          </cell>
          <cell r="P144">
            <v>5000</v>
          </cell>
          <cell r="Q144">
            <v>61536</v>
          </cell>
          <cell r="R144">
            <v>0</v>
          </cell>
          <cell r="S144">
            <v>89594</v>
          </cell>
          <cell r="V144">
            <v>89594</v>
          </cell>
          <cell r="W144">
            <v>0</v>
          </cell>
        </row>
        <row r="145">
          <cell r="E145">
            <v>162</v>
          </cell>
          <cell r="G145">
            <v>23652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5000</v>
          </cell>
          <cell r="Q145">
            <v>61536</v>
          </cell>
          <cell r="R145">
            <v>0</v>
          </cell>
          <cell r="S145">
            <v>90188</v>
          </cell>
          <cell r="V145">
            <v>90188</v>
          </cell>
          <cell r="W145">
            <v>0</v>
          </cell>
        </row>
        <row r="146">
          <cell r="E146">
            <v>138</v>
          </cell>
          <cell r="G146">
            <v>20148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5000</v>
          </cell>
          <cell r="Q146">
            <v>61536</v>
          </cell>
          <cell r="R146">
            <v>0</v>
          </cell>
          <cell r="S146">
            <v>86684</v>
          </cell>
          <cell r="V146">
            <v>86684</v>
          </cell>
          <cell r="W146">
            <v>0</v>
          </cell>
        </row>
        <row r="147">
          <cell r="E147">
            <v>233</v>
          </cell>
          <cell r="G147">
            <v>34018</v>
          </cell>
          <cell r="J147">
            <v>16</v>
          </cell>
          <cell r="L147">
            <v>5760</v>
          </cell>
          <cell r="M147">
            <v>0</v>
          </cell>
          <cell r="N147">
            <v>0</v>
          </cell>
          <cell r="O147">
            <v>0</v>
          </cell>
          <cell r="P147">
            <v>5000</v>
          </cell>
          <cell r="Q147">
            <v>61536</v>
          </cell>
          <cell r="R147">
            <v>0</v>
          </cell>
          <cell r="S147">
            <v>106314</v>
          </cell>
          <cell r="V147">
            <v>106314</v>
          </cell>
          <cell r="W147">
            <v>0</v>
          </cell>
        </row>
        <row r="148">
          <cell r="E148">
            <v>206</v>
          </cell>
          <cell r="G148">
            <v>30076</v>
          </cell>
          <cell r="J148">
            <v>23</v>
          </cell>
          <cell r="L148">
            <v>8280</v>
          </cell>
          <cell r="M148">
            <v>0</v>
          </cell>
          <cell r="N148">
            <v>0</v>
          </cell>
          <cell r="O148">
            <v>0</v>
          </cell>
          <cell r="P148">
            <v>5000</v>
          </cell>
          <cell r="Q148">
            <v>61536</v>
          </cell>
          <cell r="R148">
            <v>0</v>
          </cell>
          <cell r="S148">
            <v>104892</v>
          </cell>
          <cell r="V148">
            <v>104892</v>
          </cell>
          <cell r="W148">
            <v>0</v>
          </cell>
        </row>
        <row r="149">
          <cell r="E149">
            <v>279</v>
          </cell>
          <cell r="G149">
            <v>40734</v>
          </cell>
          <cell r="J149">
            <v>86</v>
          </cell>
          <cell r="L149">
            <v>30960</v>
          </cell>
          <cell r="M149">
            <v>0</v>
          </cell>
          <cell r="N149">
            <v>0</v>
          </cell>
          <cell r="O149">
            <v>0</v>
          </cell>
          <cell r="P149">
            <v>5000</v>
          </cell>
          <cell r="Q149">
            <v>61536</v>
          </cell>
          <cell r="R149">
            <v>0</v>
          </cell>
          <cell r="S149">
            <v>138230</v>
          </cell>
          <cell r="V149">
            <v>138230</v>
          </cell>
          <cell r="W149">
            <v>0</v>
          </cell>
        </row>
        <row r="150">
          <cell r="E150">
            <v>278</v>
          </cell>
          <cell r="G150">
            <v>40588</v>
          </cell>
          <cell r="J150">
            <v>61</v>
          </cell>
          <cell r="L150">
            <v>21960</v>
          </cell>
          <cell r="M150">
            <v>0</v>
          </cell>
          <cell r="N150">
            <v>0</v>
          </cell>
          <cell r="O150">
            <v>0</v>
          </cell>
          <cell r="P150">
            <v>5000</v>
          </cell>
          <cell r="Q150">
            <v>61536</v>
          </cell>
          <cell r="R150">
            <v>0</v>
          </cell>
          <cell r="S150">
            <v>129084</v>
          </cell>
          <cell r="V150">
            <v>131084</v>
          </cell>
          <cell r="W150">
            <v>-2000</v>
          </cell>
        </row>
        <row r="151">
          <cell r="E151">
            <v>270</v>
          </cell>
          <cell r="G151">
            <v>39420</v>
          </cell>
          <cell r="J151">
            <v>139</v>
          </cell>
          <cell r="L151">
            <v>53460</v>
          </cell>
          <cell r="M151">
            <v>0</v>
          </cell>
          <cell r="N151">
            <v>0</v>
          </cell>
          <cell r="O151">
            <v>0</v>
          </cell>
          <cell r="P151">
            <v>5000</v>
          </cell>
          <cell r="Q151">
            <v>64395</v>
          </cell>
          <cell r="R151">
            <v>0</v>
          </cell>
          <cell r="S151">
            <v>162275</v>
          </cell>
          <cell r="V151">
            <v>164275</v>
          </cell>
          <cell r="W151">
            <v>-4000</v>
          </cell>
        </row>
        <row r="152">
          <cell r="E152">
            <v>475</v>
          </cell>
          <cell r="G152">
            <v>69350</v>
          </cell>
          <cell r="J152">
            <v>247</v>
          </cell>
          <cell r="L152">
            <v>164160</v>
          </cell>
          <cell r="M152">
            <v>0</v>
          </cell>
          <cell r="N152">
            <v>0</v>
          </cell>
          <cell r="O152">
            <v>0</v>
          </cell>
          <cell r="P152">
            <v>5000</v>
          </cell>
          <cell r="Q152">
            <v>64395</v>
          </cell>
          <cell r="R152">
            <v>0</v>
          </cell>
          <cell r="S152">
            <v>302905</v>
          </cell>
          <cell r="V152">
            <v>304905</v>
          </cell>
          <cell r="W152">
            <v>-6000</v>
          </cell>
        </row>
        <row r="153">
          <cell r="E153">
            <v>330</v>
          </cell>
          <cell r="G153">
            <v>48180</v>
          </cell>
          <cell r="J153">
            <v>109</v>
          </cell>
          <cell r="L153">
            <v>39240</v>
          </cell>
          <cell r="M153">
            <v>0</v>
          </cell>
          <cell r="N153">
            <v>0</v>
          </cell>
          <cell r="O153">
            <v>4959</v>
          </cell>
          <cell r="P153">
            <v>5000</v>
          </cell>
          <cell r="Q153">
            <v>64395</v>
          </cell>
          <cell r="R153">
            <v>0</v>
          </cell>
          <cell r="S153">
            <v>161774</v>
          </cell>
          <cell r="V153">
            <v>163774</v>
          </cell>
          <cell r="W153">
            <v>-8000</v>
          </cell>
        </row>
        <row r="154">
          <cell r="E154">
            <v>257</v>
          </cell>
          <cell r="G154">
            <v>37522</v>
          </cell>
          <cell r="J154">
            <v>44</v>
          </cell>
          <cell r="L154">
            <v>15840</v>
          </cell>
          <cell r="M154">
            <v>0</v>
          </cell>
          <cell r="N154">
            <v>0</v>
          </cell>
          <cell r="O154">
            <v>4959</v>
          </cell>
          <cell r="P154">
            <v>5000</v>
          </cell>
          <cell r="Q154">
            <v>64395</v>
          </cell>
          <cell r="R154">
            <v>0</v>
          </cell>
          <cell r="S154">
            <v>127716</v>
          </cell>
          <cell r="V154">
            <v>129716</v>
          </cell>
          <cell r="W154">
            <v>-10000</v>
          </cell>
        </row>
        <row r="155">
          <cell r="E155">
            <v>149</v>
          </cell>
          <cell r="G155">
            <v>21754</v>
          </cell>
          <cell r="J155">
            <v>36</v>
          </cell>
          <cell r="L155">
            <v>12960</v>
          </cell>
          <cell r="M155">
            <v>0</v>
          </cell>
          <cell r="N155">
            <v>0</v>
          </cell>
          <cell r="O155">
            <v>4959</v>
          </cell>
          <cell r="P155">
            <v>5000</v>
          </cell>
          <cell r="Q155">
            <v>64395</v>
          </cell>
          <cell r="R155">
            <v>0</v>
          </cell>
          <cell r="S155">
            <v>109068</v>
          </cell>
          <cell r="V155">
            <v>111068</v>
          </cell>
          <cell r="W155">
            <v>-12000</v>
          </cell>
        </row>
        <row r="156">
          <cell r="E156">
            <v>111</v>
          </cell>
          <cell r="G156">
            <v>16206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4959</v>
          </cell>
          <cell r="P156">
            <v>5000</v>
          </cell>
          <cell r="Q156">
            <v>64395</v>
          </cell>
          <cell r="R156">
            <v>0</v>
          </cell>
          <cell r="S156">
            <v>90560</v>
          </cell>
          <cell r="V156">
            <v>92560</v>
          </cell>
          <cell r="W156">
            <v>-14000</v>
          </cell>
        </row>
        <row r="157">
          <cell r="E157">
            <v>103</v>
          </cell>
          <cell r="G157">
            <v>15038</v>
          </cell>
          <cell r="J157">
            <v>52</v>
          </cell>
          <cell r="L157">
            <v>18720</v>
          </cell>
          <cell r="M157">
            <v>0</v>
          </cell>
          <cell r="N157">
            <v>0</v>
          </cell>
          <cell r="O157">
            <v>4959</v>
          </cell>
          <cell r="P157">
            <v>5000</v>
          </cell>
          <cell r="Q157">
            <v>64395</v>
          </cell>
          <cell r="R157">
            <v>0</v>
          </cell>
          <cell r="S157">
            <v>108112</v>
          </cell>
          <cell r="V157">
            <v>110112</v>
          </cell>
          <cell r="W157">
            <v>-16000</v>
          </cell>
        </row>
        <row r="158">
          <cell r="E158">
            <v>63</v>
          </cell>
          <cell r="G158">
            <v>9198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4959</v>
          </cell>
          <cell r="P158">
            <v>5000</v>
          </cell>
          <cell r="Q158">
            <v>64395</v>
          </cell>
          <cell r="R158">
            <v>0</v>
          </cell>
          <cell r="S158">
            <v>83552</v>
          </cell>
          <cell r="V158">
            <v>85552</v>
          </cell>
          <cell r="W158">
            <v>-18000</v>
          </cell>
        </row>
        <row r="159">
          <cell r="E159">
            <v>108</v>
          </cell>
          <cell r="G159">
            <v>15768</v>
          </cell>
          <cell r="J159">
            <v>67</v>
          </cell>
          <cell r="L159">
            <v>24120</v>
          </cell>
          <cell r="M159">
            <v>0</v>
          </cell>
          <cell r="N159">
            <v>0</v>
          </cell>
          <cell r="O159">
            <v>4959</v>
          </cell>
          <cell r="P159">
            <v>5000</v>
          </cell>
          <cell r="Q159">
            <v>64395</v>
          </cell>
          <cell r="R159">
            <v>0</v>
          </cell>
          <cell r="S159">
            <v>114242</v>
          </cell>
          <cell r="V159">
            <v>85552</v>
          </cell>
          <cell r="W159">
            <v>10690</v>
          </cell>
        </row>
        <row r="160">
          <cell r="E160">
            <v>82</v>
          </cell>
          <cell r="G160">
            <v>11972</v>
          </cell>
          <cell r="J160">
            <v>26</v>
          </cell>
          <cell r="L160">
            <v>9360</v>
          </cell>
          <cell r="M160">
            <v>0</v>
          </cell>
          <cell r="N160">
            <v>0</v>
          </cell>
          <cell r="O160">
            <v>4959</v>
          </cell>
          <cell r="P160">
            <v>5000</v>
          </cell>
          <cell r="Q160">
            <v>64395</v>
          </cell>
          <cell r="R160">
            <v>0</v>
          </cell>
          <cell r="S160">
            <v>95686</v>
          </cell>
          <cell r="V160">
            <v>95686</v>
          </cell>
          <cell r="W160">
            <v>10690</v>
          </cell>
        </row>
        <row r="161">
          <cell r="E161">
            <v>71</v>
          </cell>
          <cell r="G161">
            <v>10366</v>
          </cell>
          <cell r="J161">
            <v>120</v>
          </cell>
          <cell r="L161">
            <v>43200</v>
          </cell>
          <cell r="M161">
            <v>0</v>
          </cell>
          <cell r="N161">
            <v>0</v>
          </cell>
          <cell r="O161">
            <v>4959</v>
          </cell>
          <cell r="P161">
            <v>5000</v>
          </cell>
          <cell r="Q161">
            <v>64395</v>
          </cell>
          <cell r="R161">
            <v>0</v>
          </cell>
          <cell r="S161">
            <v>127920</v>
          </cell>
          <cell r="V161">
            <v>127920</v>
          </cell>
          <cell r="W161">
            <v>10690</v>
          </cell>
        </row>
        <row r="162">
          <cell r="E162">
            <v>97</v>
          </cell>
          <cell r="G162">
            <v>14162</v>
          </cell>
          <cell r="J162">
            <v>152</v>
          </cell>
          <cell r="L162">
            <v>61560</v>
          </cell>
          <cell r="M162">
            <v>0</v>
          </cell>
          <cell r="N162">
            <v>0</v>
          </cell>
          <cell r="O162">
            <v>4665</v>
          </cell>
          <cell r="P162">
            <v>5000</v>
          </cell>
          <cell r="Q162">
            <v>64395</v>
          </cell>
          <cell r="R162">
            <v>0</v>
          </cell>
          <cell r="S162">
            <v>149782</v>
          </cell>
          <cell r="V162">
            <v>160472</v>
          </cell>
          <cell r="W162">
            <v>0</v>
          </cell>
        </row>
        <row r="163">
          <cell r="E163">
            <v>105</v>
          </cell>
          <cell r="G163">
            <v>15330</v>
          </cell>
          <cell r="J163">
            <v>140</v>
          </cell>
          <cell r="L163">
            <v>54000</v>
          </cell>
          <cell r="M163">
            <v>0</v>
          </cell>
          <cell r="N163">
            <v>0</v>
          </cell>
          <cell r="O163">
            <v>4665</v>
          </cell>
          <cell r="P163">
            <v>5000</v>
          </cell>
          <cell r="Q163">
            <v>74395</v>
          </cell>
          <cell r="R163">
            <v>0</v>
          </cell>
          <cell r="S163">
            <v>153390</v>
          </cell>
          <cell r="V163">
            <v>153390</v>
          </cell>
          <cell r="W163">
            <v>0</v>
          </cell>
        </row>
        <row r="164">
          <cell r="E164">
            <v>114</v>
          </cell>
          <cell r="G164">
            <v>16644</v>
          </cell>
          <cell r="J164">
            <v>121</v>
          </cell>
          <cell r="L164">
            <v>43740</v>
          </cell>
          <cell r="M164">
            <v>0</v>
          </cell>
          <cell r="N164">
            <v>0</v>
          </cell>
          <cell r="O164">
            <v>4665</v>
          </cell>
          <cell r="P164">
            <v>5000</v>
          </cell>
          <cell r="Q164">
            <v>74395</v>
          </cell>
          <cell r="R164">
            <v>0</v>
          </cell>
          <cell r="S164">
            <v>144444</v>
          </cell>
          <cell r="V164">
            <v>144444</v>
          </cell>
          <cell r="W164">
            <v>0</v>
          </cell>
        </row>
        <row r="165">
          <cell r="E165">
            <v>117</v>
          </cell>
          <cell r="G165">
            <v>17082</v>
          </cell>
          <cell r="J165">
            <v>30</v>
          </cell>
          <cell r="L165">
            <v>10800</v>
          </cell>
          <cell r="M165">
            <v>0</v>
          </cell>
          <cell r="N165">
            <v>0</v>
          </cell>
          <cell r="O165">
            <v>4665</v>
          </cell>
          <cell r="P165">
            <v>5000</v>
          </cell>
          <cell r="Q165">
            <v>74395</v>
          </cell>
          <cell r="R165">
            <v>0</v>
          </cell>
          <cell r="S165">
            <v>111942</v>
          </cell>
          <cell r="V165">
            <v>111942</v>
          </cell>
          <cell r="W165">
            <v>0</v>
          </cell>
        </row>
        <row r="166">
          <cell r="E166">
            <v>57</v>
          </cell>
          <cell r="G166">
            <v>8322</v>
          </cell>
          <cell r="J166">
            <v>5</v>
          </cell>
          <cell r="L166">
            <v>1800</v>
          </cell>
          <cell r="M166">
            <v>0</v>
          </cell>
          <cell r="N166">
            <v>0</v>
          </cell>
          <cell r="O166">
            <v>4709</v>
          </cell>
          <cell r="P166">
            <v>5000</v>
          </cell>
          <cell r="Q166">
            <v>74395</v>
          </cell>
          <cell r="R166">
            <v>0</v>
          </cell>
          <cell r="S166">
            <v>94226</v>
          </cell>
          <cell r="V166">
            <v>94226</v>
          </cell>
          <cell r="W166">
            <v>0</v>
          </cell>
        </row>
        <row r="167">
          <cell r="E167">
            <v>100</v>
          </cell>
          <cell r="G167">
            <v>14600</v>
          </cell>
          <cell r="J167">
            <v>57</v>
          </cell>
          <cell r="L167">
            <v>20520</v>
          </cell>
          <cell r="M167">
            <v>0</v>
          </cell>
          <cell r="N167">
            <v>0</v>
          </cell>
          <cell r="O167">
            <v>4709</v>
          </cell>
          <cell r="P167">
            <v>5000</v>
          </cell>
          <cell r="Q167">
            <v>74395</v>
          </cell>
          <cell r="R167">
            <v>0</v>
          </cell>
          <cell r="S167">
            <v>119224</v>
          </cell>
          <cell r="V167">
            <v>119124</v>
          </cell>
          <cell r="W167">
            <v>100</v>
          </cell>
        </row>
        <row r="168">
          <cell r="E168">
            <v>67</v>
          </cell>
          <cell r="G168">
            <v>9782</v>
          </cell>
          <cell r="J168">
            <v>50</v>
          </cell>
          <cell r="L168">
            <v>18000</v>
          </cell>
          <cell r="M168">
            <v>0</v>
          </cell>
          <cell r="N168">
            <v>0</v>
          </cell>
          <cell r="O168">
            <v>4709</v>
          </cell>
          <cell r="P168">
            <v>5000</v>
          </cell>
          <cell r="Q168">
            <v>74395</v>
          </cell>
          <cell r="R168">
            <v>0</v>
          </cell>
          <cell r="S168">
            <v>111886</v>
          </cell>
          <cell r="V168">
            <v>111986</v>
          </cell>
          <cell r="W168">
            <v>0</v>
          </cell>
        </row>
        <row r="169">
          <cell r="E169">
            <v>23</v>
          </cell>
          <cell r="G169">
            <v>3358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4315</v>
          </cell>
          <cell r="P169">
            <v>5000</v>
          </cell>
          <cell r="Q169">
            <v>74395</v>
          </cell>
          <cell r="R169">
            <v>0</v>
          </cell>
          <cell r="S169">
            <v>87068</v>
          </cell>
          <cell r="V169">
            <v>87068</v>
          </cell>
          <cell r="W169">
            <v>0</v>
          </cell>
        </row>
        <row r="170">
          <cell r="E170">
            <v>76</v>
          </cell>
          <cell r="G170">
            <v>11096</v>
          </cell>
          <cell r="J170">
            <v>1</v>
          </cell>
          <cell r="L170">
            <v>360</v>
          </cell>
          <cell r="M170">
            <v>0</v>
          </cell>
          <cell r="N170">
            <v>0</v>
          </cell>
          <cell r="O170">
            <v>4315</v>
          </cell>
          <cell r="P170">
            <v>5000</v>
          </cell>
          <cell r="Q170">
            <v>74395</v>
          </cell>
          <cell r="R170">
            <v>0</v>
          </cell>
          <cell r="S170">
            <v>95166</v>
          </cell>
          <cell r="V170">
            <v>95166</v>
          </cell>
          <cell r="W170">
            <v>0</v>
          </cell>
        </row>
        <row r="171">
          <cell r="E171">
            <v>116</v>
          </cell>
          <cell r="G171">
            <v>16936</v>
          </cell>
          <cell r="J171">
            <v>0</v>
          </cell>
          <cell r="L171">
            <v>120</v>
          </cell>
          <cell r="M171">
            <v>0</v>
          </cell>
          <cell r="N171">
            <v>0</v>
          </cell>
          <cell r="O171">
            <v>0</v>
          </cell>
          <cell r="P171">
            <v>5000</v>
          </cell>
          <cell r="Q171">
            <v>74395</v>
          </cell>
          <cell r="R171">
            <v>0</v>
          </cell>
          <cell r="S171">
            <v>96451</v>
          </cell>
          <cell r="V171">
            <v>96331</v>
          </cell>
          <cell r="W171">
            <v>120</v>
          </cell>
        </row>
        <row r="172">
          <cell r="E172">
            <v>57</v>
          </cell>
          <cell r="G172">
            <v>8322</v>
          </cell>
          <cell r="J172">
            <v>9</v>
          </cell>
          <cell r="L172">
            <v>3240</v>
          </cell>
          <cell r="M172">
            <v>0</v>
          </cell>
          <cell r="N172">
            <v>0</v>
          </cell>
          <cell r="O172">
            <v>0</v>
          </cell>
          <cell r="P172">
            <v>5000</v>
          </cell>
          <cell r="Q172">
            <v>74395</v>
          </cell>
          <cell r="R172">
            <v>0</v>
          </cell>
          <cell r="S172">
            <v>90957</v>
          </cell>
          <cell r="V172">
            <v>91077</v>
          </cell>
          <cell r="W172">
            <v>0</v>
          </cell>
        </row>
        <row r="173">
          <cell r="E173">
            <v>87</v>
          </cell>
          <cell r="G173">
            <v>12702</v>
          </cell>
          <cell r="J173">
            <v>57</v>
          </cell>
          <cell r="L173">
            <v>20520</v>
          </cell>
          <cell r="M173">
            <v>0</v>
          </cell>
          <cell r="N173">
            <v>0</v>
          </cell>
          <cell r="O173">
            <v>0</v>
          </cell>
          <cell r="P173">
            <v>5000</v>
          </cell>
          <cell r="Q173">
            <v>74395</v>
          </cell>
          <cell r="R173">
            <v>0</v>
          </cell>
          <cell r="S173">
            <v>112617</v>
          </cell>
          <cell r="V173">
            <v>112617</v>
          </cell>
          <cell r="W173">
            <v>0</v>
          </cell>
        </row>
        <row r="174">
          <cell r="E174">
            <v>99</v>
          </cell>
          <cell r="G174">
            <v>14454</v>
          </cell>
          <cell r="J174">
            <v>57</v>
          </cell>
          <cell r="L174">
            <v>20520</v>
          </cell>
          <cell r="M174">
            <v>0</v>
          </cell>
          <cell r="N174">
            <v>0</v>
          </cell>
          <cell r="O174">
            <v>0</v>
          </cell>
          <cell r="P174">
            <v>5000</v>
          </cell>
          <cell r="Q174">
            <v>74395</v>
          </cell>
          <cell r="R174">
            <v>0</v>
          </cell>
          <cell r="S174">
            <v>114369</v>
          </cell>
          <cell r="V174">
            <v>114369</v>
          </cell>
          <cell r="W174">
            <v>0</v>
          </cell>
        </row>
      </sheetData>
      <sheetData sheetId="1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60.1</v>
          </cell>
          <cell r="G14">
            <v>3786.3</v>
          </cell>
          <cell r="J14">
            <v>51.668999999999997</v>
          </cell>
          <cell r="L14">
            <v>15500.699999999999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58287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1.3590000000000018</v>
          </cell>
          <cell r="L15">
            <v>407.7000000000005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39407.699999999997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11.199999999999996</v>
          </cell>
          <cell r="G17">
            <v>705.59999999999968</v>
          </cell>
          <cell r="J17">
            <v>8.4720000000000013</v>
          </cell>
          <cell r="L17">
            <v>2541.6000000000004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42247.199999999997</v>
          </cell>
          <cell r="V17">
            <v>0</v>
          </cell>
          <cell r="W17">
            <v>0</v>
          </cell>
        </row>
        <row r="18">
          <cell r="E18">
            <v>26.600000000000009</v>
          </cell>
          <cell r="G18">
            <v>1675.8000000000006</v>
          </cell>
          <cell r="J18">
            <v>16.700000000000003</v>
          </cell>
          <cell r="L18">
            <v>5010.0000000000009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45685.8</v>
          </cell>
          <cell r="V18">
            <v>0</v>
          </cell>
          <cell r="W18">
            <v>0</v>
          </cell>
        </row>
        <row r="19">
          <cell r="E19">
            <v>4.5999999999999943</v>
          </cell>
          <cell r="G19">
            <v>289.79999999999961</v>
          </cell>
          <cell r="J19">
            <v>0.79999999999999716</v>
          </cell>
          <cell r="L19">
            <v>239.99999999999915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39529.799999999996</v>
          </cell>
          <cell r="V19">
            <v>0</v>
          </cell>
          <cell r="W19">
            <v>0</v>
          </cell>
        </row>
        <row r="20">
          <cell r="E20">
            <v>6</v>
          </cell>
          <cell r="G20">
            <v>378</v>
          </cell>
          <cell r="J20">
            <v>1.7000000000000028</v>
          </cell>
          <cell r="L20">
            <v>612.00000000000102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39990</v>
          </cell>
          <cell r="V20">
            <v>0</v>
          </cell>
          <cell r="W20">
            <v>0</v>
          </cell>
        </row>
        <row r="21">
          <cell r="E21">
            <v>23.300000000000011</v>
          </cell>
          <cell r="G21">
            <v>1467.9000000000008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40467.9</v>
          </cell>
          <cell r="V21">
            <v>0</v>
          </cell>
          <cell r="W21">
            <v>40467.9</v>
          </cell>
        </row>
        <row r="22">
          <cell r="E22">
            <v>13.5</v>
          </cell>
          <cell r="G22">
            <v>850.5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39850.5</v>
          </cell>
          <cell r="V22">
            <v>0</v>
          </cell>
          <cell r="W22">
            <v>80318.399999999994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119318.39999999999</v>
          </cell>
        </row>
        <row r="24">
          <cell r="E24">
            <v>2.8999999999999773</v>
          </cell>
          <cell r="G24">
            <v>182.69999999999857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39182.699999999997</v>
          </cell>
          <cell r="V24">
            <v>0</v>
          </cell>
          <cell r="W24">
            <v>158501.09999999998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197501.09999999998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236501.09999999998</v>
          </cell>
        </row>
        <row r="27">
          <cell r="E27">
            <v>0</v>
          </cell>
          <cell r="G27">
            <v>0</v>
          </cell>
          <cell r="J27">
            <v>9.9999999999994316E-2</v>
          </cell>
          <cell r="L27">
            <v>35.999999999997954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39036</v>
          </cell>
          <cell r="V27">
            <v>0</v>
          </cell>
          <cell r="W27">
            <v>275537.09999999998</v>
          </cell>
        </row>
        <row r="28">
          <cell r="E28">
            <v>2.4000000000000057</v>
          </cell>
          <cell r="G28">
            <v>151.20000000000036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39151.199999999997</v>
          </cell>
          <cell r="V28">
            <v>0</v>
          </cell>
          <cell r="W28">
            <v>314688.3</v>
          </cell>
        </row>
        <row r="29">
          <cell r="E29">
            <v>0.40000000000000568</v>
          </cell>
          <cell r="G29">
            <v>25.200000000000358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39025.199999999997</v>
          </cell>
          <cell r="V29">
            <v>0</v>
          </cell>
          <cell r="W29">
            <v>392713.5</v>
          </cell>
        </row>
        <row r="30">
          <cell r="E30">
            <v>1</v>
          </cell>
          <cell r="G30">
            <v>63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39063</v>
          </cell>
          <cell r="V30">
            <v>0</v>
          </cell>
          <cell r="W30">
            <v>431776.5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120443.5</v>
          </cell>
        </row>
        <row r="32">
          <cell r="E32">
            <v>75</v>
          </cell>
          <cell r="G32">
            <v>4725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43725</v>
          </cell>
          <cell r="V32">
            <v>0</v>
          </cell>
          <cell r="W32">
            <v>164168.5</v>
          </cell>
        </row>
        <row r="33">
          <cell r="E33">
            <v>537</v>
          </cell>
          <cell r="G33">
            <v>33831</v>
          </cell>
          <cell r="J33">
            <v>36.199999999999818</v>
          </cell>
          <cell r="L33">
            <v>13031.999999999935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85862.999999999942</v>
          </cell>
          <cell r="V33">
            <v>350333</v>
          </cell>
          <cell r="W33">
            <v>190031.49999999994</v>
          </cell>
        </row>
        <row r="34">
          <cell r="E34">
            <v>424.70000000000005</v>
          </cell>
          <cell r="G34">
            <v>26756.100000000002</v>
          </cell>
          <cell r="J34">
            <v>22</v>
          </cell>
          <cell r="L34">
            <v>7920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73676.100000000006</v>
          </cell>
          <cell r="V34">
            <v>0</v>
          </cell>
          <cell r="W34">
            <v>193707.59999999998</v>
          </cell>
        </row>
        <row r="35">
          <cell r="E35">
            <v>753.2</v>
          </cell>
          <cell r="G35">
            <v>47451.600000000006</v>
          </cell>
          <cell r="J35">
            <v>25</v>
          </cell>
          <cell r="L35">
            <v>9000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95451.6</v>
          </cell>
          <cell r="V35">
            <v>60000</v>
          </cell>
          <cell r="W35">
            <v>289159.19999999995</v>
          </cell>
        </row>
        <row r="36">
          <cell r="E36">
            <v>761.09999999999991</v>
          </cell>
          <cell r="G36">
            <v>47949.299999999996</v>
          </cell>
          <cell r="J36">
            <v>32</v>
          </cell>
          <cell r="L36">
            <v>11520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98469.299999999988</v>
          </cell>
          <cell r="V36">
            <v>70000</v>
          </cell>
          <cell r="W36">
            <v>387628.49999999994</v>
          </cell>
        </row>
        <row r="37">
          <cell r="E37">
            <v>460</v>
          </cell>
          <cell r="G37">
            <v>28980</v>
          </cell>
          <cell r="J37">
            <v>18</v>
          </cell>
          <cell r="L37">
            <v>6480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74460</v>
          </cell>
          <cell r="V37">
            <v>0</v>
          </cell>
          <cell r="W37">
            <v>462088.49999999994</v>
          </cell>
        </row>
        <row r="38">
          <cell r="E38">
            <v>345</v>
          </cell>
          <cell r="G38">
            <v>21735</v>
          </cell>
          <cell r="J38">
            <v>36</v>
          </cell>
          <cell r="L38">
            <v>12960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73695</v>
          </cell>
          <cell r="V38">
            <v>0</v>
          </cell>
          <cell r="W38">
            <v>535783.5</v>
          </cell>
        </row>
        <row r="39">
          <cell r="E39">
            <v>338</v>
          </cell>
          <cell r="G39">
            <v>21294</v>
          </cell>
          <cell r="J39">
            <v>54</v>
          </cell>
          <cell r="L39">
            <v>19440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79734</v>
          </cell>
          <cell r="V39">
            <v>0</v>
          </cell>
          <cell r="W39">
            <v>515517.5</v>
          </cell>
        </row>
        <row r="40">
          <cell r="E40">
            <v>265</v>
          </cell>
          <cell r="G40">
            <v>16695</v>
          </cell>
          <cell r="J40">
            <v>30</v>
          </cell>
          <cell r="L40">
            <v>10800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66495</v>
          </cell>
          <cell r="V40">
            <v>0</v>
          </cell>
          <cell r="W40">
            <v>582012.5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100000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0</v>
          </cell>
        </row>
        <row r="43">
          <cell r="E43">
            <v>7</v>
          </cell>
          <cell r="G43">
            <v>441</v>
          </cell>
          <cell r="J43">
            <v>19</v>
          </cell>
          <cell r="L43">
            <v>6840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7281</v>
          </cell>
          <cell r="V43">
            <v>200000</v>
          </cell>
          <cell r="W43">
            <v>46281</v>
          </cell>
        </row>
        <row r="44">
          <cell r="E44">
            <v>70</v>
          </cell>
          <cell r="G44">
            <v>4410</v>
          </cell>
          <cell r="J44">
            <v>20</v>
          </cell>
          <cell r="L44">
            <v>7200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11610</v>
          </cell>
          <cell r="V44">
            <v>519876</v>
          </cell>
          <cell r="W44">
            <v>96891</v>
          </cell>
        </row>
        <row r="45">
          <cell r="E45">
            <v>22</v>
          </cell>
          <cell r="G45">
            <v>1386</v>
          </cell>
          <cell r="J45">
            <v>11</v>
          </cell>
          <cell r="L45">
            <v>3960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44346</v>
          </cell>
          <cell r="V45">
            <v>0</v>
          </cell>
          <cell r="W45">
            <v>44346</v>
          </cell>
        </row>
        <row r="46">
          <cell r="E46">
            <v>80</v>
          </cell>
          <cell r="G46">
            <v>5040</v>
          </cell>
          <cell r="J46">
            <v>19</v>
          </cell>
          <cell r="L46">
            <v>6840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50880</v>
          </cell>
          <cell r="V46">
            <v>0</v>
          </cell>
          <cell r="W46">
            <v>50880</v>
          </cell>
        </row>
        <row r="47">
          <cell r="E47">
            <v>100</v>
          </cell>
          <cell r="G47">
            <v>6300</v>
          </cell>
          <cell r="J47">
            <v>82</v>
          </cell>
          <cell r="L47">
            <v>29520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74820</v>
          </cell>
          <cell r="V47">
            <v>96891</v>
          </cell>
          <cell r="W47">
            <v>74820</v>
          </cell>
        </row>
        <row r="48">
          <cell r="E48">
            <v>96</v>
          </cell>
          <cell r="G48">
            <v>6048</v>
          </cell>
          <cell r="J48">
            <v>9</v>
          </cell>
          <cell r="L48">
            <v>3240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48288</v>
          </cell>
          <cell r="V48">
            <v>44346</v>
          </cell>
          <cell r="W48">
            <v>48288</v>
          </cell>
        </row>
        <row r="49">
          <cell r="E49">
            <v>94</v>
          </cell>
          <cell r="G49">
            <v>5922</v>
          </cell>
          <cell r="J49">
            <v>20</v>
          </cell>
          <cell r="L49">
            <v>7200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52122</v>
          </cell>
          <cell r="V49">
            <v>50880</v>
          </cell>
          <cell r="W49">
            <v>52122</v>
          </cell>
        </row>
        <row r="50">
          <cell r="E50">
            <v>10</v>
          </cell>
          <cell r="G50">
            <v>630</v>
          </cell>
          <cell r="J50">
            <v>20</v>
          </cell>
          <cell r="L50">
            <v>7200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46830</v>
          </cell>
          <cell r="V50">
            <v>74820</v>
          </cell>
          <cell r="W50">
            <v>46830</v>
          </cell>
        </row>
        <row r="51">
          <cell r="E51">
            <v>1560</v>
          </cell>
          <cell r="G51">
            <v>98280</v>
          </cell>
          <cell r="J51">
            <v>193</v>
          </cell>
          <cell r="L51">
            <v>69480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206760</v>
          </cell>
          <cell r="V51">
            <v>48288</v>
          </cell>
          <cell r="W51">
            <v>206760</v>
          </cell>
        </row>
        <row r="52">
          <cell r="E52">
            <v>113</v>
          </cell>
          <cell r="G52">
            <v>7119</v>
          </cell>
          <cell r="J52">
            <v>25</v>
          </cell>
          <cell r="L52">
            <v>9000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55119</v>
          </cell>
          <cell r="V52">
            <v>52122</v>
          </cell>
          <cell r="W52">
            <v>55119</v>
          </cell>
        </row>
        <row r="53">
          <cell r="E53">
            <v>217</v>
          </cell>
          <cell r="G53">
            <v>13671</v>
          </cell>
          <cell r="J53">
            <v>71</v>
          </cell>
          <cell r="L53">
            <v>25560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78231</v>
          </cell>
          <cell r="V53">
            <v>46830</v>
          </cell>
          <cell r="W53">
            <v>78231</v>
          </cell>
        </row>
        <row r="54">
          <cell r="E54">
            <v>97</v>
          </cell>
          <cell r="G54">
            <v>6111</v>
          </cell>
          <cell r="J54">
            <v>59</v>
          </cell>
          <cell r="L54">
            <v>21240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66351</v>
          </cell>
          <cell r="V54">
            <v>206760</v>
          </cell>
          <cell r="W54">
            <v>73351</v>
          </cell>
        </row>
        <row r="55">
          <cell r="E55">
            <v>258</v>
          </cell>
          <cell r="G55">
            <v>16254</v>
          </cell>
          <cell r="J55">
            <v>153</v>
          </cell>
          <cell r="L55">
            <v>55080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39000</v>
          </cell>
          <cell r="R55">
            <v>0</v>
          </cell>
          <cell r="S55">
            <v>110334</v>
          </cell>
          <cell r="V55">
            <v>55119</v>
          </cell>
          <cell r="W55">
            <v>117334</v>
          </cell>
        </row>
        <row r="56">
          <cell r="E56">
            <v>199</v>
          </cell>
          <cell r="G56">
            <v>12537</v>
          </cell>
          <cell r="J56">
            <v>119</v>
          </cell>
          <cell r="L56">
            <v>42840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39000</v>
          </cell>
          <cell r="R56">
            <v>0</v>
          </cell>
          <cell r="S56">
            <v>94377</v>
          </cell>
          <cell r="V56">
            <v>78231</v>
          </cell>
          <cell r="W56">
            <v>101377</v>
          </cell>
        </row>
        <row r="57">
          <cell r="E57">
            <v>152</v>
          </cell>
          <cell r="G57">
            <v>9576</v>
          </cell>
          <cell r="J57">
            <v>100</v>
          </cell>
          <cell r="L57">
            <v>36000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91576</v>
          </cell>
          <cell r="V57">
            <v>73351</v>
          </cell>
          <cell r="W57">
            <v>91576</v>
          </cell>
        </row>
        <row r="58">
          <cell r="E58">
            <v>343</v>
          </cell>
          <cell r="G58">
            <v>21609</v>
          </cell>
          <cell r="J58">
            <v>47</v>
          </cell>
          <cell r="L58">
            <v>16920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84529</v>
          </cell>
          <cell r="V58">
            <v>117334</v>
          </cell>
          <cell r="W58">
            <v>176105</v>
          </cell>
        </row>
        <row r="59">
          <cell r="E59">
            <v>203</v>
          </cell>
          <cell r="G59">
            <v>12789</v>
          </cell>
          <cell r="J59">
            <v>30</v>
          </cell>
          <cell r="L59">
            <v>10800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69589</v>
          </cell>
          <cell r="V59">
            <v>101377</v>
          </cell>
          <cell r="W59">
            <v>69589</v>
          </cell>
        </row>
        <row r="60">
          <cell r="E60">
            <v>238</v>
          </cell>
          <cell r="G60">
            <v>14994</v>
          </cell>
          <cell r="J60">
            <v>12</v>
          </cell>
          <cell r="L60">
            <v>4320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65314</v>
          </cell>
          <cell r="V60">
            <v>0</v>
          </cell>
          <cell r="W60">
            <v>65314</v>
          </cell>
        </row>
        <row r="61">
          <cell r="E61">
            <v>282</v>
          </cell>
          <cell r="G61">
            <v>17766</v>
          </cell>
          <cell r="J61">
            <v>12</v>
          </cell>
          <cell r="L61">
            <v>4320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68086</v>
          </cell>
          <cell r="V61">
            <v>176105</v>
          </cell>
          <cell r="W61">
            <v>68086</v>
          </cell>
        </row>
        <row r="62">
          <cell r="E62">
            <v>340</v>
          </cell>
          <cell r="G62">
            <v>21420</v>
          </cell>
          <cell r="J62">
            <v>16</v>
          </cell>
          <cell r="L62">
            <v>5760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73180</v>
          </cell>
          <cell r="V62">
            <v>69589</v>
          </cell>
          <cell r="W62">
            <v>73180</v>
          </cell>
        </row>
        <row r="63">
          <cell r="E63">
            <v>299</v>
          </cell>
          <cell r="G63">
            <v>18837</v>
          </cell>
          <cell r="J63">
            <v>50</v>
          </cell>
          <cell r="L63">
            <v>18000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82837</v>
          </cell>
          <cell r="V63">
            <v>65314</v>
          </cell>
          <cell r="W63">
            <v>82837</v>
          </cell>
        </row>
        <row r="64">
          <cell r="E64">
            <v>300</v>
          </cell>
          <cell r="G64">
            <v>23700</v>
          </cell>
          <cell r="J64">
            <v>27</v>
          </cell>
          <cell r="L64">
            <v>9720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79420</v>
          </cell>
          <cell r="V64">
            <v>68086</v>
          </cell>
          <cell r="W64">
            <v>79420</v>
          </cell>
        </row>
        <row r="65">
          <cell r="E65">
            <v>303</v>
          </cell>
          <cell r="G65">
            <v>23937</v>
          </cell>
          <cell r="J65">
            <v>45</v>
          </cell>
          <cell r="L65">
            <v>16200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86137</v>
          </cell>
          <cell r="V65">
            <v>73180</v>
          </cell>
          <cell r="W65">
            <v>86137</v>
          </cell>
        </row>
        <row r="66">
          <cell r="E66">
            <v>152</v>
          </cell>
          <cell r="G66">
            <v>12008</v>
          </cell>
          <cell r="J66">
            <v>25</v>
          </cell>
          <cell r="L66">
            <v>9000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67008</v>
          </cell>
          <cell r="V66">
            <v>82837</v>
          </cell>
          <cell r="W66">
            <v>67008</v>
          </cell>
        </row>
        <row r="67">
          <cell r="E67">
            <v>386</v>
          </cell>
          <cell r="G67">
            <v>33582</v>
          </cell>
          <cell r="J67">
            <v>42</v>
          </cell>
          <cell r="L67">
            <v>15120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94702</v>
          </cell>
          <cell r="V67">
            <v>79420</v>
          </cell>
          <cell r="W67">
            <v>94702</v>
          </cell>
        </row>
        <row r="68">
          <cell r="E68">
            <v>201</v>
          </cell>
          <cell r="G68">
            <v>17487</v>
          </cell>
          <cell r="J68">
            <v>32</v>
          </cell>
          <cell r="L68">
            <v>11520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75007</v>
          </cell>
          <cell r="V68">
            <v>86137</v>
          </cell>
          <cell r="W68">
            <v>169709</v>
          </cell>
        </row>
        <row r="69">
          <cell r="E69">
            <v>285</v>
          </cell>
          <cell r="G69">
            <v>31635</v>
          </cell>
          <cell r="J69">
            <v>52</v>
          </cell>
          <cell r="L69">
            <v>18720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96355</v>
          </cell>
          <cell r="V69">
            <v>67008</v>
          </cell>
          <cell r="W69">
            <v>96355</v>
          </cell>
        </row>
        <row r="70">
          <cell r="E70">
            <v>477</v>
          </cell>
          <cell r="G70">
            <v>59148</v>
          </cell>
          <cell r="J70">
            <v>26</v>
          </cell>
          <cell r="L70">
            <v>9360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114508</v>
          </cell>
          <cell r="V70">
            <v>0</v>
          </cell>
          <cell r="W70">
            <v>210863</v>
          </cell>
        </row>
        <row r="71">
          <cell r="E71">
            <v>371</v>
          </cell>
          <cell r="G71">
            <v>36358</v>
          </cell>
          <cell r="J71">
            <v>14</v>
          </cell>
          <cell r="L71">
            <v>5040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87398</v>
          </cell>
          <cell r="V71">
            <v>169709</v>
          </cell>
          <cell r="W71">
            <v>87398</v>
          </cell>
        </row>
        <row r="72">
          <cell r="E72">
            <v>344</v>
          </cell>
          <cell r="G72">
            <v>35776</v>
          </cell>
          <cell r="J72">
            <v>77</v>
          </cell>
          <cell r="L72">
            <v>27720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109496</v>
          </cell>
          <cell r="V72">
            <v>0</v>
          </cell>
          <cell r="W72">
            <v>109496</v>
          </cell>
        </row>
        <row r="73">
          <cell r="E73">
            <v>372</v>
          </cell>
          <cell r="G73">
            <v>41664</v>
          </cell>
          <cell r="J73">
            <v>9</v>
          </cell>
          <cell r="L73">
            <v>3240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90904</v>
          </cell>
          <cell r="V73">
            <v>210863</v>
          </cell>
          <cell r="W73">
            <v>90904</v>
          </cell>
        </row>
        <row r="74">
          <cell r="E74">
            <v>298</v>
          </cell>
          <cell r="G74">
            <v>31886</v>
          </cell>
          <cell r="J74">
            <v>8</v>
          </cell>
          <cell r="L74">
            <v>2880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80766</v>
          </cell>
          <cell r="V74">
            <v>87398</v>
          </cell>
          <cell r="W74">
            <v>80766</v>
          </cell>
        </row>
        <row r="75">
          <cell r="E75">
            <v>349</v>
          </cell>
          <cell r="G75">
            <v>38390</v>
          </cell>
          <cell r="J75">
            <v>14</v>
          </cell>
          <cell r="L75">
            <v>5040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89430</v>
          </cell>
          <cell r="V75">
            <v>109496</v>
          </cell>
          <cell r="W75">
            <v>98373</v>
          </cell>
        </row>
        <row r="76">
          <cell r="E76">
            <v>337</v>
          </cell>
          <cell r="G76">
            <v>42462</v>
          </cell>
          <cell r="J76">
            <v>9</v>
          </cell>
          <cell r="L76">
            <v>3240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91702</v>
          </cell>
          <cell r="V76">
            <v>90904</v>
          </cell>
          <cell r="W76">
            <v>0</v>
          </cell>
        </row>
        <row r="77">
          <cell r="E77">
            <v>274</v>
          </cell>
          <cell r="G77">
            <v>32606</v>
          </cell>
          <cell r="J77">
            <v>23</v>
          </cell>
          <cell r="L77">
            <v>8280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8943</v>
          </cell>
          <cell r="S77">
            <v>86886</v>
          </cell>
          <cell r="V77">
            <v>80766</v>
          </cell>
          <cell r="W77">
            <v>86886</v>
          </cell>
        </row>
        <row r="78">
          <cell r="E78">
            <v>494</v>
          </cell>
          <cell r="G78">
            <v>53352</v>
          </cell>
          <cell r="J78">
            <v>46</v>
          </cell>
          <cell r="L78">
            <v>16560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115912</v>
          </cell>
          <cell r="V78">
            <v>190075</v>
          </cell>
          <cell r="W78">
            <v>115912</v>
          </cell>
        </row>
        <row r="79">
          <cell r="E79">
            <v>272</v>
          </cell>
          <cell r="G79">
            <v>33728</v>
          </cell>
          <cell r="J79">
            <v>20</v>
          </cell>
          <cell r="L79">
            <v>7200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86928</v>
          </cell>
          <cell r="V79">
            <v>0</v>
          </cell>
          <cell r="W79">
            <v>92928</v>
          </cell>
        </row>
        <row r="80">
          <cell r="E80">
            <v>395</v>
          </cell>
          <cell r="G80">
            <v>51350</v>
          </cell>
          <cell r="J80">
            <v>51</v>
          </cell>
          <cell r="L80">
            <v>18360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115710</v>
          </cell>
          <cell r="V80">
            <v>86886</v>
          </cell>
          <cell r="W80">
            <v>115710</v>
          </cell>
        </row>
        <row r="81">
          <cell r="E81">
            <v>421</v>
          </cell>
          <cell r="G81">
            <v>54730</v>
          </cell>
          <cell r="J81">
            <v>157</v>
          </cell>
          <cell r="L81">
            <v>84780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185510</v>
          </cell>
          <cell r="V81">
            <v>115912</v>
          </cell>
          <cell r="W81">
            <v>301220</v>
          </cell>
        </row>
        <row r="82">
          <cell r="E82">
            <v>314</v>
          </cell>
          <cell r="G82">
            <v>43960</v>
          </cell>
          <cell r="J82">
            <v>233</v>
          </cell>
          <cell r="L82">
            <v>125820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215780</v>
          </cell>
          <cell r="V82">
            <v>92928</v>
          </cell>
          <cell r="W82">
            <v>215780</v>
          </cell>
        </row>
        <row r="83">
          <cell r="E83">
            <v>386</v>
          </cell>
          <cell r="G83">
            <v>56356</v>
          </cell>
          <cell r="J83">
            <v>111</v>
          </cell>
          <cell r="L83">
            <v>39960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142316</v>
          </cell>
          <cell r="V83">
            <v>0</v>
          </cell>
          <cell r="W83">
            <v>142316</v>
          </cell>
        </row>
        <row r="84">
          <cell r="E84">
            <v>541</v>
          </cell>
          <cell r="G84">
            <v>78986</v>
          </cell>
          <cell r="J84">
            <v>44</v>
          </cell>
          <cell r="L84">
            <v>15840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140826</v>
          </cell>
          <cell r="V84">
            <v>301220</v>
          </cell>
          <cell r="W84">
            <v>140826</v>
          </cell>
        </row>
        <row r="85">
          <cell r="E85">
            <v>504</v>
          </cell>
          <cell r="G85">
            <v>73584</v>
          </cell>
          <cell r="J85">
            <v>24</v>
          </cell>
          <cell r="L85">
            <v>8640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128224</v>
          </cell>
          <cell r="V85">
            <v>215780</v>
          </cell>
          <cell r="W85">
            <v>138224</v>
          </cell>
        </row>
        <row r="86">
          <cell r="E86">
            <v>397</v>
          </cell>
          <cell r="G86">
            <v>57962</v>
          </cell>
          <cell r="J86">
            <v>23</v>
          </cell>
          <cell r="L86">
            <v>8280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46000</v>
          </cell>
          <cell r="R86">
            <v>0</v>
          </cell>
          <cell r="S86">
            <v>112242</v>
          </cell>
          <cell r="V86">
            <v>142316</v>
          </cell>
          <cell r="W86">
            <v>112242</v>
          </cell>
        </row>
        <row r="87">
          <cell r="E87">
            <v>495</v>
          </cell>
          <cell r="G87">
            <v>72270</v>
          </cell>
          <cell r="J87">
            <v>37</v>
          </cell>
          <cell r="L87">
            <v>13320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131590</v>
          </cell>
          <cell r="V87">
            <v>140826</v>
          </cell>
          <cell r="W87">
            <v>131590</v>
          </cell>
        </row>
        <row r="88">
          <cell r="E88">
            <v>377</v>
          </cell>
          <cell r="G88">
            <v>55042</v>
          </cell>
          <cell r="J88">
            <v>116</v>
          </cell>
          <cell r="L88">
            <v>41760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56000</v>
          </cell>
          <cell r="R88">
            <v>0</v>
          </cell>
          <cell r="S88">
            <v>152802</v>
          </cell>
          <cell r="V88">
            <v>138224</v>
          </cell>
          <cell r="W88">
            <v>0</v>
          </cell>
        </row>
        <row r="89">
          <cell r="E89">
            <v>432</v>
          </cell>
          <cell r="G89">
            <v>63072</v>
          </cell>
          <cell r="J89">
            <v>266</v>
          </cell>
          <cell r="L89">
            <v>116640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225712</v>
          </cell>
          <cell r="V89">
            <v>112242</v>
          </cell>
          <cell r="W89">
            <v>0</v>
          </cell>
        </row>
        <row r="90">
          <cell r="E90">
            <v>553</v>
          </cell>
          <cell r="G90">
            <v>80738</v>
          </cell>
          <cell r="J90">
            <v>457</v>
          </cell>
          <cell r="L90">
            <v>322560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449298</v>
          </cell>
          <cell r="V90">
            <v>274392</v>
          </cell>
          <cell r="W90">
            <v>0</v>
          </cell>
        </row>
        <row r="91">
          <cell r="E91">
            <v>464</v>
          </cell>
          <cell r="G91">
            <v>67744</v>
          </cell>
          <cell r="J91">
            <v>254</v>
          </cell>
          <cell r="L91">
            <v>119880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46000</v>
          </cell>
          <cell r="R91">
            <v>0</v>
          </cell>
          <cell r="S91">
            <v>233624</v>
          </cell>
          <cell r="V91">
            <v>225712</v>
          </cell>
          <cell r="W91">
            <v>0</v>
          </cell>
        </row>
        <row r="92">
          <cell r="E92">
            <v>541</v>
          </cell>
          <cell r="G92">
            <v>78986</v>
          </cell>
          <cell r="J92">
            <v>289</v>
          </cell>
          <cell r="L92">
            <v>145080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46000</v>
          </cell>
          <cell r="R92">
            <v>0</v>
          </cell>
          <cell r="S92">
            <v>270066</v>
          </cell>
          <cell r="V92">
            <v>449298</v>
          </cell>
          <cell r="W92">
            <v>0</v>
          </cell>
        </row>
        <row r="93">
          <cell r="E93">
            <v>453</v>
          </cell>
          <cell r="G93">
            <v>66138</v>
          </cell>
          <cell r="J93">
            <v>293</v>
          </cell>
          <cell r="L93">
            <v>147960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269098</v>
          </cell>
          <cell r="V93">
            <v>252624</v>
          </cell>
          <cell r="W93">
            <v>0</v>
          </cell>
        </row>
        <row r="94">
          <cell r="E94">
            <v>484</v>
          </cell>
          <cell r="G94">
            <v>70664</v>
          </cell>
          <cell r="J94">
            <v>186</v>
          </cell>
          <cell r="L94">
            <v>73440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199104</v>
          </cell>
          <cell r="V94">
            <v>289066</v>
          </cell>
          <cell r="W94">
            <v>0</v>
          </cell>
        </row>
        <row r="95">
          <cell r="E95">
            <v>463</v>
          </cell>
          <cell r="G95">
            <v>67598</v>
          </cell>
          <cell r="J95">
            <v>126</v>
          </cell>
          <cell r="L95">
            <v>45360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167958</v>
          </cell>
          <cell r="V95">
            <v>279098</v>
          </cell>
          <cell r="W95">
            <v>0</v>
          </cell>
        </row>
        <row r="96">
          <cell r="E96">
            <v>560</v>
          </cell>
          <cell r="G96">
            <v>81760</v>
          </cell>
          <cell r="J96">
            <v>288</v>
          </cell>
          <cell r="L96">
            <v>103680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240440</v>
          </cell>
          <cell r="V96">
            <v>209104</v>
          </cell>
          <cell r="W96">
            <v>0</v>
          </cell>
        </row>
        <row r="97">
          <cell r="E97">
            <v>554</v>
          </cell>
          <cell r="G97">
            <v>80884</v>
          </cell>
          <cell r="J97">
            <v>44</v>
          </cell>
          <cell r="L97">
            <v>15840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151724</v>
          </cell>
          <cell r="V97">
            <v>151724</v>
          </cell>
          <cell r="W97">
            <v>0</v>
          </cell>
        </row>
        <row r="98">
          <cell r="E98">
            <v>400</v>
          </cell>
          <cell r="G98">
            <v>58400</v>
          </cell>
          <cell r="J98">
            <v>33</v>
          </cell>
          <cell r="L98">
            <v>11880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125280</v>
          </cell>
          <cell r="V98">
            <v>125280</v>
          </cell>
          <cell r="W98">
            <v>0</v>
          </cell>
        </row>
        <row r="99">
          <cell r="E99">
            <v>549</v>
          </cell>
          <cell r="G99">
            <v>80154</v>
          </cell>
          <cell r="J99">
            <v>133</v>
          </cell>
          <cell r="L99">
            <v>47880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183034</v>
          </cell>
          <cell r="V99">
            <v>183034</v>
          </cell>
          <cell r="W99">
            <v>0</v>
          </cell>
        </row>
        <row r="100">
          <cell r="E100">
            <v>447</v>
          </cell>
          <cell r="G100">
            <v>65262</v>
          </cell>
          <cell r="J100">
            <v>122</v>
          </cell>
          <cell r="L100">
            <v>43920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164182</v>
          </cell>
          <cell r="V100">
            <v>164182</v>
          </cell>
          <cell r="W100">
            <v>0</v>
          </cell>
        </row>
        <row r="101">
          <cell r="E101">
            <v>443</v>
          </cell>
          <cell r="G101">
            <v>64678</v>
          </cell>
          <cell r="J101">
            <v>269</v>
          </cell>
          <cell r="L101">
            <v>130680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250358</v>
          </cell>
          <cell r="V101">
            <v>250358</v>
          </cell>
          <cell r="W101">
            <v>0</v>
          </cell>
        </row>
        <row r="102">
          <cell r="E102">
            <v>417</v>
          </cell>
          <cell r="G102">
            <v>60882</v>
          </cell>
          <cell r="J102">
            <v>278</v>
          </cell>
          <cell r="L102">
            <v>137160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253042</v>
          </cell>
          <cell r="V102">
            <v>253042</v>
          </cell>
          <cell r="W102">
            <v>0</v>
          </cell>
        </row>
        <row r="103">
          <cell r="E103">
            <v>429</v>
          </cell>
          <cell r="G103">
            <v>62634</v>
          </cell>
          <cell r="J103">
            <v>317</v>
          </cell>
          <cell r="L103">
            <v>171360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290644</v>
          </cell>
          <cell r="V103">
            <v>290644</v>
          </cell>
          <cell r="W103">
            <v>0</v>
          </cell>
        </row>
        <row r="104">
          <cell r="E104">
            <v>464</v>
          </cell>
          <cell r="G104">
            <v>67744</v>
          </cell>
          <cell r="J104">
            <v>275</v>
          </cell>
          <cell r="L104">
            <v>135000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259394</v>
          </cell>
          <cell r="V104">
            <v>0</v>
          </cell>
          <cell r="W104">
            <v>259394</v>
          </cell>
        </row>
        <row r="105">
          <cell r="E105">
            <v>444</v>
          </cell>
          <cell r="G105">
            <v>64824</v>
          </cell>
          <cell r="J105">
            <v>275</v>
          </cell>
          <cell r="L105">
            <v>135000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256474</v>
          </cell>
          <cell r="V105">
            <v>515868</v>
          </cell>
          <cell r="W105">
            <v>0</v>
          </cell>
        </row>
        <row r="106">
          <cell r="E106">
            <v>616</v>
          </cell>
          <cell r="G106">
            <v>89936</v>
          </cell>
          <cell r="J106">
            <v>166</v>
          </cell>
          <cell r="L106">
            <v>62640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209226</v>
          </cell>
          <cell r="V106">
            <v>209226</v>
          </cell>
          <cell r="W106">
            <v>0</v>
          </cell>
        </row>
        <row r="107">
          <cell r="E107">
            <v>436</v>
          </cell>
          <cell r="G107">
            <v>63656</v>
          </cell>
          <cell r="J107">
            <v>53</v>
          </cell>
          <cell r="L107">
            <v>19080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139386</v>
          </cell>
          <cell r="V107">
            <v>139386</v>
          </cell>
          <cell r="W107">
            <v>0</v>
          </cell>
        </row>
        <row r="108">
          <cell r="E108">
            <v>493</v>
          </cell>
          <cell r="G108">
            <v>71978</v>
          </cell>
          <cell r="J108">
            <v>25</v>
          </cell>
          <cell r="L108">
            <v>9000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137628</v>
          </cell>
          <cell r="V108">
            <v>137628</v>
          </cell>
          <cell r="W108">
            <v>0</v>
          </cell>
        </row>
        <row r="109">
          <cell r="E109">
            <v>535</v>
          </cell>
          <cell r="G109">
            <v>78110</v>
          </cell>
          <cell r="J109">
            <v>14</v>
          </cell>
          <cell r="L109">
            <v>5040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139800</v>
          </cell>
          <cell r="V109">
            <v>0</v>
          </cell>
          <cell r="W109">
            <v>139800</v>
          </cell>
        </row>
        <row r="110">
          <cell r="E110">
            <v>468</v>
          </cell>
          <cell r="G110">
            <v>68328</v>
          </cell>
          <cell r="J110">
            <v>12</v>
          </cell>
          <cell r="L110">
            <v>4320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129298</v>
          </cell>
          <cell r="V110">
            <v>269098</v>
          </cell>
          <cell r="W110">
            <v>0</v>
          </cell>
        </row>
        <row r="111">
          <cell r="E111">
            <v>500</v>
          </cell>
          <cell r="G111">
            <v>73000</v>
          </cell>
          <cell r="J111">
            <v>32</v>
          </cell>
          <cell r="L111">
            <v>11520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141170</v>
          </cell>
          <cell r="V111">
            <v>141170</v>
          </cell>
          <cell r="W111">
            <v>0</v>
          </cell>
        </row>
        <row r="112">
          <cell r="E112">
            <v>373</v>
          </cell>
          <cell r="G112">
            <v>54458</v>
          </cell>
          <cell r="J112">
            <v>107</v>
          </cell>
          <cell r="L112">
            <v>38520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149628</v>
          </cell>
          <cell r="V112">
            <v>0</v>
          </cell>
          <cell r="W112">
            <v>149628</v>
          </cell>
        </row>
        <row r="113">
          <cell r="E113">
            <v>379</v>
          </cell>
          <cell r="G113">
            <v>55334</v>
          </cell>
          <cell r="J113">
            <v>190</v>
          </cell>
          <cell r="L113">
            <v>75600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187584</v>
          </cell>
          <cell r="V113">
            <v>337212</v>
          </cell>
          <cell r="W113">
            <v>0</v>
          </cell>
        </row>
        <row r="114">
          <cell r="E114">
            <v>404</v>
          </cell>
          <cell r="G114">
            <v>58984</v>
          </cell>
          <cell r="J114">
            <v>304</v>
          </cell>
          <cell r="L114">
            <v>153000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268634</v>
          </cell>
          <cell r="V114">
            <v>268634</v>
          </cell>
          <cell r="W114">
            <v>0</v>
          </cell>
        </row>
        <row r="115">
          <cell r="E115">
            <v>342</v>
          </cell>
          <cell r="G115">
            <v>49932</v>
          </cell>
          <cell r="J115">
            <v>307</v>
          </cell>
          <cell r="L115">
            <v>160560</v>
          </cell>
          <cell r="M115">
            <v>0</v>
          </cell>
          <cell r="N115">
            <v>0</v>
          </cell>
          <cell r="O115">
            <v>25466</v>
          </cell>
          <cell r="P115">
            <v>0</v>
          </cell>
          <cell r="Q115">
            <v>58859</v>
          </cell>
          <cell r="R115">
            <v>0</v>
          </cell>
          <cell r="S115">
            <v>294817</v>
          </cell>
          <cell r="V115">
            <v>294817</v>
          </cell>
          <cell r="W115">
            <v>0</v>
          </cell>
        </row>
        <row r="116">
          <cell r="E116">
            <v>472</v>
          </cell>
          <cell r="G116">
            <v>68912</v>
          </cell>
          <cell r="J116">
            <v>328</v>
          </cell>
          <cell r="L116">
            <v>183240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311011</v>
          </cell>
          <cell r="V116">
            <v>0</v>
          </cell>
          <cell r="W116">
            <v>311011</v>
          </cell>
        </row>
        <row r="117">
          <cell r="E117">
            <v>424</v>
          </cell>
          <cell r="G117">
            <v>61904</v>
          </cell>
          <cell r="J117">
            <v>291</v>
          </cell>
          <cell r="L117">
            <v>146520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267283</v>
          </cell>
          <cell r="V117">
            <v>578294</v>
          </cell>
          <cell r="W117">
            <v>0</v>
          </cell>
        </row>
        <row r="118">
          <cell r="E118">
            <v>392</v>
          </cell>
          <cell r="G118">
            <v>57232</v>
          </cell>
          <cell r="J118">
            <v>185</v>
          </cell>
          <cell r="L118">
            <v>72900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188991</v>
          </cell>
          <cell r="V118">
            <v>188991</v>
          </cell>
          <cell r="W118">
            <v>0</v>
          </cell>
        </row>
        <row r="119">
          <cell r="E119">
            <v>638</v>
          </cell>
          <cell r="G119">
            <v>93148</v>
          </cell>
          <cell r="J119">
            <v>130</v>
          </cell>
          <cell r="L119">
            <v>46800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198807</v>
          </cell>
          <cell r="V119">
            <v>198807</v>
          </cell>
          <cell r="W119">
            <v>0</v>
          </cell>
        </row>
        <row r="120">
          <cell r="E120">
            <v>453</v>
          </cell>
          <cell r="G120">
            <v>66138</v>
          </cell>
          <cell r="J120">
            <v>22</v>
          </cell>
          <cell r="L120">
            <v>7920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132917</v>
          </cell>
          <cell r="V120">
            <v>132917</v>
          </cell>
          <cell r="W120">
            <v>0</v>
          </cell>
        </row>
        <row r="121">
          <cell r="E121">
            <v>467</v>
          </cell>
          <cell r="G121">
            <v>68182</v>
          </cell>
          <cell r="J121">
            <v>21</v>
          </cell>
          <cell r="L121">
            <v>7560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134601</v>
          </cell>
          <cell r="V121">
            <v>0</v>
          </cell>
          <cell r="W121">
            <v>134601</v>
          </cell>
        </row>
        <row r="122">
          <cell r="E122">
            <v>488</v>
          </cell>
          <cell r="G122">
            <v>71248</v>
          </cell>
          <cell r="J122">
            <v>21</v>
          </cell>
          <cell r="L122">
            <v>7560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137667</v>
          </cell>
          <cell r="V122">
            <v>272268</v>
          </cell>
          <cell r="W122">
            <v>0</v>
          </cell>
        </row>
        <row r="123">
          <cell r="E123">
            <v>465</v>
          </cell>
          <cell r="G123">
            <v>67890</v>
          </cell>
          <cell r="J123">
            <v>38</v>
          </cell>
          <cell r="L123">
            <v>13680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140429</v>
          </cell>
          <cell r="V123">
            <v>140429</v>
          </cell>
          <cell r="W123">
            <v>0</v>
          </cell>
        </row>
        <row r="124">
          <cell r="E124">
            <v>457</v>
          </cell>
          <cell r="G124">
            <v>66722</v>
          </cell>
          <cell r="J124">
            <v>112</v>
          </cell>
          <cell r="L124">
            <v>40320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165901</v>
          </cell>
          <cell r="V124">
            <v>165901</v>
          </cell>
          <cell r="W124">
            <v>0</v>
          </cell>
        </row>
        <row r="125">
          <cell r="E125">
            <v>368</v>
          </cell>
          <cell r="G125">
            <v>53728</v>
          </cell>
          <cell r="J125">
            <v>383</v>
          </cell>
          <cell r="L125">
            <v>242640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355227</v>
          </cell>
          <cell r="V125">
            <v>0</v>
          </cell>
          <cell r="W125">
            <v>355227</v>
          </cell>
        </row>
        <row r="126">
          <cell r="E126">
            <v>305</v>
          </cell>
          <cell r="G126">
            <v>44530</v>
          </cell>
          <cell r="J126">
            <v>224</v>
          </cell>
          <cell r="L126">
            <v>98280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201669</v>
          </cell>
          <cell r="V126">
            <v>556896</v>
          </cell>
          <cell r="W126">
            <v>0</v>
          </cell>
        </row>
        <row r="127">
          <cell r="E127">
            <v>466</v>
          </cell>
          <cell r="G127">
            <v>68036</v>
          </cell>
          <cell r="J127">
            <v>318</v>
          </cell>
          <cell r="L127">
            <v>172440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300210</v>
          </cell>
          <cell r="V127">
            <v>300210</v>
          </cell>
          <cell r="W127">
            <v>0</v>
          </cell>
        </row>
        <row r="128">
          <cell r="E128">
            <v>479</v>
          </cell>
          <cell r="G128">
            <v>69934</v>
          </cell>
          <cell r="J128">
            <v>277</v>
          </cell>
          <cell r="L128">
            <v>136440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278396</v>
          </cell>
          <cell r="V128">
            <v>278396</v>
          </cell>
          <cell r="W128">
            <v>0</v>
          </cell>
        </row>
        <row r="129">
          <cell r="E129">
            <v>430</v>
          </cell>
          <cell r="G129">
            <v>62780</v>
          </cell>
          <cell r="J129">
            <v>233</v>
          </cell>
          <cell r="L129">
            <v>104760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227274</v>
          </cell>
          <cell r="V129">
            <v>227274</v>
          </cell>
          <cell r="W129">
            <v>0</v>
          </cell>
        </row>
        <row r="130">
          <cell r="E130">
            <v>488</v>
          </cell>
          <cell r="G130">
            <v>71248</v>
          </cell>
          <cell r="J130">
            <v>194</v>
          </cell>
          <cell r="L130">
            <v>77760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208742</v>
          </cell>
          <cell r="V130">
            <v>208742</v>
          </cell>
          <cell r="W130">
            <v>0</v>
          </cell>
        </row>
        <row r="131">
          <cell r="E131">
            <v>441</v>
          </cell>
          <cell r="G131">
            <v>64386</v>
          </cell>
          <cell r="J131">
            <v>105</v>
          </cell>
          <cell r="L131">
            <v>37800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161920</v>
          </cell>
          <cell r="V131">
            <v>0</v>
          </cell>
          <cell r="W131">
            <v>161920</v>
          </cell>
        </row>
        <row r="132">
          <cell r="E132">
            <v>355</v>
          </cell>
          <cell r="G132">
            <v>51830</v>
          </cell>
          <cell r="J132">
            <v>19</v>
          </cell>
          <cell r="L132">
            <v>6840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118404</v>
          </cell>
          <cell r="V132">
            <v>280324</v>
          </cell>
          <cell r="W132">
            <v>0</v>
          </cell>
        </row>
        <row r="133">
          <cell r="E133">
            <v>316</v>
          </cell>
          <cell r="G133">
            <v>46136</v>
          </cell>
          <cell r="J133">
            <v>16</v>
          </cell>
          <cell r="L133">
            <v>5760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111630</v>
          </cell>
          <cell r="V133">
            <v>0</v>
          </cell>
          <cell r="W133">
            <v>111630</v>
          </cell>
        </row>
        <row r="134">
          <cell r="E134">
            <v>472</v>
          </cell>
          <cell r="G134">
            <v>68912</v>
          </cell>
          <cell r="J134">
            <v>26</v>
          </cell>
          <cell r="L134">
            <v>9360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138006</v>
          </cell>
          <cell r="V134">
            <v>249636</v>
          </cell>
          <cell r="W134">
            <v>0</v>
          </cell>
        </row>
        <row r="135">
          <cell r="E135">
            <v>454</v>
          </cell>
          <cell r="G135">
            <v>66284</v>
          </cell>
          <cell r="J135">
            <v>47</v>
          </cell>
          <cell r="L135">
            <v>16920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142938</v>
          </cell>
          <cell r="V135">
            <v>142938</v>
          </cell>
          <cell r="W135">
            <v>0</v>
          </cell>
        </row>
        <row r="136">
          <cell r="E136">
            <v>437</v>
          </cell>
          <cell r="G136">
            <v>63802</v>
          </cell>
          <cell r="J136">
            <v>117</v>
          </cell>
          <cell r="L136">
            <v>42120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165656</v>
          </cell>
          <cell r="V136">
            <v>165656</v>
          </cell>
          <cell r="W136">
            <v>0</v>
          </cell>
        </row>
        <row r="137">
          <cell r="E137">
            <v>371</v>
          </cell>
          <cell r="G137">
            <v>54166</v>
          </cell>
          <cell r="J137">
            <v>150</v>
          </cell>
          <cell r="L137">
            <v>54000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167900</v>
          </cell>
          <cell r="V137">
            <v>167900</v>
          </cell>
          <cell r="W137">
            <v>0</v>
          </cell>
        </row>
        <row r="138">
          <cell r="E138">
            <v>448</v>
          </cell>
          <cell r="G138">
            <v>65408</v>
          </cell>
          <cell r="J138">
            <v>233</v>
          </cell>
          <cell r="L138">
            <v>104760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249902</v>
          </cell>
          <cell r="V138">
            <v>249902</v>
          </cell>
          <cell r="W138">
            <v>0</v>
          </cell>
        </row>
        <row r="139">
          <cell r="E139">
            <v>486</v>
          </cell>
          <cell r="G139">
            <v>70956</v>
          </cell>
          <cell r="J139">
            <v>256</v>
          </cell>
          <cell r="L139">
            <v>234360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371852</v>
          </cell>
          <cell r="V139">
            <v>371852</v>
          </cell>
          <cell r="W139">
            <v>0</v>
          </cell>
        </row>
        <row r="140">
          <cell r="E140">
            <v>396</v>
          </cell>
          <cell r="G140">
            <v>57816</v>
          </cell>
          <cell r="J140">
            <v>147</v>
          </cell>
          <cell r="L140">
            <v>57780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182132</v>
          </cell>
          <cell r="V140">
            <v>182132</v>
          </cell>
          <cell r="W140">
            <v>0</v>
          </cell>
        </row>
        <row r="141">
          <cell r="E141">
            <v>379</v>
          </cell>
          <cell r="G141">
            <v>55334</v>
          </cell>
          <cell r="J141">
            <v>151</v>
          </cell>
          <cell r="L141">
            <v>60480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182350</v>
          </cell>
          <cell r="V141">
            <v>182350</v>
          </cell>
          <cell r="W141">
            <v>0</v>
          </cell>
        </row>
        <row r="142">
          <cell r="E142">
            <v>460</v>
          </cell>
          <cell r="G142">
            <v>67160</v>
          </cell>
          <cell r="J142">
            <v>142</v>
          </cell>
          <cell r="L142">
            <v>55080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188776</v>
          </cell>
          <cell r="V142">
            <v>188776</v>
          </cell>
          <cell r="W142">
            <v>0</v>
          </cell>
        </row>
        <row r="143">
          <cell r="E143">
            <v>480</v>
          </cell>
          <cell r="G143">
            <v>70080</v>
          </cell>
          <cell r="J143">
            <v>96</v>
          </cell>
          <cell r="L143">
            <v>34560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171176</v>
          </cell>
          <cell r="V143">
            <v>171176</v>
          </cell>
          <cell r="W143">
            <v>0</v>
          </cell>
        </row>
        <row r="144">
          <cell r="E144">
            <v>426</v>
          </cell>
          <cell r="G144">
            <v>62196</v>
          </cell>
          <cell r="J144">
            <v>57</v>
          </cell>
          <cell r="L144">
            <v>20520</v>
          </cell>
          <cell r="M144">
            <v>0</v>
          </cell>
          <cell r="N144">
            <v>15000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159252</v>
          </cell>
          <cell r="V144">
            <v>159252</v>
          </cell>
          <cell r="W144">
            <v>0</v>
          </cell>
        </row>
        <row r="145">
          <cell r="E145">
            <v>525</v>
          </cell>
          <cell r="G145">
            <v>76650</v>
          </cell>
          <cell r="J145">
            <v>59</v>
          </cell>
          <cell r="L145">
            <v>21240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164426</v>
          </cell>
          <cell r="V145">
            <v>164426</v>
          </cell>
          <cell r="W145">
            <v>0</v>
          </cell>
        </row>
        <row r="146">
          <cell r="E146">
            <v>538</v>
          </cell>
          <cell r="G146">
            <v>78548</v>
          </cell>
          <cell r="J146">
            <v>70</v>
          </cell>
          <cell r="L146">
            <v>25200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170284</v>
          </cell>
          <cell r="V146">
            <v>170284</v>
          </cell>
          <cell r="W146">
            <v>0</v>
          </cell>
        </row>
        <row r="147">
          <cell r="E147">
            <v>498</v>
          </cell>
          <cell r="G147">
            <v>72708</v>
          </cell>
          <cell r="J147">
            <v>78</v>
          </cell>
          <cell r="L147">
            <v>28080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167324</v>
          </cell>
          <cell r="V147">
            <v>167324</v>
          </cell>
          <cell r="W147">
            <v>0</v>
          </cell>
        </row>
        <row r="148">
          <cell r="E148">
            <v>386</v>
          </cell>
          <cell r="G148">
            <v>56356</v>
          </cell>
          <cell r="J148">
            <v>130</v>
          </cell>
          <cell r="L148">
            <v>48600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171492</v>
          </cell>
          <cell r="V148">
            <v>171492</v>
          </cell>
          <cell r="W148">
            <v>0</v>
          </cell>
        </row>
        <row r="149">
          <cell r="E149">
            <v>415</v>
          </cell>
          <cell r="G149">
            <v>60590</v>
          </cell>
          <cell r="J149">
            <v>188</v>
          </cell>
          <cell r="L149">
            <v>100440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227566</v>
          </cell>
          <cell r="V149">
            <v>0</v>
          </cell>
          <cell r="W149">
            <v>227566</v>
          </cell>
        </row>
        <row r="150">
          <cell r="E150">
            <v>436</v>
          </cell>
          <cell r="G150">
            <v>63656</v>
          </cell>
          <cell r="J150">
            <v>150</v>
          </cell>
          <cell r="L150">
            <v>59400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191592</v>
          </cell>
          <cell r="V150">
            <v>419158</v>
          </cell>
          <cell r="W150">
            <v>0</v>
          </cell>
        </row>
        <row r="151">
          <cell r="E151">
            <v>436</v>
          </cell>
          <cell r="G151">
            <v>63656</v>
          </cell>
          <cell r="J151">
            <v>228</v>
          </cell>
          <cell r="L151">
            <v>173880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308931</v>
          </cell>
          <cell r="V151">
            <v>308931</v>
          </cell>
          <cell r="W151">
            <v>0</v>
          </cell>
        </row>
        <row r="152">
          <cell r="E152">
            <v>456</v>
          </cell>
          <cell r="G152">
            <v>66576</v>
          </cell>
          <cell r="J152">
            <v>228</v>
          </cell>
          <cell r="L152">
            <v>173880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311851</v>
          </cell>
          <cell r="V152">
            <v>311851</v>
          </cell>
          <cell r="W152">
            <v>0</v>
          </cell>
        </row>
        <row r="153">
          <cell r="E153">
            <v>471</v>
          </cell>
          <cell r="G153">
            <v>68766</v>
          </cell>
          <cell r="J153">
            <v>182</v>
          </cell>
          <cell r="L153">
            <v>83160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228280</v>
          </cell>
          <cell r="V153">
            <v>228280</v>
          </cell>
          <cell r="W153">
            <v>0</v>
          </cell>
        </row>
        <row r="154">
          <cell r="E154">
            <v>564</v>
          </cell>
          <cell r="G154">
            <v>82344</v>
          </cell>
          <cell r="J154">
            <v>140</v>
          </cell>
          <cell r="L154">
            <v>54000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212698</v>
          </cell>
          <cell r="V154">
            <v>212698</v>
          </cell>
          <cell r="W154">
            <v>0</v>
          </cell>
        </row>
        <row r="155">
          <cell r="E155">
            <v>461</v>
          </cell>
          <cell r="G155">
            <v>67306</v>
          </cell>
          <cell r="J155">
            <v>63</v>
          </cell>
          <cell r="L155">
            <v>22680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166340</v>
          </cell>
          <cell r="V155">
            <v>166340</v>
          </cell>
          <cell r="W155">
            <v>0</v>
          </cell>
        </row>
        <row r="156">
          <cell r="E156">
            <v>472</v>
          </cell>
          <cell r="G156">
            <v>68912</v>
          </cell>
          <cell r="J156">
            <v>35</v>
          </cell>
          <cell r="L156">
            <v>12600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157866</v>
          </cell>
          <cell r="V156">
            <v>157866</v>
          </cell>
          <cell r="W156">
            <v>0</v>
          </cell>
        </row>
        <row r="157">
          <cell r="E157">
            <v>508</v>
          </cell>
          <cell r="G157">
            <v>74168</v>
          </cell>
          <cell r="J157">
            <v>21</v>
          </cell>
          <cell r="L157">
            <v>7560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158082</v>
          </cell>
          <cell r="V157">
            <v>158082</v>
          </cell>
          <cell r="W157">
            <v>0</v>
          </cell>
        </row>
        <row r="158">
          <cell r="E158">
            <v>454</v>
          </cell>
          <cell r="G158">
            <v>66284</v>
          </cell>
          <cell r="J158">
            <v>13</v>
          </cell>
          <cell r="L158">
            <v>4680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147318</v>
          </cell>
          <cell r="V158">
            <v>147318</v>
          </cell>
          <cell r="W158">
            <v>0</v>
          </cell>
        </row>
        <row r="159">
          <cell r="E159">
            <v>529</v>
          </cell>
          <cell r="G159">
            <v>77234</v>
          </cell>
          <cell r="J159">
            <v>35</v>
          </cell>
          <cell r="L159">
            <v>12600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166188</v>
          </cell>
          <cell r="V159">
            <v>166188</v>
          </cell>
          <cell r="W159">
            <v>0</v>
          </cell>
        </row>
        <row r="160">
          <cell r="E160">
            <v>454</v>
          </cell>
          <cell r="G160">
            <v>66284</v>
          </cell>
          <cell r="J160">
            <v>19</v>
          </cell>
          <cell r="L160">
            <v>6840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149478</v>
          </cell>
          <cell r="V160">
            <v>149478</v>
          </cell>
          <cell r="W160">
            <v>0</v>
          </cell>
        </row>
        <row r="161">
          <cell r="E161">
            <v>375</v>
          </cell>
          <cell r="G161">
            <v>54750</v>
          </cell>
          <cell r="J161">
            <v>150</v>
          </cell>
          <cell r="L161">
            <v>54000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185104</v>
          </cell>
          <cell r="V161">
            <v>185104</v>
          </cell>
          <cell r="W161">
            <v>0</v>
          </cell>
        </row>
        <row r="162">
          <cell r="E162">
            <v>505</v>
          </cell>
          <cell r="G162">
            <v>73730</v>
          </cell>
          <cell r="J162">
            <v>143</v>
          </cell>
          <cell r="L162">
            <v>55620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205410</v>
          </cell>
          <cell r="V162">
            <v>205410</v>
          </cell>
          <cell r="W162">
            <v>0</v>
          </cell>
        </row>
        <row r="163">
          <cell r="E163">
            <v>386</v>
          </cell>
          <cell r="G163">
            <v>56356</v>
          </cell>
          <cell r="J163">
            <v>131</v>
          </cell>
          <cell r="L163">
            <v>49140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191556</v>
          </cell>
          <cell r="V163">
            <v>191556</v>
          </cell>
          <cell r="W163">
            <v>0</v>
          </cell>
        </row>
        <row r="164">
          <cell r="E164">
            <v>452</v>
          </cell>
          <cell r="G164">
            <v>65992</v>
          </cell>
          <cell r="J164">
            <v>167</v>
          </cell>
          <cell r="L164">
            <v>77760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229812</v>
          </cell>
          <cell r="V164">
            <v>229812</v>
          </cell>
          <cell r="W164">
            <v>0</v>
          </cell>
        </row>
        <row r="165">
          <cell r="E165">
            <v>420</v>
          </cell>
          <cell r="G165">
            <v>61320</v>
          </cell>
          <cell r="J165">
            <v>167</v>
          </cell>
          <cell r="L165">
            <v>77760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225140</v>
          </cell>
          <cell r="V165">
            <v>0</v>
          </cell>
          <cell r="W165">
            <v>225140</v>
          </cell>
        </row>
        <row r="166">
          <cell r="E166">
            <v>356</v>
          </cell>
          <cell r="G166">
            <v>51976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153560</v>
          </cell>
          <cell r="V166">
            <v>378700</v>
          </cell>
          <cell r="W166">
            <v>0</v>
          </cell>
        </row>
        <row r="167">
          <cell r="E167">
            <v>288</v>
          </cell>
          <cell r="G167">
            <v>42048</v>
          </cell>
          <cell r="J167">
            <v>13</v>
          </cell>
          <cell r="L167">
            <v>4680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132832</v>
          </cell>
          <cell r="V167">
            <v>132832</v>
          </cell>
          <cell r="W167">
            <v>0</v>
          </cell>
        </row>
        <row r="168">
          <cell r="E168">
            <v>306</v>
          </cell>
          <cell r="G168">
            <v>44676</v>
          </cell>
          <cell r="J168">
            <v>18</v>
          </cell>
          <cell r="L168">
            <v>6480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137260</v>
          </cell>
          <cell r="V168">
            <v>137260</v>
          </cell>
          <cell r="W168">
            <v>0</v>
          </cell>
        </row>
        <row r="169">
          <cell r="E169">
            <v>208</v>
          </cell>
          <cell r="G169">
            <v>30368</v>
          </cell>
          <cell r="J169">
            <v>10</v>
          </cell>
          <cell r="L169">
            <v>3600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119678</v>
          </cell>
          <cell r="V169">
            <v>119678</v>
          </cell>
          <cell r="W169">
            <v>0</v>
          </cell>
        </row>
        <row r="170">
          <cell r="E170">
            <v>183</v>
          </cell>
          <cell r="G170">
            <v>26718</v>
          </cell>
          <cell r="J170">
            <v>16</v>
          </cell>
          <cell r="L170">
            <v>5760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118188</v>
          </cell>
          <cell r="V170">
            <v>118188</v>
          </cell>
          <cell r="W170">
            <v>0</v>
          </cell>
        </row>
        <row r="171">
          <cell r="E171">
            <v>129</v>
          </cell>
          <cell r="G171">
            <v>18834</v>
          </cell>
          <cell r="J171">
            <v>54</v>
          </cell>
          <cell r="L171">
            <v>19440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119669</v>
          </cell>
          <cell r="V171">
            <v>119669</v>
          </cell>
          <cell r="W171">
            <v>0</v>
          </cell>
        </row>
        <row r="172">
          <cell r="E172">
            <v>55</v>
          </cell>
          <cell r="G172">
            <v>8030</v>
          </cell>
          <cell r="J172">
            <v>48</v>
          </cell>
          <cell r="L172">
            <v>17280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106705</v>
          </cell>
          <cell r="V172">
            <v>0</v>
          </cell>
          <cell r="W172">
            <v>106705</v>
          </cell>
        </row>
        <row r="173">
          <cell r="E173">
            <v>0</v>
          </cell>
          <cell r="G173">
            <v>17812</v>
          </cell>
          <cell r="J173">
            <v>143</v>
          </cell>
          <cell r="L173">
            <v>55620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154827</v>
          </cell>
          <cell r="V173">
            <v>261532</v>
          </cell>
          <cell r="W173">
            <v>0</v>
          </cell>
        </row>
        <row r="174">
          <cell r="E174">
            <v>555</v>
          </cell>
          <cell r="G174">
            <v>81030</v>
          </cell>
          <cell r="J174">
            <v>189</v>
          </cell>
          <cell r="L174">
            <v>101520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263945</v>
          </cell>
          <cell r="V174">
            <v>263945</v>
          </cell>
          <cell r="W174">
            <v>0</v>
          </cell>
        </row>
      </sheetData>
      <sheetData sheetId="1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278.68099999999998</v>
          </cell>
          <cell r="L16">
            <v>83604.299999999988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122604.29999999999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30.028999999999996</v>
          </cell>
          <cell r="L17">
            <v>9008.6999999999989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48008.7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79.390000000000043</v>
          </cell>
          <cell r="L18">
            <v>23817.000000000015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62817.000000000015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56.099999999999966</v>
          </cell>
          <cell r="L19">
            <v>16829.999999999989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55829.999999999985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19</v>
          </cell>
          <cell r="L20">
            <v>5700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44700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8.3000000000000114</v>
          </cell>
          <cell r="L21">
            <v>2490.0000000000036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41490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1.3000000000000114</v>
          </cell>
          <cell r="L22">
            <v>468.00000000000409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39468.000000000007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78000</v>
          </cell>
        </row>
        <row r="27">
          <cell r="E27">
            <v>5.8</v>
          </cell>
          <cell r="G27">
            <v>365.4</v>
          </cell>
          <cell r="J27">
            <v>11</v>
          </cell>
          <cell r="L27">
            <v>3960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43325.4</v>
          </cell>
          <cell r="V27">
            <v>78000</v>
          </cell>
          <cell r="W27">
            <v>43325.399999999994</v>
          </cell>
        </row>
        <row r="28">
          <cell r="E28">
            <v>34</v>
          </cell>
          <cell r="G28">
            <v>2142</v>
          </cell>
          <cell r="J28">
            <v>19.399999999999977</v>
          </cell>
          <cell r="L28">
            <v>6983.9999999999918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48125.999999999993</v>
          </cell>
          <cell r="V28">
            <v>43326</v>
          </cell>
          <cell r="W28">
            <v>48125.399999999994</v>
          </cell>
        </row>
        <row r="29">
          <cell r="E29">
            <v>0</v>
          </cell>
          <cell r="G29">
            <v>0</v>
          </cell>
          <cell r="J29">
            <v>6.6000000000000227</v>
          </cell>
          <cell r="L29">
            <v>2376.0000000000082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41376.000000000007</v>
          </cell>
          <cell r="V29">
            <v>48126</v>
          </cell>
          <cell r="W29">
            <v>41375.399999999994</v>
          </cell>
        </row>
        <row r="30">
          <cell r="E30">
            <v>0</v>
          </cell>
          <cell r="G30">
            <v>0</v>
          </cell>
          <cell r="J30">
            <v>12.800000000000011</v>
          </cell>
          <cell r="L30">
            <v>4608.0000000000036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43608</v>
          </cell>
          <cell r="V30">
            <v>62817</v>
          </cell>
          <cell r="W30">
            <v>22166.399999999994</v>
          </cell>
        </row>
        <row r="31">
          <cell r="E31">
            <v>0</v>
          </cell>
          <cell r="G31">
            <v>0</v>
          </cell>
          <cell r="J31">
            <v>6.3999999999999773</v>
          </cell>
          <cell r="L31">
            <v>2303.9999999999918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41303.999999999993</v>
          </cell>
          <cell r="V31">
            <v>22166</v>
          </cell>
          <cell r="W31">
            <v>80304.39999999998</v>
          </cell>
        </row>
        <row r="32">
          <cell r="E32">
            <v>0</v>
          </cell>
          <cell r="G32">
            <v>0</v>
          </cell>
          <cell r="J32">
            <v>16</v>
          </cell>
          <cell r="L32">
            <v>5760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44760</v>
          </cell>
          <cell r="V32">
            <v>80304</v>
          </cell>
          <cell r="W32">
            <v>44760.39999999998</v>
          </cell>
        </row>
        <row r="33">
          <cell r="E33">
            <v>0</v>
          </cell>
          <cell r="G33">
            <v>0</v>
          </cell>
          <cell r="J33">
            <v>14</v>
          </cell>
          <cell r="L33">
            <v>5040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44040</v>
          </cell>
          <cell r="V33">
            <v>44760</v>
          </cell>
          <cell r="W33">
            <v>44040.39999999998</v>
          </cell>
        </row>
        <row r="34">
          <cell r="E34">
            <v>108.2</v>
          </cell>
          <cell r="G34">
            <v>6816.6</v>
          </cell>
          <cell r="J34">
            <v>35</v>
          </cell>
          <cell r="L34">
            <v>12600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58416.6</v>
          </cell>
          <cell r="V34">
            <v>44040</v>
          </cell>
          <cell r="W34">
            <v>58416.999999999971</v>
          </cell>
        </row>
        <row r="35">
          <cell r="E35">
            <v>393</v>
          </cell>
          <cell r="G35">
            <v>24759</v>
          </cell>
          <cell r="J35">
            <v>43</v>
          </cell>
          <cell r="L35">
            <v>15480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79239</v>
          </cell>
          <cell r="V35">
            <v>58416</v>
          </cell>
          <cell r="W35">
            <v>79239.999999999971</v>
          </cell>
        </row>
        <row r="36">
          <cell r="E36">
            <v>395.70000000000005</v>
          </cell>
          <cell r="G36">
            <v>24929.100000000002</v>
          </cell>
          <cell r="J36">
            <v>4</v>
          </cell>
          <cell r="L36">
            <v>1440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65369.100000000006</v>
          </cell>
          <cell r="V36">
            <v>79240</v>
          </cell>
          <cell r="W36">
            <v>65369.099999999977</v>
          </cell>
        </row>
        <row r="37">
          <cell r="E37">
            <v>405</v>
          </cell>
          <cell r="G37">
            <v>25515</v>
          </cell>
          <cell r="J37">
            <v>7</v>
          </cell>
          <cell r="L37">
            <v>2520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67035</v>
          </cell>
          <cell r="V37">
            <v>65389</v>
          </cell>
          <cell r="W37">
            <v>67015.099999999977</v>
          </cell>
        </row>
        <row r="38">
          <cell r="E38">
            <v>82.299999999999955</v>
          </cell>
          <cell r="G38">
            <v>5184.8999999999969</v>
          </cell>
          <cell r="J38">
            <v>5</v>
          </cell>
          <cell r="L38">
            <v>1800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45984.899999999994</v>
          </cell>
          <cell r="V38">
            <v>67015</v>
          </cell>
          <cell r="W38">
            <v>45984.999999999971</v>
          </cell>
        </row>
        <row r="39">
          <cell r="E39">
            <v>219</v>
          </cell>
          <cell r="G39">
            <v>13797</v>
          </cell>
          <cell r="J39">
            <v>79</v>
          </cell>
          <cell r="L39">
            <v>28440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81237</v>
          </cell>
          <cell r="V39">
            <v>45985</v>
          </cell>
          <cell r="W39">
            <v>81236.999999999971</v>
          </cell>
        </row>
        <row r="40">
          <cell r="E40">
            <v>166</v>
          </cell>
          <cell r="G40">
            <v>10458</v>
          </cell>
          <cell r="J40">
            <v>28</v>
          </cell>
          <cell r="L40">
            <v>10080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59538</v>
          </cell>
          <cell r="V40">
            <v>81237</v>
          </cell>
          <cell r="W40">
            <v>59537.999999999971</v>
          </cell>
        </row>
        <row r="41">
          <cell r="E41">
            <v>232</v>
          </cell>
          <cell r="G41">
            <v>14616</v>
          </cell>
          <cell r="J41">
            <v>59</v>
          </cell>
          <cell r="L41">
            <v>21240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74856</v>
          </cell>
          <cell r="V41">
            <v>0</v>
          </cell>
          <cell r="W41">
            <v>134393.99999999997</v>
          </cell>
        </row>
        <row r="42">
          <cell r="E42">
            <v>233</v>
          </cell>
          <cell r="G42">
            <v>14679</v>
          </cell>
          <cell r="J42">
            <v>79</v>
          </cell>
          <cell r="L42">
            <v>28440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82119</v>
          </cell>
          <cell r="V42">
            <v>133237</v>
          </cell>
          <cell r="W42">
            <v>83275.999999999971</v>
          </cell>
        </row>
        <row r="43">
          <cell r="E43">
            <v>351</v>
          </cell>
          <cell r="G43">
            <v>22113</v>
          </cell>
          <cell r="J43">
            <v>120</v>
          </cell>
          <cell r="L43">
            <v>43200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104313</v>
          </cell>
          <cell r="V43">
            <v>83276</v>
          </cell>
          <cell r="W43">
            <v>144312.99999999997</v>
          </cell>
        </row>
        <row r="44">
          <cell r="E44">
            <v>430</v>
          </cell>
          <cell r="G44">
            <v>27090</v>
          </cell>
          <cell r="J44">
            <v>132</v>
          </cell>
          <cell r="L44">
            <v>47520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113610</v>
          </cell>
          <cell r="V44">
            <v>104313</v>
          </cell>
          <cell r="W44">
            <v>153609.99999999997</v>
          </cell>
        </row>
        <row r="45">
          <cell r="E45">
            <v>125</v>
          </cell>
          <cell r="G45">
            <v>7875</v>
          </cell>
          <cell r="J45">
            <v>39</v>
          </cell>
          <cell r="L45">
            <v>14040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60915</v>
          </cell>
          <cell r="V45">
            <v>0</v>
          </cell>
          <cell r="W45">
            <v>214524.99999999997</v>
          </cell>
        </row>
        <row r="46">
          <cell r="E46">
            <v>167</v>
          </cell>
          <cell r="G46">
            <v>10521</v>
          </cell>
          <cell r="J46">
            <v>70</v>
          </cell>
          <cell r="L46">
            <v>25200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74721</v>
          </cell>
          <cell r="V46">
            <v>60915</v>
          </cell>
          <cell r="W46">
            <v>228331</v>
          </cell>
        </row>
        <row r="47">
          <cell r="E47">
            <v>140</v>
          </cell>
          <cell r="G47">
            <v>8820</v>
          </cell>
          <cell r="J47">
            <v>14</v>
          </cell>
          <cell r="L47">
            <v>5040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52860</v>
          </cell>
          <cell r="V47">
            <v>0</v>
          </cell>
          <cell r="W47">
            <v>281191</v>
          </cell>
        </row>
        <row r="48">
          <cell r="E48">
            <v>235</v>
          </cell>
          <cell r="G48">
            <v>14805</v>
          </cell>
          <cell r="J48">
            <v>17</v>
          </cell>
          <cell r="L48">
            <v>6120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59925</v>
          </cell>
          <cell r="V48">
            <v>200000</v>
          </cell>
          <cell r="W48">
            <v>141116</v>
          </cell>
        </row>
        <row r="49">
          <cell r="E49">
            <v>225</v>
          </cell>
          <cell r="G49">
            <v>14175</v>
          </cell>
          <cell r="J49">
            <v>17</v>
          </cell>
          <cell r="L49">
            <v>6120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59295</v>
          </cell>
          <cell r="V49">
            <v>100000</v>
          </cell>
          <cell r="W49">
            <v>100411</v>
          </cell>
        </row>
        <row r="50">
          <cell r="E50">
            <v>214</v>
          </cell>
          <cell r="G50">
            <v>13482</v>
          </cell>
          <cell r="J50">
            <v>22</v>
          </cell>
          <cell r="L50">
            <v>7920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60402</v>
          </cell>
          <cell r="V50">
            <v>0</v>
          </cell>
          <cell r="W50">
            <v>160813</v>
          </cell>
        </row>
        <row r="51">
          <cell r="E51">
            <v>141</v>
          </cell>
          <cell r="G51">
            <v>8883</v>
          </cell>
          <cell r="J51">
            <v>21</v>
          </cell>
          <cell r="L51">
            <v>7560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55443</v>
          </cell>
          <cell r="V51">
            <v>160813</v>
          </cell>
          <cell r="W51">
            <v>55443</v>
          </cell>
        </row>
        <row r="52">
          <cell r="E52">
            <v>135</v>
          </cell>
          <cell r="G52">
            <v>8505</v>
          </cell>
          <cell r="J52">
            <v>26</v>
          </cell>
          <cell r="L52">
            <v>9360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56865</v>
          </cell>
          <cell r="V52">
            <v>0</v>
          </cell>
          <cell r="W52">
            <v>112308</v>
          </cell>
        </row>
        <row r="53">
          <cell r="E53">
            <v>119</v>
          </cell>
          <cell r="G53">
            <v>7497</v>
          </cell>
          <cell r="J53">
            <v>31</v>
          </cell>
          <cell r="L53">
            <v>11160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57657</v>
          </cell>
          <cell r="V53">
            <v>55500</v>
          </cell>
          <cell r="W53">
            <v>114465</v>
          </cell>
        </row>
        <row r="54">
          <cell r="E54">
            <v>86</v>
          </cell>
          <cell r="G54">
            <v>5418</v>
          </cell>
          <cell r="J54">
            <v>26</v>
          </cell>
          <cell r="L54">
            <v>9360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53778</v>
          </cell>
          <cell r="V54">
            <v>56808</v>
          </cell>
          <cell r="W54">
            <v>118435</v>
          </cell>
        </row>
        <row r="55">
          <cell r="E55">
            <v>521</v>
          </cell>
          <cell r="G55">
            <v>32823</v>
          </cell>
          <cell r="J55">
            <v>290</v>
          </cell>
          <cell r="L55">
            <v>104400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183223</v>
          </cell>
          <cell r="V55">
            <v>57657</v>
          </cell>
          <cell r="W55">
            <v>244001</v>
          </cell>
        </row>
        <row r="56">
          <cell r="E56">
            <v>701</v>
          </cell>
          <cell r="G56">
            <v>44163</v>
          </cell>
          <cell r="J56">
            <v>261</v>
          </cell>
          <cell r="L56">
            <v>93960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184123</v>
          </cell>
          <cell r="V56">
            <v>60778</v>
          </cell>
          <cell r="W56">
            <v>367346</v>
          </cell>
        </row>
        <row r="57">
          <cell r="E57">
            <v>-102</v>
          </cell>
          <cell r="G57">
            <v>-6426</v>
          </cell>
          <cell r="J57">
            <v>-36</v>
          </cell>
          <cell r="L57">
            <v>-12960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26614</v>
          </cell>
          <cell r="V57">
            <v>367346</v>
          </cell>
          <cell r="W57">
            <v>97273</v>
          </cell>
        </row>
        <row r="58">
          <cell r="E58">
            <v>182</v>
          </cell>
          <cell r="G58">
            <v>11466</v>
          </cell>
          <cell r="J58">
            <v>51</v>
          </cell>
          <cell r="L58">
            <v>18360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75826</v>
          </cell>
          <cell r="V58">
            <v>0</v>
          </cell>
          <cell r="W58">
            <v>173099</v>
          </cell>
        </row>
        <row r="59">
          <cell r="E59">
            <v>136</v>
          </cell>
          <cell r="G59">
            <v>8568</v>
          </cell>
          <cell r="J59">
            <v>60</v>
          </cell>
          <cell r="L59">
            <v>21600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76168</v>
          </cell>
          <cell r="V59">
            <v>97273</v>
          </cell>
          <cell r="W59">
            <v>151994</v>
          </cell>
        </row>
        <row r="60">
          <cell r="E60">
            <v>110</v>
          </cell>
          <cell r="G60">
            <v>6930</v>
          </cell>
          <cell r="J60">
            <v>51</v>
          </cell>
          <cell r="L60">
            <v>18360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71290</v>
          </cell>
          <cell r="V60">
            <v>75826</v>
          </cell>
          <cell r="W60">
            <v>147458</v>
          </cell>
        </row>
        <row r="61">
          <cell r="E61">
            <v>326</v>
          </cell>
          <cell r="G61">
            <v>20538</v>
          </cell>
          <cell r="J61">
            <v>56</v>
          </cell>
          <cell r="L61">
            <v>20160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86698</v>
          </cell>
          <cell r="V61">
            <v>76186</v>
          </cell>
          <cell r="W61">
            <v>157970</v>
          </cell>
        </row>
        <row r="62">
          <cell r="E62">
            <v>26</v>
          </cell>
          <cell r="G62">
            <v>1638</v>
          </cell>
          <cell r="J62">
            <v>13</v>
          </cell>
          <cell r="L62">
            <v>4680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52318</v>
          </cell>
          <cell r="V62">
            <v>71290</v>
          </cell>
          <cell r="W62">
            <v>138998</v>
          </cell>
        </row>
        <row r="63">
          <cell r="E63">
            <v>255</v>
          </cell>
          <cell r="G63">
            <v>16065</v>
          </cell>
          <cell r="J63">
            <v>71</v>
          </cell>
          <cell r="L63">
            <v>25560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87625</v>
          </cell>
          <cell r="V63">
            <v>120000</v>
          </cell>
          <cell r="W63">
            <v>106623</v>
          </cell>
        </row>
        <row r="64">
          <cell r="E64">
            <v>135</v>
          </cell>
          <cell r="G64">
            <v>10665</v>
          </cell>
          <cell r="J64">
            <v>20</v>
          </cell>
          <cell r="L64">
            <v>7200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63865</v>
          </cell>
          <cell r="V64">
            <v>106623</v>
          </cell>
          <cell r="W64">
            <v>63865</v>
          </cell>
        </row>
        <row r="65">
          <cell r="E65">
            <v>159</v>
          </cell>
          <cell r="G65">
            <v>12561</v>
          </cell>
          <cell r="J65">
            <v>210</v>
          </cell>
          <cell r="L65">
            <v>75600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134161</v>
          </cell>
          <cell r="V65">
            <v>0</v>
          </cell>
          <cell r="W65">
            <v>198026</v>
          </cell>
        </row>
        <row r="66">
          <cell r="E66">
            <v>80</v>
          </cell>
          <cell r="G66">
            <v>6320</v>
          </cell>
          <cell r="J66">
            <v>174</v>
          </cell>
          <cell r="L66">
            <v>62640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114960</v>
          </cell>
          <cell r="V66">
            <v>63865</v>
          </cell>
          <cell r="W66">
            <v>249121</v>
          </cell>
        </row>
        <row r="67">
          <cell r="E67">
            <v>463</v>
          </cell>
          <cell r="G67">
            <v>40281</v>
          </cell>
          <cell r="J67">
            <v>299</v>
          </cell>
          <cell r="L67">
            <v>107640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193921</v>
          </cell>
          <cell r="V67">
            <v>249121</v>
          </cell>
          <cell r="W67">
            <v>236752</v>
          </cell>
        </row>
        <row r="68">
          <cell r="E68">
            <v>182</v>
          </cell>
          <cell r="G68">
            <v>15834</v>
          </cell>
          <cell r="J68">
            <v>-41</v>
          </cell>
          <cell r="L68">
            <v>-14760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47074</v>
          </cell>
          <cell r="V68">
            <v>249121</v>
          </cell>
          <cell r="W68">
            <v>110977</v>
          </cell>
        </row>
        <row r="69">
          <cell r="E69">
            <v>157</v>
          </cell>
          <cell r="G69">
            <v>17427</v>
          </cell>
          <cell r="J69">
            <v>122</v>
          </cell>
          <cell r="L69">
            <v>43920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107347</v>
          </cell>
          <cell r="V69">
            <v>123346</v>
          </cell>
          <cell r="W69">
            <v>94978</v>
          </cell>
        </row>
        <row r="70">
          <cell r="E70">
            <v>130</v>
          </cell>
          <cell r="G70">
            <v>16120</v>
          </cell>
          <cell r="J70">
            <v>80</v>
          </cell>
          <cell r="L70">
            <v>28800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90920</v>
          </cell>
          <cell r="V70">
            <v>0</v>
          </cell>
          <cell r="W70">
            <v>185898</v>
          </cell>
        </row>
        <row r="71">
          <cell r="E71">
            <v>79</v>
          </cell>
          <cell r="G71">
            <v>7742</v>
          </cell>
          <cell r="J71">
            <v>11</v>
          </cell>
          <cell r="L71">
            <v>3960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57702</v>
          </cell>
          <cell r="V71">
            <v>94978</v>
          </cell>
          <cell r="W71">
            <v>148622</v>
          </cell>
        </row>
        <row r="72">
          <cell r="E72">
            <v>110</v>
          </cell>
          <cell r="G72">
            <v>11440</v>
          </cell>
          <cell r="J72">
            <v>7</v>
          </cell>
          <cell r="L72">
            <v>2520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59960</v>
          </cell>
          <cell r="V72">
            <v>90920</v>
          </cell>
          <cell r="W72">
            <v>117662</v>
          </cell>
        </row>
        <row r="73">
          <cell r="E73">
            <v>259</v>
          </cell>
          <cell r="G73">
            <v>29008</v>
          </cell>
          <cell r="J73">
            <v>28</v>
          </cell>
          <cell r="L73">
            <v>10080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85088</v>
          </cell>
          <cell r="V73">
            <v>56000</v>
          </cell>
          <cell r="W73">
            <v>146750</v>
          </cell>
        </row>
        <row r="74">
          <cell r="E74">
            <v>119</v>
          </cell>
          <cell r="G74">
            <v>12733</v>
          </cell>
          <cell r="J74">
            <v>10</v>
          </cell>
          <cell r="L74">
            <v>3600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62333</v>
          </cell>
          <cell r="V74">
            <v>146750</v>
          </cell>
          <cell r="W74">
            <v>62333</v>
          </cell>
        </row>
        <row r="75">
          <cell r="E75">
            <v>134</v>
          </cell>
          <cell r="G75">
            <v>14740</v>
          </cell>
          <cell r="J75">
            <v>24</v>
          </cell>
          <cell r="L75">
            <v>8640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69380</v>
          </cell>
          <cell r="V75">
            <v>62333</v>
          </cell>
          <cell r="W75">
            <v>69380</v>
          </cell>
        </row>
        <row r="76">
          <cell r="E76">
            <v>99</v>
          </cell>
          <cell r="G76">
            <v>12474</v>
          </cell>
          <cell r="J76">
            <v>70</v>
          </cell>
          <cell r="L76">
            <v>25200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83674</v>
          </cell>
          <cell r="V76">
            <v>69380</v>
          </cell>
          <cell r="W76">
            <v>83674</v>
          </cell>
        </row>
        <row r="77">
          <cell r="E77">
            <v>78</v>
          </cell>
          <cell r="G77">
            <v>9282</v>
          </cell>
          <cell r="J77">
            <v>77</v>
          </cell>
          <cell r="L77">
            <v>27720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83002</v>
          </cell>
          <cell r="V77">
            <v>83674</v>
          </cell>
          <cell r="W77">
            <v>83002</v>
          </cell>
        </row>
        <row r="78">
          <cell r="E78">
            <v>177</v>
          </cell>
          <cell r="G78">
            <v>19116</v>
          </cell>
          <cell r="J78">
            <v>184</v>
          </cell>
          <cell r="L78">
            <v>66240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131356</v>
          </cell>
          <cell r="V78">
            <v>83674</v>
          </cell>
          <cell r="W78">
            <v>130684</v>
          </cell>
        </row>
        <row r="79">
          <cell r="E79">
            <v>215</v>
          </cell>
          <cell r="G79">
            <v>26660</v>
          </cell>
          <cell r="J79">
            <v>132</v>
          </cell>
          <cell r="L79">
            <v>47520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120180</v>
          </cell>
          <cell r="V79">
            <v>131356</v>
          </cell>
          <cell r="W79">
            <v>125508</v>
          </cell>
        </row>
        <row r="80">
          <cell r="E80">
            <v>245</v>
          </cell>
          <cell r="G80">
            <v>31850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131850</v>
          </cell>
          <cell r="V80">
            <v>126180</v>
          </cell>
          <cell r="W80">
            <v>139278</v>
          </cell>
        </row>
        <row r="81">
          <cell r="E81">
            <v>286</v>
          </cell>
          <cell r="G81">
            <v>37180</v>
          </cell>
          <cell r="J81">
            <v>133</v>
          </cell>
          <cell r="L81">
            <v>47880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131060</v>
          </cell>
          <cell r="V81">
            <v>139950</v>
          </cell>
          <cell r="W81">
            <v>124628</v>
          </cell>
        </row>
        <row r="82">
          <cell r="E82">
            <v>114</v>
          </cell>
          <cell r="G82">
            <v>15960</v>
          </cell>
          <cell r="J82">
            <v>70</v>
          </cell>
          <cell r="L82">
            <v>25200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87160</v>
          </cell>
          <cell r="V82">
            <v>125300</v>
          </cell>
          <cell r="W82">
            <v>106488</v>
          </cell>
        </row>
        <row r="83">
          <cell r="E83">
            <v>123</v>
          </cell>
          <cell r="G83">
            <v>17958</v>
          </cell>
          <cell r="J83">
            <v>41</v>
          </cell>
          <cell r="L83">
            <v>14760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78718</v>
          </cell>
          <cell r="V83">
            <v>107160</v>
          </cell>
          <cell r="W83">
            <v>78046</v>
          </cell>
        </row>
        <row r="84">
          <cell r="E84">
            <v>109</v>
          </cell>
          <cell r="G84">
            <v>15914</v>
          </cell>
          <cell r="J84">
            <v>33</v>
          </cell>
          <cell r="L84">
            <v>11880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73794</v>
          </cell>
          <cell r="V84">
            <v>78718</v>
          </cell>
          <cell r="W84">
            <v>73122</v>
          </cell>
        </row>
        <row r="85">
          <cell r="E85">
            <v>173</v>
          </cell>
          <cell r="G85">
            <v>25258</v>
          </cell>
          <cell r="J85">
            <v>16</v>
          </cell>
          <cell r="L85">
            <v>5760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77018</v>
          </cell>
          <cell r="V85">
            <v>73794</v>
          </cell>
          <cell r="W85">
            <v>86346</v>
          </cell>
        </row>
        <row r="86">
          <cell r="E86">
            <v>167</v>
          </cell>
          <cell r="G86">
            <v>24382</v>
          </cell>
          <cell r="J86">
            <v>12</v>
          </cell>
          <cell r="L86">
            <v>4320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84702</v>
          </cell>
          <cell r="V86">
            <v>87018</v>
          </cell>
          <cell r="W86">
            <v>74030</v>
          </cell>
        </row>
        <row r="87">
          <cell r="E87">
            <v>199</v>
          </cell>
          <cell r="G87">
            <v>29054</v>
          </cell>
          <cell r="J87">
            <v>31</v>
          </cell>
          <cell r="L87">
            <v>11160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86214</v>
          </cell>
          <cell r="V87">
            <v>74702</v>
          </cell>
          <cell r="W87">
            <v>85542</v>
          </cell>
        </row>
        <row r="88">
          <cell r="E88">
            <v>143</v>
          </cell>
          <cell r="G88">
            <v>20878</v>
          </cell>
          <cell r="J88">
            <v>83</v>
          </cell>
          <cell r="L88">
            <v>29880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96758</v>
          </cell>
          <cell r="V88">
            <v>86214</v>
          </cell>
          <cell r="W88">
            <v>96086</v>
          </cell>
        </row>
        <row r="89">
          <cell r="E89">
            <v>148</v>
          </cell>
          <cell r="G89">
            <v>21608</v>
          </cell>
          <cell r="J89">
            <v>109</v>
          </cell>
          <cell r="L89">
            <v>39240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106848</v>
          </cell>
          <cell r="V89">
            <v>96086</v>
          </cell>
          <cell r="W89">
            <v>106848</v>
          </cell>
        </row>
        <row r="90">
          <cell r="E90">
            <v>277</v>
          </cell>
          <cell r="G90">
            <v>40442</v>
          </cell>
          <cell r="J90">
            <v>197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86442</v>
          </cell>
          <cell r="V90">
            <v>106848</v>
          </cell>
          <cell r="W90">
            <v>165822</v>
          </cell>
        </row>
        <row r="91">
          <cell r="E91">
            <v>213</v>
          </cell>
          <cell r="G91">
            <v>31098</v>
          </cell>
          <cell r="J91">
            <v>195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41884</v>
          </cell>
          <cell r="S91">
            <v>86098</v>
          </cell>
          <cell r="V91">
            <v>207706</v>
          </cell>
          <cell r="W91">
            <v>174398</v>
          </cell>
        </row>
        <row r="92">
          <cell r="E92">
            <v>261</v>
          </cell>
          <cell r="G92">
            <v>38106</v>
          </cell>
          <cell r="J92">
            <v>237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93106</v>
          </cell>
          <cell r="V92">
            <v>184398</v>
          </cell>
          <cell r="W92">
            <v>200746</v>
          </cell>
        </row>
        <row r="93">
          <cell r="E93">
            <v>82</v>
          </cell>
          <cell r="G93">
            <v>11972</v>
          </cell>
          <cell r="J93">
            <v>183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66972</v>
          </cell>
          <cell r="V93">
            <v>210746</v>
          </cell>
          <cell r="W93">
            <v>138792</v>
          </cell>
        </row>
        <row r="94">
          <cell r="E94">
            <v>98</v>
          </cell>
          <cell r="G94">
            <v>14308</v>
          </cell>
          <cell r="J94">
            <v>72</v>
          </cell>
          <cell r="L94">
            <v>25920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95228</v>
          </cell>
          <cell r="V94">
            <v>148792</v>
          </cell>
          <cell r="W94">
            <v>95228</v>
          </cell>
        </row>
        <row r="95">
          <cell r="E95">
            <v>77</v>
          </cell>
          <cell r="G95">
            <v>11242</v>
          </cell>
          <cell r="J95">
            <v>13</v>
          </cell>
          <cell r="L95">
            <v>4680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70922</v>
          </cell>
          <cell r="V95">
            <v>105228</v>
          </cell>
          <cell r="W95">
            <v>70922</v>
          </cell>
        </row>
        <row r="96">
          <cell r="E96">
            <v>81</v>
          </cell>
          <cell r="G96">
            <v>11826</v>
          </cell>
          <cell r="J96">
            <v>6</v>
          </cell>
          <cell r="L96">
            <v>2160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68986</v>
          </cell>
          <cell r="V96">
            <v>80922</v>
          </cell>
          <cell r="W96">
            <v>58986</v>
          </cell>
        </row>
        <row r="97">
          <cell r="E97">
            <v>166</v>
          </cell>
          <cell r="G97">
            <v>24236</v>
          </cell>
          <cell r="J97">
            <v>17</v>
          </cell>
          <cell r="L97">
            <v>6120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85356</v>
          </cell>
          <cell r="V97">
            <v>58986</v>
          </cell>
          <cell r="W97">
            <v>85356</v>
          </cell>
        </row>
        <row r="98">
          <cell r="E98">
            <v>97</v>
          </cell>
          <cell r="G98">
            <v>14162</v>
          </cell>
          <cell r="J98">
            <v>2</v>
          </cell>
          <cell r="L98">
            <v>720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69882</v>
          </cell>
          <cell r="V98">
            <v>85356</v>
          </cell>
          <cell r="W98">
            <v>69882</v>
          </cell>
        </row>
        <row r="99">
          <cell r="E99">
            <v>196</v>
          </cell>
          <cell r="G99">
            <v>28616</v>
          </cell>
          <cell r="J99">
            <v>38</v>
          </cell>
          <cell r="L99">
            <v>13680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97296</v>
          </cell>
          <cell r="V99">
            <v>69882</v>
          </cell>
          <cell r="W99">
            <v>97296</v>
          </cell>
        </row>
        <row r="100">
          <cell r="E100">
            <v>104</v>
          </cell>
          <cell r="G100">
            <v>15184</v>
          </cell>
          <cell r="J100">
            <v>59</v>
          </cell>
          <cell r="L100">
            <v>21240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91424</v>
          </cell>
          <cell r="V100">
            <v>97296</v>
          </cell>
          <cell r="W100">
            <v>91424</v>
          </cell>
        </row>
        <row r="101">
          <cell r="E101">
            <v>109</v>
          </cell>
          <cell r="G101">
            <v>15914</v>
          </cell>
          <cell r="J101">
            <v>76</v>
          </cell>
          <cell r="L101">
            <v>27360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98274</v>
          </cell>
          <cell r="V101">
            <v>91424</v>
          </cell>
          <cell r="W101">
            <v>98274</v>
          </cell>
        </row>
        <row r="102">
          <cell r="E102">
            <v>92</v>
          </cell>
          <cell r="G102">
            <v>13432</v>
          </cell>
          <cell r="J102">
            <v>139</v>
          </cell>
          <cell r="L102">
            <v>50040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118472</v>
          </cell>
          <cell r="V102">
            <v>98274</v>
          </cell>
          <cell r="W102">
            <v>118472</v>
          </cell>
        </row>
        <row r="103">
          <cell r="E103">
            <v>190</v>
          </cell>
          <cell r="G103">
            <v>27740</v>
          </cell>
          <cell r="J103">
            <v>198</v>
          </cell>
          <cell r="L103">
            <v>79920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164310</v>
          </cell>
          <cell r="V103">
            <v>118472</v>
          </cell>
          <cell r="W103">
            <v>164310</v>
          </cell>
        </row>
        <row r="104">
          <cell r="E104">
            <v>232</v>
          </cell>
          <cell r="G104">
            <v>33872</v>
          </cell>
          <cell r="J104">
            <v>368</v>
          </cell>
          <cell r="L104">
            <v>226440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316962</v>
          </cell>
          <cell r="V104">
            <v>164310</v>
          </cell>
          <cell r="W104">
            <v>316962</v>
          </cell>
        </row>
        <row r="105">
          <cell r="E105">
            <v>112</v>
          </cell>
          <cell r="G105">
            <v>16352</v>
          </cell>
          <cell r="J105">
            <v>125</v>
          </cell>
          <cell r="L105">
            <v>45000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118002</v>
          </cell>
          <cell r="V105">
            <v>118002</v>
          </cell>
          <cell r="W105">
            <v>316962</v>
          </cell>
        </row>
        <row r="106">
          <cell r="E106">
            <v>134</v>
          </cell>
          <cell r="G106">
            <v>19564</v>
          </cell>
          <cell r="J106">
            <v>107</v>
          </cell>
          <cell r="L106">
            <v>38520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114734</v>
          </cell>
          <cell r="V106">
            <v>316962</v>
          </cell>
          <cell r="W106">
            <v>114734</v>
          </cell>
        </row>
        <row r="107">
          <cell r="E107">
            <v>58</v>
          </cell>
          <cell r="G107">
            <v>8468</v>
          </cell>
          <cell r="J107">
            <v>32</v>
          </cell>
          <cell r="L107">
            <v>11520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76638</v>
          </cell>
          <cell r="V107">
            <v>114734</v>
          </cell>
          <cell r="W107">
            <v>76638</v>
          </cell>
        </row>
        <row r="108">
          <cell r="E108">
            <v>67</v>
          </cell>
          <cell r="G108">
            <v>9782</v>
          </cell>
          <cell r="J108">
            <v>24</v>
          </cell>
          <cell r="L108">
            <v>8640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75072</v>
          </cell>
          <cell r="V108">
            <v>76638</v>
          </cell>
          <cell r="W108">
            <v>75072</v>
          </cell>
        </row>
        <row r="109">
          <cell r="E109">
            <v>257</v>
          </cell>
          <cell r="G109">
            <v>37522</v>
          </cell>
          <cell r="J109">
            <v>35</v>
          </cell>
          <cell r="L109">
            <v>12600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106772</v>
          </cell>
          <cell r="V109">
            <v>75072</v>
          </cell>
          <cell r="W109">
            <v>106772</v>
          </cell>
        </row>
        <row r="110">
          <cell r="E110">
            <v>144</v>
          </cell>
          <cell r="G110">
            <v>21024</v>
          </cell>
          <cell r="J110">
            <v>56</v>
          </cell>
          <cell r="L110">
            <v>20160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97834</v>
          </cell>
          <cell r="V110">
            <v>204606</v>
          </cell>
          <cell r="W110">
            <v>0</v>
          </cell>
        </row>
        <row r="111">
          <cell r="E111">
            <v>195</v>
          </cell>
          <cell r="G111">
            <v>28470</v>
          </cell>
          <cell r="J111">
            <v>82</v>
          </cell>
          <cell r="L111">
            <v>29520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114640</v>
          </cell>
          <cell r="V111">
            <v>114640</v>
          </cell>
          <cell r="W111">
            <v>0</v>
          </cell>
        </row>
        <row r="112">
          <cell r="E112">
            <v>94</v>
          </cell>
          <cell r="G112">
            <v>13724</v>
          </cell>
          <cell r="J112">
            <v>38</v>
          </cell>
          <cell r="L112">
            <v>13680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84054</v>
          </cell>
          <cell r="V112">
            <v>84054</v>
          </cell>
          <cell r="W112">
            <v>0</v>
          </cell>
        </row>
        <row r="113">
          <cell r="E113">
            <v>173</v>
          </cell>
          <cell r="G113">
            <v>25258</v>
          </cell>
          <cell r="J113">
            <v>85</v>
          </cell>
          <cell r="L113">
            <v>30600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112508</v>
          </cell>
          <cell r="V113">
            <v>112508</v>
          </cell>
          <cell r="W113">
            <v>0</v>
          </cell>
        </row>
        <row r="114">
          <cell r="E114">
            <v>145</v>
          </cell>
          <cell r="G114">
            <v>21170</v>
          </cell>
          <cell r="J114">
            <v>135</v>
          </cell>
          <cell r="L114">
            <v>48600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126420</v>
          </cell>
          <cell r="V114">
            <v>126420</v>
          </cell>
          <cell r="W114">
            <v>0</v>
          </cell>
        </row>
        <row r="115">
          <cell r="E115">
            <v>132</v>
          </cell>
          <cell r="G115">
            <v>19272</v>
          </cell>
          <cell r="J115">
            <v>116</v>
          </cell>
          <cell r="L115">
            <v>41760</v>
          </cell>
          <cell r="M115">
            <v>0</v>
          </cell>
          <cell r="N115">
            <v>0</v>
          </cell>
          <cell r="O115">
            <v>0</v>
          </cell>
          <cell r="P115">
            <v>38199</v>
          </cell>
          <cell r="Q115">
            <v>58859</v>
          </cell>
          <cell r="R115">
            <v>0</v>
          </cell>
          <cell r="S115">
            <v>158090</v>
          </cell>
          <cell r="V115">
            <v>158090</v>
          </cell>
          <cell r="W115">
            <v>0</v>
          </cell>
        </row>
        <row r="116">
          <cell r="E116">
            <v>295</v>
          </cell>
          <cell r="G116">
            <v>43070</v>
          </cell>
          <cell r="J116">
            <v>140</v>
          </cell>
          <cell r="L116">
            <v>50400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152329</v>
          </cell>
          <cell r="V116">
            <v>152329</v>
          </cell>
          <cell r="W116">
            <v>0</v>
          </cell>
        </row>
        <row r="117">
          <cell r="E117">
            <v>201</v>
          </cell>
          <cell r="G117">
            <v>29346</v>
          </cell>
          <cell r="J117">
            <v>109</v>
          </cell>
          <cell r="L117">
            <v>39240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127445</v>
          </cell>
          <cell r="V117">
            <v>127445</v>
          </cell>
          <cell r="W117">
            <v>0</v>
          </cell>
        </row>
        <row r="118">
          <cell r="E118">
            <v>125</v>
          </cell>
          <cell r="G118">
            <v>18250</v>
          </cell>
          <cell r="J118">
            <v>102</v>
          </cell>
          <cell r="L118">
            <v>36720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113829</v>
          </cell>
          <cell r="V118">
            <v>0</v>
          </cell>
          <cell r="W118">
            <v>113829</v>
          </cell>
        </row>
        <row r="119">
          <cell r="E119">
            <v>187</v>
          </cell>
          <cell r="G119">
            <v>27302</v>
          </cell>
          <cell r="J119">
            <v>51</v>
          </cell>
          <cell r="L119">
            <v>18360</v>
          </cell>
          <cell r="M119">
            <v>0</v>
          </cell>
          <cell r="N119">
            <v>0</v>
          </cell>
          <cell r="O119">
            <v>60000</v>
          </cell>
          <cell r="P119">
            <v>0</v>
          </cell>
          <cell r="Q119">
            <v>58859</v>
          </cell>
          <cell r="R119">
            <v>0</v>
          </cell>
          <cell r="S119">
            <v>164521</v>
          </cell>
          <cell r="V119">
            <v>278350</v>
          </cell>
          <cell r="W119">
            <v>0</v>
          </cell>
        </row>
        <row r="120">
          <cell r="E120">
            <v>82</v>
          </cell>
          <cell r="G120">
            <v>11972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71191</v>
          </cell>
          <cell r="V120">
            <v>71191</v>
          </cell>
          <cell r="W120">
            <v>0</v>
          </cell>
        </row>
        <row r="121">
          <cell r="E121">
            <v>284</v>
          </cell>
          <cell r="G121">
            <v>41464</v>
          </cell>
          <cell r="J121">
            <v>28</v>
          </cell>
          <cell r="L121">
            <v>10080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110403</v>
          </cell>
          <cell r="V121">
            <v>110403</v>
          </cell>
          <cell r="W121">
            <v>0</v>
          </cell>
        </row>
        <row r="122">
          <cell r="E122">
            <v>165</v>
          </cell>
          <cell r="G122">
            <v>24090</v>
          </cell>
          <cell r="J122">
            <v>13</v>
          </cell>
          <cell r="L122">
            <v>4680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97629</v>
          </cell>
          <cell r="V122">
            <v>112439</v>
          </cell>
          <cell r="W122">
            <v>-14810</v>
          </cell>
        </row>
        <row r="123">
          <cell r="E123">
            <v>190</v>
          </cell>
          <cell r="G123">
            <v>27740</v>
          </cell>
          <cell r="J123">
            <v>44</v>
          </cell>
          <cell r="L123">
            <v>15840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112439</v>
          </cell>
          <cell r="V123">
            <v>112439</v>
          </cell>
          <cell r="W123">
            <v>-14810</v>
          </cell>
        </row>
        <row r="124">
          <cell r="E124">
            <v>126</v>
          </cell>
          <cell r="G124">
            <v>18396</v>
          </cell>
          <cell r="J124">
            <v>33</v>
          </cell>
          <cell r="L124">
            <v>11880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99135</v>
          </cell>
          <cell r="V124">
            <v>99135</v>
          </cell>
          <cell r="W124">
            <v>-14810</v>
          </cell>
        </row>
        <row r="125">
          <cell r="E125">
            <v>123</v>
          </cell>
          <cell r="G125">
            <v>17958</v>
          </cell>
          <cell r="J125">
            <v>132</v>
          </cell>
          <cell r="L125">
            <v>47520</v>
          </cell>
          <cell r="M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134337</v>
          </cell>
          <cell r="V125">
            <v>134338</v>
          </cell>
          <cell r="W125">
            <v>-14811</v>
          </cell>
        </row>
        <row r="126">
          <cell r="E126">
            <v>155</v>
          </cell>
          <cell r="G126">
            <v>22630</v>
          </cell>
          <cell r="J126">
            <v>321</v>
          </cell>
          <cell r="L126">
            <v>153000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244489</v>
          </cell>
          <cell r="V126">
            <v>244489</v>
          </cell>
          <cell r="W126">
            <v>-14811</v>
          </cell>
        </row>
        <row r="127">
          <cell r="E127">
            <v>143</v>
          </cell>
          <cell r="G127">
            <v>20878</v>
          </cell>
          <cell r="J127">
            <v>481</v>
          </cell>
          <cell r="L127">
            <v>348480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439092</v>
          </cell>
          <cell r="V127">
            <v>439092</v>
          </cell>
          <cell r="W127">
            <v>-14811</v>
          </cell>
        </row>
        <row r="128">
          <cell r="E128">
            <v>149</v>
          </cell>
          <cell r="G128">
            <v>21754</v>
          </cell>
          <cell r="J128">
            <v>168</v>
          </cell>
          <cell r="L128">
            <v>63720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167496</v>
          </cell>
          <cell r="V128">
            <v>167496</v>
          </cell>
          <cell r="W128">
            <v>-14811</v>
          </cell>
        </row>
        <row r="129">
          <cell r="E129">
            <v>153</v>
          </cell>
          <cell r="G129">
            <v>22338</v>
          </cell>
          <cell r="J129">
            <v>143</v>
          </cell>
          <cell r="L129">
            <v>51480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143552</v>
          </cell>
          <cell r="V129">
            <v>143552</v>
          </cell>
          <cell r="W129">
            <v>-14811</v>
          </cell>
        </row>
        <row r="130">
          <cell r="E130">
            <v>128</v>
          </cell>
          <cell r="G130">
            <v>18688</v>
          </cell>
          <cell r="J130">
            <v>118</v>
          </cell>
          <cell r="L130">
            <v>42480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130902</v>
          </cell>
          <cell r="V130">
            <v>116091</v>
          </cell>
          <cell r="W130">
            <v>0</v>
          </cell>
        </row>
        <row r="131">
          <cell r="E131">
            <v>136</v>
          </cell>
          <cell r="G131">
            <v>19856</v>
          </cell>
          <cell r="J131">
            <v>18</v>
          </cell>
          <cell r="L131">
            <v>6480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96070</v>
          </cell>
          <cell r="V131">
            <v>0</v>
          </cell>
          <cell r="W131">
            <v>96070</v>
          </cell>
        </row>
        <row r="132">
          <cell r="E132">
            <v>72</v>
          </cell>
          <cell r="G132">
            <v>10512</v>
          </cell>
          <cell r="J132">
            <v>6</v>
          </cell>
          <cell r="L132">
            <v>2160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82406</v>
          </cell>
          <cell r="V132">
            <v>178476</v>
          </cell>
          <cell r="W132">
            <v>0</v>
          </cell>
        </row>
        <row r="133">
          <cell r="E133">
            <v>159</v>
          </cell>
          <cell r="G133">
            <v>23214</v>
          </cell>
          <cell r="J133">
            <v>10</v>
          </cell>
          <cell r="L133">
            <v>3600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96548</v>
          </cell>
          <cell r="V133">
            <v>0</v>
          </cell>
          <cell r="W133">
            <v>96548</v>
          </cell>
        </row>
        <row r="134">
          <cell r="E134">
            <v>97</v>
          </cell>
          <cell r="G134">
            <v>14162</v>
          </cell>
          <cell r="J134">
            <v>9</v>
          </cell>
          <cell r="L134">
            <v>3240</v>
          </cell>
          <cell r="M134">
            <v>0</v>
          </cell>
          <cell r="N134">
            <v>0</v>
          </cell>
          <cell r="O134">
            <v>74980</v>
          </cell>
          <cell r="P134">
            <v>10000</v>
          </cell>
          <cell r="Q134">
            <v>59734</v>
          </cell>
          <cell r="R134">
            <v>0</v>
          </cell>
          <cell r="S134">
            <v>162116</v>
          </cell>
          <cell r="V134">
            <v>278634</v>
          </cell>
          <cell r="W134">
            <v>-19970</v>
          </cell>
        </row>
        <row r="135">
          <cell r="E135">
            <v>144</v>
          </cell>
          <cell r="G135">
            <v>21024</v>
          </cell>
          <cell r="J135">
            <v>25</v>
          </cell>
          <cell r="L135">
            <v>9000</v>
          </cell>
          <cell r="M135">
            <v>0</v>
          </cell>
          <cell r="N135">
            <v>0</v>
          </cell>
          <cell r="O135">
            <v>16760</v>
          </cell>
          <cell r="P135">
            <v>10000</v>
          </cell>
          <cell r="Q135">
            <v>59734</v>
          </cell>
          <cell r="R135">
            <v>0</v>
          </cell>
          <cell r="S135">
            <v>116518</v>
          </cell>
          <cell r="V135">
            <v>0</v>
          </cell>
          <cell r="W135">
            <v>96548</v>
          </cell>
        </row>
        <row r="136">
          <cell r="E136">
            <v>95</v>
          </cell>
          <cell r="G136">
            <v>13870</v>
          </cell>
          <cell r="J136">
            <v>85</v>
          </cell>
          <cell r="L136">
            <v>30600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114204</v>
          </cell>
          <cell r="V136">
            <v>210752</v>
          </cell>
          <cell r="W136">
            <v>0</v>
          </cell>
        </row>
        <row r="137">
          <cell r="E137">
            <v>103</v>
          </cell>
          <cell r="G137">
            <v>15038</v>
          </cell>
          <cell r="J137">
            <v>71</v>
          </cell>
          <cell r="L137">
            <v>25560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110332</v>
          </cell>
          <cell r="V137">
            <v>0</v>
          </cell>
          <cell r="W137">
            <v>110332</v>
          </cell>
        </row>
        <row r="138">
          <cell r="E138">
            <v>111</v>
          </cell>
          <cell r="G138">
            <v>16206</v>
          </cell>
          <cell r="J138">
            <v>135</v>
          </cell>
          <cell r="L138">
            <v>48600</v>
          </cell>
          <cell r="M138">
            <v>0</v>
          </cell>
          <cell r="N138">
            <v>20000</v>
          </cell>
          <cell r="O138">
            <v>76490</v>
          </cell>
          <cell r="P138">
            <v>10000</v>
          </cell>
          <cell r="Q138">
            <v>59734</v>
          </cell>
          <cell r="R138">
            <v>0</v>
          </cell>
          <cell r="S138">
            <v>231030</v>
          </cell>
          <cell r="V138">
            <v>341362</v>
          </cell>
          <cell r="W138">
            <v>0</v>
          </cell>
        </row>
        <row r="139">
          <cell r="E139">
            <v>143</v>
          </cell>
          <cell r="G139">
            <v>20878</v>
          </cell>
          <cell r="J139">
            <v>118</v>
          </cell>
          <cell r="L139">
            <v>42480</v>
          </cell>
          <cell r="M139">
            <v>0</v>
          </cell>
          <cell r="N139">
            <v>5000</v>
          </cell>
          <cell r="O139">
            <v>20230</v>
          </cell>
          <cell r="P139">
            <v>10000</v>
          </cell>
          <cell r="Q139">
            <v>61536</v>
          </cell>
          <cell r="R139">
            <v>0</v>
          </cell>
          <cell r="S139">
            <v>160124</v>
          </cell>
          <cell r="V139">
            <v>0</v>
          </cell>
          <cell r="W139">
            <v>160124</v>
          </cell>
        </row>
        <row r="140">
          <cell r="E140">
            <v>187</v>
          </cell>
          <cell r="G140">
            <v>27302</v>
          </cell>
          <cell r="J140">
            <v>81</v>
          </cell>
          <cell r="L140">
            <v>29160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132998</v>
          </cell>
          <cell r="V140">
            <v>293122</v>
          </cell>
          <cell r="W140">
            <v>0</v>
          </cell>
        </row>
        <row r="141">
          <cell r="E141">
            <v>189</v>
          </cell>
          <cell r="G141">
            <v>27594</v>
          </cell>
          <cell r="J141">
            <v>98</v>
          </cell>
          <cell r="L141">
            <v>35280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139410</v>
          </cell>
          <cell r="V141">
            <v>139410</v>
          </cell>
          <cell r="W141">
            <v>0</v>
          </cell>
        </row>
        <row r="142">
          <cell r="E142">
            <v>188</v>
          </cell>
          <cell r="G142">
            <v>27448</v>
          </cell>
          <cell r="J142">
            <v>103</v>
          </cell>
          <cell r="L142">
            <v>37080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141064</v>
          </cell>
          <cell r="V142">
            <v>141064</v>
          </cell>
          <cell r="W142">
            <v>0</v>
          </cell>
        </row>
        <row r="143">
          <cell r="E143">
            <v>178</v>
          </cell>
          <cell r="G143">
            <v>25988</v>
          </cell>
          <cell r="J143">
            <v>35</v>
          </cell>
          <cell r="L143">
            <v>12600</v>
          </cell>
          <cell r="M143">
            <v>0</v>
          </cell>
          <cell r="N143">
            <v>5000</v>
          </cell>
          <cell r="O143">
            <v>5000</v>
          </cell>
          <cell r="P143">
            <v>10000</v>
          </cell>
          <cell r="Q143">
            <v>61536</v>
          </cell>
          <cell r="R143">
            <v>0</v>
          </cell>
          <cell r="S143">
            <v>120124</v>
          </cell>
          <cell r="V143">
            <v>120124</v>
          </cell>
          <cell r="W143">
            <v>0</v>
          </cell>
        </row>
        <row r="144">
          <cell r="E144">
            <v>125</v>
          </cell>
          <cell r="G144">
            <v>18250</v>
          </cell>
          <cell r="J144">
            <v>4</v>
          </cell>
          <cell r="L144">
            <v>1440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96226</v>
          </cell>
          <cell r="V144">
            <v>96226</v>
          </cell>
          <cell r="W144">
            <v>0</v>
          </cell>
        </row>
        <row r="145">
          <cell r="E145">
            <v>254</v>
          </cell>
          <cell r="G145">
            <v>37084</v>
          </cell>
          <cell r="J145">
            <v>15</v>
          </cell>
          <cell r="L145">
            <v>5400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119020</v>
          </cell>
          <cell r="V145">
            <v>119020</v>
          </cell>
          <cell r="W145">
            <v>0</v>
          </cell>
        </row>
        <row r="146">
          <cell r="E146">
            <v>120</v>
          </cell>
          <cell r="G146">
            <v>17520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94776</v>
          </cell>
          <cell r="V146">
            <v>0</v>
          </cell>
          <cell r="W146">
            <v>94776</v>
          </cell>
        </row>
        <row r="147">
          <cell r="E147">
            <v>169</v>
          </cell>
          <cell r="G147">
            <v>24674</v>
          </cell>
          <cell r="J147">
            <v>13</v>
          </cell>
          <cell r="L147">
            <v>4680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105890</v>
          </cell>
          <cell r="V147">
            <v>200666</v>
          </cell>
          <cell r="W147">
            <v>0</v>
          </cell>
        </row>
        <row r="148">
          <cell r="E148">
            <v>98</v>
          </cell>
          <cell r="G148">
            <v>14308</v>
          </cell>
          <cell r="J148">
            <v>21</v>
          </cell>
          <cell r="L148">
            <v>7560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98404</v>
          </cell>
          <cell r="V148">
            <v>0</v>
          </cell>
          <cell r="W148">
            <v>98404</v>
          </cell>
        </row>
        <row r="149">
          <cell r="E149">
            <v>133</v>
          </cell>
          <cell r="G149">
            <v>19418</v>
          </cell>
          <cell r="J149">
            <v>62</v>
          </cell>
          <cell r="L149">
            <v>22320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118274</v>
          </cell>
          <cell r="V149">
            <v>216678</v>
          </cell>
          <cell r="W149">
            <v>0</v>
          </cell>
        </row>
        <row r="150">
          <cell r="E150">
            <v>132</v>
          </cell>
          <cell r="G150">
            <v>19272</v>
          </cell>
          <cell r="J150">
            <v>52</v>
          </cell>
          <cell r="L150">
            <v>18720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116528</v>
          </cell>
          <cell r="V150">
            <v>116528</v>
          </cell>
          <cell r="W150">
            <v>0</v>
          </cell>
        </row>
        <row r="151">
          <cell r="E151">
            <v>174</v>
          </cell>
          <cell r="G151">
            <v>25404</v>
          </cell>
          <cell r="J151">
            <v>118</v>
          </cell>
          <cell r="L151">
            <v>42480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149279</v>
          </cell>
          <cell r="V151">
            <v>0</v>
          </cell>
          <cell r="W151">
            <v>149279</v>
          </cell>
        </row>
        <row r="152">
          <cell r="E152">
            <v>364</v>
          </cell>
          <cell r="G152">
            <v>53144</v>
          </cell>
          <cell r="J152">
            <v>106</v>
          </cell>
          <cell r="L152">
            <v>38160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172699</v>
          </cell>
          <cell r="V152">
            <v>321978</v>
          </cell>
          <cell r="W152">
            <v>0</v>
          </cell>
        </row>
        <row r="153">
          <cell r="E153">
            <v>364</v>
          </cell>
          <cell r="G153">
            <v>53144</v>
          </cell>
          <cell r="J153">
            <v>92</v>
          </cell>
          <cell r="L153">
            <v>33120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172618</v>
          </cell>
          <cell r="V153">
            <v>0</v>
          </cell>
          <cell r="W153">
            <v>172618</v>
          </cell>
        </row>
        <row r="154">
          <cell r="E154">
            <v>89</v>
          </cell>
          <cell r="G154">
            <v>12994</v>
          </cell>
          <cell r="J154">
            <v>78</v>
          </cell>
          <cell r="L154">
            <v>28080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127428</v>
          </cell>
          <cell r="V154">
            <v>295086</v>
          </cell>
          <cell r="W154">
            <v>4960</v>
          </cell>
        </row>
        <row r="155">
          <cell r="E155">
            <v>161</v>
          </cell>
          <cell r="G155">
            <v>23506</v>
          </cell>
          <cell r="J155">
            <v>72</v>
          </cell>
          <cell r="L155">
            <v>25920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135780</v>
          </cell>
          <cell r="V155">
            <v>0</v>
          </cell>
          <cell r="W155">
            <v>140740</v>
          </cell>
        </row>
        <row r="156">
          <cell r="E156">
            <v>102</v>
          </cell>
          <cell r="G156">
            <v>14892</v>
          </cell>
          <cell r="J156">
            <v>60</v>
          </cell>
          <cell r="L156">
            <v>21600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122846</v>
          </cell>
          <cell r="V156">
            <v>263586</v>
          </cell>
          <cell r="W156">
            <v>0</v>
          </cell>
        </row>
        <row r="157">
          <cell r="E157">
            <v>224</v>
          </cell>
          <cell r="G157">
            <v>32704</v>
          </cell>
          <cell r="J157">
            <v>40</v>
          </cell>
          <cell r="L157">
            <v>14400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133458</v>
          </cell>
          <cell r="V157">
            <v>133458</v>
          </cell>
          <cell r="W157">
            <v>0</v>
          </cell>
        </row>
        <row r="158">
          <cell r="E158">
            <v>120</v>
          </cell>
          <cell r="G158">
            <v>17520</v>
          </cell>
          <cell r="J158">
            <v>5</v>
          </cell>
          <cell r="L158">
            <v>1800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105674</v>
          </cell>
          <cell r="V158">
            <v>0</v>
          </cell>
          <cell r="W158">
            <v>105674</v>
          </cell>
        </row>
        <row r="159">
          <cell r="E159">
            <v>167</v>
          </cell>
          <cell r="G159">
            <v>24382</v>
          </cell>
          <cell r="J159">
            <v>14</v>
          </cell>
          <cell r="L159">
            <v>5040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115776</v>
          </cell>
          <cell r="V159">
            <v>221450</v>
          </cell>
          <cell r="W159">
            <v>0</v>
          </cell>
        </row>
        <row r="160">
          <cell r="E160">
            <v>80</v>
          </cell>
          <cell r="G160">
            <v>11680</v>
          </cell>
          <cell r="J160">
            <v>17</v>
          </cell>
          <cell r="L160">
            <v>6120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104154</v>
          </cell>
          <cell r="V160">
            <v>0</v>
          </cell>
          <cell r="W160">
            <v>104154</v>
          </cell>
        </row>
        <row r="161">
          <cell r="E161">
            <v>113</v>
          </cell>
          <cell r="G161">
            <v>16498</v>
          </cell>
          <cell r="J161">
            <v>72</v>
          </cell>
          <cell r="L161">
            <v>25920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128772</v>
          </cell>
          <cell r="V161">
            <v>232926</v>
          </cell>
          <cell r="W161">
            <v>0</v>
          </cell>
        </row>
        <row r="162">
          <cell r="E162">
            <v>269</v>
          </cell>
          <cell r="G162">
            <v>39274</v>
          </cell>
          <cell r="J162">
            <v>74</v>
          </cell>
          <cell r="L162">
            <v>26640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151974</v>
          </cell>
          <cell r="V162">
            <v>0</v>
          </cell>
          <cell r="W162">
            <v>151974</v>
          </cell>
        </row>
        <row r="163">
          <cell r="E163">
            <v>119</v>
          </cell>
          <cell r="G163">
            <v>17374</v>
          </cell>
          <cell r="J163">
            <v>54</v>
          </cell>
          <cell r="L163">
            <v>19440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132874</v>
          </cell>
          <cell r="V163">
            <v>284848</v>
          </cell>
          <cell r="W163">
            <v>0</v>
          </cell>
        </row>
        <row r="164">
          <cell r="E164">
            <v>386</v>
          </cell>
          <cell r="G164">
            <v>56356</v>
          </cell>
          <cell r="J164">
            <v>92</v>
          </cell>
          <cell r="L164">
            <v>33120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185536</v>
          </cell>
          <cell r="V164">
            <v>0</v>
          </cell>
          <cell r="W164">
            <v>185536</v>
          </cell>
        </row>
        <row r="165">
          <cell r="E165">
            <v>191</v>
          </cell>
          <cell r="G165">
            <v>27886</v>
          </cell>
          <cell r="J165">
            <v>66</v>
          </cell>
          <cell r="L165">
            <v>23760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147706</v>
          </cell>
          <cell r="V165">
            <v>333242</v>
          </cell>
          <cell r="W165">
            <v>0</v>
          </cell>
        </row>
        <row r="166">
          <cell r="E166">
            <v>80</v>
          </cell>
          <cell r="G166">
            <v>11680</v>
          </cell>
          <cell r="J166">
            <v>15</v>
          </cell>
          <cell r="L166">
            <v>5400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113184</v>
          </cell>
          <cell r="V166">
            <v>0</v>
          </cell>
          <cell r="W166">
            <v>113184</v>
          </cell>
        </row>
        <row r="167">
          <cell r="E167">
            <v>85</v>
          </cell>
          <cell r="G167">
            <v>12410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108514</v>
          </cell>
          <cell r="V167">
            <v>221698</v>
          </cell>
          <cell r="W167">
            <v>0</v>
          </cell>
        </row>
        <row r="168">
          <cell r="E168">
            <v>140</v>
          </cell>
          <cell r="G168">
            <v>20440</v>
          </cell>
          <cell r="J168">
            <v>9</v>
          </cell>
          <cell r="L168">
            <v>3240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119784</v>
          </cell>
          <cell r="V168">
            <v>0</v>
          </cell>
          <cell r="W168">
            <v>119784</v>
          </cell>
        </row>
        <row r="169">
          <cell r="E169">
            <v>181</v>
          </cell>
          <cell r="G169">
            <v>26426</v>
          </cell>
          <cell r="J169">
            <v>4</v>
          </cell>
          <cell r="L169">
            <v>1440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123576</v>
          </cell>
          <cell r="V169">
            <v>243360</v>
          </cell>
          <cell r="W169">
            <v>0</v>
          </cell>
        </row>
        <row r="170">
          <cell r="E170">
            <v>90</v>
          </cell>
          <cell r="G170">
            <v>13140</v>
          </cell>
          <cell r="J170">
            <v>2</v>
          </cell>
          <cell r="L170">
            <v>720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109570</v>
          </cell>
          <cell r="V170">
            <v>0</v>
          </cell>
          <cell r="W170">
            <v>109570</v>
          </cell>
        </row>
        <row r="171">
          <cell r="E171">
            <v>142</v>
          </cell>
          <cell r="G171">
            <v>20732</v>
          </cell>
          <cell r="J171">
            <v>11</v>
          </cell>
          <cell r="L171">
            <v>3960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116087</v>
          </cell>
          <cell r="V171">
            <v>225657</v>
          </cell>
          <cell r="W171">
            <v>0</v>
          </cell>
        </row>
        <row r="172">
          <cell r="E172">
            <v>82</v>
          </cell>
          <cell r="G172">
            <v>11972</v>
          </cell>
          <cell r="J172">
            <v>5</v>
          </cell>
          <cell r="L172">
            <v>1800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105167</v>
          </cell>
          <cell r="V172">
            <v>0</v>
          </cell>
          <cell r="W172">
            <v>105167</v>
          </cell>
        </row>
        <row r="173">
          <cell r="E173">
            <v>114</v>
          </cell>
          <cell r="G173">
            <v>16644</v>
          </cell>
          <cell r="J173">
            <v>29</v>
          </cell>
          <cell r="L173">
            <v>10440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118479</v>
          </cell>
          <cell r="V173">
            <v>216646</v>
          </cell>
          <cell r="W173">
            <v>7000</v>
          </cell>
        </row>
        <row r="174">
          <cell r="E174">
            <v>130</v>
          </cell>
          <cell r="G174">
            <v>18980</v>
          </cell>
          <cell r="J174">
            <v>66</v>
          </cell>
          <cell r="L174">
            <v>23760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134135</v>
          </cell>
          <cell r="V174">
            <v>0</v>
          </cell>
          <cell r="W174">
            <v>141135</v>
          </cell>
        </row>
      </sheetData>
      <sheetData sheetId="1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39000</v>
          </cell>
        </row>
        <row r="27">
          <cell r="E27">
            <v>50.3</v>
          </cell>
          <cell r="G27">
            <v>3168.8999999999996</v>
          </cell>
          <cell r="J27">
            <v>44.1</v>
          </cell>
          <cell r="L27">
            <v>15876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58044.9</v>
          </cell>
          <cell r="V27">
            <v>39000</v>
          </cell>
          <cell r="W27">
            <v>58044.899999999994</v>
          </cell>
        </row>
        <row r="28">
          <cell r="E28">
            <v>42.400000000000006</v>
          </cell>
          <cell r="G28">
            <v>2671.2000000000003</v>
          </cell>
          <cell r="J28">
            <v>26.199999999999996</v>
          </cell>
          <cell r="L28">
            <v>9431.9999999999982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51103.199999999997</v>
          </cell>
          <cell r="V28">
            <v>0</v>
          </cell>
          <cell r="W28">
            <v>109148.09999999999</v>
          </cell>
        </row>
        <row r="29">
          <cell r="E29">
            <v>36.100000000000009</v>
          </cell>
          <cell r="G29">
            <v>2274.3000000000006</v>
          </cell>
          <cell r="J29">
            <v>73.399999999999991</v>
          </cell>
          <cell r="L29">
            <v>26423.999999999996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67698.299999999988</v>
          </cell>
          <cell r="V29">
            <v>109148</v>
          </cell>
          <cell r="W29">
            <v>67698.399999999994</v>
          </cell>
        </row>
        <row r="30">
          <cell r="E30">
            <v>6.7999999999999829</v>
          </cell>
          <cell r="G30">
            <v>428.39999999999895</v>
          </cell>
          <cell r="J30">
            <v>113.69999999999999</v>
          </cell>
          <cell r="L30">
            <v>40931.999999999993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80360.399999999994</v>
          </cell>
          <cell r="V30">
            <v>0</v>
          </cell>
          <cell r="W30">
            <v>148058.79999999999</v>
          </cell>
        </row>
        <row r="31">
          <cell r="E31">
            <v>35.400000000000006</v>
          </cell>
          <cell r="G31">
            <v>2230.2000000000003</v>
          </cell>
          <cell r="J31">
            <v>150.60000000000002</v>
          </cell>
          <cell r="L31">
            <v>54216.000000000007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95446.200000000012</v>
          </cell>
          <cell r="V31">
            <v>0</v>
          </cell>
          <cell r="W31">
            <v>286505</v>
          </cell>
        </row>
        <row r="32">
          <cell r="E32">
            <v>320</v>
          </cell>
          <cell r="G32">
            <v>20160</v>
          </cell>
          <cell r="J32">
            <v>329</v>
          </cell>
          <cell r="L32">
            <v>118440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181600</v>
          </cell>
          <cell r="V32">
            <v>286505</v>
          </cell>
          <cell r="W32">
            <v>181600</v>
          </cell>
        </row>
        <row r="33">
          <cell r="E33">
            <v>379</v>
          </cell>
          <cell r="G33">
            <v>23877</v>
          </cell>
          <cell r="J33">
            <v>299.79999999999995</v>
          </cell>
          <cell r="L33">
            <v>107927.99999999999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174805</v>
          </cell>
          <cell r="V33">
            <v>0</v>
          </cell>
          <cell r="W33">
            <v>356405</v>
          </cell>
        </row>
        <row r="34">
          <cell r="E34">
            <v>459</v>
          </cell>
          <cell r="G34">
            <v>28917</v>
          </cell>
          <cell r="J34">
            <v>112.20000000000005</v>
          </cell>
          <cell r="L34">
            <v>40392.000000000015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112309.00000000001</v>
          </cell>
          <cell r="V34">
            <v>0</v>
          </cell>
          <cell r="W34">
            <v>468714</v>
          </cell>
        </row>
        <row r="35">
          <cell r="E35">
            <v>546</v>
          </cell>
          <cell r="G35">
            <v>34398</v>
          </cell>
          <cell r="J35">
            <v>58</v>
          </cell>
          <cell r="L35">
            <v>20880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98278</v>
          </cell>
          <cell r="V35">
            <v>468714</v>
          </cell>
          <cell r="W35">
            <v>98278</v>
          </cell>
        </row>
        <row r="36">
          <cell r="E36">
            <v>307</v>
          </cell>
          <cell r="G36">
            <v>19341</v>
          </cell>
          <cell r="J36">
            <v>50</v>
          </cell>
          <cell r="L36">
            <v>18000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80341</v>
          </cell>
          <cell r="V36">
            <v>0</v>
          </cell>
          <cell r="W36">
            <v>178619</v>
          </cell>
        </row>
        <row r="37">
          <cell r="E37">
            <v>305</v>
          </cell>
          <cell r="G37">
            <v>19215</v>
          </cell>
          <cell r="J37">
            <v>57</v>
          </cell>
          <cell r="L37">
            <v>20520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82735</v>
          </cell>
          <cell r="V37">
            <v>0</v>
          </cell>
          <cell r="W37">
            <v>261354</v>
          </cell>
        </row>
        <row r="38">
          <cell r="E38">
            <v>409</v>
          </cell>
          <cell r="G38">
            <v>25767</v>
          </cell>
          <cell r="J38">
            <v>63</v>
          </cell>
          <cell r="L38">
            <v>22680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91447</v>
          </cell>
          <cell r="V38">
            <v>261354</v>
          </cell>
          <cell r="W38">
            <v>91447</v>
          </cell>
        </row>
        <row r="39">
          <cell r="E39">
            <v>394</v>
          </cell>
          <cell r="G39">
            <v>24822</v>
          </cell>
          <cell r="J39">
            <v>72</v>
          </cell>
          <cell r="L39">
            <v>25920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93742</v>
          </cell>
          <cell r="V39">
            <v>0</v>
          </cell>
          <cell r="W39">
            <v>185189</v>
          </cell>
        </row>
        <row r="40">
          <cell r="E40">
            <v>350</v>
          </cell>
          <cell r="G40">
            <v>22050</v>
          </cell>
          <cell r="J40">
            <v>93</v>
          </cell>
          <cell r="L40">
            <v>33480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98530</v>
          </cell>
          <cell r="V40">
            <v>185189</v>
          </cell>
          <cell r="W40">
            <v>98530</v>
          </cell>
        </row>
        <row r="41">
          <cell r="E41">
            <v>412</v>
          </cell>
          <cell r="G41">
            <v>25956</v>
          </cell>
          <cell r="J41">
            <v>60</v>
          </cell>
          <cell r="L41">
            <v>21600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90556</v>
          </cell>
          <cell r="V41">
            <v>0</v>
          </cell>
          <cell r="W41">
            <v>189086</v>
          </cell>
        </row>
        <row r="42">
          <cell r="E42">
            <v>507</v>
          </cell>
          <cell r="G42">
            <v>31941</v>
          </cell>
          <cell r="J42">
            <v>102</v>
          </cell>
          <cell r="L42">
            <v>36720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111661</v>
          </cell>
          <cell r="V42">
            <v>0</v>
          </cell>
          <cell r="W42">
            <v>300747</v>
          </cell>
        </row>
        <row r="43">
          <cell r="E43">
            <v>680</v>
          </cell>
          <cell r="G43">
            <v>42840</v>
          </cell>
          <cell r="J43">
            <v>198</v>
          </cell>
          <cell r="L43">
            <v>71280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157120</v>
          </cell>
          <cell r="V43">
            <v>0</v>
          </cell>
          <cell r="W43">
            <v>457867</v>
          </cell>
        </row>
        <row r="44">
          <cell r="E44">
            <v>450</v>
          </cell>
          <cell r="G44">
            <v>28350</v>
          </cell>
          <cell r="J44">
            <v>84</v>
          </cell>
          <cell r="L44">
            <v>30240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101590</v>
          </cell>
          <cell r="V44">
            <v>0</v>
          </cell>
          <cell r="W44">
            <v>559457</v>
          </cell>
        </row>
        <row r="45">
          <cell r="E45">
            <v>437</v>
          </cell>
          <cell r="G45">
            <v>27531</v>
          </cell>
          <cell r="J45">
            <v>36</v>
          </cell>
          <cell r="L45">
            <v>12960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83491</v>
          </cell>
          <cell r="V45">
            <v>559457</v>
          </cell>
          <cell r="W45">
            <v>83491</v>
          </cell>
        </row>
        <row r="46">
          <cell r="E46">
            <v>421</v>
          </cell>
          <cell r="G46">
            <v>26523</v>
          </cell>
          <cell r="J46">
            <v>30</v>
          </cell>
          <cell r="L46">
            <v>10800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80323</v>
          </cell>
          <cell r="V46">
            <v>83491</v>
          </cell>
          <cell r="W46">
            <v>80323</v>
          </cell>
        </row>
        <row r="47">
          <cell r="E47">
            <v>415</v>
          </cell>
          <cell r="G47">
            <v>26145</v>
          </cell>
          <cell r="J47">
            <v>28</v>
          </cell>
          <cell r="L47">
            <v>10080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79225</v>
          </cell>
          <cell r="V47">
            <v>80323</v>
          </cell>
          <cell r="W47">
            <v>79225</v>
          </cell>
        </row>
        <row r="48">
          <cell r="E48">
            <v>380</v>
          </cell>
          <cell r="G48">
            <v>23940</v>
          </cell>
          <cell r="J48">
            <v>127</v>
          </cell>
          <cell r="L48">
            <v>45720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112660</v>
          </cell>
          <cell r="V48">
            <v>0</v>
          </cell>
          <cell r="W48">
            <v>191885</v>
          </cell>
        </row>
        <row r="49">
          <cell r="E49">
            <v>267</v>
          </cell>
          <cell r="G49">
            <v>16821</v>
          </cell>
          <cell r="J49">
            <v>14</v>
          </cell>
          <cell r="L49">
            <v>5040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64861</v>
          </cell>
          <cell r="V49">
            <v>0</v>
          </cell>
          <cell r="W49">
            <v>256746</v>
          </cell>
        </row>
        <row r="50">
          <cell r="E50">
            <v>445</v>
          </cell>
          <cell r="G50">
            <v>28035</v>
          </cell>
          <cell r="J50">
            <v>19</v>
          </cell>
          <cell r="L50">
            <v>6840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77875</v>
          </cell>
          <cell r="V50">
            <v>0</v>
          </cell>
          <cell r="W50">
            <v>334621</v>
          </cell>
        </row>
        <row r="51">
          <cell r="E51">
            <v>409</v>
          </cell>
          <cell r="G51">
            <v>25767</v>
          </cell>
          <cell r="J51">
            <v>87</v>
          </cell>
          <cell r="L51">
            <v>31320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100087</v>
          </cell>
          <cell r="V51">
            <v>334621</v>
          </cell>
          <cell r="W51">
            <v>100087</v>
          </cell>
        </row>
        <row r="52">
          <cell r="E52">
            <v>264</v>
          </cell>
          <cell r="G52">
            <v>16632</v>
          </cell>
          <cell r="J52">
            <v>526</v>
          </cell>
          <cell r="L52">
            <v>189360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248992</v>
          </cell>
          <cell r="V52">
            <v>100087</v>
          </cell>
          <cell r="W52">
            <v>0</v>
          </cell>
        </row>
        <row r="53">
          <cell r="E53">
            <v>190</v>
          </cell>
          <cell r="G53">
            <v>11970</v>
          </cell>
          <cell r="J53">
            <v>260</v>
          </cell>
          <cell r="L53">
            <v>93600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148570</v>
          </cell>
          <cell r="V53">
            <v>0</v>
          </cell>
          <cell r="W53">
            <v>148570</v>
          </cell>
        </row>
        <row r="54">
          <cell r="E54">
            <v>100</v>
          </cell>
          <cell r="G54">
            <v>6300</v>
          </cell>
          <cell r="J54">
            <v>31</v>
          </cell>
          <cell r="L54">
            <v>11160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60460</v>
          </cell>
          <cell r="V54">
            <v>0</v>
          </cell>
          <cell r="W54">
            <v>216030</v>
          </cell>
        </row>
        <row r="55">
          <cell r="E55">
            <v>255</v>
          </cell>
          <cell r="G55">
            <v>16065</v>
          </cell>
          <cell r="J55">
            <v>380</v>
          </cell>
          <cell r="L55">
            <v>136800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202865</v>
          </cell>
          <cell r="V55">
            <v>0</v>
          </cell>
          <cell r="W55">
            <v>418895</v>
          </cell>
        </row>
        <row r="56">
          <cell r="E56">
            <v>255</v>
          </cell>
          <cell r="G56">
            <v>16065</v>
          </cell>
          <cell r="J56">
            <v>223</v>
          </cell>
          <cell r="L56">
            <v>80280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146345</v>
          </cell>
          <cell r="V56">
            <v>418895</v>
          </cell>
          <cell r="W56">
            <v>146345</v>
          </cell>
        </row>
        <row r="57">
          <cell r="E57">
            <v>214</v>
          </cell>
          <cell r="G57">
            <v>13482</v>
          </cell>
          <cell r="J57">
            <v>141</v>
          </cell>
          <cell r="L57">
            <v>50760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114242</v>
          </cell>
          <cell r="V57">
            <v>0</v>
          </cell>
          <cell r="W57">
            <v>260587</v>
          </cell>
        </row>
        <row r="58">
          <cell r="E58">
            <v>256</v>
          </cell>
          <cell r="G58">
            <v>16128</v>
          </cell>
          <cell r="J58">
            <v>146</v>
          </cell>
          <cell r="L58">
            <v>52560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118688</v>
          </cell>
          <cell r="V58">
            <v>260587</v>
          </cell>
          <cell r="W58">
            <v>118688</v>
          </cell>
        </row>
        <row r="59">
          <cell r="E59">
            <v>234</v>
          </cell>
          <cell r="G59">
            <v>14742</v>
          </cell>
          <cell r="J59">
            <v>59</v>
          </cell>
          <cell r="L59">
            <v>21240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85982</v>
          </cell>
          <cell r="V59">
            <v>118688</v>
          </cell>
          <cell r="W59">
            <v>85982</v>
          </cell>
        </row>
        <row r="60">
          <cell r="E60">
            <v>246</v>
          </cell>
          <cell r="G60">
            <v>15498</v>
          </cell>
          <cell r="J60">
            <v>17</v>
          </cell>
          <cell r="L60">
            <v>6120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71618</v>
          </cell>
          <cell r="V60">
            <v>0</v>
          </cell>
          <cell r="W60">
            <v>157600</v>
          </cell>
        </row>
        <row r="61">
          <cell r="E61">
            <v>284</v>
          </cell>
          <cell r="G61">
            <v>17892</v>
          </cell>
          <cell r="J61">
            <v>29</v>
          </cell>
          <cell r="L61">
            <v>10440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78332</v>
          </cell>
          <cell r="V61">
            <v>157600</v>
          </cell>
          <cell r="W61">
            <v>78332</v>
          </cell>
        </row>
        <row r="62">
          <cell r="E62">
            <v>224</v>
          </cell>
          <cell r="G62">
            <v>14112</v>
          </cell>
          <cell r="J62">
            <v>24</v>
          </cell>
          <cell r="L62">
            <v>8640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72752</v>
          </cell>
          <cell r="V62">
            <v>78332</v>
          </cell>
          <cell r="W62">
            <v>72752</v>
          </cell>
        </row>
        <row r="63">
          <cell r="E63">
            <v>194</v>
          </cell>
          <cell r="G63">
            <v>12222</v>
          </cell>
          <cell r="J63">
            <v>24</v>
          </cell>
          <cell r="L63">
            <v>8640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70862</v>
          </cell>
          <cell r="V63">
            <v>0</v>
          </cell>
          <cell r="W63">
            <v>143614</v>
          </cell>
        </row>
        <row r="64">
          <cell r="E64">
            <v>232</v>
          </cell>
          <cell r="G64">
            <v>18328</v>
          </cell>
          <cell r="J64">
            <v>69</v>
          </cell>
          <cell r="L64">
            <v>24840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93168</v>
          </cell>
          <cell r="V64">
            <v>143614</v>
          </cell>
          <cell r="W64">
            <v>93168</v>
          </cell>
        </row>
        <row r="65">
          <cell r="E65">
            <v>256</v>
          </cell>
          <cell r="G65">
            <v>20224</v>
          </cell>
          <cell r="J65">
            <v>194</v>
          </cell>
          <cell r="L65">
            <v>69840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140064</v>
          </cell>
          <cell r="V65">
            <v>93168</v>
          </cell>
          <cell r="W65">
            <v>140064</v>
          </cell>
        </row>
        <row r="66">
          <cell r="E66">
            <v>178</v>
          </cell>
          <cell r="G66">
            <v>14062</v>
          </cell>
          <cell r="J66">
            <v>145</v>
          </cell>
          <cell r="L66">
            <v>52200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116262</v>
          </cell>
          <cell r="V66">
            <v>0</v>
          </cell>
          <cell r="W66">
            <v>256326</v>
          </cell>
        </row>
        <row r="67">
          <cell r="E67">
            <v>466</v>
          </cell>
          <cell r="G67">
            <v>40542</v>
          </cell>
          <cell r="J67">
            <v>214</v>
          </cell>
          <cell r="L67">
            <v>77040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167582</v>
          </cell>
          <cell r="V67">
            <v>256326</v>
          </cell>
          <cell r="W67">
            <v>167582</v>
          </cell>
        </row>
        <row r="68">
          <cell r="E68">
            <v>194</v>
          </cell>
          <cell r="G68">
            <v>16878</v>
          </cell>
          <cell r="J68">
            <v>67</v>
          </cell>
          <cell r="L68">
            <v>24120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90998</v>
          </cell>
          <cell r="V68">
            <v>0</v>
          </cell>
          <cell r="W68">
            <v>258580</v>
          </cell>
        </row>
        <row r="69">
          <cell r="E69">
            <v>239</v>
          </cell>
          <cell r="G69">
            <v>26529</v>
          </cell>
          <cell r="J69">
            <v>71</v>
          </cell>
          <cell r="L69">
            <v>25560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102089</v>
          </cell>
          <cell r="V69">
            <v>258580</v>
          </cell>
          <cell r="W69">
            <v>102089</v>
          </cell>
        </row>
        <row r="70">
          <cell r="E70">
            <v>258</v>
          </cell>
          <cell r="G70">
            <v>31992</v>
          </cell>
          <cell r="J70">
            <v>114</v>
          </cell>
          <cell r="L70">
            <v>41040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123032</v>
          </cell>
          <cell r="V70">
            <v>102089</v>
          </cell>
          <cell r="W70">
            <v>123032</v>
          </cell>
        </row>
        <row r="71">
          <cell r="E71">
            <v>167</v>
          </cell>
          <cell r="G71">
            <v>16366</v>
          </cell>
          <cell r="J71">
            <v>32</v>
          </cell>
          <cell r="L71">
            <v>11520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77886</v>
          </cell>
          <cell r="V71">
            <v>200918</v>
          </cell>
          <cell r="W71">
            <v>0</v>
          </cell>
        </row>
        <row r="72">
          <cell r="E72">
            <v>133</v>
          </cell>
          <cell r="G72">
            <v>13832</v>
          </cell>
          <cell r="J72">
            <v>7</v>
          </cell>
          <cell r="L72">
            <v>2520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66352</v>
          </cell>
          <cell r="V72">
            <v>0</v>
          </cell>
          <cell r="W72">
            <v>66352</v>
          </cell>
        </row>
        <row r="73">
          <cell r="E73">
            <v>135</v>
          </cell>
          <cell r="G73">
            <v>15120</v>
          </cell>
          <cell r="J73">
            <v>8</v>
          </cell>
          <cell r="L73">
            <v>2880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68000</v>
          </cell>
          <cell r="V73">
            <v>0</v>
          </cell>
          <cell r="W73">
            <v>134352</v>
          </cell>
        </row>
        <row r="74">
          <cell r="E74">
            <v>124</v>
          </cell>
          <cell r="G74">
            <v>13268</v>
          </cell>
          <cell r="J74">
            <v>16</v>
          </cell>
          <cell r="L74">
            <v>5760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69028</v>
          </cell>
          <cell r="V74">
            <v>134352</v>
          </cell>
          <cell r="W74">
            <v>69028</v>
          </cell>
        </row>
        <row r="75">
          <cell r="E75">
            <v>164</v>
          </cell>
          <cell r="G75">
            <v>18040</v>
          </cell>
          <cell r="J75">
            <v>7</v>
          </cell>
          <cell r="L75">
            <v>2520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70560</v>
          </cell>
          <cell r="V75">
            <v>69028</v>
          </cell>
          <cell r="W75">
            <v>77616</v>
          </cell>
        </row>
        <row r="76">
          <cell r="E76">
            <v>147</v>
          </cell>
          <cell r="G76">
            <v>18522</v>
          </cell>
          <cell r="J76">
            <v>87</v>
          </cell>
          <cell r="L76">
            <v>31320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99842</v>
          </cell>
          <cell r="V76">
            <v>0</v>
          </cell>
          <cell r="W76">
            <v>177458</v>
          </cell>
        </row>
        <row r="77">
          <cell r="E77">
            <v>154</v>
          </cell>
          <cell r="G77">
            <v>18326</v>
          </cell>
          <cell r="J77">
            <v>122</v>
          </cell>
          <cell r="L77">
            <v>43920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112246</v>
          </cell>
          <cell r="V77">
            <v>177458</v>
          </cell>
          <cell r="W77">
            <v>112246</v>
          </cell>
        </row>
        <row r="78">
          <cell r="E78">
            <v>345</v>
          </cell>
          <cell r="G78">
            <v>37260</v>
          </cell>
          <cell r="J78">
            <v>229</v>
          </cell>
          <cell r="L78">
            <v>82440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169700</v>
          </cell>
          <cell r="V78">
            <v>112246</v>
          </cell>
          <cell r="W78">
            <v>169700</v>
          </cell>
        </row>
        <row r="79">
          <cell r="E79">
            <v>247</v>
          </cell>
          <cell r="G79">
            <v>30628</v>
          </cell>
          <cell r="J79">
            <v>92</v>
          </cell>
          <cell r="L79">
            <v>33120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113748</v>
          </cell>
          <cell r="V79">
            <v>0</v>
          </cell>
          <cell r="W79">
            <v>283448</v>
          </cell>
        </row>
        <row r="80">
          <cell r="E80">
            <v>211</v>
          </cell>
          <cell r="G80">
            <v>27430</v>
          </cell>
          <cell r="J80">
            <v>88</v>
          </cell>
          <cell r="L80">
            <v>31680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109110</v>
          </cell>
          <cell r="V80">
            <v>0</v>
          </cell>
          <cell r="W80">
            <v>392558</v>
          </cell>
        </row>
        <row r="81">
          <cell r="E81">
            <v>247</v>
          </cell>
          <cell r="G81">
            <v>32110</v>
          </cell>
          <cell r="J81">
            <v>25</v>
          </cell>
          <cell r="L81">
            <v>9000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91110</v>
          </cell>
          <cell r="V81">
            <v>392588</v>
          </cell>
          <cell r="W81">
            <v>91080</v>
          </cell>
        </row>
        <row r="82">
          <cell r="E82">
            <v>191</v>
          </cell>
          <cell r="G82">
            <v>26740</v>
          </cell>
          <cell r="J82">
            <v>37</v>
          </cell>
          <cell r="L82">
            <v>13320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90060</v>
          </cell>
          <cell r="V82">
            <v>91080</v>
          </cell>
          <cell r="W82">
            <v>90060</v>
          </cell>
        </row>
        <row r="83">
          <cell r="E83">
            <v>213</v>
          </cell>
          <cell r="G83">
            <v>31098</v>
          </cell>
          <cell r="J83">
            <v>9</v>
          </cell>
          <cell r="L83">
            <v>3240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84338</v>
          </cell>
          <cell r="V83">
            <v>90060</v>
          </cell>
          <cell r="W83">
            <v>84338</v>
          </cell>
        </row>
        <row r="84">
          <cell r="E84">
            <v>276</v>
          </cell>
          <cell r="G84">
            <v>40296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90656</v>
          </cell>
          <cell r="V84">
            <v>84338</v>
          </cell>
          <cell r="W84">
            <v>90656</v>
          </cell>
        </row>
        <row r="85">
          <cell r="E85">
            <v>298</v>
          </cell>
          <cell r="G85">
            <v>43508</v>
          </cell>
          <cell r="J85">
            <v>8</v>
          </cell>
          <cell r="L85">
            <v>2880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96388</v>
          </cell>
          <cell r="V85">
            <v>90656</v>
          </cell>
          <cell r="W85">
            <v>148388</v>
          </cell>
        </row>
        <row r="86">
          <cell r="E86">
            <v>205</v>
          </cell>
          <cell r="G86">
            <v>29930</v>
          </cell>
          <cell r="J86">
            <v>-5814</v>
          </cell>
          <cell r="L86">
            <v>-2093040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-2003110</v>
          </cell>
          <cell r="V86">
            <v>148388</v>
          </cell>
          <cell r="W86">
            <v>77010</v>
          </cell>
        </row>
        <row r="87">
          <cell r="E87">
            <v>262</v>
          </cell>
          <cell r="G87">
            <v>38252</v>
          </cell>
          <cell r="J87">
            <v>12</v>
          </cell>
          <cell r="L87">
            <v>4320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88572</v>
          </cell>
          <cell r="V87">
            <v>77010</v>
          </cell>
          <cell r="W87">
            <v>88572</v>
          </cell>
        </row>
        <row r="88">
          <cell r="E88">
            <v>212</v>
          </cell>
          <cell r="G88">
            <v>30952</v>
          </cell>
          <cell r="J88">
            <v>37</v>
          </cell>
          <cell r="L88">
            <v>13320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90272</v>
          </cell>
          <cell r="V88">
            <v>88572</v>
          </cell>
          <cell r="W88">
            <v>90272</v>
          </cell>
        </row>
        <row r="89">
          <cell r="E89">
            <v>202</v>
          </cell>
          <cell r="G89">
            <v>29492</v>
          </cell>
          <cell r="J89">
            <v>36</v>
          </cell>
          <cell r="L89">
            <v>12960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88452</v>
          </cell>
          <cell r="V89">
            <v>90272</v>
          </cell>
          <cell r="W89">
            <v>88452</v>
          </cell>
        </row>
        <row r="90">
          <cell r="E90">
            <v>260</v>
          </cell>
          <cell r="G90">
            <v>37960</v>
          </cell>
          <cell r="J90">
            <v>75</v>
          </cell>
          <cell r="L90">
            <v>27000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110960</v>
          </cell>
          <cell r="V90">
            <v>88452</v>
          </cell>
          <cell r="W90">
            <v>110960</v>
          </cell>
        </row>
        <row r="91">
          <cell r="E91">
            <v>266</v>
          </cell>
          <cell r="G91">
            <v>38836</v>
          </cell>
          <cell r="J91">
            <v>87</v>
          </cell>
          <cell r="L91">
            <v>31320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125156</v>
          </cell>
          <cell r="V91">
            <v>110960</v>
          </cell>
          <cell r="W91">
            <v>135156</v>
          </cell>
        </row>
        <row r="92">
          <cell r="E92">
            <v>241</v>
          </cell>
          <cell r="G92">
            <v>35186</v>
          </cell>
          <cell r="J92">
            <v>55</v>
          </cell>
          <cell r="L92">
            <v>19800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109986</v>
          </cell>
          <cell r="V92">
            <v>135156</v>
          </cell>
          <cell r="W92">
            <v>119986</v>
          </cell>
        </row>
        <row r="93">
          <cell r="E93">
            <v>163</v>
          </cell>
          <cell r="G93">
            <v>23798</v>
          </cell>
          <cell r="J93">
            <v>19</v>
          </cell>
          <cell r="L93">
            <v>6840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85638</v>
          </cell>
          <cell r="V93">
            <v>119986</v>
          </cell>
          <cell r="W93">
            <v>95638</v>
          </cell>
        </row>
        <row r="94">
          <cell r="E94">
            <v>181</v>
          </cell>
          <cell r="G94">
            <v>26426</v>
          </cell>
          <cell r="J94">
            <v>8</v>
          </cell>
          <cell r="L94">
            <v>2880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84306</v>
          </cell>
          <cell r="V94">
            <v>95638</v>
          </cell>
          <cell r="W94">
            <v>94306</v>
          </cell>
        </row>
        <row r="95">
          <cell r="E95">
            <v>186</v>
          </cell>
          <cell r="G95">
            <v>27156</v>
          </cell>
          <cell r="J95">
            <v>3</v>
          </cell>
          <cell r="L95">
            <v>1080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83236</v>
          </cell>
          <cell r="V95">
            <v>94306</v>
          </cell>
          <cell r="W95">
            <v>93236</v>
          </cell>
        </row>
        <row r="96">
          <cell r="E96">
            <v>164</v>
          </cell>
          <cell r="G96">
            <v>23944</v>
          </cell>
          <cell r="J96">
            <v>2</v>
          </cell>
          <cell r="L96">
            <v>720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79664</v>
          </cell>
          <cell r="V96">
            <v>93236</v>
          </cell>
          <cell r="W96">
            <v>79664</v>
          </cell>
        </row>
        <row r="97">
          <cell r="E97">
            <v>220</v>
          </cell>
          <cell r="G97">
            <v>32120</v>
          </cell>
          <cell r="J97">
            <v>7</v>
          </cell>
          <cell r="L97">
            <v>2520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89640</v>
          </cell>
          <cell r="V97">
            <v>79664</v>
          </cell>
          <cell r="W97">
            <v>89640</v>
          </cell>
        </row>
        <row r="98">
          <cell r="E98">
            <v>133</v>
          </cell>
          <cell r="G98">
            <v>19418</v>
          </cell>
          <cell r="J98">
            <v>5</v>
          </cell>
          <cell r="L98">
            <v>1800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76218</v>
          </cell>
          <cell r="V98">
            <v>89640</v>
          </cell>
          <cell r="W98">
            <v>76218</v>
          </cell>
        </row>
        <row r="99">
          <cell r="E99">
            <v>217</v>
          </cell>
          <cell r="G99">
            <v>31682</v>
          </cell>
          <cell r="J99">
            <v>17</v>
          </cell>
          <cell r="L99">
            <v>6120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92802</v>
          </cell>
          <cell r="V99">
            <v>169020</v>
          </cell>
          <cell r="W99">
            <v>0</v>
          </cell>
        </row>
        <row r="100">
          <cell r="E100">
            <v>185</v>
          </cell>
          <cell r="G100">
            <v>27010</v>
          </cell>
          <cell r="J100">
            <v>13</v>
          </cell>
          <cell r="L100">
            <v>4680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86690</v>
          </cell>
          <cell r="V100">
            <v>86690</v>
          </cell>
          <cell r="W100">
            <v>0</v>
          </cell>
        </row>
        <row r="101">
          <cell r="E101">
            <v>218</v>
          </cell>
          <cell r="G101">
            <v>31828</v>
          </cell>
          <cell r="J101">
            <v>20</v>
          </cell>
          <cell r="L101">
            <v>7200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94028</v>
          </cell>
          <cell r="V101">
            <v>0</v>
          </cell>
          <cell r="W101">
            <v>94028</v>
          </cell>
        </row>
        <row r="102">
          <cell r="E102">
            <v>272</v>
          </cell>
          <cell r="G102">
            <v>39712</v>
          </cell>
          <cell r="J102">
            <v>25</v>
          </cell>
          <cell r="L102">
            <v>9000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103712</v>
          </cell>
          <cell r="V102">
            <v>197740</v>
          </cell>
          <cell r="W102">
            <v>0</v>
          </cell>
        </row>
        <row r="103">
          <cell r="E103">
            <v>270</v>
          </cell>
          <cell r="G103">
            <v>39420</v>
          </cell>
          <cell r="J103">
            <v>38</v>
          </cell>
          <cell r="L103">
            <v>13680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109750</v>
          </cell>
          <cell r="V103">
            <v>0</v>
          </cell>
          <cell r="W103">
            <v>109750</v>
          </cell>
        </row>
        <row r="104">
          <cell r="E104">
            <v>299</v>
          </cell>
          <cell r="G104">
            <v>43654</v>
          </cell>
          <cell r="J104">
            <v>89</v>
          </cell>
          <cell r="L104">
            <v>32040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132344</v>
          </cell>
          <cell r="V104">
            <v>242094</v>
          </cell>
          <cell r="W104">
            <v>0</v>
          </cell>
        </row>
        <row r="105">
          <cell r="E105">
            <v>448</v>
          </cell>
          <cell r="G105">
            <v>65408</v>
          </cell>
          <cell r="J105">
            <v>32</v>
          </cell>
          <cell r="L105">
            <v>11520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133578</v>
          </cell>
          <cell r="V105">
            <v>133578</v>
          </cell>
          <cell r="W105">
            <v>0</v>
          </cell>
        </row>
        <row r="106">
          <cell r="E106">
            <v>301</v>
          </cell>
          <cell r="G106">
            <v>43946</v>
          </cell>
          <cell r="J106">
            <v>19</v>
          </cell>
          <cell r="L106">
            <v>6840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107436</v>
          </cell>
          <cell r="V106">
            <v>107436</v>
          </cell>
          <cell r="W106">
            <v>0</v>
          </cell>
        </row>
        <row r="107">
          <cell r="E107">
            <v>208</v>
          </cell>
          <cell r="G107">
            <v>30368</v>
          </cell>
          <cell r="J107">
            <v>6</v>
          </cell>
          <cell r="L107">
            <v>2160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89178</v>
          </cell>
          <cell r="V107">
            <v>0</v>
          </cell>
          <cell r="W107">
            <v>89178</v>
          </cell>
        </row>
        <row r="108">
          <cell r="E108">
            <v>202</v>
          </cell>
          <cell r="G108">
            <v>29492</v>
          </cell>
          <cell r="J108">
            <v>4</v>
          </cell>
          <cell r="L108">
            <v>1440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87582</v>
          </cell>
          <cell r="V108">
            <v>176760</v>
          </cell>
          <cell r="W108">
            <v>0</v>
          </cell>
        </row>
        <row r="109">
          <cell r="E109">
            <v>318</v>
          </cell>
          <cell r="G109">
            <v>46428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103798</v>
          </cell>
          <cell r="V109">
            <v>103798</v>
          </cell>
          <cell r="W109">
            <v>0</v>
          </cell>
        </row>
        <row r="110">
          <cell r="E110">
            <v>222</v>
          </cell>
          <cell r="G110">
            <v>32412</v>
          </cell>
          <cell r="J110">
            <v>3</v>
          </cell>
          <cell r="L110">
            <v>1080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90142</v>
          </cell>
          <cell r="V110">
            <v>0</v>
          </cell>
          <cell r="W110">
            <v>90142</v>
          </cell>
        </row>
        <row r="111">
          <cell r="E111">
            <v>239</v>
          </cell>
          <cell r="G111">
            <v>34894</v>
          </cell>
          <cell r="J111">
            <v>9</v>
          </cell>
          <cell r="L111">
            <v>3240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94784</v>
          </cell>
          <cell r="V111">
            <v>184926</v>
          </cell>
          <cell r="W111">
            <v>0</v>
          </cell>
        </row>
        <row r="112">
          <cell r="E112">
            <v>183</v>
          </cell>
          <cell r="G112">
            <v>26718</v>
          </cell>
          <cell r="J112">
            <v>10</v>
          </cell>
          <cell r="L112">
            <v>3600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86968</v>
          </cell>
          <cell r="V112">
            <v>0</v>
          </cell>
          <cell r="W112">
            <v>86968</v>
          </cell>
        </row>
        <row r="113">
          <cell r="E113">
            <v>212</v>
          </cell>
          <cell r="G113">
            <v>30952</v>
          </cell>
          <cell r="J113">
            <v>59</v>
          </cell>
          <cell r="L113">
            <v>21240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108842</v>
          </cell>
          <cell r="V113">
            <v>195810</v>
          </cell>
          <cell r="W113">
            <v>0</v>
          </cell>
        </row>
        <row r="114">
          <cell r="E114">
            <v>247</v>
          </cell>
          <cell r="G114">
            <v>36062</v>
          </cell>
          <cell r="J114">
            <v>57</v>
          </cell>
          <cell r="L114">
            <v>20520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113232</v>
          </cell>
          <cell r="V114">
            <v>113232</v>
          </cell>
          <cell r="W114">
            <v>0</v>
          </cell>
        </row>
        <row r="115">
          <cell r="E115">
            <v>284</v>
          </cell>
          <cell r="G115">
            <v>41464</v>
          </cell>
          <cell r="J115">
            <v>59</v>
          </cell>
          <cell r="L115">
            <v>21240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121563</v>
          </cell>
          <cell r="V115">
            <v>121563</v>
          </cell>
          <cell r="W115">
            <v>0</v>
          </cell>
        </row>
        <row r="116">
          <cell r="E116">
            <v>257</v>
          </cell>
          <cell r="G116">
            <v>37522</v>
          </cell>
          <cell r="J116">
            <v>49</v>
          </cell>
          <cell r="L116">
            <v>17640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114021</v>
          </cell>
          <cell r="V116">
            <v>114021</v>
          </cell>
          <cell r="W116">
            <v>0</v>
          </cell>
        </row>
        <row r="117">
          <cell r="E117">
            <v>306</v>
          </cell>
          <cell r="G117">
            <v>44676</v>
          </cell>
          <cell r="J117">
            <v>25</v>
          </cell>
          <cell r="L117">
            <v>9000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112535</v>
          </cell>
          <cell r="V117">
            <v>112535</v>
          </cell>
          <cell r="W117">
            <v>0</v>
          </cell>
        </row>
        <row r="118">
          <cell r="E118">
            <v>224</v>
          </cell>
          <cell r="G118">
            <v>32704</v>
          </cell>
          <cell r="J118">
            <v>11</v>
          </cell>
          <cell r="L118">
            <v>3960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95523</v>
          </cell>
          <cell r="V118">
            <v>95523</v>
          </cell>
          <cell r="W118">
            <v>0</v>
          </cell>
        </row>
        <row r="119">
          <cell r="E119">
            <v>255</v>
          </cell>
          <cell r="G119">
            <v>37230</v>
          </cell>
          <cell r="J119">
            <v>5</v>
          </cell>
          <cell r="L119">
            <v>1800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97889</v>
          </cell>
          <cell r="V119">
            <v>97889</v>
          </cell>
          <cell r="W119">
            <v>0</v>
          </cell>
        </row>
        <row r="120">
          <cell r="E120">
            <v>180</v>
          </cell>
          <cell r="G120">
            <v>26280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85139</v>
          </cell>
          <cell r="V120">
            <v>85139</v>
          </cell>
          <cell r="W120">
            <v>0</v>
          </cell>
        </row>
        <row r="121">
          <cell r="E121">
            <v>158</v>
          </cell>
          <cell r="G121">
            <v>23068</v>
          </cell>
          <cell r="J121">
            <v>2</v>
          </cell>
          <cell r="L121">
            <v>720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82647</v>
          </cell>
          <cell r="V121">
            <v>82647</v>
          </cell>
          <cell r="W121">
            <v>0</v>
          </cell>
        </row>
        <row r="122">
          <cell r="E122">
            <v>206</v>
          </cell>
          <cell r="G122">
            <v>30076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90735</v>
          </cell>
          <cell r="V122">
            <v>90735</v>
          </cell>
          <cell r="W122">
            <v>0</v>
          </cell>
        </row>
        <row r="123">
          <cell r="E123">
            <v>228</v>
          </cell>
          <cell r="G123">
            <v>33288</v>
          </cell>
          <cell r="J123">
            <v>10</v>
          </cell>
          <cell r="L123">
            <v>3600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95747</v>
          </cell>
          <cell r="V123">
            <v>95747</v>
          </cell>
          <cell r="W123">
            <v>0</v>
          </cell>
        </row>
        <row r="124">
          <cell r="E124">
            <v>185</v>
          </cell>
          <cell r="G124">
            <v>27010</v>
          </cell>
          <cell r="J124">
            <v>32</v>
          </cell>
          <cell r="L124">
            <v>11520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97389</v>
          </cell>
          <cell r="V124">
            <v>97389</v>
          </cell>
          <cell r="W124">
            <v>0</v>
          </cell>
        </row>
        <row r="125">
          <cell r="E125">
            <v>166</v>
          </cell>
          <cell r="G125">
            <v>24236</v>
          </cell>
          <cell r="J125">
            <v>101</v>
          </cell>
          <cell r="L125">
            <v>36360</v>
          </cell>
          <cell r="M125">
            <v>0</v>
          </cell>
          <cell r="O125">
            <v>71750</v>
          </cell>
          <cell r="P125">
            <v>0</v>
          </cell>
          <cell r="Q125">
            <v>58859</v>
          </cell>
          <cell r="R125">
            <v>0</v>
          </cell>
          <cell r="S125">
            <v>191205</v>
          </cell>
          <cell r="V125">
            <v>191205</v>
          </cell>
          <cell r="W125">
            <v>0</v>
          </cell>
        </row>
        <row r="126">
          <cell r="E126">
            <v>180</v>
          </cell>
          <cell r="G126">
            <v>26280</v>
          </cell>
          <cell r="J126">
            <v>102</v>
          </cell>
          <cell r="L126">
            <v>36720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121859</v>
          </cell>
          <cell r="V126">
            <v>121859</v>
          </cell>
          <cell r="W126">
            <v>0</v>
          </cell>
        </row>
        <row r="127">
          <cell r="E127">
            <v>268</v>
          </cell>
          <cell r="G127">
            <v>39128</v>
          </cell>
          <cell r="J127">
            <v>116</v>
          </cell>
          <cell r="L127">
            <v>41760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140622</v>
          </cell>
          <cell r="V127">
            <v>0</v>
          </cell>
          <cell r="W127">
            <v>140622</v>
          </cell>
        </row>
        <row r="128">
          <cell r="E128">
            <v>268</v>
          </cell>
          <cell r="G128">
            <v>39128</v>
          </cell>
          <cell r="J128">
            <v>129</v>
          </cell>
          <cell r="L128">
            <v>46440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157590</v>
          </cell>
          <cell r="V128">
            <v>298212</v>
          </cell>
          <cell r="W128">
            <v>0</v>
          </cell>
        </row>
        <row r="129">
          <cell r="E129">
            <v>252</v>
          </cell>
          <cell r="G129">
            <v>36792</v>
          </cell>
          <cell r="J129">
            <v>97</v>
          </cell>
          <cell r="L129">
            <v>34920</v>
          </cell>
          <cell r="M129">
            <v>0</v>
          </cell>
          <cell r="N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131446</v>
          </cell>
          <cell r="V129">
            <v>131446</v>
          </cell>
          <cell r="W129">
            <v>0</v>
          </cell>
        </row>
        <row r="130">
          <cell r="E130">
            <v>251</v>
          </cell>
          <cell r="G130">
            <v>36646</v>
          </cell>
          <cell r="J130">
            <v>96</v>
          </cell>
          <cell r="L130">
            <v>34560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130940</v>
          </cell>
          <cell r="V130">
            <v>130940</v>
          </cell>
          <cell r="W130">
            <v>0</v>
          </cell>
        </row>
        <row r="131">
          <cell r="E131">
            <v>210</v>
          </cell>
          <cell r="G131">
            <v>30660</v>
          </cell>
          <cell r="J131">
            <v>16</v>
          </cell>
          <cell r="L131">
            <v>5760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96154</v>
          </cell>
          <cell r="V131">
            <v>96154</v>
          </cell>
          <cell r="W131">
            <v>0</v>
          </cell>
        </row>
        <row r="132">
          <cell r="E132">
            <v>171</v>
          </cell>
          <cell r="G132">
            <v>24966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85060</v>
          </cell>
          <cell r="V132">
            <v>85060</v>
          </cell>
          <cell r="W132">
            <v>0</v>
          </cell>
        </row>
        <row r="133">
          <cell r="E133">
            <v>261</v>
          </cell>
          <cell r="G133">
            <v>38106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99280</v>
          </cell>
          <cell r="V133">
            <v>99280</v>
          </cell>
          <cell r="W133">
            <v>0</v>
          </cell>
        </row>
        <row r="134">
          <cell r="E134">
            <v>201</v>
          </cell>
          <cell r="G134">
            <v>29346</v>
          </cell>
          <cell r="J134">
            <v>2</v>
          </cell>
          <cell r="L134">
            <v>720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89800</v>
          </cell>
          <cell r="V134">
            <v>89800</v>
          </cell>
          <cell r="W134">
            <v>0</v>
          </cell>
        </row>
        <row r="135">
          <cell r="E135">
            <v>236</v>
          </cell>
          <cell r="G135">
            <v>34456</v>
          </cell>
          <cell r="J135">
            <v>8</v>
          </cell>
          <cell r="L135">
            <v>2880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97070</v>
          </cell>
          <cell r="V135">
            <v>97070</v>
          </cell>
          <cell r="W135">
            <v>0</v>
          </cell>
        </row>
        <row r="136">
          <cell r="E136">
            <v>251</v>
          </cell>
          <cell r="G136">
            <v>36646</v>
          </cell>
          <cell r="J136">
            <v>69</v>
          </cell>
          <cell r="L136">
            <v>24840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121220</v>
          </cell>
          <cell r="V136">
            <v>121220</v>
          </cell>
          <cell r="W136">
            <v>0</v>
          </cell>
        </row>
        <row r="137">
          <cell r="E137">
            <v>225</v>
          </cell>
          <cell r="G137">
            <v>32850</v>
          </cell>
          <cell r="J137">
            <v>81</v>
          </cell>
          <cell r="L137">
            <v>29160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121744</v>
          </cell>
          <cell r="V137">
            <v>121744</v>
          </cell>
          <cell r="W137">
            <v>0</v>
          </cell>
        </row>
        <row r="138">
          <cell r="E138">
            <v>235</v>
          </cell>
          <cell r="G138">
            <v>34310</v>
          </cell>
          <cell r="J138">
            <v>157</v>
          </cell>
          <cell r="L138">
            <v>57780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171824</v>
          </cell>
          <cell r="V138">
            <v>171824</v>
          </cell>
          <cell r="W138">
            <v>0</v>
          </cell>
        </row>
        <row r="139">
          <cell r="E139">
            <v>228</v>
          </cell>
          <cell r="G139">
            <v>33288</v>
          </cell>
          <cell r="J139">
            <v>103</v>
          </cell>
          <cell r="L139">
            <v>37080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136904</v>
          </cell>
          <cell r="V139">
            <v>136904</v>
          </cell>
          <cell r="W139">
            <v>0</v>
          </cell>
        </row>
        <row r="140">
          <cell r="E140">
            <v>245</v>
          </cell>
          <cell r="G140">
            <v>35770</v>
          </cell>
          <cell r="J140">
            <v>96</v>
          </cell>
          <cell r="L140">
            <v>34560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136866</v>
          </cell>
          <cell r="V140">
            <v>136866</v>
          </cell>
          <cell r="W140">
            <v>0</v>
          </cell>
        </row>
        <row r="141">
          <cell r="E141">
            <v>290</v>
          </cell>
          <cell r="G141">
            <v>42340</v>
          </cell>
          <cell r="J141">
            <v>78</v>
          </cell>
          <cell r="L141">
            <v>28080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136956</v>
          </cell>
          <cell r="V141">
            <v>136956</v>
          </cell>
          <cell r="W141">
            <v>0</v>
          </cell>
        </row>
        <row r="142">
          <cell r="E142">
            <v>285</v>
          </cell>
          <cell r="G142">
            <v>41610</v>
          </cell>
          <cell r="J142">
            <v>76</v>
          </cell>
          <cell r="L142">
            <v>27360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135506</v>
          </cell>
          <cell r="V142">
            <v>135506</v>
          </cell>
          <cell r="W142">
            <v>0</v>
          </cell>
        </row>
        <row r="143">
          <cell r="E143">
            <v>293</v>
          </cell>
          <cell r="G143">
            <v>42778</v>
          </cell>
          <cell r="J143">
            <v>15</v>
          </cell>
          <cell r="L143">
            <v>5400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114714</v>
          </cell>
          <cell r="V143">
            <v>114714</v>
          </cell>
          <cell r="W143">
            <v>0</v>
          </cell>
        </row>
        <row r="144">
          <cell r="E144">
            <v>265</v>
          </cell>
          <cell r="G144">
            <v>38690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105586</v>
          </cell>
          <cell r="V144">
            <v>105586</v>
          </cell>
          <cell r="W144">
            <v>0</v>
          </cell>
        </row>
        <row r="145">
          <cell r="E145">
            <v>295</v>
          </cell>
          <cell r="G145">
            <v>43070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109606</v>
          </cell>
          <cell r="V145">
            <v>109606</v>
          </cell>
          <cell r="W145">
            <v>0</v>
          </cell>
        </row>
        <row r="146">
          <cell r="E146">
            <v>274</v>
          </cell>
          <cell r="G146">
            <v>40004</v>
          </cell>
          <cell r="J146">
            <v>3</v>
          </cell>
          <cell r="L146">
            <v>1080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107620</v>
          </cell>
          <cell r="V146">
            <v>107620</v>
          </cell>
          <cell r="W146">
            <v>0</v>
          </cell>
        </row>
        <row r="147">
          <cell r="E147">
            <v>281</v>
          </cell>
          <cell r="G147">
            <v>41026</v>
          </cell>
          <cell r="J147">
            <v>2</v>
          </cell>
          <cell r="L147">
            <v>720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108282</v>
          </cell>
          <cell r="V147">
            <v>108282</v>
          </cell>
          <cell r="W147">
            <v>0</v>
          </cell>
        </row>
        <row r="148">
          <cell r="E148">
            <v>275</v>
          </cell>
          <cell r="G148">
            <v>40150</v>
          </cell>
          <cell r="J148">
            <v>36</v>
          </cell>
          <cell r="L148">
            <v>12960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119646</v>
          </cell>
          <cell r="V148">
            <v>119646</v>
          </cell>
          <cell r="W148">
            <v>0</v>
          </cell>
        </row>
        <row r="149">
          <cell r="E149">
            <v>302</v>
          </cell>
          <cell r="G149">
            <v>44092</v>
          </cell>
          <cell r="J149">
            <v>64</v>
          </cell>
          <cell r="L149">
            <v>23040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133668</v>
          </cell>
          <cell r="V149">
            <v>133668</v>
          </cell>
          <cell r="W149">
            <v>0</v>
          </cell>
        </row>
        <row r="150">
          <cell r="E150">
            <v>321</v>
          </cell>
          <cell r="G150">
            <v>46866</v>
          </cell>
          <cell r="J150">
            <v>98</v>
          </cell>
          <cell r="L150">
            <v>35280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150682</v>
          </cell>
          <cell r="V150">
            <v>150682</v>
          </cell>
          <cell r="W150">
            <v>0</v>
          </cell>
        </row>
        <row r="151">
          <cell r="E151">
            <v>277</v>
          </cell>
          <cell r="G151">
            <v>40442</v>
          </cell>
          <cell r="J151">
            <v>137</v>
          </cell>
          <cell r="L151">
            <v>52380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164217</v>
          </cell>
          <cell r="V151">
            <v>164217</v>
          </cell>
          <cell r="W151">
            <v>0</v>
          </cell>
        </row>
        <row r="152">
          <cell r="E152">
            <v>309</v>
          </cell>
          <cell r="G152">
            <v>45114</v>
          </cell>
          <cell r="J152">
            <v>118</v>
          </cell>
          <cell r="L152">
            <v>42480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158989</v>
          </cell>
          <cell r="V152">
            <v>158989</v>
          </cell>
          <cell r="W152">
            <v>0</v>
          </cell>
        </row>
        <row r="153">
          <cell r="E153">
            <v>277</v>
          </cell>
          <cell r="G153">
            <v>40442</v>
          </cell>
          <cell r="J153">
            <v>79</v>
          </cell>
          <cell r="L153">
            <v>28440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145236</v>
          </cell>
          <cell r="V153">
            <v>145236</v>
          </cell>
          <cell r="W153">
            <v>0</v>
          </cell>
        </row>
        <row r="154">
          <cell r="E154">
            <v>299</v>
          </cell>
          <cell r="G154">
            <v>43654</v>
          </cell>
          <cell r="J154">
            <v>50</v>
          </cell>
          <cell r="L154">
            <v>18000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138008</v>
          </cell>
          <cell r="V154">
            <v>138008</v>
          </cell>
          <cell r="W154">
            <v>0</v>
          </cell>
        </row>
        <row r="155">
          <cell r="E155">
            <v>265</v>
          </cell>
          <cell r="G155">
            <v>38690</v>
          </cell>
          <cell r="J155">
            <v>147</v>
          </cell>
          <cell r="L155">
            <v>57780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172824</v>
          </cell>
          <cell r="V155">
            <v>172824</v>
          </cell>
          <cell r="W155">
            <v>0</v>
          </cell>
        </row>
        <row r="156">
          <cell r="E156">
            <v>256</v>
          </cell>
          <cell r="G156">
            <v>37376</v>
          </cell>
          <cell r="J156">
            <v>10</v>
          </cell>
          <cell r="L156">
            <v>3600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117330</v>
          </cell>
          <cell r="V156">
            <v>117330</v>
          </cell>
          <cell r="W156">
            <v>0</v>
          </cell>
        </row>
        <row r="157">
          <cell r="E157">
            <v>287</v>
          </cell>
          <cell r="G157">
            <v>41902</v>
          </cell>
          <cell r="J157">
            <v>8</v>
          </cell>
          <cell r="L157">
            <v>2880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121136</v>
          </cell>
          <cell r="V157">
            <v>121136</v>
          </cell>
          <cell r="W157">
            <v>0</v>
          </cell>
        </row>
        <row r="158">
          <cell r="E158">
            <v>267</v>
          </cell>
          <cell r="G158">
            <v>38982</v>
          </cell>
          <cell r="J158">
            <v>18</v>
          </cell>
          <cell r="L158">
            <v>6480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121816</v>
          </cell>
          <cell r="V158">
            <v>201094</v>
          </cell>
          <cell r="W158">
            <v>-79278</v>
          </cell>
        </row>
        <row r="159">
          <cell r="E159">
            <v>283</v>
          </cell>
          <cell r="G159">
            <v>41318</v>
          </cell>
          <cell r="J159">
            <v>2</v>
          </cell>
          <cell r="L159">
            <v>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118392</v>
          </cell>
          <cell r="V159">
            <v>39114</v>
          </cell>
          <cell r="W159">
            <v>0</v>
          </cell>
        </row>
        <row r="160">
          <cell r="E160">
            <v>266</v>
          </cell>
          <cell r="G160">
            <v>38836</v>
          </cell>
          <cell r="J160">
            <v>2</v>
          </cell>
          <cell r="L160">
            <v>720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115910</v>
          </cell>
          <cell r="V160">
            <v>115910</v>
          </cell>
          <cell r="W160">
            <v>0</v>
          </cell>
        </row>
        <row r="161">
          <cell r="E161">
            <v>253</v>
          </cell>
          <cell r="G161">
            <v>36938</v>
          </cell>
          <cell r="J161">
            <v>14</v>
          </cell>
          <cell r="L161">
            <v>5040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118332</v>
          </cell>
          <cell r="V161">
            <v>118332</v>
          </cell>
          <cell r="W161">
            <v>0</v>
          </cell>
        </row>
        <row r="162">
          <cell r="E162">
            <v>346</v>
          </cell>
          <cell r="G162">
            <v>50516</v>
          </cell>
          <cell r="J162">
            <v>185</v>
          </cell>
          <cell r="L162">
            <v>97200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223776</v>
          </cell>
          <cell r="V162">
            <v>223776</v>
          </cell>
          <cell r="W162">
            <v>0</v>
          </cell>
        </row>
        <row r="163">
          <cell r="E163">
            <v>277</v>
          </cell>
          <cell r="G163">
            <v>40442</v>
          </cell>
          <cell r="J163">
            <v>94</v>
          </cell>
          <cell r="L163">
            <v>33840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160342</v>
          </cell>
          <cell r="V163">
            <v>160342</v>
          </cell>
          <cell r="W163">
            <v>0</v>
          </cell>
        </row>
        <row r="164">
          <cell r="E164">
            <v>165</v>
          </cell>
          <cell r="G164">
            <v>24090</v>
          </cell>
          <cell r="J164">
            <v>132</v>
          </cell>
          <cell r="L164">
            <v>49680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159830</v>
          </cell>
          <cell r="V164">
            <v>159830</v>
          </cell>
          <cell r="W164">
            <v>0</v>
          </cell>
        </row>
        <row r="165">
          <cell r="E165">
            <v>281</v>
          </cell>
          <cell r="G165">
            <v>41026</v>
          </cell>
          <cell r="J165">
            <v>126</v>
          </cell>
          <cell r="L165">
            <v>46440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173526</v>
          </cell>
          <cell r="V165">
            <v>173526</v>
          </cell>
          <cell r="W165">
            <v>0</v>
          </cell>
        </row>
        <row r="166">
          <cell r="E166">
            <v>163</v>
          </cell>
          <cell r="G166">
            <v>23798</v>
          </cell>
          <cell r="J166">
            <v>54</v>
          </cell>
          <cell r="L166">
            <v>19440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129342</v>
          </cell>
          <cell r="V166">
            <v>0</v>
          </cell>
          <cell r="W166">
            <v>129342</v>
          </cell>
        </row>
        <row r="167">
          <cell r="E167">
            <v>117</v>
          </cell>
          <cell r="G167">
            <v>17082</v>
          </cell>
          <cell r="J167">
            <v>3</v>
          </cell>
          <cell r="L167">
            <v>1080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104266</v>
          </cell>
          <cell r="V167">
            <v>233608</v>
          </cell>
          <cell r="W167">
            <v>0</v>
          </cell>
        </row>
        <row r="168">
          <cell r="E168">
            <v>162</v>
          </cell>
          <cell r="G168">
            <v>23652</v>
          </cell>
          <cell r="J168">
            <v>4</v>
          </cell>
          <cell r="L168">
            <v>1440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111196</v>
          </cell>
          <cell r="V168">
            <v>111196</v>
          </cell>
          <cell r="W168">
            <v>0</v>
          </cell>
        </row>
        <row r="169">
          <cell r="E169">
            <v>110</v>
          </cell>
          <cell r="G169">
            <v>16060</v>
          </cell>
          <cell r="J169">
            <v>3</v>
          </cell>
          <cell r="L169">
            <v>1080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102850</v>
          </cell>
          <cell r="V169">
            <v>0</v>
          </cell>
          <cell r="W169">
            <v>102850</v>
          </cell>
        </row>
        <row r="170">
          <cell r="E170">
            <v>125</v>
          </cell>
          <cell r="G170">
            <v>18250</v>
          </cell>
          <cell r="J170">
            <v>14</v>
          </cell>
          <cell r="L170">
            <v>5040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109000</v>
          </cell>
          <cell r="V170">
            <v>211850</v>
          </cell>
          <cell r="W170">
            <v>0</v>
          </cell>
        </row>
        <row r="171">
          <cell r="E171">
            <v>183</v>
          </cell>
          <cell r="G171">
            <v>26718</v>
          </cell>
          <cell r="J171">
            <v>50</v>
          </cell>
          <cell r="L171">
            <v>18000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126113</v>
          </cell>
          <cell r="V171">
            <v>126113</v>
          </cell>
          <cell r="W171">
            <v>0</v>
          </cell>
        </row>
        <row r="172">
          <cell r="E172">
            <v>146</v>
          </cell>
          <cell r="G172">
            <v>21316</v>
          </cell>
          <cell r="J172">
            <v>104</v>
          </cell>
          <cell r="L172">
            <v>37440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140151</v>
          </cell>
          <cell r="V172">
            <v>140151</v>
          </cell>
          <cell r="W172">
            <v>0</v>
          </cell>
        </row>
        <row r="173">
          <cell r="E173">
            <v>165</v>
          </cell>
          <cell r="G173">
            <v>24090</v>
          </cell>
          <cell r="J173">
            <v>173</v>
          </cell>
          <cell r="L173">
            <v>84240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189725</v>
          </cell>
          <cell r="V173">
            <v>189725</v>
          </cell>
          <cell r="W173">
            <v>0</v>
          </cell>
        </row>
        <row r="174">
          <cell r="E174">
            <v>194</v>
          </cell>
          <cell r="G174">
            <v>28324</v>
          </cell>
          <cell r="J174">
            <v>119</v>
          </cell>
          <cell r="L174">
            <v>42840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152559</v>
          </cell>
          <cell r="V174">
            <v>152559</v>
          </cell>
          <cell r="W174">
            <v>0</v>
          </cell>
        </row>
      </sheetData>
      <sheetData sheetId="1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78000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78000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78000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78000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160000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43000</v>
          </cell>
          <cell r="V32">
            <v>78000</v>
          </cell>
          <cell r="W32">
            <v>125000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43000</v>
          </cell>
          <cell r="V33">
            <v>125000</v>
          </cell>
          <cell r="W33">
            <v>43000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43000</v>
          </cell>
          <cell r="V34">
            <v>0</v>
          </cell>
          <cell r="W34">
            <v>86000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0</v>
          </cell>
          <cell r="W35">
            <v>129000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172000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129000</v>
          </cell>
          <cell r="W37">
            <v>86000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0</v>
          </cell>
          <cell r="W38">
            <v>129000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0</v>
          </cell>
          <cell r="W39">
            <v>172000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129000</v>
          </cell>
          <cell r="W40">
            <v>86000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0</v>
          </cell>
          <cell r="W41">
            <v>129000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129000</v>
          </cell>
          <cell r="W42">
            <v>43000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86000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0</v>
          </cell>
          <cell r="W44">
            <v>129000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0</v>
          </cell>
          <cell r="W45">
            <v>172000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0</v>
          </cell>
          <cell r="W46">
            <v>215000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215000</v>
          </cell>
          <cell r="W47">
            <v>43000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0</v>
          </cell>
          <cell r="W48">
            <v>86000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86000</v>
          </cell>
          <cell r="W49">
            <v>43000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0</v>
          </cell>
          <cell r="W50">
            <v>86000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86000</v>
          </cell>
          <cell r="W51">
            <v>43000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0</v>
          </cell>
          <cell r="W52">
            <v>86000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129000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43000</v>
          </cell>
          <cell r="V54">
            <v>0</v>
          </cell>
          <cell r="W54">
            <v>179000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179000</v>
          </cell>
          <cell r="W55">
            <v>50000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0</v>
          </cell>
          <cell r="W56">
            <v>100000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0</v>
          </cell>
          <cell r="W57">
            <v>150000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150000</v>
          </cell>
          <cell r="W58">
            <v>50000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0</v>
          </cell>
          <cell r="W59">
            <v>100000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0</v>
          </cell>
          <cell r="W60">
            <v>150000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50000</v>
          </cell>
          <cell r="V61">
            <v>150000</v>
          </cell>
          <cell r="W61">
            <v>50000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50000</v>
          </cell>
          <cell r="V62">
            <v>0</v>
          </cell>
          <cell r="W62">
            <v>100000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50000</v>
          </cell>
          <cell r="V63">
            <v>0</v>
          </cell>
          <cell r="W63">
            <v>150000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50000</v>
          </cell>
          <cell r="V64">
            <v>150000</v>
          </cell>
          <cell r="W64">
            <v>50000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50000</v>
          </cell>
          <cell r="V65">
            <v>0</v>
          </cell>
          <cell r="W65">
            <v>100000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50000</v>
          </cell>
          <cell r="V66">
            <v>0</v>
          </cell>
          <cell r="W66">
            <v>150000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50000</v>
          </cell>
          <cell r="V67">
            <v>150000</v>
          </cell>
          <cell r="W67">
            <v>50000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50000</v>
          </cell>
          <cell r="V68">
            <v>0</v>
          </cell>
          <cell r="W68">
            <v>100000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50000</v>
          </cell>
          <cell r="V69">
            <v>0</v>
          </cell>
          <cell r="W69">
            <v>150000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50000</v>
          </cell>
          <cell r="V70">
            <v>150000</v>
          </cell>
          <cell r="W70">
            <v>50000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50000</v>
          </cell>
          <cell r="V71">
            <v>0</v>
          </cell>
          <cell r="W71">
            <v>100000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50000</v>
          </cell>
          <cell r="V72">
            <v>0</v>
          </cell>
          <cell r="W72">
            <v>150000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50000</v>
          </cell>
          <cell r="V73">
            <v>150000</v>
          </cell>
          <cell r="W73">
            <v>50000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50000</v>
          </cell>
          <cell r="V74">
            <v>0</v>
          </cell>
          <cell r="W74">
            <v>100000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50000</v>
          </cell>
          <cell r="V75">
            <v>0</v>
          </cell>
          <cell r="W75">
            <v>150000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50000</v>
          </cell>
          <cell r="V76">
            <v>0</v>
          </cell>
          <cell r="W76">
            <v>200000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50000</v>
          </cell>
          <cell r="V77">
            <v>0</v>
          </cell>
          <cell r="W77">
            <v>250000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50000</v>
          </cell>
          <cell r="V78">
            <v>0</v>
          </cell>
          <cell r="W78">
            <v>300000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50000</v>
          </cell>
          <cell r="V79">
            <v>250000</v>
          </cell>
          <cell r="W79">
            <v>100000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50000</v>
          </cell>
          <cell r="V80">
            <v>0</v>
          </cell>
          <cell r="W80">
            <v>150000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50000</v>
          </cell>
          <cell r="V81">
            <v>150000</v>
          </cell>
          <cell r="W81">
            <v>50000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50000</v>
          </cell>
          <cell r="V82">
            <v>0</v>
          </cell>
          <cell r="W82">
            <v>100000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50000</v>
          </cell>
          <cell r="V83">
            <v>150000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50000</v>
          </cell>
          <cell r="V84">
            <v>0</v>
          </cell>
          <cell r="W84">
            <v>50000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50000</v>
          </cell>
          <cell r="V85">
            <v>50000</v>
          </cell>
          <cell r="W85">
            <v>60000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60000</v>
          </cell>
          <cell r="V86">
            <v>60000</v>
          </cell>
          <cell r="W86">
            <v>46000</v>
          </cell>
        </row>
        <row r="87">
          <cell r="E87">
            <v>15</v>
          </cell>
          <cell r="G87">
            <v>2190</v>
          </cell>
          <cell r="J87">
            <v>34</v>
          </cell>
          <cell r="L87">
            <v>12240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60430</v>
          </cell>
          <cell r="V87">
            <v>46000</v>
          </cell>
          <cell r="W87">
            <v>64430</v>
          </cell>
        </row>
        <row r="88">
          <cell r="E88">
            <v>89</v>
          </cell>
          <cell r="G88">
            <v>12994</v>
          </cell>
          <cell r="J88">
            <v>13</v>
          </cell>
          <cell r="L88">
            <v>4680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67674</v>
          </cell>
          <cell r="V88">
            <v>64430</v>
          </cell>
          <cell r="W88">
            <v>67674</v>
          </cell>
        </row>
        <row r="89">
          <cell r="E89">
            <v>177</v>
          </cell>
          <cell r="G89">
            <v>25842</v>
          </cell>
          <cell r="J89">
            <v>39</v>
          </cell>
          <cell r="L89">
            <v>14040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89882</v>
          </cell>
          <cell r="V89">
            <v>67674</v>
          </cell>
          <cell r="W89">
            <v>89882</v>
          </cell>
        </row>
        <row r="90">
          <cell r="E90">
            <v>129</v>
          </cell>
          <cell r="G90">
            <v>18834</v>
          </cell>
          <cell r="J90">
            <v>31</v>
          </cell>
          <cell r="L90">
            <v>11160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79994</v>
          </cell>
          <cell r="V90">
            <v>89882</v>
          </cell>
          <cell r="W90">
            <v>79994</v>
          </cell>
        </row>
        <row r="91">
          <cell r="E91">
            <v>101</v>
          </cell>
          <cell r="G91">
            <v>14746</v>
          </cell>
          <cell r="J91">
            <v>21</v>
          </cell>
          <cell r="L91">
            <v>7560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81306</v>
          </cell>
          <cell r="V91">
            <v>79994</v>
          </cell>
          <cell r="W91">
            <v>91306</v>
          </cell>
        </row>
        <row r="92">
          <cell r="E92">
            <v>191</v>
          </cell>
          <cell r="G92">
            <v>27886</v>
          </cell>
          <cell r="J92">
            <v>29</v>
          </cell>
          <cell r="L92">
            <v>10440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97326</v>
          </cell>
          <cell r="V92">
            <v>91306</v>
          </cell>
          <cell r="W92">
            <v>107326</v>
          </cell>
        </row>
        <row r="93">
          <cell r="E93">
            <v>309</v>
          </cell>
          <cell r="G93">
            <v>45114</v>
          </cell>
          <cell r="J93">
            <v>33</v>
          </cell>
          <cell r="L93">
            <v>11880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115994</v>
          </cell>
          <cell r="V93">
            <v>233320</v>
          </cell>
          <cell r="W93">
            <v>0</v>
          </cell>
        </row>
        <row r="94">
          <cell r="E94">
            <v>319</v>
          </cell>
          <cell r="G94">
            <v>46574</v>
          </cell>
          <cell r="J94">
            <v>28</v>
          </cell>
          <cell r="L94">
            <v>10080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115654</v>
          </cell>
          <cell r="V94">
            <v>0</v>
          </cell>
          <cell r="W94">
            <v>125654</v>
          </cell>
        </row>
        <row r="95">
          <cell r="E95">
            <v>35</v>
          </cell>
          <cell r="G95">
            <v>5110</v>
          </cell>
          <cell r="J95">
            <v>3</v>
          </cell>
          <cell r="L95">
            <v>1080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65190</v>
          </cell>
          <cell r="V95">
            <v>200844</v>
          </cell>
          <cell r="W95">
            <v>0</v>
          </cell>
        </row>
        <row r="96">
          <cell r="E96">
            <v>30</v>
          </cell>
          <cell r="G96">
            <v>4380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63380</v>
          </cell>
          <cell r="V96">
            <v>0</v>
          </cell>
          <cell r="W96">
            <v>63380</v>
          </cell>
        </row>
        <row r="97">
          <cell r="E97">
            <v>23</v>
          </cell>
          <cell r="G97">
            <v>3358</v>
          </cell>
          <cell r="J97">
            <v>1</v>
          </cell>
          <cell r="L97">
            <v>360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62718</v>
          </cell>
          <cell r="V97">
            <v>126098</v>
          </cell>
          <cell r="W97">
            <v>0</v>
          </cell>
        </row>
        <row r="98">
          <cell r="E98">
            <v>24</v>
          </cell>
          <cell r="G98">
            <v>3504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36500</v>
          </cell>
          <cell r="P98">
            <v>4000</v>
          </cell>
          <cell r="Q98">
            <v>55000</v>
          </cell>
          <cell r="R98">
            <v>0</v>
          </cell>
          <cell r="S98">
            <v>99004</v>
          </cell>
          <cell r="V98">
            <v>99004</v>
          </cell>
          <cell r="W98">
            <v>0</v>
          </cell>
        </row>
        <row r="99">
          <cell r="E99">
            <v>119</v>
          </cell>
          <cell r="G99">
            <v>17374</v>
          </cell>
          <cell r="J99">
            <v>4</v>
          </cell>
          <cell r="L99">
            <v>1440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77814</v>
          </cell>
          <cell r="V99">
            <v>77814</v>
          </cell>
          <cell r="W99">
            <v>0</v>
          </cell>
        </row>
        <row r="100">
          <cell r="E100">
            <v>47</v>
          </cell>
          <cell r="G100">
            <v>6862</v>
          </cell>
          <cell r="J100">
            <v>8</v>
          </cell>
          <cell r="L100">
            <v>2880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68742</v>
          </cell>
          <cell r="V100">
            <v>70184</v>
          </cell>
          <cell r="W100">
            <v>-1442</v>
          </cell>
        </row>
        <row r="101">
          <cell r="E101">
            <v>63</v>
          </cell>
          <cell r="G101">
            <v>9198</v>
          </cell>
          <cell r="J101">
            <v>37</v>
          </cell>
          <cell r="L101">
            <v>13320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81518</v>
          </cell>
          <cell r="V101">
            <v>0</v>
          </cell>
          <cell r="W101">
            <v>80076</v>
          </cell>
        </row>
        <row r="102">
          <cell r="E102">
            <v>35</v>
          </cell>
          <cell r="G102">
            <v>5110</v>
          </cell>
          <cell r="J102">
            <v>147</v>
          </cell>
          <cell r="L102">
            <v>52920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117030</v>
          </cell>
          <cell r="V102">
            <v>197106</v>
          </cell>
          <cell r="W102">
            <v>0</v>
          </cell>
        </row>
        <row r="103">
          <cell r="E103">
            <v>75</v>
          </cell>
          <cell r="G103">
            <v>10950</v>
          </cell>
          <cell r="J103">
            <v>102</v>
          </cell>
          <cell r="L103">
            <v>36720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108320</v>
          </cell>
          <cell r="V103">
            <v>108320</v>
          </cell>
          <cell r="W103">
            <v>0</v>
          </cell>
        </row>
        <row r="104">
          <cell r="E104">
            <v>98</v>
          </cell>
          <cell r="G104">
            <v>14308</v>
          </cell>
          <cell r="J104">
            <v>132</v>
          </cell>
          <cell r="L104">
            <v>47520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122478</v>
          </cell>
          <cell r="V104">
            <v>122478</v>
          </cell>
          <cell r="W104">
            <v>0</v>
          </cell>
        </row>
        <row r="105">
          <cell r="E105">
            <v>109</v>
          </cell>
          <cell r="G105">
            <v>15914</v>
          </cell>
          <cell r="J105">
            <v>84</v>
          </cell>
          <cell r="L105">
            <v>30240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106804</v>
          </cell>
          <cell r="V105">
            <v>0</v>
          </cell>
          <cell r="W105">
            <v>106804</v>
          </cell>
        </row>
        <row r="106">
          <cell r="E106">
            <v>284</v>
          </cell>
          <cell r="G106">
            <v>41464</v>
          </cell>
          <cell r="J106">
            <v>82</v>
          </cell>
          <cell r="L106">
            <v>29520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131634</v>
          </cell>
          <cell r="V106">
            <v>238438</v>
          </cell>
          <cell r="W106">
            <v>0</v>
          </cell>
        </row>
        <row r="107">
          <cell r="E107">
            <v>89</v>
          </cell>
          <cell r="G107">
            <v>12994</v>
          </cell>
          <cell r="J107">
            <v>41</v>
          </cell>
          <cell r="L107">
            <v>14760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88404</v>
          </cell>
          <cell r="V107">
            <v>88404</v>
          </cell>
          <cell r="W107">
            <v>0</v>
          </cell>
        </row>
        <row r="108">
          <cell r="E108">
            <v>62</v>
          </cell>
          <cell r="G108">
            <v>9052</v>
          </cell>
          <cell r="J108">
            <v>47</v>
          </cell>
          <cell r="L108">
            <v>16920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86622</v>
          </cell>
          <cell r="V108">
            <v>0</v>
          </cell>
          <cell r="W108">
            <v>86622</v>
          </cell>
        </row>
        <row r="109">
          <cell r="E109">
            <v>21</v>
          </cell>
          <cell r="G109">
            <v>3066</v>
          </cell>
          <cell r="J109">
            <v>32</v>
          </cell>
          <cell r="L109">
            <v>11520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75236</v>
          </cell>
          <cell r="V109">
            <v>161858</v>
          </cell>
          <cell r="W109">
            <v>0</v>
          </cell>
        </row>
        <row r="110">
          <cell r="E110">
            <v>14</v>
          </cell>
          <cell r="G110">
            <v>2044</v>
          </cell>
          <cell r="J110">
            <v>12</v>
          </cell>
          <cell r="L110">
            <v>4320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67014</v>
          </cell>
          <cell r="V110">
            <v>67014</v>
          </cell>
          <cell r="W110">
            <v>0</v>
          </cell>
        </row>
        <row r="111">
          <cell r="E111">
            <v>185</v>
          </cell>
          <cell r="G111">
            <v>27010</v>
          </cell>
          <cell r="J111">
            <v>34</v>
          </cell>
          <cell r="L111">
            <v>12240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99900</v>
          </cell>
          <cell r="V111">
            <v>99900</v>
          </cell>
          <cell r="W111">
            <v>0</v>
          </cell>
        </row>
        <row r="112">
          <cell r="E112">
            <v>376</v>
          </cell>
          <cell r="G112">
            <v>54896</v>
          </cell>
          <cell r="J112">
            <v>144</v>
          </cell>
          <cell r="L112">
            <v>51840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167386</v>
          </cell>
          <cell r="V112">
            <v>167386</v>
          </cell>
          <cell r="W112">
            <v>0</v>
          </cell>
        </row>
        <row r="113">
          <cell r="E113">
            <v>161</v>
          </cell>
          <cell r="G113">
            <v>23506</v>
          </cell>
          <cell r="J113">
            <v>144</v>
          </cell>
          <cell r="L113">
            <v>51840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135996</v>
          </cell>
          <cell r="V113">
            <v>0</v>
          </cell>
          <cell r="W113">
            <v>135996</v>
          </cell>
        </row>
        <row r="114">
          <cell r="E114">
            <v>289</v>
          </cell>
          <cell r="G114">
            <v>42194</v>
          </cell>
          <cell r="J114">
            <v>182</v>
          </cell>
          <cell r="L114">
            <v>71280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174124</v>
          </cell>
          <cell r="V114">
            <v>310120</v>
          </cell>
          <cell r="W114">
            <v>0</v>
          </cell>
        </row>
        <row r="115">
          <cell r="E115">
            <v>386</v>
          </cell>
          <cell r="G115">
            <v>56356</v>
          </cell>
          <cell r="J115">
            <v>173</v>
          </cell>
          <cell r="L115">
            <v>66420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185635</v>
          </cell>
          <cell r="V115">
            <v>185635</v>
          </cell>
          <cell r="W115">
            <v>0</v>
          </cell>
        </row>
        <row r="116">
          <cell r="E116">
            <v>479</v>
          </cell>
          <cell r="G116">
            <v>69934</v>
          </cell>
          <cell r="J116">
            <v>129</v>
          </cell>
          <cell r="L116">
            <v>46440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179233</v>
          </cell>
          <cell r="V116">
            <v>0</v>
          </cell>
          <cell r="W116">
            <v>179233</v>
          </cell>
        </row>
        <row r="117">
          <cell r="E117">
            <v>350</v>
          </cell>
          <cell r="G117">
            <v>51100</v>
          </cell>
          <cell r="J117">
            <v>147</v>
          </cell>
          <cell r="L117">
            <v>52920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166879</v>
          </cell>
          <cell r="V117">
            <v>346112</v>
          </cell>
          <cell r="W117">
            <v>0</v>
          </cell>
        </row>
        <row r="118">
          <cell r="E118">
            <v>163</v>
          </cell>
          <cell r="G118">
            <v>23798</v>
          </cell>
          <cell r="J118">
            <v>106</v>
          </cell>
          <cell r="L118">
            <v>38160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124817</v>
          </cell>
          <cell r="V118">
            <v>0</v>
          </cell>
          <cell r="W118">
            <v>124817</v>
          </cell>
        </row>
        <row r="119">
          <cell r="E119">
            <v>355</v>
          </cell>
          <cell r="G119">
            <v>51830</v>
          </cell>
          <cell r="J119">
            <v>89</v>
          </cell>
          <cell r="L119">
            <v>32040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146729</v>
          </cell>
          <cell r="V119">
            <v>271546</v>
          </cell>
          <cell r="W119">
            <v>0</v>
          </cell>
        </row>
        <row r="120">
          <cell r="E120">
            <v>181</v>
          </cell>
          <cell r="G120">
            <v>26426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89645</v>
          </cell>
          <cell r="V120">
            <v>89645</v>
          </cell>
          <cell r="W120">
            <v>0</v>
          </cell>
        </row>
        <row r="121">
          <cell r="E121">
            <v>112</v>
          </cell>
          <cell r="G121">
            <v>16352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79211</v>
          </cell>
          <cell r="V121">
            <v>79211</v>
          </cell>
          <cell r="W121">
            <v>0</v>
          </cell>
        </row>
        <row r="122">
          <cell r="E122">
            <v>95</v>
          </cell>
          <cell r="G122">
            <v>13870</v>
          </cell>
          <cell r="J122">
            <v>6</v>
          </cell>
          <cell r="L122">
            <v>2160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84889</v>
          </cell>
          <cell r="V122">
            <v>0</v>
          </cell>
          <cell r="W122">
            <v>84889</v>
          </cell>
        </row>
        <row r="123">
          <cell r="E123">
            <v>128</v>
          </cell>
          <cell r="G123">
            <v>18688</v>
          </cell>
          <cell r="J123">
            <v>27</v>
          </cell>
          <cell r="L123">
            <v>9720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97267</v>
          </cell>
          <cell r="V123">
            <v>182156</v>
          </cell>
          <cell r="W123">
            <v>0</v>
          </cell>
        </row>
        <row r="124">
          <cell r="E124">
            <v>272</v>
          </cell>
          <cell r="G124">
            <v>39712</v>
          </cell>
          <cell r="J124">
            <v>72</v>
          </cell>
          <cell r="L124">
            <v>25920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134491</v>
          </cell>
          <cell r="V124">
            <v>0</v>
          </cell>
          <cell r="W124">
            <v>134491</v>
          </cell>
        </row>
        <row r="125">
          <cell r="E125">
            <v>325</v>
          </cell>
          <cell r="G125">
            <v>47450</v>
          </cell>
          <cell r="J125">
            <v>73</v>
          </cell>
          <cell r="L125">
            <v>26280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142589</v>
          </cell>
          <cell r="V125">
            <v>277080</v>
          </cell>
          <cell r="W125">
            <v>0</v>
          </cell>
        </row>
        <row r="126">
          <cell r="E126">
            <v>320</v>
          </cell>
          <cell r="G126">
            <v>46720</v>
          </cell>
          <cell r="J126">
            <v>118</v>
          </cell>
          <cell r="L126">
            <v>42480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158059</v>
          </cell>
          <cell r="V126">
            <v>0</v>
          </cell>
          <cell r="W126">
            <v>158059</v>
          </cell>
        </row>
        <row r="127">
          <cell r="E127">
            <v>508</v>
          </cell>
          <cell r="G127">
            <v>74168</v>
          </cell>
          <cell r="J127">
            <v>157</v>
          </cell>
          <cell r="L127">
            <v>57780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201682</v>
          </cell>
          <cell r="V127">
            <v>359741</v>
          </cell>
          <cell r="W127">
            <v>0</v>
          </cell>
        </row>
        <row r="128">
          <cell r="E128">
            <v>525</v>
          </cell>
          <cell r="G128">
            <v>76650</v>
          </cell>
          <cell r="J128">
            <v>152</v>
          </cell>
          <cell r="L128">
            <v>55080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213752</v>
          </cell>
          <cell r="V128">
            <v>0</v>
          </cell>
          <cell r="W128">
            <v>213752</v>
          </cell>
        </row>
        <row r="129">
          <cell r="E129">
            <v>319</v>
          </cell>
          <cell r="G129">
            <v>46574</v>
          </cell>
          <cell r="J129">
            <v>124</v>
          </cell>
          <cell r="L129">
            <v>44640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160948</v>
          </cell>
          <cell r="V129">
            <v>374000</v>
          </cell>
          <cell r="W129">
            <v>700</v>
          </cell>
        </row>
        <row r="130">
          <cell r="E130">
            <v>199</v>
          </cell>
          <cell r="G130">
            <v>29054</v>
          </cell>
          <cell r="J130">
            <v>65</v>
          </cell>
          <cell r="L130">
            <v>23400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122188</v>
          </cell>
          <cell r="V130">
            <v>0</v>
          </cell>
          <cell r="W130">
            <v>122888</v>
          </cell>
        </row>
        <row r="131">
          <cell r="E131">
            <v>168</v>
          </cell>
          <cell r="G131">
            <v>24528</v>
          </cell>
          <cell r="J131">
            <v>44</v>
          </cell>
          <cell r="L131">
            <v>15840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110102</v>
          </cell>
          <cell r="V131">
            <v>232990</v>
          </cell>
          <cell r="W131">
            <v>0</v>
          </cell>
        </row>
        <row r="132">
          <cell r="E132">
            <v>157</v>
          </cell>
          <cell r="G132">
            <v>22922</v>
          </cell>
          <cell r="J132">
            <v>5</v>
          </cell>
          <cell r="L132">
            <v>1800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94456</v>
          </cell>
          <cell r="V132">
            <v>0</v>
          </cell>
          <cell r="W132">
            <v>94456</v>
          </cell>
        </row>
        <row r="133">
          <cell r="E133">
            <v>182</v>
          </cell>
          <cell r="G133">
            <v>26572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96306</v>
          </cell>
          <cell r="V133">
            <v>190762</v>
          </cell>
          <cell r="W133">
            <v>0</v>
          </cell>
        </row>
        <row r="134">
          <cell r="E134">
            <v>258</v>
          </cell>
          <cell r="G134">
            <v>37668</v>
          </cell>
          <cell r="J134">
            <v>8</v>
          </cell>
          <cell r="L134">
            <v>2880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110282</v>
          </cell>
          <cell r="V134">
            <v>0</v>
          </cell>
          <cell r="W134">
            <v>110282</v>
          </cell>
        </row>
        <row r="135">
          <cell r="E135">
            <v>178</v>
          </cell>
          <cell r="G135">
            <v>25988</v>
          </cell>
          <cell r="J135">
            <v>36</v>
          </cell>
          <cell r="L135">
            <v>12960</v>
          </cell>
          <cell r="M135">
            <v>0</v>
          </cell>
          <cell r="N135">
            <v>0</v>
          </cell>
          <cell r="O135">
            <v>12570</v>
          </cell>
          <cell r="P135">
            <v>10000</v>
          </cell>
          <cell r="Q135">
            <v>59734</v>
          </cell>
          <cell r="R135">
            <v>0</v>
          </cell>
          <cell r="S135">
            <v>121252</v>
          </cell>
          <cell r="V135">
            <v>231534</v>
          </cell>
          <cell r="W135">
            <v>0</v>
          </cell>
        </row>
        <row r="136">
          <cell r="E136">
            <v>458</v>
          </cell>
          <cell r="G136">
            <v>66868</v>
          </cell>
          <cell r="J136">
            <v>61</v>
          </cell>
          <cell r="L136">
            <v>21960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158562</v>
          </cell>
          <cell r="V136">
            <v>158562</v>
          </cell>
          <cell r="W136">
            <v>0</v>
          </cell>
        </row>
        <row r="137">
          <cell r="E137">
            <v>388</v>
          </cell>
          <cell r="G137">
            <v>56648</v>
          </cell>
          <cell r="J137">
            <v>124</v>
          </cell>
          <cell r="L137">
            <v>44640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171022</v>
          </cell>
          <cell r="V137">
            <v>0</v>
          </cell>
          <cell r="W137">
            <v>171022</v>
          </cell>
        </row>
        <row r="138">
          <cell r="E138">
            <v>544</v>
          </cell>
          <cell r="G138">
            <v>79424</v>
          </cell>
          <cell r="J138">
            <v>188</v>
          </cell>
          <cell r="L138">
            <v>74520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243678</v>
          </cell>
          <cell r="V138">
            <v>414700</v>
          </cell>
          <cell r="W138">
            <v>0</v>
          </cell>
        </row>
        <row r="139">
          <cell r="E139">
            <v>459</v>
          </cell>
          <cell r="G139">
            <v>67014</v>
          </cell>
          <cell r="J139">
            <v>116</v>
          </cell>
          <cell r="L139">
            <v>41760</v>
          </cell>
          <cell r="M139">
            <v>0</v>
          </cell>
          <cell r="N139">
            <v>5000</v>
          </cell>
          <cell r="O139">
            <v>74177</v>
          </cell>
          <cell r="P139">
            <v>10000</v>
          </cell>
          <cell r="Q139">
            <v>61536</v>
          </cell>
          <cell r="R139">
            <v>33082</v>
          </cell>
          <cell r="S139">
            <v>292569</v>
          </cell>
          <cell r="V139">
            <v>292569</v>
          </cell>
          <cell r="W139">
            <v>0</v>
          </cell>
        </row>
        <row r="140">
          <cell r="E140">
            <v>373</v>
          </cell>
          <cell r="G140">
            <v>54458</v>
          </cell>
          <cell r="J140">
            <v>103</v>
          </cell>
          <cell r="L140">
            <v>37080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168074</v>
          </cell>
          <cell r="V140">
            <v>0</v>
          </cell>
          <cell r="W140">
            <v>168074</v>
          </cell>
        </row>
        <row r="141">
          <cell r="E141">
            <v>266</v>
          </cell>
          <cell r="G141">
            <v>38836</v>
          </cell>
          <cell r="J141">
            <v>95</v>
          </cell>
          <cell r="L141">
            <v>34200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149572</v>
          </cell>
          <cell r="V141">
            <v>317646</v>
          </cell>
          <cell r="W141">
            <v>0</v>
          </cell>
        </row>
        <row r="142">
          <cell r="E142">
            <v>227</v>
          </cell>
          <cell r="G142">
            <v>33142</v>
          </cell>
          <cell r="J142">
            <v>124</v>
          </cell>
          <cell r="L142">
            <v>44640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154318</v>
          </cell>
          <cell r="V142">
            <v>0</v>
          </cell>
          <cell r="W142">
            <v>154318</v>
          </cell>
        </row>
        <row r="143">
          <cell r="E143">
            <v>243</v>
          </cell>
          <cell r="G143">
            <v>35478</v>
          </cell>
          <cell r="J143">
            <v>18</v>
          </cell>
          <cell r="L143">
            <v>6480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118494</v>
          </cell>
          <cell r="V143">
            <v>272812</v>
          </cell>
          <cell r="W143">
            <v>0</v>
          </cell>
        </row>
        <row r="144">
          <cell r="E144">
            <v>229</v>
          </cell>
          <cell r="G144">
            <v>33434</v>
          </cell>
          <cell r="J144">
            <v>16</v>
          </cell>
          <cell r="L144">
            <v>5760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115730</v>
          </cell>
          <cell r="V144">
            <v>115730</v>
          </cell>
          <cell r="W144">
            <v>0</v>
          </cell>
        </row>
        <row r="145">
          <cell r="E145">
            <v>262</v>
          </cell>
          <cell r="G145">
            <v>38252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115868</v>
          </cell>
          <cell r="V145">
            <v>0</v>
          </cell>
          <cell r="W145">
            <v>115868</v>
          </cell>
        </row>
        <row r="146">
          <cell r="E146">
            <v>206</v>
          </cell>
          <cell r="G146">
            <v>30076</v>
          </cell>
          <cell r="J146">
            <v>5</v>
          </cell>
          <cell r="L146">
            <v>1800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108412</v>
          </cell>
          <cell r="V146">
            <v>224280</v>
          </cell>
          <cell r="W146">
            <v>0</v>
          </cell>
        </row>
        <row r="147">
          <cell r="E147">
            <v>457</v>
          </cell>
          <cell r="G147">
            <v>66722</v>
          </cell>
          <cell r="J147">
            <v>15</v>
          </cell>
          <cell r="L147">
            <v>5400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148658</v>
          </cell>
          <cell r="V147">
            <v>0</v>
          </cell>
          <cell r="W147">
            <v>148658</v>
          </cell>
        </row>
        <row r="148">
          <cell r="E148">
            <v>460</v>
          </cell>
          <cell r="G148">
            <v>67160</v>
          </cell>
          <cell r="J148">
            <v>29</v>
          </cell>
          <cell r="L148">
            <v>10440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154136</v>
          </cell>
          <cell r="V148">
            <v>302794</v>
          </cell>
          <cell r="W148">
            <v>0</v>
          </cell>
        </row>
        <row r="149">
          <cell r="E149">
            <v>562</v>
          </cell>
          <cell r="G149">
            <v>82052</v>
          </cell>
          <cell r="J149">
            <v>142</v>
          </cell>
          <cell r="L149">
            <v>55080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213668</v>
          </cell>
          <cell r="V149">
            <v>0</v>
          </cell>
          <cell r="W149">
            <v>213668</v>
          </cell>
        </row>
        <row r="150">
          <cell r="E150">
            <v>299</v>
          </cell>
          <cell r="G150">
            <v>43654</v>
          </cell>
          <cell r="J150">
            <v>124</v>
          </cell>
          <cell r="L150">
            <v>45360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167550</v>
          </cell>
          <cell r="V150">
            <v>381218</v>
          </cell>
          <cell r="W150">
            <v>0</v>
          </cell>
        </row>
        <row r="151">
          <cell r="E151">
            <v>477</v>
          </cell>
          <cell r="G151">
            <v>69642</v>
          </cell>
          <cell r="J151">
            <v>139</v>
          </cell>
          <cell r="L151">
            <v>53460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204497</v>
          </cell>
          <cell r="V151">
            <v>204497</v>
          </cell>
          <cell r="W151">
            <v>0</v>
          </cell>
        </row>
        <row r="152">
          <cell r="E152">
            <v>619</v>
          </cell>
          <cell r="G152">
            <v>90374</v>
          </cell>
          <cell r="J152">
            <v>182</v>
          </cell>
          <cell r="L152">
            <v>93960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265729</v>
          </cell>
          <cell r="V152">
            <v>265729</v>
          </cell>
          <cell r="W152">
            <v>0</v>
          </cell>
        </row>
        <row r="153">
          <cell r="E153">
            <v>235</v>
          </cell>
          <cell r="G153">
            <v>34310</v>
          </cell>
          <cell r="J153">
            <v>151</v>
          </cell>
          <cell r="L153">
            <v>59940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180604</v>
          </cell>
          <cell r="V153">
            <v>0</v>
          </cell>
          <cell r="W153">
            <v>180604</v>
          </cell>
        </row>
        <row r="154">
          <cell r="E154">
            <v>357</v>
          </cell>
          <cell r="G154">
            <v>52122</v>
          </cell>
          <cell r="J154">
            <v>95</v>
          </cell>
          <cell r="L154">
            <v>34200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172676</v>
          </cell>
          <cell r="V154">
            <v>353280</v>
          </cell>
          <cell r="W154">
            <v>0</v>
          </cell>
        </row>
        <row r="155">
          <cell r="E155">
            <v>190</v>
          </cell>
          <cell r="G155">
            <v>27740</v>
          </cell>
          <cell r="J155">
            <v>45</v>
          </cell>
          <cell r="L155">
            <v>16200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130294</v>
          </cell>
          <cell r="V155">
            <v>0</v>
          </cell>
          <cell r="W155">
            <v>130294</v>
          </cell>
        </row>
        <row r="156">
          <cell r="E156">
            <v>198</v>
          </cell>
          <cell r="G156">
            <v>28908</v>
          </cell>
          <cell r="J156">
            <v>31</v>
          </cell>
          <cell r="L156">
            <v>11160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126422</v>
          </cell>
          <cell r="V156">
            <v>256716</v>
          </cell>
          <cell r="W156">
            <v>0</v>
          </cell>
        </row>
        <row r="157">
          <cell r="E157">
            <v>246</v>
          </cell>
          <cell r="G157">
            <v>35916</v>
          </cell>
          <cell r="J157">
            <v>36</v>
          </cell>
          <cell r="L157">
            <v>12960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135230</v>
          </cell>
          <cell r="V157">
            <v>135230</v>
          </cell>
          <cell r="W157">
            <v>0</v>
          </cell>
        </row>
        <row r="158">
          <cell r="E158">
            <v>209</v>
          </cell>
          <cell r="G158">
            <v>30514</v>
          </cell>
          <cell r="J158">
            <v>33</v>
          </cell>
          <cell r="L158">
            <v>11880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128748</v>
          </cell>
          <cell r="V158">
            <v>0</v>
          </cell>
          <cell r="W158">
            <v>128748</v>
          </cell>
        </row>
        <row r="159">
          <cell r="E159">
            <v>212</v>
          </cell>
          <cell r="G159">
            <v>30952</v>
          </cell>
          <cell r="J159">
            <v>45</v>
          </cell>
          <cell r="L159">
            <v>16200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133506</v>
          </cell>
          <cell r="V159">
            <v>262254</v>
          </cell>
          <cell r="W159">
            <v>0</v>
          </cell>
        </row>
        <row r="160">
          <cell r="E160">
            <v>453</v>
          </cell>
          <cell r="G160">
            <v>66138</v>
          </cell>
          <cell r="J160">
            <v>31</v>
          </cell>
          <cell r="L160">
            <v>11160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163652</v>
          </cell>
          <cell r="V160">
            <v>163652</v>
          </cell>
          <cell r="W160">
            <v>0</v>
          </cell>
        </row>
        <row r="161">
          <cell r="E161">
            <v>384</v>
          </cell>
          <cell r="G161">
            <v>56064</v>
          </cell>
          <cell r="J161">
            <v>54</v>
          </cell>
          <cell r="L161">
            <v>19440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161858</v>
          </cell>
          <cell r="V161">
            <v>0</v>
          </cell>
          <cell r="W161">
            <v>161858</v>
          </cell>
        </row>
        <row r="162">
          <cell r="E162">
            <v>310</v>
          </cell>
          <cell r="G162">
            <v>45260</v>
          </cell>
          <cell r="J162">
            <v>117</v>
          </cell>
          <cell r="L162">
            <v>42120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173440</v>
          </cell>
          <cell r="V162">
            <v>335298</v>
          </cell>
          <cell r="W162">
            <v>0</v>
          </cell>
        </row>
        <row r="163">
          <cell r="E163">
            <v>221</v>
          </cell>
          <cell r="G163">
            <v>32266</v>
          </cell>
          <cell r="J163">
            <v>76</v>
          </cell>
          <cell r="L163">
            <v>27360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155686</v>
          </cell>
          <cell r="V163">
            <v>0</v>
          </cell>
          <cell r="W163">
            <v>155686</v>
          </cell>
        </row>
        <row r="164">
          <cell r="E164">
            <v>176</v>
          </cell>
          <cell r="G164">
            <v>25696</v>
          </cell>
          <cell r="J164">
            <v>144</v>
          </cell>
          <cell r="L164">
            <v>56160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177916</v>
          </cell>
          <cell r="V164">
            <v>333602</v>
          </cell>
          <cell r="W164">
            <v>0</v>
          </cell>
        </row>
        <row r="165">
          <cell r="E165">
            <v>193</v>
          </cell>
          <cell r="G165">
            <v>28178</v>
          </cell>
          <cell r="J165">
            <v>168</v>
          </cell>
          <cell r="L165">
            <v>78840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203078</v>
          </cell>
          <cell r="V165">
            <v>203078</v>
          </cell>
          <cell r="W165">
            <v>0</v>
          </cell>
        </row>
        <row r="166">
          <cell r="E166">
            <v>186</v>
          </cell>
          <cell r="G166">
            <v>27156</v>
          </cell>
          <cell r="J166">
            <v>107</v>
          </cell>
          <cell r="L166">
            <v>38520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151780</v>
          </cell>
          <cell r="V166">
            <v>0</v>
          </cell>
          <cell r="W166">
            <v>151780</v>
          </cell>
        </row>
        <row r="167">
          <cell r="E167">
            <v>146</v>
          </cell>
          <cell r="G167">
            <v>21316</v>
          </cell>
          <cell r="J167">
            <v>84</v>
          </cell>
          <cell r="L167">
            <v>30240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137660</v>
          </cell>
          <cell r="V167">
            <v>289440</v>
          </cell>
          <cell r="W167">
            <v>0</v>
          </cell>
        </row>
        <row r="168">
          <cell r="E168">
            <v>138</v>
          </cell>
          <cell r="G168">
            <v>20148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106972</v>
          </cell>
          <cell r="V168">
            <v>0</v>
          </cell>
          <cell r="W168">
            <v>106972</v>
          </cell>
        </row>
        <row r="169">
          <cell r="E169">
            <v>286</v>
          </cell>
          <cell r="G169">
            <v>41756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127466</v>
          </cell>
          <cell r="V169">
            <v>234438</v>
          </cell>
          <cell r="W169">
            <v>0</v>
          </cell>
        </row>
        <row r="170">
          <cell r="E170">
            <v>195</v>
          </cell>
          <cell r="G170">
            <v>28470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114180</v>
          </cell>
          <cell r="V170">
            <v>0</v>
          </cell>
          <cell r="W170">
            <v>114180</v>
          </cell>
        </row>
        <row r="171">
          <cell r="E171">
            <v>339</v>
          </cell>
          <cell r="G171">
            <v>49494</v>
          </cell>
          <cell r="J171">
            <v>41</v>
          </cell>
          <cell r="L171">
            <v>14760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145649</v>
          </cell>
          <cell r="V171">
            <v>259829</v>
          </cell>
          <cell r="W171">
            <v>0</v>
          </cell>
        </row>
        <row r="172">
          <cell r="E172">
            <v>148</v>
          </cell>
          <cell r="G172">
            <v>21608</v>
          </cell>
          <cell r="J172">
            <v>30</v>
          </cell>
          <cell r="L172">
            <v>10800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113803</v>
          </cell>
          <cell r="V172">
            <v>113803</v>
          </cell>
          <cell r="W172">
            <v>0</v>
          </cell>
        </row>
        <row r="173">
          <cell r="E173">
            <v>251</v>
          </cell>
          <cell r="G173">
            <v>36646</v>
          </cell>
          <cell r="J173">
            <v>66</v>
          </cell>
          <cell r="L173">
            <v>23760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141801</v>
          </cell>
          <cell r="V173">
            <v>0</v>
          </cell>
          <cell r="W173">
            <v>141801</v>
          </cell>
        </row>
        <row r="174">
          <cell r="E174">
            <v>505</v>
          </cell>
          <cell r="G174">
            <v>73730</v>
          </cell>
          <cell r="J174">
            <v>82</v>
          </cell>
          <cell r="L174">
            <v>29520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184645</v>
          </cell>
          <cell r="V174">
            <v>326446</v>
          </cell>
          <cell r="W174">
            <v>0</v>
          </cell>
        </row>
      </sheetData>
      <sheetData sheetId="1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39000</v>
          </cell>
          <cell r="R11">
            <v>0</v>
          </cell>
          <cell r="S11">
            <v>39000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39000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39000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78000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117000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78000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117000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78000</v>
          </cell>
          <cell r="W26">
            <v>78000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117000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156000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156000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78000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78000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78000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117000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78000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117000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78000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65000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26000</v>
          </cell>
          <cell r="R39">
            <v>0</v>
          </cell>
          <cell r="S39">
            <v>26000</v>
          </cell>
          <cell r="V39">
            <v>0</v>
          </cell>
          <cell r="W39">
            <v>26000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65000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104000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143000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182000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221000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260000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299000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273014</v>
          </cell>
          <cell r="W47">
            <v>64986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65014</v>
          </cell>
          <cell r="W48">
            <v>38972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78014</v>
          </cell>
          <cell r="W49">
            <v>-42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39014</v>
          </cell>
          <cell r="W50">
            <v>-56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39014</v>
          </cell>
          <cell r="W51">
            <v>-70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39014</v>
          </cell>
          <cell r="W52">
            <v>-84</v>
          </cell>
        </row>
        <row r="53">
          <cell r="E53">
            <v>55</v>
          </cell>
          <cell r="G53">
            <v>3465</v>
          </cell>
          <cell r="J53">
            <v>60</v>
          </cell>
          <cell r="L53">
            <v>21600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64065</v>
          </cell>
          <cell r="V53">
            <v>39014</v>
          </cell>
          <cell r="W53">
            <v>31967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46000</v>
          </cell>
          <cell r="R54">
            <v>0</v>
          </cell>
          <cell r="S54">
            <v>46000</v>
          </cell>
          <cell r="V54">
            <v>39014</v>
          </cell>
          <cell r="W54">
            <v>38953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84953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130953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130967</v>
          </cell>
          <cell r="W57">
            <v>45986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91986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138000</v>
          </cell>
          <cell r="W59">
            <v>-14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-14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45986</v>
          </cell>
        </row>
        <row r="62">
          <cell r="E62">
            <v>3</v>
          </cell>
          <cell r="G62">
            <v>237</v>
          </cell>
          <cell r="J62">
            <v>5</v>
          </cell>
          <cell r="L62">
            <v>1800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48037</v>
          </cell>
          <cell r="V62">
            <v>0</v>
          </cell>
          <cell r="W62">
            <v>94023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94023</v>
          </cell>
          <cell r="W63">
            <v>46000</v>
          </cell>
        </row>
        <row r="64">
          <cell r="E64">
            <v>-58</v>
          </cell>
          <cell r="G64">
            <v>-4582</v>
          </cell>
          <cell r="J64">
            <v>3</v>
          </cell>
          <cell r="L64">
            <v>1080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42498</v>
          </cell>
          <cell r="V64">
            <v>46000</v>
          </cell>
          <cell r="W64">
            <v>42498</v>
          </cell>
        </row>
        <row r="65">
          <cell r="E65">
            <v>24</v>
          </cell>
          <cell r="G65">
            <v>2088</v>
          </cell>
          <cell r="J65">
            <v>17</v>
          </cell>
          <cell r="L65">
            <v>6120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54208</v>
          </cell>
          <cell r="V65">
            <v>42498</v>
          </cell>
          <cell r="W65">
            <v>54208</v>
          </cell>
        </row>
        <row r="66">
          <cell r="E66">
            <v>37</v>
          </cell>
          <cell r="G66">
            <v>3219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49219</v>
          </cell>
          <cell r="V66">
            <v>54208</v>
          </cell>
          <cell r="W66">
            <v>49219</v>
          </cell>
        </row>
        <row r="67">
          <cell r="E67">
            <v>235</v>
          </cell>
          <cell r="G67">
            <v>26085</v>
          </cell>
          <cell r="J67">
            <v>35</v>
          </cell>
          <cell r="L67">
            <v>12600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84685</v>
          </cell>
          <cell r="V67">
            <v>0</v>
          </cell>
          <cell r="W67">
            <v>133904</v>
          </cell>
        </row>
        <row r="68">
          <cell r="E68">
            <v>269</v>
          </cell>
          <cell r="G68">
            <v>33356</v>
          </cell>
          <cell r="J68">
            <v>4</v>
          </cell>
          <cell r="L68">
            <v>1440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80796</v>
          </cell>
          <cell r="V68">
            <v>0</v>
          </cell>
          <cell r="W68">
            <v>214700</v>
          </cell>
        </row>
        <row r="69">
          <cell r="E69">
            <v>123</v>
          </cell>
          <cell r="G69">
            <v>12054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58054</v>
          </cell>
          <cell r="V69">
            <v>133904</v>
          </cell>
          <cell r="W69">
            <v>138850</v>
          </cell>
        </row>
        <row r="70">
          <cell r="E70">
            <v>173</v>
          </cell>
          <cell r="G70">
            <v>17992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63992</v>
          </cell>
          <cell r="V70">
            <v>138850</v>
          </cell>
          <cell r="W70">
            <v>63992</v>
          </cell>
        </row>
        <row r="71">
          <cell r="E71">
            <v>170</v>
          </cell>
          <cell r="G71">
            <v>19040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65040</v>
          </cell>
          <cell r="V71">
            <v>129032</v>
          </cell>
          <cell r="W71">
            <v>0</v>
          </cell>
        </row>
        <row r="72">
          <cell r="E72">
            <v>47</v>
          </cell>
          <cell r="G72">
            <v>5029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51029</v>
          </cell>
          <cell r="V72">
            <v>51029</v>
          </cell>
          <cell r="W72">
            <v>0</v>
          </cell>
        </row>
        <row r="73">
          <cell r="E73">
            <v>56</v>
          </cell>
          <cell r="G73">
            <v>6160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52160</v>
          </cell>
          <cell r="V73">
            <v>0</v>
          </cell>
          <cell r="W73">
            <v>52160</v>
          </cell>
        </row>
        <row r="74">
          <cell r="E74">
            <v>105</v>
          </cell>
          <cell r="G74">
            <v>13230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59230</v>
          </cell>
          <cell r="V74">
            <v>0</v>
          </cell>
          <cell r="W74">
            <v>111390</v>
          </cell>
        </row>
        <row r="75">
          <cell r="E75">
            <v>60</v>
          </cell>
          <cell r="G75">
            <v>7140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53140</v>
          </cell>
          <cell r="V75">
            <v>0</v>
          </cell>
          <cell r="W75">
            <v>164530</v>
          </cell>
        </row>
        <row r="76">
          <cell r="E76">
            <v>134</v>
          </cell>
          <cell r="G76">
            <v>14472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60472</v>
          </cell>
          <cell r="V76">
            <v>170453</v>
          </cell>
          <cell r="W76">
            <v>54549</v>
          </cell>
        </row>
        <row r="77">
          <cell r="E77">
            <v>54</v>
          </cell>
          <cell r="G77">
            <v>6696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52696</v>
          </cell>
          <cell r="V77">
            <v>0</v>
          </cell>
          <cell r="W77">
            <v>113245</v>
          </cell>
        </row>
        <row r="78">
          <cell r="E78">
            <v>258</v>
          </cell>
          <cell r="G78">
            <v>33540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11139</v>
          </cell>
          <cell r="S78">
            <v>79540</v>
          </cell>
          <cell r="V78">
            <v>0</v>
          </cell>
          <cell r="W78">
            <v>212063.5</v>
          </cell>
        </row>
        <row r="79">
          <cell r="E79">
            <v>120</v>
          </cell>
          <cell r="G79">
            <v>15600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61600</v>
          </cell>
          <cell r="V79">
            <v>0</v>
          </cell>
          <cell r="W79">
            <v>273663.5</v>
          </cell>
        </row>
        <row r="80">
          <cell r="E80">
            <v>109</v>
          </cell>
          <cell r="G80">
            <v>15260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61260</v>
          </cell>
          <cell r="V80">
            <v>254385</v>
          </cell>
          <cell r="W80">
            <v>84538.5</v>
          </cell>
        </row>
        <row r="81">
          <cell r="E81">
            <v>55</v>
          </cell>
          <cell r="G81">
            <v>8030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54030</v>
          </cell>
          <cell r="V81">
            <v>0</v>
          </cell>
          <cell r="W81">
            <v>142568.5</v>
          </cell>
        </row>
        <row r="82">
          <cell r="E82">
            <v>73</v>
          </cell>
          <cell r="G82">
            <v>10658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56658</v>
          </cell>
          <cell r="V82">
            <v>123290</v>
          </cell>
          <cell r="W82">
            <v>79936.5</v>
          </cell>
        </row>
        <row r="83">
          <cell r="E83">
            <v>51</v>
          </cell>
          <cell r="G83">
            <v>7446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53446</v>
          </cell>
          <cell r="V83">
            <v>0</v>
          </cell>
          <cell r="W83">
            <v>147382.5</v>
          </cell>
        </row>
        <row r="84">
          <cell r="E84">
            <v>66</v>
          </cell>
          <cell r="G84">
            <v>9636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56000</v>
          </cell>
          <cell r="R84">
            <v>0</v>
          </cell>
          <cell r="S84">
            <v>65636</v>
          </cell>
          <cell r="V84">
            <v>128104</v>
          </cell>
          <cell r="W84">
            <v>78914.5</v>
          </cell>
        </row>
        <row r="85">
          <cell r="E85">
            <v>57</v>
          </cell>
          <cell r="G85">
            <v>8322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54322</v>
          </cell>
          <cell r="V85">
            <v>117958</v>
          </cell>
          <cell r="W85">
            <v>19278.5</v>
          </cell>
        </row>
        <row r="86">
          <cell r="E86">
            <v>49</v>
          </cell>
          <cell r="G86">
            <v>7154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46000</v>
          </cell>
          <cell r="R86">
            <v>0</v>
          </cell>
          <cell r="S86">
            <v>53154</v>
          </cell>
          <cell r="V86">
            <v>0</v>
          </cell>
          <cell r="W86">
            <v>76432.5</v>
          </cell>
        </row>
        <row r="87">
          <cell r="E87">
            <v>147</v>
          </cell>
          <cell r="G87">
            <v>21462</v>
          </cell>
          <cell r="J87">
            <v>1</v>
          </cell>
          <cell r="L87">
            <v>360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8759</v>
          </cell>
          <cell r="S87">
            <v>67822</v>
          </cell>
          <cell r="V87">
            <v>157140</v>
          </cell>
          <cell r="W87">
            <v>-126.5</v>
          </cell>
        </row>
        <row r="88">
          <cell r="E88">
            <v>184</v>
          </cell>
          <cell r="G88">
            <v>26864</v>
          </cell>
          <cell r="J88">
            <v>4</v>
          </cell>
          <cell r="L88">
            <v>1440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74304</v>
          </cell>
          <cell r="V88">
            <v>0</v>
          </cell>
          <cell r="W88">
            <v>78177.5</v>
          </cell>
        </row>
        <row r="89">
          <cell r="E89">
            <v>256</v>
          </cell>
          <cell r="G89">
            <v>37376</v>
          </cell>
          <cell r="J89">
            <v>14</v>
          </cell>
          <cell r="L89">
            <v>5040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55000</v>
          </cell>
          <cell r="R89">
            <v>0</v>
          </cell>
          <cell r="S89">
            <v>97416</v>
          </cell>
          <cell r="V89">
            <v>0</v>
          </cell>
          <cell r="W89">
            <v>189593.5</v>
          </cell>
        </row>
        <row r="90">
          <cell r="E90">
            <v>367</v>
          </cell>
          <cell r="G90">
            <v>53582</v>
          </cell>
          <cell r="J90">
            <v>26</v>
          </cell>
          <cell r="L90">
            <v>9360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55000</v>
          </cell>
          <cell r="R90">
            <v>25211</v>
          </cell>
          <cell r="S90">
            <v>117942</v>
          </cell>
          <cell r="V90">
            <v>346747</v>
          </cell>
          <cell r="W90">
            <v>-0.5</v>
          </cell>
        </row>
        <row r="91">
          <cell r="E91">
            <v>218</v>
          </cell>
          <cell r="G91">
            <v>31828</v>
          </cell>
          <cell r="J91">
            <v>7</v>
          </cell>
          <cell r="L91">
            <v>2520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89348</v>
          </cell>
          <cell r="V91">
            <v>0</v>
          </cell>
          <cell r="W91">
            <v>103347.5</v>
          </cell>
        </row>
        <row r="92">
          <cell r="E92">
            <v>64</v>
          </cell>
          <cell r="G92">
            <v>9344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18168</v>
          </cell>
          <cell r="S92">
            <v>64344</v>
          </cell>
          <cell r="V92">
            <v>0</v>
          </cell>
          <cell r="W92">
            <v>199859.5</v>
          </cell>
        </row>
        <row r="93">
          <cell r="E93">
            <v>100</v>
          </cell>
          <cell r="G93">
            <v>14600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69600</v>
          </cell>
          <cell r="V93">
            <v>0</v>
          </cell>
          <cell r="W93">
            <v>283459.5</v>
          </cell>
        </row>
        <row r="94">
          <cell r="E94">
            <v>91</v>
          </cell>
          <cell r="G94">
            <v>13286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33757</v>
          </cell>
          <cell r="S94">
            <v>68286</v>
          </cell>
          <cell r="V94">
            <v>389503</v>
          </cell>
          <cell r="W94">
            <v>0</v>
          </cell>
        </row>
        <row r="95">
          <cell r="E95">
            <v>325</v>
          </cell>
          <cell r="G95">
            <v>47450</v>
          </cell>
          <cell r="J95">
            <v>10</v>
          </cell>
          <cell r="L95">
            <v>3600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110050</v>
          </cell>
          <cell r="V95">
            <v>110000</v>
          </cell>
          <cell r="W95">
            <v>50</v>
          </cell>
        </row>
        <row r="96">
          <cell r="E96">
            <v>560</v>
          </cell>
          <cell r="G96">
            <v>81760</v>
          </cell>
          <cell r="J96">
            <v>25</v>
          </cell>
          <cell r="L96">
            <v>9000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149760</v>
          </cell>
          <cell r="V96">
            <v>149810</v>
          </cell>
          <cell r="W96">
            <v>0</v>
          </cell>
        </row>
        <row r="97">
          <cell r="E97">
            <v>530</v>
          </cell>
          <cell r="G97">
            <v>77380</v>
          </cell>
          <cell r="J97">
            <v>13</v>
          </cell>
          <cell r="L97">
            <v>4680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141060</v>
          </cell>
          <cell r="V97">
            <v>141060</v>
          </cell>
          <cell r="W97">
            <v>0</v>
          </cell>
        </row>
        <row r="98">
          <cell r="E98">
            <v>540</v>
          </cell>
          <cell r="G98">
            <v>78840</v>
          </cell>
          <cell r="J98">
            <v>13</v>
          </cell>
          <cell r="L98">
            <v>4680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142520</v>
          </cell>
          <cell r="V98">
            <v>142520</v>
          </cell>
          <cell r="W98">
            <v>0</v>
          </cell>
        </row>
        <row r="99">
          <cell r="E99">
            <v>559</v>
          </cell>
          <cell r="G99">
            <v>81614</v>
          </cell>
          <cell r="J99">
            <v>-33</v>
          </cell>
          <cell r="L99">
            <v>4680</v>
          </cell>
          <cell r="M99">
            <v>0</v>
          </cell>
          <cell r="N99">
            <v>0</v>
          </cell>
          <cell r="O99">
            <v>40000</v>
          </cell>
          <cell r="P99">
            <v>4000</v>
          </cell>
          <cell r="Q99">
            <v>55000</v>
          </cell>
          <cell r="R99">
            <v>0</v>
          </cell>
          <cell r="S99">
            <v>185294</v>
          </cell>
          <cell r="V99">
            <v>185294</v>
          </cell>
          <cell r="W99">
            <v>0</v>
          </cell>
        </row>
        <row r="100">
          <cell r="E100">
            <v>515</v>
          </cell>
          <cell r="G100">
            <v>75190</v>
          </cell>
          <cell r="J100">
            <v>5</v>
          </cell>
          <cell r="L100">
            <v>1800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135990</v>
          </cell>
          <cell r="V100">
            <v>0</v>
          </cell>
          <cell r="W100">
            <v>135990</v>
          </cell>
        </row>
        <row r="101">
          <cell r="E101">
            <v>458</v>
          </cell>
          <cell r="G101">
            <v>66868</v>
          </cell>
          <cell r="J101">
            <v>1</v>
          </cell>
          <cell r="L101">
            <v>360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56650</v>
          </cell>
          <cell r="R101">
            <v>0</v>
          </cell>
          <cell r="S101">
            <v>127878</v>
          </cell>
          <cell r="V101">
            <v>263868</v>
          </cell>
          <cell r="W101">
            <v>0</v>
          </cell>
        </row>
        <row r="102">
          <cell r="E102">
            <v>255</v>
          </cell>
          <cell r="G102">
            <v>37230</v>
          </cell>
          <cell r="J102">
            <v>10</v>
          </cell>
          <cell r="L102">
            <v>3600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56650</v>
          </cell>
          <cell r="R102">
            <v>0</v>
          </cell>
          <cell r="S102">
            <v>101480</v>
          </cell>
          <cell r="V102">
            <v>101480</v>
          </cell>
          <cell r="W102">
            <v>0</v>
          </cell>
        </row>
        <row r="103">
          <cell r="E103">
            <v>96</v>
          </cell>
          <cell r="G103">
            <v>14016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74666</v>
          </cell>
          <cell r="V103">
            <v>0</v>
          </cell>
          <cell r="W103">
            <v>74666</v>
          </cell>
        </row>
        <row r="104">
          <cell r="E104">
            <v>153</v>
          </cell>
          <cell r="G104">
            <v>22338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82988</v>
          </cell>
          <cell r="V104">
            <v>157654</v>
          </cell>
          <cell r="W104">
            <v>0</v>
          </cell>
        </row>
        <row r="105">
          <cell r="E105">
            <v>242</v>
          </cell>
          <cell r="G105">
            <v>35332</v>
          </cell>
          <cell r="J105">
            <v>1</v>
          </cell>
          <cell r="L105">
            <v>360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92342</v>
          </cell>
          <cell r="V105">
            <v>92342</v>
          </cell>
          <cell r="W105">
            <v>0</v>
          </cell>
        </row>
        <row r="106">
          <cell r="E106">
            <v>36</v>
          </cell>
          <cell r="G106">
            <v>5256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61906</v>
          </cell>
          <cell r="V106">
            <v>0</v>
          </cell>
          <cell r="W106">
            <v>61906</v>
          </cell>
        </row>
        <row r="107">
          <cell r="E107">
            <v>44</v>
          </cell>
          <cell r="G107">
            <v>6424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12498</v>
          </cell>
          <cell r="S107">
            <v>75572</v>
          </cell>
          <cell r="V107">
            <v>0</v>
          </cell>
          <cell r="W107">
            <v>137478</v>
          </cell>
        </row>
        <row r="108">
          <cell r="E108">
            <v>39</v>
          </cell>
          <cell r="G108">
            <v>5694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62344</v>
          </cell>
          <cell r="V108">
            <v>0</v>
          </cell>
          <cell r="W108">
            <v>199822</v>
          </cell>
        </row>
        <row r="109">
          <cell r="E109">
            <v>44</v>
          </cell>
          <cell r="G109">
            <v>6424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63074</v>
          </cell>
          <cell r="V109">
            <v>0</v>
          </cell>
          <cell r="W109">
            <v>262896</v>
          </cell>
        </row>
        <row r="110">
          <cell r="E110">
            <v>1</v>
          </cell>
          <cell r="G110">
            <v>146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31969</v>
          </cell>
          <cell r="S110">
            <v>88765</v>
          </cell>
          <cell r="V110">
            <v>0</v>
          </cell>
          <cell r="W110">
            <v>351661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408311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464961</v>
          </cell>
          <cell r="W112">
            <v>0</v>
          </cell>
        </row>
        <row r="113">
          <cell r="E113">
            <v>547</v>
          </cell>
          <cell r="G113">
            <v>79862</v>
          </cell>
          <cell r="J113">
            <v>17</v>
          </cell>
          <cell r="L113">
            <v>6120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58859</v>
          </cell>
          <cell r="R113">
            <v>0</v>
          </cell>
          <cell r="S113">
            <v>144841</v>
          </cell>
          <cell r="V113">
            <v>0</v>
          </cell>
          <cell r="W113">
            <v>144841</v>
          </cell>
        </row>
        <row r="114">
          <cell r="E114">
            <v>476</v>
          </cell>
          <cell r="G114">
            <v>69496</v>
          </cell>
          <cell r="J114">
            <v>7</v>
          </cell>
          <cell r="L114">
            <v>2520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58859</v>
          </cell>
          <cell r="R114">
            <v>0</v>
          </cell>
          <cell r="S114">
            <v>130875</v>
          </cell>
          <cell r="V114">
            <v>0</v>
          </cell>
          <cell r="W114">
            <v>275716</v>
          </cell>
        </row>
        <row r="115">
          <cell r="E115">
            <v>499</v>
          </cell>
          <cell r="G115">
            <v>72854</v>
          </cell>
          <cell r="J115">
            <v>3</v>
          </cell>
          <cell r="L115">
            <v>1080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132793</v>
          </cell>
          <cell r="V115">
            <v>408509</v>
          </cell>
          <cell r="W115">
            <v>0</v>
          </cell>
        </row>
        <row r="116">
          <cell r="E116">
            <v>53</v>
          </cell>
          <cell r="G116">
            <v>7738</v>
          </cell>
          <cell r="J116">
            <v>1</v>
          </cell>
          <cell r="L116">
            <v>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66957</v>
          </cell>
          <cell r="V116">
            <v>66957</v>
          </cell>
          <cell r="W116">
            <v>0</v>
          </cell>
        </row>
        <row r="117">
          <cell r="E117">
            <v>3</v>
          </cell>
          <cell r="G117">
            <v>438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59297</v>
          </cell>
          <cell r="V117">
            <v>59297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2</v>
          </cell>
          <cell r="G120">
            <v>292</v>
          </cell>
          <cell r="J120">
            <v>6</v>
          </cell>
          <cell r="L120">
            <v>2160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61311</v>
          </cell>
          <cell r="V120">
            <v>61311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10</v>
          </cell>
          <cell r="L121">
            <v>3600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62459</v>
          </cell>
          <cell r="V121">
            <v>62459</v>
          </cell>
          <cell r="W121">
            <v>0</v>
          </cell>
        </row>
        <row r="122">
          <cell r="E122">
            <v>10</v>
          </cell>
          <cell r="G122">
            <v>1460</v>
          </cell>
          <cell r="J122">
            <v>14</v>
          </cell>
          <cell r="L122">
            <v>5040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65359</v>
          </cell>
          <cell r="V122">
            <v>65359</v>
          </cell>
          <cell r="W122">
            <v>0</v>
          </cell>
        </row>
        <row r="123">
          <cell r="E123">
            <v>11</v>
          </cell>
          <cell r="G123">
            <v>1606</v>
          </cell>
          <cell r="J123">
            <v>66</v>
          </cell>
          <cell r="L123">
            <v>23760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84225</v>
          </cell>
          <cell r="V123">
            <v>84225</v>
          </cell>
          <cell r="W123">
            <v>0</v>
          </cell>
        </row>
        <row r="124">
          <cell r="E124">
            <v>9</v>
          </cell>
          <cell r="G124">
            <v>1314</v>
          </cell>
          <cell r="J124">
            <v>15</v>
          </cell>
          <cell r="L124">
            <v>5400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65573</v>
          </cell>
          <cell r="V124">
            <v>65573</v>
          </cell>
          <cell r="W124">
            <v>0</v>
          </cell>
        </row>
        <row r="125">
          <cell r="E125">
            <v>17</v>
          </cell>
          <cell r="G125">
            <v>2482</v>
          </cell>
          <cell r="J125">
            <v>46</v>
          </cell>
          <cell r="L125">
            <v>16560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59734</v>
          </cell>
          <cell r="R125">
            <v>0</v>
          </cell>
          <cell r="S125">
            <v>78776</v>
          </cell>
          <cell r="V125">
            <v>78776</v>
          </cell>
          <cell r="W125">
            <v>0</v>
          </cell>
        </row>
        <row r="126">
          <cell r="E126">
            <v>13</v>
          </cell>
          <cell r="G126">
            <v>1898</v>
          </cell>
          <cell r="J126">
            <v>25</v>
          </cell>
          <cell r="L126">
            <v>9000</v>
          </cell>
          <cell r="M126">
            <v>0</v>
          </cell>
          <cell r="N126">
            <v>0</v>
          </cell>
          <cell r="O126">
            <v>12288</v>
          </cell>
          <cell r="P126">
            <v>0</v>
          </cell>
          <cell r="Q126">
            <v>59734</v>
          </cell>
          <cell r="R126">
            <v>0</v>
          </cell>
          <cell r="S126">
            <v>82920</v>
          </cell>
          <cell r="V126">
            <v>82920</v>
          </cell>
          <cell r="W126">
            <v>0</v>
          </cell>
        </row>
        <row r="127">
          <cell r="E127">
            <v>23</v>
          </cell>
          <cell r="G127">
            <v>3358</v>
          </cell>
          <cell r="J127">
            <v>46</v>
          </cell>
          <cell r="L127">
            <v>16560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79652</v>
          </cell>
          <cell r="V127">
            <v>79652</v>
          </cell>
          <cell r="W127">
            <v>0</v>
          </cell>
        </row>
        <row r="128">
          <cell r="E128">
            <v>2</v>
          </cell>
          <cell r="G128">
            <v>292</v>
          </cell>
          <cell r="J128">
            <v>19</v>
          </cell>
          <cell r="L128">
            <v>6840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66866</v>
          </cell>
          <cell r="V128">
            <v>66866</v>
          </cell>
          <cell r="W128">
            <v>0</v>
          </cell>
        </row>
        <row r="129">
          <cell r="E129">
            <v>18</v>
          </cell>
          <cell r="G129">
            <v>2628</v>
          </cell>
          <cell r="J129">
            <v>22</v>
          </cell>
          <cell r="L129">
            <v>7920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70282</v>
          </cell>
          <cell r="V129">
            <v>70282</v>
          </cell>
          <cell r="W129">
            <v>0</v>
          </cell>
        </row>
        <row r="130">
          <cell r="E130">
            <v>12</v>
          </cell>
          <cell r="G130">
            <v>1752</v>
          </cell>
          <cell r="J130">
            <v>8</v>
          </cell>
          <cell r="L130">
            <v>2880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64366</v>
          </cell>
          <cell r="V130">
            <v>64366</v>
          </cell>
          <cell r="W130">
            <v>0</v>
          </cell>
        </row>
        <row r="131">
          <cell r="E131">
            <v>2</v>
          </cell>
          <cell r="G131">
            <v>292</v>
          </cell>
          <cell r="J131">
            <v>7</v>
          </cell>
          <cell r="L131">
            <v>2520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62546</v>
          </cell>
          <cell r="V131">
            <v>62546</v>
          </cell>
          <cell r="W131">
            <v>0</v>
          </cell>
        </row>
        <row r="132">
          <cell r="E132">
            <v>1</v>
          </cell>
          <cell r="G132">
            <v>146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60960</v>
          </cell>
          <cell r="V132">
            <v>60960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22</v>
          </cell>
          <cell r="L133">
            <v>7920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67654</v>
          </cell>
          <cell r="V133">
            <v>67654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25</v>
          </cell>
          <cell r="L134">
            <v>9000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68734</v>
          </cell>
          <cell r="V134">
            <v>68734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16</v>
          </cell>
          <cell r="L135">
            <v>5760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65494</v>
          </cell>
          <cell r="V135">
            <v>65494</v>
          </cell>
          <cell r="W135">
            <v>0</v>
          </cell>
        </row>
        <row r="136">
          <cell r="E136">
            <v>5</v>
          </cell>
          <cell r="G136">
            <v>730</v>
          </cell>
          <cell r="J136">
            <v>52</v>
          </cell>
          <cell r="L136">
            <v>18720</v>
          </cell>
          <cell r="M136">
            <v>0</v>
          </cell>
          <cell r="N136">
            <v>20000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99184</v>
          </cell>
          <cell r="V136">
            <v>99184</v>
          </cell>
          <cell r="W136">
            <v>0</v>
          </cell>
        </row>
        <row r="137">
          <cell r="E137">
            <v>30</v>
          </cell>
          <cell r="G137">
            <v>4380</v>
          </cell>
          <cell r="J137">
            <v>43</v>
          </cell>
          <cell r="L137">
            <v>15480</v>
          </cell>
          <cell r="M137">
            <v>0</v>
          </cell>
          <cell r="N137">
            <v>5000</v>
          </cell>
          <cell r="O137">
            <v>0</v>
          </cell>
          <cell r="P137">
            <v>0</v>
          </cell>
          <cell r="Q137">
            <v>61536</v>
          </cell>
          <cell r="R137">
            <v>0</v>
          </cell>
          <cell r="S137">
            <v>86396</v>
          </cell>
          <cell r="V137">
            <v>86396</v>
          </cell>
          <cell r="W137">
            <v>0</v>
          </cell>
        </row>
        <row r="138">
          <cell r="E138">
            <v>9</v>
          </cell>
          <cell r="G138">
            <v>1314</v>
          </cell>
          <cell r="J138">
            <v>17</v>
          </cell>
          <cell r="L138">
            <v>6120</v>
          </cell>
          <cell r="M138">
            <v>0</v>
          </cell>
          <cell r="N138">
            <v>5000</v>
          </cell>
          <cell r="O138">
            <v>0</v>
          </cell>
          <cell r="P138">
            <v>0</v>
          </cell>
          <cell r="Q138">
            <v>61536</v>
          </cell>
          <cell r="R138">
            <v>0</v>
          </cell>
          <cell r="S138">
            <v>73970</v>
          </cell>
          <cell r="V138">
            <v>73970</v>
          </cell>
          <cell r="W138">
            <v>0</v>
          </cell>
        </row>
        <row r="139">
          <cell r="E139">
            <v>6</v>
          </cell>
          <cell r="G139">
            <v>876</v>
          </cell>
          <cell r="J139">
            <v>23</v>
          </cell>
          <cell r="L139">
            <v>8280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75692</v>
          </cell>
          <cell r="V139">
            <v>75692</v>
          </cell>
          <cell r="W139">
            <v>0</v>
          </cell>
        </row>
        <row r="140">
          <cell r="E140">
            <v>11</v>
          </cell>
          <cell r="G140">
            <v>1606</v>
          </cell>
          <cell r="J140">
            <v>15</v>
          </cell>
          <cell r="L140">
            <v>5400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73542</v>
          </cell>
          <cell r="V140">
            <v>73542</v>
          </cell>
          <cell r="W140">
            <v>0</v>
          </cell>
        </row>
        <row r="141">
          <cell r="E141">
            <v>3</v>
          </cell>
          <cell r="G141">
            <v>438</v>
          </cell>
          <cell r="J141">
            <v>5</v>
          </cell>
          <cell r="L141">
            <v>1800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68774</v>
          </cell>
          <cell r="V141">
            <v>68774</v>
          </cell>
          <cell r="W141">
            <v>0</v>
          </cell>
        </row>
        <row r="142">
          <cell r="E142">
            <v>6</v>
          </cell>
          <cell r="G142">
            <v>876</v>
          </cell>
          <cell r="J142">
            <v>1</v>
          </cell>
          <cell r="L142">
            <v>360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67772</v>
          </cell>
          <cell r="V142">
            <v>67772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67256</v>
          </cell>
          <cell r="V144">
            <v>67256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4</v>
          </cell>
          <cell r="L146">
            <v>1440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67976</v>
          </cell>
          <cell r="V146">
            <v>0</v>
          </cell>
          <cell r="W146">
            <v>67976</v>
          </cell>
        </row>
        <row r="147">
          <cell r="E147">
            <v>1</v>
          </cell>
          <cell r="G147">
            <v>146</v>
          </cell>
          <cell r="J147">
            <v>11</v>
          </cell>
          <cell r="L147">
            <v>3960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70642</v>
          </cell>
          <cell r="V147">
            <v>138618</v>
          </cell>
          <cell r="W147">
            <v>0</v>
          </cell>
        </row>
        <row r="148">
          <cell r="E148">
            <v>1</v>
          </cell>
          <cell r="G148">
            <v>146</v>
          </cell>
          <cell r="J148">
            <v>10</v>
          </cell>
          <cell r="L148">
            <v>3600</v>
          </cell>
          <cell r="M148">
            <v>0</v>
          </cell>
          <cell r="N148">
            <v>7000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72282</v>
          </cell>
          <cell r="V148">
            <v>72282</v>
          </cell>
          <cell r="W148">
            <v>0</v>
          </cell>
        </row>
        <row r="149">
          <cell r="E149">
            <v>13</v>
          </cell>
          <cell r="G149">
            <v>1898</v>
          </cell>
          <cell r="J149">
            <v>20</v>
          </cell>
          <cell r="L149">
            <v>7200</v>
          </cell>
          <cell r="M149">
            <v>0</v>
          </cell>
          <cell r="N149">
            <v>7000</v>
          </cell>
          <cell r="O149">
            <v>0</v>
          </cell>
          <cell r="P149">
            <v>0</v>
          </cell>
          <cell r="Q149">
            <v>64395</v>
          </cell>
          <cell r="R149">
            <v>0</v>
          </cell>
          <cell r="S149">
            <v>80493</v>
          </cell>
          <cell r="V149">
            <v>80493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16</v>
          </cell>
          <cell r="L150">
            <v>5760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64395</v>
          </cell>
          <cell r="R150">
            <v>0</v>
          </cell>
          <cell r="S150">
            <v>77155</v>
          </cell>
          <cell r="V150">
            <v>77155</v>
          </cell>
          <cell r="W150">
            <v>0</v>
          </cell>
        </row>
        <row r="151">
          <cell r="E151">
            <v>6</v>
          </cell>
          <cell r="G151">
            <v>876</v>
          </cell>
          <cell r="J151">
            <v>22</v>
          </cell>
          <cell r="L151">
            <v>7920</v>
          </cell>
          <cell r="M151">
            <v>0</v>
          </cell>
          <cell r="N151">
            <v>11959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85150</v>
          </cell>
          <cell r="V151">
            <v>85150</v>
          </cell>
          <cell r="W151">
            <v>0</v>
          </cell>
        </row>
        <row r="152">
          <cell r="E152">
            <v>9</v>
          </cell>
          <cell r="G152">
            <v>1314</v>
          </cell>
          <cell r="J152">
            <v>25</v>
          </cell>
          <cell r="L152">
            <v>9000</v>
          </cell>
          <cell r="M152">
            <v>0</v>
          </cell>
          <cell r="N152">
            <v>11959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86668</v>
          </cell>
          <cell r="V152">
            <v>0</v>
          </cell>
          <cell r="W152">
            <v>86668</v>
          </cell>
        </row>
        <row r="153">
          <cell r="E153">
            <v>0</v>
          </cell>
          <cell r="G153">
            <v>0</v>
          </cell>
          <cell r="J153">
            <v>20</v>
          </cell>
          <cell r="L153">
            <v>7200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83554</v>
          </cell>
          <cell r="V153">
            <v>170222</v>
          </cell>
          <cell r="W153">
            <v>0</v>
          </cell>
        </row>
        <row r="154">
          <cell r="E154">
            <v>5</v>
          </cell>
          <cell r="G154">
            <v>730</v>
          </cell>
          <cell r="J154">
            <v>19</v>
          </cell>
          <cell r="L154">
            <v>6840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83924</v>
          </cell>
          <cell r="V154">
            <v>83924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20</v>
          </cell>
          <cell r="L155">
            <v>7200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83554</v>
          </cell>
          <cell r="V155">
            <v>83554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22</v>
          </cell>
          <cell r="L156">
            <v>7920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84274</v>
          </cell>
          <cell r="V156">
            <v>84274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31</v>
          </cell>
          <cell r="L157">
            <v>11160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87514</v>
          </cell>
          <cell r="V157">
            <v>0</v>
          </cell>
          <cell r="W157">
            <v>87514</v>
          </cell>
        </row>
        <row r="158">
          <cell r="E158">
            <v>0</v>
          </cell>
          <cell r="G158">
            <v>0</v>
          </cell>
          <cell r="J158">
            <v>37</v>
          </cell>
          <cell r="L158">
            <v>13320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89674</v>
          </cell>
          <cell r="V158">
            <v>177188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44</v>
          </cell>
          <cell r="L159">
            <v>15840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92194</v>
          </cell>
          <cell r="V159">
            <v>92194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53</v>
          </cell>
          <cell r="L160">
            <v>19080</v>
          </cell>
          <cell r="M160">
            <v>0</v>
          </cell>
          <cell r="N160">
            <v>11665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95140</v>
          </cell>
          <cell r="V160">
            <v>95140</v>
          </cell>
          <cell r="W160">
            <v>0</v>
          </cell>
        </row>
        <row r="161">
          <cell r="E161">
            <v>1</v>
          </cell>
          <cell r="G161">
            <v>146</v>
          </cell>
          <cell r="J161">
            <v>54</v>
          </cell>
          <cell r="L161">
            <v>19440</v>
          </cell>
          <cell r="M161">
            <v>0</v>
          </cell>
          <cell r="N161">
            <v>11665</v>
          </cell>
          <cell r="O161">
            <v>0</v>
          </cell>
          <cell r="P161">
            <v>0</v>
          </cell>
          <cell r="Q161">
            <v>74395</v>
          </cell>
          <cell r="R161">
            <v>0</v>
          </cell>
          <cell r="S161">
            <v>105646</v>
          </cell>
          <cell r="V161">
            <v>105646</v>
          </cell>
          <cell r="W161">
            <v>0</v>
          </cell>
        </row>
        <row r="162">
          <cell r="E162">
            <v>34</v>
          </cell>
          <cell r="G162">
            <v>4964</v>
          </cell>
          <cell r="J162">
            <v>50</v>
          </cell>
          <cell r="L162">
            <v>18000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74395</v>
          </cell>
          <cell r="R162">
            <v>0</v>
          </cell>
          <cell r="S162">
            <v>109024</v>
          </cell>
          <cell r="V162">
            <v>0</v>
          </cell>
          <cell r="W162">
            <v>109024</v>
          </cell>
        </row>
        <row r="163">
          <cell r="E163">
            <v>5</v>
          </cell>
          <cell r="G163">
            <v>0</v>
          </cell>
          <cell r="J163">
            <v>28</v>
          </cell>
          <cell r="L163">
            <v>10080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96140</v>
          </cell>
          <cell r="V163">
            <v>205894</v>
          </cell>
          <cell r="W163">
            <v>-730</v>
          </cell>
        </row>
        <row r="164">
          <cell r="E164">
            <v>0</v>
          </cell>
          <cell r="G164">
            <v>0</v>
          </cell>
          <cell r="J164">
            <v>19</v>
          </cell>
          <cell r="L164">
            <v>6840</v>
          </cell>
          <cell r="M164">
            <v>0</v>
          </cell>
          <cell r="N164">
            <v>11709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92944</v>
          </cell>
          <cell r="V164">
            <v>0</v>
          </cell>
          <cell r="W164">
            <v>92214</v>
          </cell>
        </row>
        <row r="165">
          <cell r="E165">
            <v>0</v>
          </cell>
          <cell r="G165">
            <v>0</v>
          </cell>
          <cell r="J165">
            <v>14</v>
          </cell>
          <cell r="L165">
            <v>5040</v>
          </cell>
          <cell r="M165">
            <v>0</v>
          </cell>
          <cell r="N165">
            <v>11709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91144</v>
          </cell>
          <cell r="V165">
            <v>183358</v>
          </cell>
          <cell r="W165">
            <v>0</v>
          </cell>
        </row>
        <row r="166">
          <cell r="E166">
            <v>6</v>
          </cell>
          <cell r="G166">
            <v>876</v>
          </cell>
          <cell r="J166">
            <v>17</v>
          </cell>
          <cell r="L166">
            <v>6120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93100</v>
          </cell>
          <cell r="V166">
            <v>0</v>
          </cell>
          <cell r="W166">
            <v>93100</v>
          </cell>
        </row>
        <row r="167">
          <cell r="E167">
            <v>49</v>
          </cell>
          <cell r="G167">
            <v>7154</v>
          </cell>
          <cell r="J167">
            <v>11</v>
          </cell>
          <cell r="L167">
            <v>3960</v>
          </cell>
          <cell r="M167">
            <v>0</v>
          </cell>
          <cell r="N167">
            <v>11315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96824</v>
          </cell>
          <cell r="V167">
            <v>189924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11315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85710</v>
          </cell>
          <cell r="V168">
            <v>0</v>
          </cell>
          <cell r="W168">
            <v>85710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167105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4</v>
          </cell>
          <cell r="L170">
            <v>1440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82835</v>
          </cell>
          <cell r="V170">
            <v>0</v>
          </cell>
          <cell r="W170">
            <v>82835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164230</v>
          </cell>
          <cell r="W171">
            <v>0</v>
          </cell>
        </row>
        <row r="172">
          <cell r="E172">
            <v>24</v>
          </cell>
          <cell r="G172">
            <v>3504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84899</v>
          </cell>
          <cell r="V172">
            <v>0</v>
          </cell>
          <cell r="W172">
            <v>84899</v>
          </cell>
        </row>
        <row r="173">
          <cell r="E173">
            <v>9</v>
          </cell>
          <cell r="G173">
            <v>1314</v>
          </cell>
          <cell r="J173">
            <v>6</v>
          </cell>
          <cell r="L173">
            <v>3354</v>
          </cell>
          <cell r="M173">
            <v>3731</v>
          </cell>
          <cell r="N173">
            <v>7000</v>
          </cell>
          <cell r="O173">
            <v>0</v>
          </cell>
          <cell r="P173">
            <v>0</v>
          </cell>
          <cell r="Q173">
            <v>76410</v>
          </cell>
          <cell r="R173">
            <v>0</v>
          </cell>
          <cell r="S173">
            <v>91809</v>
          </cell>
          <cell r="V173">
            <v>176708</v>
          </cell>
          <cell r="W173">
            <v>0</v>
          </cell>
        </row>
        <row r="174">
          <cell r="E174">
            <v>1</v>
          </cell>
          <cell r="G174">
            <v>146</v>
          </cell>
          <cell r="J174">
            <v>87</v>
          </cell>
          <cell r="L174">
            <v>48633</v>
          </cell>
          <cell r="M174">
            <v>3731</v>
          </cell>
          <cell r="N174">
            <v>7000</v>
          </cell>
          <cell r="O174">
            <v>0</v>
          </cell>
          <cell r="P174">
            <v>0</v>
          </cell>
          <cell r="Q174">
            <v>76410</v>
          </cell>
          <cell r="R174">
            <v>0</v>
          </cell>
          <cell r="S174">
            <v>135920</v>
          </cell>
          <cell r="V174">
            <v>0</v>
          </cell>
          <cell r="W174">
            <v>135920</v>
          </cell>
        </row>
      </sheetData>
      <sheetData sheetId="1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39000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39000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39000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39000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39000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39000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39000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39000</v>
          </cell>
          <cell r="W41">
            <v>39000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39000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39000</v>
          </cell>
          <cell r="W44">
            <v>39000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39000</v>
          </cell>
          <cell r="W45">
            <v>39000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39000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39000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39000</v>
          </cell>
          <cell r="W51">
            <v>39000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39000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39000</v>
          </cell>
          <cell r="W53">
            <v>46000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39000</v>
          </cell>
          <cell r="W54">
            <v>53000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39000</v>
          </cell>
          <cell r="W55">
            <v>60000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39000</v>
          </cell>
          <cell r="W56">
            <v>67000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39000</v>
          </cell>
          <cell r="W57">
            <v>74000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39000</v>
          </cell>
          <cell r="W58">
            <v>81000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39000</v>
          </cell>
          <cell r="W59">
            <v>88000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39000</v>
          </cell>
          <cell r="W60">
            <v>95000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56000</v>
          </cell>
          <cell r="W61">
            <v>102000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92000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138000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138000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138000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184000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230000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276000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322000</v>
          </cell>
          <cell r="W71">
            <v>322000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92000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138000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138000</v>
          </cell>
          <cell r="W76">
            <v>184000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97760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143760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52000</v>
          </cell>
          <cell r="V79">
            <v>0</v>
          </cell>
          <cell r="W79">
            <v>189760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235760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281760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32776</v>
          </cell>
          <cell r="S82">
            <v>46000</v>
          </cell>
          <cell r="V82">
            <v>0</v>
          </cell>
          <cell r="W82">
            <v>360536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452536</v>
          </cell>
          <cell r="W83">
            <v>406536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102000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92000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56000</v>
          </cell>
          <cell r="W88">
            <v>138000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15122</v>
          </cell>
          <cell r="S89">
            <v>46000</v>
          </cell>
          <cell r="V89">
            <v>56000</v>
          </cell>
          <cell r="W89">
            <v>143122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112000</v>
          </cell>
          <cell r="W90">
            <v>133122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86122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216122</v>
          </cell>
          <cell r="W92">
            <v>151122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12000</v>
          </cell>
          <cell r="S96">
            <v>55000</v>
          </cell>
          <cell r="V96">
            <v>65000</v>
          </cell>
          <cell r="W96">
            <v>132000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187000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55000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110000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110000</v>
          </cell>
          <cell r="W104">
            <v>3300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59950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56650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113300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11330</v>
          </cell>
          <cell r="S111">
            <v>67980</v>
          </cell>
          <cell r="V111">
            <v>0</v>
          </cell>
          <cell r="W111">
            <v>124630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181280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237930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56650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11550</v>
          </cell>
          <cell r="S115">
            <v>70409</v>
          </cell>
          <cell r="V115">
            <v>0</v>
          </cell>
          <cell r="W115">
            <v>127059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185918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244777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58859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117718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58859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11772</v>
          </cell>
          <cell r="S123">
            <v>70631</v>
          </cell>
          <cell r="V123">
            <v>0</v>
          </cell>
          <cell r="W123">
            <v>129490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188349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247208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58859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118593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72022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13175</v>
          </cell>
          <cell r="S129">
            <v>72909</v>
          </cell>
          <cell r="V129">
            <v>0</v>
          </cell>
          <cell r="W129">
            <v>144931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204665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264399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0</v>
          </cell>
          <cell r="W132">
            <v>59734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11946</v>
          </cell>
          <cell r="S133">
            <v>71680</v>
          </cell>
          <cell r="V133">
            <v>0</v>
          </cell>
          <cell r="W133">
            <v>131414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191148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59734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139468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66538</v>
          </cell>
          <cell r="W147">
            <v>-2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66534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64395</v>
          </cell>
          <cell r="W150">
            <v>4141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75536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128790</v>
          </cell>
          <cell r="W152">
            <v>-57395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14000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0</v>
          </cell>
          <cell r="W154">
            <v>85395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156790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0</v>
          </cell>
          <cell r="W158">
            <v>71395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142790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122653</v>
          </cell>
          <cell r="V162">
            <v>0</v>
          </cell>
          <cell r="W162">
            <v>122653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132653</v>
          </cell>
          <cell r="V163">
            <v>0</v>
          </cell>
          <cell r="W163">
            <v>255306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336701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81395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162790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81125</v>
          </cell>
          <cell r="W167">
            <v>270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81665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81665</v>
          </cell>
          <cell r="W169">
            <v>-270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81665</v>
          </cell>
          <cell r="W170">
            <v>-540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81500</v>
          </cell>
          <cell r="W171">
            <v>-645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80750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81500</v>
          </cell>
          <cell r="W173">
            <v>-105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76410</v>
          </cell>
          <cell r="W174">
            <v>4880</v>
          </cell>
        </row>
      </sheetData>
      <sheetData sheetId="1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78000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117000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156000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195000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43000</v>
          </cell>
          <cell r="V34">
            <v>195000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43000</v>
          </cell>
          <cell r="V35">
            <v>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117000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43000</v>
          </cell>
          <cell r="V37">
            <v>0</v>
          </cell>
          <cell r="W37">
            <v>156000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43000</v>
          </cell>
          <cell r="V38">
            <v>0</v>
          </cell>
          <cell r="W38">
            <v>195000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43000</v>
          </cell>
          <cell r="V39">
            <v>195000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43000</v>
          </cell>
          <cell r="V40">
            <v>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43000</v>
          </cell>
          <cell r="V41">
            <v>0</v>
          </cell>
          <cell r="W41">
            <v>117000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43000</v>
          </cell>
          <cell r="V42">
            <v>0</v>
          </cell>
          <cell r="W42">
            <v>156000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43000</v>
          </cell>
          <cell r="V43">
            <v>0</v>
          </cell>
          <cell r="W43">
            <v>195000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43000</v>
          </cell>
          <cell r="V44">
            <v>0</v>
          </cell>
          <cell r="W44">
            <v>234000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43000</v>
          </cell>
          <cell r="V45">
            <v>78000</v>
          </cell>
          <cell r="W45">
            <v>195000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43000</v>
          </cell>
          <cell r="V46">
            <v>0</v>
          </cell>
          <cell r="W46">
            <v>234000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43000</v>
          </cell>
          <cell r="V47">
            <v>0</v>
          </cell>
          <cell r="W47">
            <v>273000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43000</v>
          </cell>
          <cell r="V48">
            <v>0</v>
          </cell>
          <cell r="W48">
            <v>312000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312000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43000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43000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43000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43000</v>
          </cell>
          <cell r="V53">
            <v>0</v>
          </cell>
          <cell r="W53">
            <v>195000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50000</v>
          </cell>
          <cell r="V54">
            <v>195000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50000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50000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50000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50000</v>
          </cell>
          <cell r="V58">
            <v>0</v>
          </cell>
          <cell r="W58">
            <v>152000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50000</v>
          </cell>
          <cell r="V59">
            <v>106000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50000</v>
          </cell>
          <cell r="V60">
            <v>46000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184000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230000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184000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230000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184000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138000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184000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184000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138000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184000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230000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276000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322000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299000</v>
          </cell>
          <cell r="W77">
            <v>111820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200725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52000</v>
          </cell>
          <cell r="V79">
            <v>0</v>
          </cell>
          <cell r="W79">
            <v>301252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389400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477320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565308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653287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741153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839070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926905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1014574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1102488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1190523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1278409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1385145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1491986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1598983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1706046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1813271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1910675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2008130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2105766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2203446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2301234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2399102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2497013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2596617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2696321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2796128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2896201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2996471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3096901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3197445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3298046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3398721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3499579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3600656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3701894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3805570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3909355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4013281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4117322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4221423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4325537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4429554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4533532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4637573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4741898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4846519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4951060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5056409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5174108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5279581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5385195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5490701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5596140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5701774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5807585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1563719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106108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212315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318668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427075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535628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644378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753461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862860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972443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1082104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1191847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109872</v>
          </cell>
          <cell r="V147">
            <v>0</v>
          </cell>
          <cell r="W147">
            <v>1301719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1411909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1522552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0</v>
          </cell>
          <cell r="W150">
            <v>1633342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1746851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1860336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1973977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2087881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2202086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2316447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2431015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2545798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2660887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2776262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0</v>
          </cell>
          <cell r="W161">
            <v>2891854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3007507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125653</v>
          </cell>
          <cell r="V163">
            <v>0</v>
          </cell>
          <cell r="W163">
            <v>3133160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125830</v>
          </cell>
          <cell r="V164">
            <v>0</v>
          </cell>
          <cell r="W164">
            <v>3258990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126019</v>
          </cell>
          <cell r="V165">
            <v>0</v>
          </cell>
          <cell r="W165">
            <v>3385009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51814</v>
          </cell>
          <cell r="S166">
            <v>126209</v>
          </cell>
          <cell r="V166">
            <v>0</v>
          </cell>
          <cell r="W166">
            <v>3511218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126381</v>
          </cell>
          <cell r="V167">
            <v>0</v>
          </cell>
          <cell r="W167">
            <v>3637599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126499</v>
          </cell>
          <cell r="V168">
            <v>0</v>
          </cell>
          <cell r="W168">
            <v>3764098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0</v>
          </cell>
          <cell r="W169">
            <v>3890776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126813</v>
          </cell>
          <cell r="V170">
            <v>0</v>
          </cell>
          <cell r="W170">
            <v>4017589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126843</v>
          </cell>
          <cell r="V171">
            <v>0</v>
          </cell>
          <cell r="W171">
            <v>4144432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126918</v>
          </cell>
          <cell r="V172">
            <v>0</v>
          </cell>
          <cell r="W172">
            <v>4271350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52627</v>
          </cell>
          <cell r="S173">
            <v>127022</v>
          </cell>
          <cell r="V173">
            <v>0</v>
          </cell>
          <cell r="W173">
            <v>4398372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52696</v>
          </cell>
          <cell r="S174">
            <v>127091</v>
          </cell>
          <cell r="V174">
            <v>0</v>
          </cell>
          <cell r="W174">
            <v>4525463</v>
          </cell>
        </row>
      </sheetData>
      <sheetData sheetId="1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2449.3000000000002</v>
          </cell>
          <cell r="G16">
            <v>154305.90000000002</v>
          </cell>
          <cell r="J16">
            <v>2668.3020000000001</v>
          </cell>
          <cell r="L16">
            <v>800490.60000000009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993796.50000000012</v>
          </cell>
          <cell r="V16">
            <v>0</v>
          </cell>
          <cell r="W16">
            <v>0</v>
          </cell>
        </row>
        <row r="17">
          <cell r="E17">
            <v>232.29999999999973</v>
          </cell>
          <cell r="G17">
            <v>14634.899999999983</v>
          </cell>
          <cell r="J17">
            <v>52.48299999999972</v>
          </cell>
          <cell r="L17">
            <v>15744.899999999916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69379.799999999901</v>
          </cell>
          <cell r="V17">
            <v>0</v>
          </cell>
          <cell r="W17">
            <v>0</v>
          </cell>
        </row>
        <row r="18">
          <cell r="E18">
            <v>505.09999999999991</v>
          </cell>
          <cell r="G18">
            <v>31821.299999999996</v>
          </cell>
          <cell r="J18">
            <v>317.91499999999996</v>
          </cell>
          <cell r="L18">
            <v>95374.499999999985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166195.79999999999</v>
          </cell>
          <cell r="V18">
            <v>0</v>
          </cell>
          <cell r="W18">
            <v>0</v>
          </cell>
        </row>
        <row r="19">
          <cell r="E19">
            <v>190</v>
          </cell>
          <cell r="G19">
            <v>11970</v>
          </cell>
          <cell r="J19">
            <v>52.800000000000182</v>
          </cell>
          <cell r="L19">
            <v>15840.000000000055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66810.000000000058</v>
          </cell>
          <cell r="V19">
            <v>0</v>
          </cell>
          <cell r="W19">
            <v>0</v>
          </cell>
        </row>
        <row r="20">
          <cell r="E20">
            <v>497.60000000000036</v>
          </cell>
          <cell r="G20">
            <v>31348.800000000025</v>
          </cell>
          <cell r="J20">
            <v>123.90000000000009</v>
          </cell>
          <cell r="L20">
            <v>37170.000000000029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107518.80000000005</v>
          </cell>
          <cell r="V20">
            <v>0</v>
          </cell>
          <cell r="W20">
            <v>0</v>
          </cell>
        </row>
        <row r="21">
          <cell r="E21">
            <v>525.89999999999964</v>
          </cell>
          <cell r="G21">
            <v>33131.699999999975</v>
          </cell>
          <cell r="J21">
            <v>111.5</v>
          </cell>
          <cell r="L21">
            <v>33450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105581.69999999998</v>
          </cell>
          <cell r="V21">
            <v>0</v>
          </cell>
          <cell r="W21">
            <v>0</v>
          </cell>
        </row>
        <row r="22">
          <cell r="E22">
            <v>292.19999999999982</v>
          </cell>
          <cell r="G22">
            <v>18408.599999999988</v>
          </cell>
          <cell r="J22">
            <v>30.799999999999727</v>
          </cell>
          <cell r="L22">
            <v>11087.999999999902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68496.599999999889</v>
          </cell>
          <cell r="V22">
            <v>0</v>
          </cell>
          <cell r="W22">
            <v>0</v>
          </cell>
        </row>
        <row r="23">
          <cell r="E23">
            <v>337</v>
          </cell>
          <cell r="G23">
            <v>21231</v>
          </cell>
          <cell r="J23">
            <v>17.400000000000091</v>
          </cell>
          <cell r="L23">
            <v>6264.0000000000327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66495.000000000029</v>
          </cell>
          <cell r="V23">
            <v>0</v>
          </cell>
          <cell r="W23">
            <v>0</v>
          </cell>
        </row>
        <row r="24">
          <cell r="E24">
            <v>368.5</v>
          </cell>
          <cell r="G24">
            <v>23215.5</v>
          </cell>
          <cell r="J24">
            <v>8.8000000000001819</v>
          </cell>
          <cell r="L24">
            <v>3168.0000000000655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65383.500000000065</v>
          </cell>
          <cell r="V24">
            <v>0</v>
          </cell>
          <cell r="W24">
            <v>0</v>
          </cell>
        </row>
        <row r="25">
          <cell r="E25">
            <v>441.10000000000036</v>
          </cell>
          <cell r="G25">
            <v>27789.300000000025</v>
          </cell>
          <cell r="J25">
            <v>18.5</v>
          </cell>
          <cell r="L25">
            <v>6660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73449.300000000017</v>
          </cell>
          <cell r="V25">
            <v>0</v>
          </cell>
          <cell r="W25">
            <v>0</v>
          </cell>
        </row>
        <row r="26">
          <cell r="E26">
            <v>405.80000000000018</v>
          </cell>
          <cell r="G26">
            <v>25565.400000000012</v>
          </cell>
          <cell r="J26">
            <v>46.5</v>
          </cell>
          <cell r="L26">
            <v>16740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81305.400000000009</v>
          </cell>
          <cell r="V26">
            <v>0</v>
          </cell>
          <cell r="W26">
            <v>81305.400000000009</v>
          </cell>
        </row>
        <row r="27">
          <cell r="E27">
            <v>387.69999999999982</v>
          </cell>
          <cell r="G27">
            <v>24425.099999999988</v>
          </cell>
          <cell r="J27">
            <v>58.799999999999727</v>
          </cell>
          <cell r="L27">
            <v>21167.999999999902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84593.099999999889</v>
          </cell>
          <cell r="V27">
            <v>81305</v>
          </cell>
          <cell r="W27">
            <v>84593.499999999884</v>
          </cell>
        </row>
        <row r="28">
          <cell r="E28">
            <v>331.89999999999964</v>
          </cell>
          <cell r="G28">
            <v>20909.699999999975</v>
          </cell>
          <cell r="J28">
            <v>247.90000000000009</v>
          </cell>
          <cell r="L28">
            <v>89244.000000000029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149153.70000000001</v>
          </cell>
          <cell r="V28">
            <v>84594</v>
          </cell>
          <cell r="W28">
            <v>149153.1999999999</v>
          </cell>
        </row>
        <row r="29">
          <cell r="E29">
            <v>439.60000000000036</v>
          </cell>
          <cell r="G29">
            <v>27694.800000000025</v>
          </cell>
          <cell r="J29">
            <v>159.20000000000027</v>
          </cell>
          <cell r="L29">
            <v>57312.000000000102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124006.80000000013</v>
          </cell>
          <cell r="V29">
            <v>149153</v>
          </cell>
          <cell r="W29">
            <v>124007</v>
          </cell>
        </row>
        <row r="30">
          <cell r="E30">
            <v>292</v>
          </cell>
          <cell r="G30">
            <v>18396</v>
          </cell>
          <cell r="J30">
            <v>56.199999999999818</v>
          </cell>
          <cell r="L30">
            <v>20231.999999999935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77627.999999999942</v>
          </cell>
          <cell r="V30">
            <v>124007</v>
          </cell>
          <cell r="W30">
            <v>77627.999999999942</v>
          </cell>
        </row>
        <row r="31">
          <cell r="E31">
            <v>450</v>
          </cell>
          <cell r="G31">
            <v>28350</v>
          </cell>
          <cell r="J31">
            <v>221</v>
          </cell>
          <cell r="L31">
            <v>79560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146910</v>
          </cell>
          <cell r="V31">
            <v>0</v>
          </cell>
          <cell r="W31">
            <v>224537.99999999994</v>
          </cell>
        </row>
        <row r="32">
          <cell r="E32">
            <v>616</v>
          </cell>
          <cell r="G32">
            <v>38808</v>
          </cell>
          <cell r="J32">
            <v>255</v>
          </cell>
          <cell r="L32">
            <v>91800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169608</v>
          </cell>
          <cell r="V32">
            <v>0</v>
          </cell>
          <cell r="W32">
            <v>394145.99999999994</v>
          </cell>
        </row>
        <row r="33">
          <cell r="E33">
            <v>380</v>
          </cell>
          <cell r="G33">
            <v>23940</v>
          </cell>
          <cell r="J33">
            <v>109</v>
          </cell>
          <cell r="L33">
            <v>39240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102180</v>
          </cell>
          <cell r="V33">
            <v>394146</v>
          </cell>
          <cell r="W33">
            <v>102179.99999999994</v>
          </cell>
        </row>
        <row r="34">
          <cell r="E34">
            <v>437</v>
          </cell>
          <cell r="G34">
            <v>27531</v>
          </cell>
          <cell r="J34">
            <v>131</v>
          </cell>
          <cell r="L34">
            <v>47160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113691</v>
          </cell>
          <cell r="V34">
            <v>102180</v>
          </cell>
          <cell r="W34">
            <v>113690.99999999994</v>
          </cell>
        </row>
        <row r="35">
          <cell r="E35">
            <v>397</v>
          </cell>
          <cell r="G35">
            <v>25011</v>
          </cell>
          <cell r="J35">
            <v>69</v>
          </cell>
          <cell r="L35">
            <v>24840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88851</v>
          </cell>
          <cell r="V35">
            <v>113691</v>
          </cell>
          <cell r="W35">
            <v>88850.999999999942</v>
          </cell>
        </row>
        <row r="36">
          <cell r="E36">
            <v>486</v>
          </cell>
          <cell r="G36">
            <v>30618</v>
          </cell>
          <cell r="J36">
            <v>40.5</v>
          </cell>
          <cell r="L36">
            <v>14580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84198</v>
          </cell>
          <cell r="V36">
            <v>88851</v>
          </cell>
          <cell r="W36">
            <v>84197.999999999942</v>
          </cell>
        </row>
        <row r="37">
          <cell r="E37">
            <v>477.60000000000036</v>
          </cell>
          <cell r="G37">
            <v>30088.800000000025</v>
          </cell>
          <cell r="J37">
            <v>44.100000000000364</v>
          </cell>
          <cell r="L37">
            <v>15876.000000000131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84964.800000000163</v>
          </cell>
          <cell r="V37">
            <v>84198</v>
          </cell>
          <cell r="W37">
            <v>84964.800000000105</v>
          </cell>
        </row>
        <row r="38">
          <cell r="E38">
            <v>738.5</v>
          </cell>
          <cell r="G38">
            <v>46525.5</v>
          </cell>
          <cell r="J38">
            <v>39.399999999999636</v>
          </cell>
          <cell r="L38">
            <v>14183.999999999869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99709.499999999869</v>
          </cell>
          <cell r="V38">
            <v>84965</v>
          </cell>
          <cell r="W38">
            <v>99709.299999999988</v>
          </cell>
        </row>
        <row r="39">
          <cell r="E39">
            <v>538.89999999999964</v>
          </cell>
          <cell r="G39">
            <v>33950.699999999975</v>
          </cell>
          <cell r="J39">
            <v>66</v>
          </cell>
          <cell r="L39">
            <v>23760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96710.699999999983</v>
          </cell>
          <cell r="V39">
            <v>99710</v>
          </cell>
          <cell r="W39">
            <v>96709.999999999971</v>
          </cell>
        </row>
        <row r="40">
          <cell r="E40">
            <v>338</v>
          </cell>
          <cell r="G40">
            <v>21294</v>
          </cell>
          <cell r="J40">
            <v>24</v>
          </cell>
          <cell r="L40">
            <v>8640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68934</v>
          </cell>
          <cell r="V40">
            <v>96711</v>
          </cell>
          <cell r="W40">
            <v>68932.999999999971</v>
          </cell>
        </row>
        <row r="41">
          <cell r="E41">
            <v>435</v>
          </cell>
          <cell r="G41">
            <v>27405</v>
          </cell>
          <cell r="J41">
            <v>186</v>
          </cell>
          <cell r="L41">
            <v>66960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133365</v>
          </cell>
          <cell r="V41">
            <v>68934</v>
          </cell>
          <cell r="W41">
            <v>133363.99999999997</v>
          </cell>
        </row>
        <row r="42">
          <cell r="E42">
            <v>398</v>
          </cell>
          <cell r="G42">
            <v>25074</v>
          </cell>
          <cell r="J42">
            <v>150</v>
          </cell>
          <cell r="L42">
            <v>54000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118074</v>
          </cell>
          <cell r="V42">
            <v>133365</v>
          </cell>
          <cell r="W42">
            <v>118072.99999999997</v>
          </cell>
        </row>
        <row r="43">
          <cell r="E43">
            <v>599</v>
          </cell>
          <cell r="G43">
            <v>37737</v>
          </cell>
          <cell r="J43">
            <v>508</v>
          </cell>
          <cell r="L43">
            <v>182880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259617</v>
          </cell>
          <cell r="V43">
            <v>118074</v>
          </cell>
          <cell r="W43">
            <v>259616</v>
          </cell>
        </row>
        <row r="44">
          <cell r="E44">
            <v>513</v>
          </cell>
          <cell r="G44">
            <v>32319</v>
          </cell>
          <cell r="J44">
            <v>471</v>
          </cell>
          <cell r="L44">
            <v>169560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240879</v>
          </cell>
          <cell r="V44">
            <v>0</v>
          </cell>
          <cell r="W44">
            <v>500495</v>
          </cell>
        </row>
        <row r="45">
          <cell r="E45">
            <v>425</v>
          </cell>
          <cell r="G45">
            <v>26775</v>
          </cell>
          <cell r="J45">
            <v>286</v>
          </cell>
          <cell r="L45">
            <v>102960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168735</v>
          </cell>
          <cell r="V45">
            <v>259617</v>
          </cell>
          <cell r="W45">
            <v>409613</v>
          </cell>
        </row>
        <row r="46">
          <cell r="E46">
            <v>390</v>
          </cell>
          <cell r="G46">
            <v>24570</v>
          </cell>
          <cell r="J46">
            <v>205</v>
          </cell>
          <cell r="L46">
            <v>73800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137370</v>
          </cell>
          <cell r="V46">
            <v>409614</v>
          </cell>
          <cell r="W46">
            <v>137369</v>
          </cell>
        </row>
        <row r="47">
          <cell r="E47">
            <v>512</v>
          </cell>
          <cell r="G47">
            <v>32256</v>
          </cell>
          <cell r="J47">
            <v>104</v>
          </cell>
          <cell r="L47">
            <v>37440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108696</v>
          </cell>
          <cell r="V47">
            <v>137370</v>
          </cell>
          <cell r="W47">
            <v>108695</v>
          </cell>
        </row>
        <row r="48">
          <cell r="E48">
            <v>417</v>
          </cell>
          <cell r="G48">
            <v>26271</v>
          </cell>
          <cell r="J48">
            <v>24</v>
          </cell>
          <cell r="L48">
            <v>8640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73911</v>
          </cell>
          <cell r="V48">
            <v>108696</v>
          </cell>
          <cell r="W48">
            <v>73910</v>
          </cell>
        </row>
        <row r="49">
          <cell r="E49">
            <v>282</v>
          </cell>
          <cell r="G49">
            <v>17766</v>
          </cell>
          <cell r="J49">
            <v>16</v>
          </cell>
          <cell r="L49">
            <v>5760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62526</v>
          </cell>
          <cell r="V49">
            <v>73911</v>
          </cell>
          <cell r="W49">
            <v>62525</v>
          </cell>
        </row>
        <row r="50">
          <cell r="E50">
            <v>445</v>
          </cell>
          <cell r="G50">
            <v>28035</v>
          </cell>
          <cell r="J50">
            <v>20</v>
          </cell>
          <cell r="L50">
            <v>7200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74235</v>
          </cell>
          <cell r="V50">
            <v>62526</v>
          </cell>
          <cell r="W50">
            <v>74234</v>
          </cell>
        </row>
        <row r="51">
          <cell r="E51">
            <v>241</v>
          </cell>
          <cell r="G51">
            <v>15183</v>
          </cell>
          <cell r="J51">
            <v>21</v>
          </cell>
          <cell r="L51">
            <v>7560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61743</v>
          </cell>
          <cell r="V51">
            <v>74235</v>
          </cell>
          <cell r="W51">
            <v>61742</v>
          </cell>
        </row>
        <row r="52">
          <cell r="E52">
            <v>385</v>
          </cell>
          <cell r="G52">
            <v>24255</v>
          </cell>
          <cell r="J52">
            <v>37</v>
          </cell>
          <cell r="L52">
            <v>13320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76575</v>
          </cell>
          <cell r="V52">
            <v>61743</v>
          </cell>
          <cell r="W52">
            <v>76574</v>
          </cell>
        </row>
        <row r="53">
          <cell r="E53">
            <v>352</v>
          </cell>
          <cell r="G53">
            <v>22176</v>
          </cell>
          <cell r="J53">
            <v>384</v>
          </cell>
          <cell r="L53">
            <v>138240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199416</v>
          </cell>
          <cell r="V53">
            <v>76575</v>
          </cell>
          <cell r="W53">
            <v>199415</v>
          </cell>
        </row>
        <row r="54">
          <cell r="E54">
            <v>184</v>
          </cell>
          <cell r="G54">
            <v>11592</v>
          </cell>
          <cell r="J54">
            <v>14</v>
          </cell>
          <cell r="L54">
            <v>5040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55632</v>
          </cell>
          <cell r="V54">
            <v>0</v>
          </cell>
          <cell r="W54">
            <v>262047</v>
          </cell>
        </row>
        <row r="55">
          <cell r="E55">
            <v>437</v>
          </cell>
          <cell r="G55">
            <v>27531</v>
          </cell>
          <cell r="J55">
            <v>12</v>
          </cell>
          <cell r="L55">
            <v>4320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77851</v>
          </cell>
          <cell r="V55">
            <v>262048</v>
          </cell>
          <cell r="W55">
            <v>77850</v>
          </cell>
        </row>
        <row r="56">
          <cell r="E56">
            <v>425</v>
          </cell>
          <cell r="G56">
            <v>26775</v>
          </cell>
          <cell r="J56">
            <v>15</v>
          </cell>
          <cell r="L56">
            <v>5400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78175</v>
          </cell>
          <cell r="V56">
            <v>77851</v>
          </cell>
          <cell r="W56">
            <v>78174</v>
          </cell>
        </row>
        <row r="57">
          <cell r="E57">
            <v>275</v>
          </cell>
          <cell r="G57">
            <v>17325</v>
          </cell>
          <cell r="J57">
            <v>6</v>
          </cell>
          <cell r="L57">
            <v>2160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65485</v>
          </cell>
          <cell r="V57">
            <v>78175</v>
          </cell>
          <cell r="W57">
            <v>65484</v>
          </cell>
        </row>
        <row r="58">
          <cell r="E58">
            <v>310</v>
          </cell>
          <cell r="G58">
            <v>19530</v>
          </cell>
          <cell r="J58">
            <v>28</v>
          </cell>
          <cell r="L58">
            <v>10080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75610</v>
          </cell>
          <cell r="V58">
            <v>0</v>
          </cell>
          <cell r="W58">
            <v>141094</v>
          </cell>
        </row>
        <row r="59">
          <cell r="E59">
            <v>203</v>
          </cell>
          <cell r="G59">
            <v>12789</v>
          </cell>
          <cell r="J59">
            <v>13</v>
          </cell>
          <cell r="L59">
            <v>4680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63469</v>
          </cell>
          <cell r="V59">
            <v>141095</v>
          </cell>
          <cell r="W59">
            <v>63468</v>
          </cell>
        </row>
        <row r="60">
          <cell r="E60">
            <v>165</v>
          </cell>
          <cell r="G60">
            <v>10395</v>
          </cell>
          <cell r="J60">
            <v>4</v>
          </cell>
          <cell r="L60">
            <v>1440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57835</v>
          </cell>
          <cell r="V60">
            <v>71468</v>
          </cell>
          <cell r="W60">
            <v>49835</v>
          </cell>
        </row>
        <row r="61">
          <cell r="E61">
            <v>197</v>
          </cell>
          <cell r="G61">
            <v>12411</v>
          </cell>
          <cell r="J61">
            <v>5</v>
          </cell>
          <cell r="L61">
            <v>1800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60211</v>
          </cell>
          <cell r="V61">
            <v>0</v>
          </cell>
          <cell r="W61">
            <v>110046</v>
          </cell>
        </row>
        <row r="62">
          <cell r="E62">
            <v>139</v>
          </cell>
          <cell r="G62">
            <v>8757</v>
          </cell>
          <cell r="J62">
            <v>3</v>
          </cell>
          <cell r="L62">
            <v>1080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55837</v>
          </cell>
          <cell r="V62">
            <v>0</v>
          </cell>
          <cell r="W62">
            <v>165883</v>
          </cell>
        </row>
        <row r="63">
          <cell r="E63">
            <v>175</v>
          </cell>
          <cell r="G63">
            <v>11025</v>
          </cell>
          <cell r="J63">
            <v>15</v>
          </cell>
          <cell r="L63">
            <v>5400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62425</v>
          </cell>
          <cell r="V63">
            <v>0</v>
          </cell>
          <cell r="W63">
            <v>228308</v>
          </cell>
        </row>
        <row r="64">
          <cell r="E64">
            <v>178</v>
          </cell>
          <cell r="G64">
            <v>14062</v>
          </cell>
          <cell r="J64">
            <v>19</v>
          </cell>
          <cell r="L64">
            <v>6840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66902</v>
          </cell>
          <cell r="V64">
            <v>111308</v>
          </cell>
          <cell r="W64">
            <v>183902</v>
          </cell>
        </row>
        <row r="65">
          <cell r="E65">
            <v>303</v>
          </cell>
          <cell r="G65">
            <v>23937</v>
          </cell>
          <cell r="J65">
            <v>14</v>
          </cell>
          <cell r="L65">
            <v>5040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74977</v>
          </cell>
          <cell r="V65">
            <v>0</v>
          </cell>
          <cell r="W65">
            <v>258879</v>
          </cell>
        </row>
        <row r="66">
          <cell r="E66">
            <v>145</v>
          </cell>
          <cell r="G66">
            <v>11455</v>
          </cell>
          <cell r="J66">
            <v>60</v>
          </cell>
          <cell r="L66">
            <v>21600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79055</v>
          </cell>
          <cell r="V66">
            <v>0</v>
          </cell>
          <cell r="W66">
            <v>337934</v>
          </cell>
        </row>
        <row r="67">
          <cell r="E67">
            <v>429</v>
          </cell>
          <cell r="G67">
            <v>37323</v>
          </cell>
          <cell r="J67">
            <v>103</v>
          </cell>
          <cell r="L67">
            <v>37080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120403</v>
          </cell>
          <cell r="V67">
            <v>207934</v>
          </cell>
          <cell r="W67">
            <v>250403</v>
          </cell>
        </row>
        <row r="68">
          <cell r="E68">
            <v>179</v>
          </cell>
          <cell r="G68">
            <v>15573</v>
          </cell>
          <cell r="J68">
            <v>40</v>
          </cell>
          <cell r="L68">
            <v>14400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75973</v>
          </cell>
          <cell r="V68">
            <v>0</v>
          </cell>
          <cell r="W68">
            <v>326376</v>
          </cell>
        </row>
        <row r="69">
          <cell r="E69">
            <v>256</v>
          </cell>
          <cell r="G69">
            <v>28416</v>
          </cell>
          <cell r="J69">
            <v>20</v>
          </cell>
          <cell r="L69">
            <v>7200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81616</v>
          </cell>
          <cell r="V69">
            <v>104376</v>
          </cell>
          <cell r="W69">
            <v>303616</v>
          </cell>
        </row>
        <row r="70">
          <cell r="E70">
            <v>183</v>
          </cell>
          <cell r="G70">
            <v>22692</v>
          </cell>
          <cell r="J70">
            <v>21</v>
          </cell>
          <cell r="L70">
            <v>7560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76252</v>
          </cell>
          <cell r="V70">
            <v>0</v>
          </cell>
          <cell r="W70">
            <v>379868</v>
          </cell>
        </row>
        <row r="71">
          <cell r="E71">
            <v>67</v>
          </cell>
          <cell r="G71">
            <v>6566</v>
          </cell>
          <cell r="J71">
            <v>3</v>
          </cell>
          <cell r="L71">
            <v>1080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53646</v>
          </cell>
          <cell r="V71">
            <v>0</v>
          </cell>
          <cell r="W71">
            <v>433514</v>
          </cell>
        </row>
        <row r="72">
          <cell r="E72">
            <v>65</v>
          </cell>
          <cell r="G72">
            <v>6760</v>
          </cell>
          <cell r="J72">
            <v>7</v>
          </cell>
          <cell r="L72">
            <v>2520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55280</v>
          </cell>
          <cell r="V72">
            <v>0</v>
          </cell>
          <cell r="W72">
            <v>488794</v>
          </cell>
        </row>
        <row r="73">
          <cell r="E73">
            <v>88</v>
          </cell>
          <cell r="G73">
            <v>9856</v>
          </cell>
          <cell r="J73">
            <v>2</v>
          </cell>
          <cell r="L73">
            <v>720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56576</v>
          </cell>
          <cell r="V73">
            <v>0</v>
          </cell>
          <cell r="W73">
            <v>545370</v>
          </cell>
        </row>
        <row r="74">
          <cell r="E74">
            <v>98</v>
          </cell>
          <cell r="G74">
            <v>10486</v>
          </cell>
          <cell r="J74">
            <v>7</v>
          </cell>
          <cell r="L74">
            <v>2520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59006</v>
          </cell>
          <cell r="V74">
            <v>93370</v>
          </cell>
          <cell r="W74">
            <v>511006</v>
          </cell>
        </row>
        <row r="75">
          <cell r="E75">
            <v>128</v>
          </cell>
          <cell r="G75">
            <v>14080</v>
          </cell>
          <cell r="J75">
            <v>75</v>
          </cell>
          <cell r="L75">
            <v>27000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87080</v>
          </cell>
          <cell r="V75">
            <v>151006</v>
          </cell>
          <cell r="W75">
            <v>447080</v>
          </cell>
        </row>
        <row r="76">
          <cell r="E76">
            <v>119</v>
          </cell>
          <cell r="G76">
            <v>14994</v>
          </cell>
          <cell r="J76">
            <v>46</v>
          </cell>
          <cell r="L76">
            <v>16560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77554</v>
          </cell>
          <cell r="V76">
            <v>271080</v>
          </cell>
          <cell r="W76">
            <v>253554</v>
          </cell>
        </row>
        <row r="77">
          <cell r="E77">
            <v>143</v>
          </cell>
          <cell r="G77">
            <v>17017</v>
          </cell>
          <cell r="J77">
            <v>171</v>
          </cell>
          <cell r="L77">
            <v>61560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124577</v>
          </cell>
          <cell r="V77">
            <v>215554</v>
          </cell>
          <cell r="W77">
            <v>162577</v>
          </cell>
        </row>
        <row r="78">
          <cell r="E78">
            <v>299</v>
          </cell>
          <cell r="G78">
            <v>32292</v>
          </cell>
          <cell r="J78">
            <v>131</v>
          </cell>
          <cell r="L78">
            <v>47160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125452</v>
          </cell>
          <cell r="V78">
            <v>216577</v>
          </cell>
          <cell r="W78">
            <v>71452</v>
          </cell>
        </row>
        <row r="79">
          <cell r="E79">
            <v>158</v>
          </cell>
          <cell r="G79">
            <v>19592</v>
          </cell>
          <cell r="J79">
            <v>427</v>
          </cell>
          <cell r="L79">
            <v>153720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219312</v>
          </cell>
          <cell r="V79">
            <v>125452</v>
          </cell>
          <cell r="W79">
            <v>165312</v>
          </cell>
        </row>
        <row r="80">
          <cell r="E80">
            <v>234</v>
          </cell>
          <cell r="G80">
            <v>30420</v>
          </cell>
          <cell r="J80">
            <v>199</v>
          </cell>
          <cell r="L80">
            <v>125640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202060</v>
          </cell>
          <cell r="V80">
            <v>219312</v>
          </cell>
          <cell r="W80">
            <v>148060</v>
          </cell>
        </row>
        <row r="81">
          <cell r="E81">
            <v>198</v>
          </cell>
          <cell r="G81">
            <v>25740</v>
          </cell>
          <cell r="J81">
            <v>147</v>
          </cell>
          <cell r="L81">
            <v>52920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124660</v>
          </cell>
          <cell r="V81">
            <v>148060</v>
          </cell>
          <cell r="W81">
            <v>124660</v>
          </cell>
        </row>
        <row r="82">
          <cell r="E82">
            <v>193</v>
          </cell>
          <cell r="G82">
            <v>27020</v>
          </cell>
          <cell r="J82">
            <v>27</v>
          </cell>
          <cell r="L82">
            <v>9720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82740</v>
          </cell>
          <cell r="V82">
            <v>124660</v>
          </cell>
          <cell r="W82">
            <v>82740</v>
          </cell>
        </row>
        <row r="83">
          <cell r="E83">
            <v>134</v>
          </cell>
          <cell r="G83">
            <v>19564</v>
          </cell>
          <cell r="J83">
            <v>40</v>
          </cell>
          <cell r="L83">
            <v>14400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79964</v>
          </cell>
          <cell r="V83">
            <v>82740</v>
          </cell>
          <cell r="W83">
            <v>79964</v>
          </cell>
        </row>
        <row r="84">
          <cell r="E84">
            <v>137</v>
          </cell>
          <cell r="G84">
            <v>20002</v>
          </cell>
          <cell r="J84">
            <v>68</v>
          </cell>
          <cell r="L84">
            <v>24480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90482</v>
          </cell>
          <cell r="V84">
            <v>79964</v>
          </cell>
          <cell r="W84">
            <v>90482</v>
          </cell>
        </row>
        <row r="85">
          <cell r="E85">
            <v>183</v>
          </cell>
          <cell r="G85">
            <v>26718</v>
          </cell>
          <cell r="J85">
            <v>58</v>
          </cell>
          <cell r="L85">
            <v>20880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93598</v>
          </cell>
          <cell r="V85">
            <v>90482</v>
          </cell>
          <cell r="W85">
            <v>103598</v>
          </cell>
        </row>
        <row r="86">
          <cell r="E86">
            <v>166</v>
          </cell>
          <cell r="G86">
            <v>24236</v>
          </cell>
          <cell r="J86">
            <v>67</v>
          </cell>
          <cell r="L86">
            <v>24120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104356</v>
          </cell>
          <cell r="V86">
            <v>103598</v>
          </cell>
          <cell r="W86">
            <v>94356</v>
          </cell>
        </row>
        <row r="87">
          <cell r="E87">
            <v>182</v>
          </cell>
          <cell r="G87">
            <v>26572</v>
          </cell>
          <cell r="J87">
            <v>71</v>
          </cell>
          <cell r="L87">
            <v>25560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98132</v>
          </cell>
          <cell r="V87">
            <v>94356</v>
          </cell>
          <cell r="W87">
            <v>98132</v>
          </cell>
        </row>
        <row r="88">
          <cell r="E88">
            <v>148</v>
          </cell>
          <cell r="G88">
            <v>21608</v>
          </cell>
          <cell r="J88">
            <v>66</v>
          </cell>
          <cell r="L88">
            <v>23760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91368</v>
          </cell>
          <cell r="V88">
            <v>98132</v>
          </cell>
          <cell r="W88">
            <v>91368</v>
          </cell>
        </row>
        <row r="89">
          <cell r="E89">
            <v>142</v>
          </cell>
          <cell r="G89">
            <v>20732</v>
          </cell>
          <cell r="J89">
            <v>52</v>
          </cell>
          <cell r="L89">
            <v>18720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85452</v>
          </cell>
          <cell r="V89">
            <v>91368</v>
          </cell>
          <cell r="W89">
            <v>85452</v>
          </cell>
        </row>
        <row r="90">
          <cell r="E90">
            <v>189</v>
          </cell>
          <cell r="G90">
            <v>27594</v>
          </cell>
          <cell r="J90">
            <v>93</v>
          </cell>
          <cell r="L90">
            <v>33480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107074</v>
          </cell>
          <cell r="V90">
            <v>85452</v>
          </cell>
          <cell r="W90">
            <v>107074</v>
          </cell>
        </row>
        <row r="91">
          <cell r="E91">
            <v>179</v>
          </cell>
          <cell r="G91">
            <v>26134</v>
          </cell>
          <cell r="J91">
            <v>263</v>
          </cell>
          <cell r="L91">
            <v>126360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207494</v>
          </cell>
          <cell r="V91">
            <v>107074</v>
          </cell>
          <cell r="W91">
            <v>217494</v>
          </cell>
        </row>
        <row r="92">
          <cell r="E92">
            <v>203</v>
          </cell>
          <cell r="G92">
            <v>29638</v>
          </cell>
          <cell r="J92">
            <v>76</v>
          </cell>
          <cell r="L92">
            <v>27360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111998</v>
          </cell>
          <cell r="V92">
            <v>217494</v>
          </cell>
          <cell r="W92">
            <v>121998</v>
          </cell>
        </row>
        <row r="93">
          <cell r="E93">
            <v>158</v>
          </cell>
          <cell r="G93">
            <v>23068</v>
          </cell>
          <cell r="J93">
            <v>45</v>
          </cell>
          <cell r="L93">
            <v>16200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94268</v>
          </cell>
          <cell r="V93">
            <v>121998</v>
          </cell>
          <cell r="W93">
            <v>104268</v>
          </cell>
        </row>
        <row r="94">
          <cell r="E94">
            <v>136</v>
          </cell>
          <cell r="G94">
            <v>19856</v>
          </cell>
          <cell r="J94">
            <v>57</v>
          </cell>
          <cell r="L94">
            <v>20520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95376</v>
          </cell>
          <cell r="V94">
            <v>104268</v>
          </cell>
          <cell r="W94">
            <v>105376</v>
          </cell>
        </row>
        <row r="95">
          <cell r="E95">
            <v>113</v>
          </cell>
          <cell r="G95">
            <v>16498</v>
          </cell>
          <cell r="J95">
            <v>72</v>
          </cell>
          <cell r="L95">
            <v>25920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97418</v>
          </cell>
          <cell r="V95">
            <v>105376</v>
          </cell>
          <cell r="W95">
            <v>107418</v>
          </cell>
        </row>
        <row r="96">
          <cell r="E96">
            <v>135</v>
          </cell>
          <cell r="G96">
            <v>19710</v>
          </cell>
          <cell r="J96">
            <v>37</v>
          </cell>
          <cell r="L96">
            <v>13320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88030</v>
          </cell>
          <cell r="V96">
            <v>107418</v>
          </cell>
          <cell r="W96">
            <v>88030</v>
          </cell>
        </row>
        <row r="97">
          <cell r="E97">
            <v>174</v>
          </cell>
          <cell r="G97">
            <v>25404</v>
          </cell>
          <cell r="J97">
            <v>56</v>
          </cell>
          <cell r="L97">
            <v>20160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100564</v>
          </cell>
          <cell r="V97">
            <v>88030</v>
          </cell>
          <cell r="W97">
            <v>100564</v>
          </cell>
        </row>
        <row r="98">
          <cell r="E98">
            <v>166</v>
          </cell>
          <cell r="G98">
            <v>24236</v>
          </cell>
          <cell r="J98">
            <v>55</v>
          </cell>
          <cell r="L98">
            <v>19800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99036</v>
          </cell>
          <cell r="V98">
            <v>100564</v>
          </cell>
          <cell r="W98">
            <v>99036</v>
          </cell>
        </row>
        <row r="99">
          <cell r="E99">
            <v>179</v>
          </cell>
          <cell r="G99">
            <v>26134</v>
          </cell>
          <cell r="J99">
            <v>115</v>
          </cell>
          <cell r="L99">
            <v>41400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122534</v>
          </cell>
          <cell r="V99">
            <v>99036</v>
          </cell>
          <cell r="W99">
            <v>122534</v>
          </cell>
        </row>
        <row r="100">
          <cell r="E100">
            <v>164</v>
          </cell>
          <cell r="G100">
            <v>23944</v>
          </cell>
          <cell r="J100">
            <v>110</v>
          </cell>
          <cell r="L100">
            <v>39600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118544</v>
          </cell>
          <cell r="V100">
            <v>122534</v>
          </cell>
          <cell r="W100">
            <v>118544</v>
          </cell>
        </row>
        <row r="101">
          <cell r="E101">
            <v>173</v>
          </cell>
          <cell r="G101">
            <v>25258</v>
          </cell>
          <cell r="J101">
            <v>127</v>
          </cell>
          <cell r="L101">
            <v>45720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125978</v>
          </cell>
          <cell r="V101">
            <v>244522</v>
          </cell>
          <cell r="W101">
            <v>0</v>
          </cell>
        </row>
        <row r="102">
          <cell r="E102">
            <v>181</v>
          </cell>
          <cell r="G102">
            <v>26426</v>
          </cell>
          <cell r="J102">
            <v>171</v>
          </cell>
          <cell r="L102">
            <v>81000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162426</v>
          </cell>
          <cell r="V102">
            <v>162426</v>
          </cell>
          <cell r="W102">
            <v>0</v>
          </cell>
        </row>
        <row r="103">
          <cell r="E103">
            <v>212</v>
          </cell>
          <cell r="G103">
            <v>30952</v>
          </cell>
          <cell r="J103">
            <v>65</v>
          </cell>
          <cell r="L103">
            <v>23400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111002</v>
          </cell>
          <cell r="V103">
            <v>111002</v>
          </cell>
          <cell r="W103">
            <v>0</v>
          </cell>
        </row>
        <row r="104">
          <cell r="E104">
            <v>205</v>
          </cell>
          <cell r="G104">
            <v>29930</v>
          </cell>
          <cell r="J104">
            <v>32</v>
          </cell>
          <cell r="L104">
            <v>47430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134010</v>
          </cell>
          <cell r="V104">
            <v>134010</v>
          </cell>
          <cell r="W104">
            <v>0</v>
          </cell>
        </row>
        <row r="105">
          <cell r="E105">
            <v>180</v>
          </cell>
          <cell r="G105">
            <v>26280</v>
          </cell>
          <cell r="J105">
            <v>98</v>
          </cell>
          <cell r="L105">
            <v>35280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118210</v>
          </cell>
          <cell r="V105">
            <v>118210</v>
          </cell>
          <cell r="W105">
            <v>0</v>
          </cell>
        </row>
        <row r="106">
          <cell r="E106">
            <v>197</v>
          </cell>
          <cell r="G106">
            <v>28762</v>
          </cell>
          <cell r="J106">
            <v>117</v>
          </cell>
          <cell r="L106">
            <v>42120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127532</v>
          </cell>
          <cell r="V106">
            <v>127532</v>
          </cell>
          <cell r="W106">
            <v>0</v>
          </cell>
        </row>
        <row r="107">
          <cell r="E107">
            <v>113</v>
          </cell>
          <cell r="G107">
            <v>16498</v>
          </cell>
          <cell r="J107">
            <v>37</v>
          </cell>
          <cell r="L107">
            <v>13320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86468</v>
          </cell>
          <cell r="V107">
            <v>86468</v>
          </cell>
          <cell r="W107">
            <v>0</v>
          </cell>
        </row>
        <row r="108">
          <cell r="E108">
            <v>112</v>
          </cell>
          <cell r="G108">
            <v>16352</v>
          </cell>
          <cell r="J108">
            <v>34</v>
          </cell>
          <cell r="L108">
            <v>12240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85242</v>
          </cell>
          <cell r="V108">
            <v>85242</v>
          </cell>
          <cell r="W108">
            <v>0</v>
          </cell>
        </row>
        <row r="109">
          <cell r="E109">
            <v>165</v>
          </cell>
          <cell r="G109">
            <v>24090</v>
          </cell>
          <cell r="J109">
            <v>13</v>
          </cell>
          <cell r="L109">
            <v>4680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85420</v>
          </cell>
          <cell r="V109">
            <v>85420</v>
          </cell>
          <cell r="W109">
            <v>0</v>
          </cell>
        </row>
        <row r="110">
          <cell r="E110">
            <v>167</v>
          </cell>
          <cell r="G110">
            <v>24382</v>
          </cell>
          <cell r="J110">
            <v>14</v>
          </cell>
          <cell r="L110">
            <v>5040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86072</v>
          </cell>
          <cell r="V110">
            <v>86072</v>
          </cell>
          <cell r="W110">
            <v>0</v>
          </cell>
        </row>
        <row r="111">
          <cell r="E111">
            <v>212</v>
          </cell>
          <cell r="G111">
            <v>30952</v>
          </cell>
          <cell r="J111">
            <v>58</v>
          </cell>
          <cell r="L111">
            <v>20880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108482</v>
          </cell>
          <cell r="V111">
            <v>108482</v>
          </cell>
          <cell r="W111">
            <v>0</v>
          </cell>
        </row>
        <row r="112">
          <cell r="E112">
            <v>226</v>
          </cell>
          <cell r="G112">
            <v>32996</v>
          </cell>
          <cell r="J112">
            <v>102</v>
          </cell>
          <cell r="L112">
            <v>36720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126366</v>
          </cell>
          <cell r="V112">
            <v>126366</v>
          </cell>
          <cell r="W112">
            <v>0</v>
          </cell>
        </row>
        <row r="113">
          <cell r="E113">
            <v>223</v>
          </cell>
          <cell r="G113">
            <v>32558</v>
          </cell>
          <cell r="J113">
            <v>157</v>
          </cell>
          <cell r="L113">
            <v>57780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146988</v>
          </cell>
          <cell r="V113">
            <v>146988</v>
          </cell>
          <cell r="W113">
            <v>0</v>
          </cell>
        </row>
        <row r="114">
          <cell r="E114">
            <v>300</v>
          </cell>
          <cell r="G114">
            <v>43800</v>
          </cell>
          <cell r="J114">
            <v>260</v>
          </cell>
          <cell r="L114">
            <v>124200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224650</v>
          </cell>
          <cell r="V114">
            <v>224650</v>
          </cell>
          <cell r="W114">
            <v>0</v>
          </cell>
        </row>
        <row r="115">
          <cell r="E115">
            <v>277</v>
          </cell>
          <cell r="G115">
            <v>40442</v>
          </cell>
          <cell r="J115">
            <v>277</v>
          </cell>
          <cell r="L115">
            <v>136440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235741</v>
          </cell>
          <cell r="V115">
            <v>235741</v>
          </cell>
          <cell r="W115">
            <v>0</v>
          </cell>
        </row>
        <row r="116">
          <cell r="E116">
            <v>274</v>
          </cell>
          <cell r="G116">
            <v>40004</v>
          </cell>
          <cell r="J116">
            <v>241</v>
          </cell>
          <cell r="L116">
            <v>110520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209383</v>
          </cell>
          <cell r="V116">
            <v>209383</v>
          </cell>
          <cell r="W116">
            <v>0</v>
          </cell>
        </row>
        <row r="117">
          <cell r="E117">
            <v>308</v>
          </cell>
          <cell r="G117">
            <v>44968</v>
          </cell>
          <cell r="J117">
            <v>263</v>
          </cell>
          <cell r="L117">
            <v>126360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230187</v>
          </cell>
          <cell r="V117">
            <v>230187</v>
          </cell>
          <cell r="W117">
            <v>0</v>
          </cell>
        </row>
        <row r="118">
          <cell r="E118">
            <v>173</v>
          </cell>
          <cell r="G118">
            <v>25258</v>
          </cell>
          <cell r="J118">
            <v>154</v>
          </cell>
          <cell r="L118">
            <v>56160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140277</v>
          </cell>
          <cell r="V118">
            <v>140277</v>
          </cell>
          <cell r="W118">
            <v>0</v>
          </cell>
        </row>
        <row r="119">
          <cell r="E119">
            <v>184</v>
          </cell>
          <cell r="G119">
            <v>26864</v>
          </cell>
          <cell r="J119">
            <v>97</v>
          </cell>
          <cell r="L119">
            <v>34920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120643</v>
          </cell>
          <cell r="V119">
            <v>120643</v>
          </cell>
          <cell r="W119">
            <v>0</v>
          </cell>
        </row>
        <row r="120">
          <cell r="E120">
            <v>101</v>
          </cell>
          <cell r="G120">
            <v>14746</v>
          </cell>
          <cell r="J120">
            <v>4</v>
          </cell>
          <cell r="L120">
            <v>1440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75045</v>
          </cell>
          <cell r="V120">
            <v>75045</v>
          </cell>
          <cell r="W120">
            <v>0</v>
          </cell>
        </row>
        <row r="121">
          <cell r="E121">
            <v>80</v>
          </cell>
          <cell r="G121">
            <v>11680</v>
          </cell>
          <cell r="J121">
            <v>3</v>
          </cell>
          <cell r="L121">
            <v>1080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71619</v>
          </cell>
          <cell r="V121">
            <v>71619</v>
          </cell>
          <cell r="W121">
            <v>0</v>
          </cell>
        </row>
        <row r="122">
          <cell r="E122">
            <v>105</v>
          </cell>
          <cell r="G122">
            <v>15330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75989</v>
          </cell>
          <cell r="V122">
            <v>75985</v>
          </cell>
          <cell r="W122">
            <v>4</v>
          </cell>
        </row>
        <row r="123">
          <cell r="E123">
            <v>186</v>
          </cell>
          <cell r="G123">
            <v>27156</v>
          </cell>
          <cell r="J123">
            <v>83</v>
          </cell>
          <cell r="L123">
            <v>29880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115895</v>
          </cell>
          <cell r="V123">
            <v>115859</v>
          </cell>
          <cell r="W123">
            <v>40</v>
          </cell>
        </row>
        <row r="124">
          <cell r="E124">
            <v>160</v>
          </cell>
          <cell r="G124">
            <v>23360</v>
          </cell>
          <cell r="J124">
            <v>118</v>
          </cell>
          <cell r="L124">
            <v>42480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124699</v>
          </cell>
          <cell r="V124">
            <v>124739</v>
          </cell>
          <cell r="W124">
            <v>0</v>
          </cell>
        </row>
        <row r="125">
          <cell r="E125">
            <v>166</v>
          </cell>
          <cell r="G125">
            <v>24236</v>
          </cell>
          <cell r="J125">
            <v>117</v>
          </cell>
          <cell r="L125">
            <v>42120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125215</v>
          </cell>
          <cell r="V125">
            <v>125215</v>
          </cell>
          <cell r="W125">
            <v>0</v>
          </cell>
        </row>
        <row r="126">
          <cell r="E126">
            <v>168</v>
          </cell>
          <cell r="G126">
            <v>24528</v>
          </cell>
          <cell r="J126">
            <v>258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83387</v>
          </cell>
          <cell r="V126">
            <v>206147</v>
          </cell>
          <cell r="W126">
            <v>-122760</v>
          </cell>
        </row>
        <row r="127">
          <cell r="E127">
            <v>197</v>
          </cell>
          <cell r="G127">
            <v>28762</v>
          </cell>
          <cell r="J127">
            <v>175</v>
          </cell>
          <cell r="L127">
            <v>67500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155996</v>
          </cell>
          <cell r="V127">
            <v>33236</v>
          </cell>
          <cell r="W127">
            <v>0</v>
          </cell>
        </row>
        <row r="128">
          <cell r="E128">
            <v>225</v>
          </cell>
          <cell r="G128">
            <v>32850</v>
          </cell>
          <cell r="J128">
            <v>199</v>
          </cell>
          <cell r="L128">
            <v>80460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185332</v>
          </cell>
          <cell r="V128">
            <v>185332</v>
          </cell>
          <cell r="W128">
            <v>0</v>
          </cell>
        </row>
        <row r="129">
          <cell r="E129">
            <v>182</v>
          </cell>
          <cell r="G129">
            <v>26572</v>
          </cell>
          <cell r="J129">
            <v>67</v>
          </cell>
          <cell r="L129">
            <v>24120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110426</v>
          </cell>
          <cell r="V129">
            <v>110426</v>
          </cell>
          <cell r="W129">
            <v>0</v>
          </cell>
        </row>
        <row r="130">
          <cell r="E130">
            <v>138</v>
          </cell>
          <cell r="G130">
            <v>20148</v>
          </cell>
          <cell r="J130">
            <v>93</v>
          </cell>
          <cell r="L130">
            <v>33480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113362</v>
          </cell>
          <cell r="V130">
            <v>113362</v>
          </cell>
          <cell r="W130">
            <v>0</v>
          </cell>
        </row>
        <row r="131">
          <cell r="E131">
            <v>90</v>
          </cell>
          <cell r="G131">
            <v>13140</v>
          </cell>
          <cell r="J131">
            <v>87</v>
          </cell>
          <cell r="L131">
            <v>31320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104194</v>
          </cell>
          <cell r="V131">
            <v>104194</v>
          </cell>
          <cell r="W131">
            <v>0</v>
          </cell>
        </row>
        <row r="132">
          <cell r="E132">
            <v>66</v>
          </cell>
          <cell r="G132">
            <v>9636</v>
          </cell>
          <cell r="J132">
            <v>29</v>
          </cell>
          <cell r="L132">
            <v>10440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79810</v>
          </cell>
          <cell r="V132">
            <v>79810</v>
          </cell>
          <cell r="W132">
            <v>0</v>
          </cell>
        </row>
        <row r="133">
          <cell r="E133">
            <v>79</v>
          </cell>
          <cell r="G133">
            <v>11534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75588</v>
          </cell>
          <cell r="V133">
            <v>75588</v>
          </cell>
          <cell r="W133">
            <v>0</v>
          </cell>
        </row>
        <row r="134">
          <cell r="E134">
            <v>70</v>
          </cell>
          <cell r="G134">
            <v>10220</v>
          </cell>
          <cell r="J134">
            <v>1</v>
          </cell>
          <cell r="L134">
            <v>360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70314</v>
          </cell>
          <cell r="V134">
            <v>70314</v>
          </cell>
          <cell r="W134">
            <v>0</v>
          </cell>
        </row>
        <row r="135">
          <cell r="E135">
            <v>105</v>
          </cell>
          <cell r="G135">
            <v>15330</v>
          </cell>
          <cell r="J135">
            <v>78</v>
          </cell>
          <cell r="L135">
            <v>28080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103144</v>
          </cell>
          <cell r="V135">
            <v>103144</v>
          </cell>
          <cell r="W135">
            <v>0</v>
          </cell>
        </row>
        <row r="136">
          <cell r="E136">
            <v>208</v>
          </cell>
          <cell r="G136">
            <v>30368</v>
          </cell>
          <cell r="J136">
            <v>82</v>
          </cell>
          <cell r="L136">
            <v>29520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119622</v>
          </cell>
          <cell r="V136">
            <v>119622</v>
          </cell>
          <cell r="W136">
            <v>0</v>
          </cell>
        </row>
        <row r="137">
          <cell r="E137">
            <v>307</v>
          </cell>
          <cell r="G137">
            <v>44822</v>
          </cell>
          <cell r="J137">
            <v>40</v>
          </cell>
          <cell r="L137">
            <v>14400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118956</v>
          </cell>
          <cell r="V137">
            <v>118956</v>
          </cell>
          <cell r="W137">
            <v>0</v>
          </cell>
        </row>
        <row r="138">
          <cell r="E138">
            <v>273</v>
          </cell>
          <cell r="G138">
            <v>39858</v>
          </cell>
          <cell r="J138">
            <v>160</v>
          </cell>
          <cell r="L138">
            <v>59400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178992</v>
          </cell>
          <cell r="V138">
            <v>178992</v>
          </cell>
          <cell r="W138">
            <v>0</v>
          </cell>
        </row>
        <row r="139">
          <cell r="E139">
            <v>368</v>
          </cell>
          <cell r="G139">
            <v>53728</v>
          </cell>
          <cell r="J139">
            <v>188</v>
          </cell>
          <cell r="L139">
            <v>100440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220704</v>
          </cell>
          <cell r="V139">
            <v>220704</v>
          </cell>
          <cell r="W139">
            <v>0</v>
          </cell>
        </row>
        <row r="140">
          <cell r="E140">
            <v>234</v>
          </cell>
          <cell r="G140">
            <v>34164</v>
          </cell>
          <cell r="J140">
            <v>119</v>
          </cell>
          <cell r="L140">
            <v>42840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143540</v>
          </cell>
          <cell r="V140">
            <v>143540</v>
          </cell>
          <cell r="W140">
            <v>0</v>
          </cell>
        </row>
        <row r="141">
          <cell r="E141">
            <v>246</v>
          </cell>
          <cell r="G141">
            <v>35916</v>
          </cell>
          <cell r="J141">
            <v>62</v>
          </cell>
          <cell r="L141">
            <v>22320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124772</v>
          </cell>
          <cell r="V141">
            <v>124772</v>
          </cell>
          <cell r="W141">
            <v>0</v>
          </cell>
        </row>
        <row r="142">
          <cell r="E142">
            <v>151</v>
          </cell>
          <cell r="G142">
            <v>22046</v>
          </cell>
          <cell r="J142">
            <v>96</v>
          </cell>
          <cell r="L142">
            <v>34560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123142</v>
          </cell>
          <cell r="V142">
            <v>0</v>
          </cell>
          <cell r="W142">
            <v>123142</v>
          </cell>
        </row>
        <row r="143">
          <cell r="E143">
            <v>179</v>
          </cell>
          <cell r="G143">
            <v>26134</v>
          </cell>
          <cell r="J143">
            <v>32</v>
          </cell>
          <cell r="L143">
            <v>11520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104190</v>
          </cell>
          <cell r="V143">
            <v>227332</v>
          </cell>
          <cell r="W143">
            <v>0</v>
          </cell>
        </row>
        <row r="144">
          <cell r="E144">
            <v>104</v>
          </cell>
          <cell r="G144">
            <v>15184</v>
          </cell>
          <cell r="J144">
            <v>4</v>
          </cell>
          <cell r="L144">
            <v>1440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83160</v>
          </cell>
          <cell r="V144">
            <v>83160</v>
          </cell>
          <cell r="W144">
            <v>0</v>
          </cell>
        </row>
        <row r="145">
          <cell r="E145">
            <v>94</v>
          </cell>
          <cell r="G145">
            <v>13724</v>
          </cell>
          <cell r="J145">
            <v>6</v>
          </cell>
          <cell r="L145">
            <v>2160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82420</v>
          </cell>
          <cell r="V145">
            <v>82420</v>
          </cell>
          <cell r="W145">
            <v>0</v>
          </cell>
        </row>
        <row r="146">
          <cell r="E146">
            <v>95</v>
          </cell>
          <cell r="G146">
            <v>13870</v>
          </cell>
          <cell r="J146">
            <v>15</v>
          </cell>
          <cell r="L146">
            <v>5400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85806</v>
          </cell>
          <cell r="V146">
            <v>85806</v>
          </cell>
          <cell r="W146">
            <v>0</v>
          </cell>
        </row>
        <row r="147">
          <cell r="E147">
            <v>118</v>
          </cell>
          <cell r="G147">
            <v>17228</v>
          </cell>
          <cell r="J147">
            <v>20</v>
          </cell>
          <cell r="L147">
            <v>7200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90964</v>
          </cell>
          <cell r="V147">
            <v>90964</v>
          </cell>
          <cell r="W147">
            <v>0</v>
          </cell>
        </row>
        <row r="148">
          <cell r="E148">
            <v>127</v>
          </cell>
          <cell r="G148">
            <v>18542</v>
          </cell>
          <cell r="J148">
            <v>88</v>
          </cell>
          <cell r="L148">
            <v>31680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116758</v>
          </cell>
          <cell r="V148">
            <v>116758</v>
          </cell>
          <cell r="W148">
            <v>0</v>
          </cell>
        </row>
        <row r="149">
          <cell r="E149">
            <v>153</v>
          </cell>
          <cell r="G149">
            <v>22338</v>
          </cell>
          <cell r="J149">
            <v>148</v>
          </cell>
          <cell r="L149">
            <v>58320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147194</v>
          </cell>
          <cell r="V149">
            <v>147194</v>
          </cell>
          <cell r="W149">
            <v>0</v>
          </cell>
        </row>
        <row r="150">
          <cell r="E150">
            <v>143</v>
          </cell>
          <cell r="G150">
            <v>20878</v>
          </cell>
          <cell r="J150">
            <v>148</v>
          </cell>
          <cell r="L150">
            <v>58320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147734</v>
          </cell>
          <cell r="V150">
            <v>147734</v>
          </cell>
          <cell r="W150">
            <v>0</v>
          </cell>
        </row>
        <row r="151">
          <cell r="E151">
            <v>207</v>
          </cell>
          <cell r="G151">
            <v>30222</v>
          </cell>
          <cell r="J151">
            <v>65</v>
          </cell>
          <cell r="L151">
            <v>23400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125017</v>
          </cell>
          <cell r="V151">
            <v>125017</v>
          </cell>
          <cell r="W151">
            <v>0</v>
          </cell>
        </row>
        <row r="152">
          <cell r="E152">
            <v>197</v>
          </cell>
          <cell r="G152">
            <v>28762</v>
          </cell>
          <cell r="J152">
            <v>32</v>
          </cell>
          <cell r="L152">
            <v>11520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111677</v>
          </cell>
          <cell r="V152">
            <v>111677</v>
          </cell>
          <cell r="W152">
            <v>0</v>
          </cell>
        </row>
        <row r="153">
          <cell r="E153">
            <v>143</v>
          </cell>
          <cell r="G153">
            <v>20878</v>
          </cell>
          <cell r="J153">
            <v>45</v>
          </cell>
          <cell r="L153">
            <v>16200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113432</v>
          </cell>
          <cell r="V153">
            <v>113432</v>
          </cell>
          <cell r="W153">
            <v>0</v>
          </cell>
        </row>
        <row r="154">
          <cell r="E154">
            <v>133</v>
          </cell>
          <cell r="G154">
            <v>19418</v>
          </cell>
          <cell r="J154">
            <v>69</v>
          </cell>
          <cell r="L154">
            <v>24840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120612</v>
          </cell>
          <cell r="V154">
            <v>120612</v>
          </cell>
          <cell r="W154">
            <v>0</v>
          </cell>
        </row>
        <row r="155">
          <cell r="E155">
            <v>108</v>
          </cell>
          <cell r="G155">
            <v>15768</v>
          </cell>
          <cell r="J155">
            <v>34</v>
          </cell>
          <cell r="L155">
            <v>12240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104362</v>
          </cell>
          <cell r="V155">
            <v>104362</v>
          </cell>
          <cell r="W155">
            <v>0</v>
          </cell>
        </row>
        <row r="156">
          <cell r="E156">
            <v>73</v>
          </cell>
          <cell r="G156">
            <v>10658</v>
          </cell>
          <cell r="J156">
            <v>28</v>
          </cell>
          <cell r="L156">
            <v>10080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97092</v>
          </cell>
          <cell r="V156">
            <v>97092</v>
          </cell>
          <cell r="W156">
            <v>0</v>
          </cell>
        </row>
        <row r="157">
          <cell r="E157">
            <v>124</v>
          </cell>
          <cell r="G157">
            <v>18104</v>
          </cell>
          <cell r="J157">
            <v>5</v>
          </cell>
          <cell r="L157">
            <v>1800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96258</v>
          </cell>
          <cell r="V157">
            <v>96528</v>
          </cell>
          <cell r="W157">
            <v>-270</v>
          </cell>
        </row>
        <row r="158">
          <cell r="E158">
            <v>99</v>
          </cell>
          <cell r="G158">
            <v>14454</v>
          </cell>
          <cell r="J158">
            <v>56</v>
          </cell>
          <cell r="L158">
            <v>20160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110968</v>
          </cell>
          <cell r="V158">
            <v>110698</v>
          </cell>
          <cell r="W158">
            <v>0</v>
          </cell>
        </row>
        <row r="159">
          <cell r="E159">
            <v>128</v>
          </cell>
          <cell r="G159">
            <v>18688</v>
          </cell>
          <cell r="J159">
            <v>66</v>
          </cell>
          <cell r="L159">
            <v>23760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118802</v>
          </cell>
          <cell r="V159">
            <v>118802</v>
          </cell>
          <cell r="W159">
            <v>0</v>
          </cell>
        </row>
        <row r="160">
          <cell r="E160">
            <v>163</v>
          </cell>
          <cell r="G160">
            <v>23798</v>
          </cell>
          <cell r="J160">
            <v>7</v>
          </cell>
          <cell r="L160">
            <v>2520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102672</v>
          </cell>
          <cell r="V160">
            <v>102672</v>
          </cell>
          <cell r="W160">
            <v>0</v>
          </cell>
        </row>
        <row r="161">
          <cell r="E161">
            <v>166</v>
          </cell>
          <cell r="G161">
            <v>24236</v>
          </cell>
          <cell r="J161">
            <v>15</v>
          </cell>
          <cell r="L161">
            <v>5400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105990</v>
          </cell>
          <cell r="V161">
            <v>105990</v>
          </cell>
          <cell r="W161">
            <v>0</v>
          </cell>
        </row>
        <row r="162">
          <cell r="E162">
            <v>264</v>
          </cell>
          <cell r="G162">
            <v>38544</v>
          </cell>
          <cell r="J162">
            <v>41</v>
          </cell>
          <cell r="L162">
            <v>14760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129364</v>
          </cell>
          <cell r="V162">
            <v>129364</v>
          </cell>
          <cell r="W162">
            <v>0</v>
          </cell>
        </row>
        <row r="163">
          <cell r="E163">
            <v>235</v>
          </cell>
          <cell r="G163">
            <v>34310</v>
          </cell>
          <cell r="J163">
            <v>53</v>
          </cell>
          <cell r="L163">
            <v>19080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139450</v>
          </cell>
          <cell r="V163">
            <v>139450</v>
          </cell>
          <cell r="W163">
            <v>0</v>
          </cell>
        </row>
        <row r="164">
          <cell r="E164">
            <v>311</v>
          </cell>
          <cell r="G164">
            <v>45406</v>
          </cell>
          <cell r="J164">
            <v>54</v>
          </cell>
          <cell r="L164">
            <v>19440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150906</v>
          </cell>
          <cell r="V164">
            <v>150906</v>
          </cell>
          <cell r="W164">
            <v>0</v>
          </cell>
        </row>
        <row r="165">
          <cell r="E165">
            <v>193</v>
          </cell>
          <cell r="G165">
            <v>28178</v>
          </cell>
          <cell r="J165">
            <v>40</v>
          </cell>
          <cell r="L165">
            <v>14400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128638</v>
          </cell>
          <cell r="V165">
            <v>128638</v>
          </cell>
          <cell r="W165">
            <v>0</v>
          </cell>
        </row>
        <row r="166">
          <cell r="E166">
            <v>168</v>
          </cell>
          <cell r="G166">
            <v>24528</v>
          </cell>
          <cell r="J166">
            <v>14</v>
          </cell>
          <cell r="L166">
            <v>5040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115672</v>
          </cell>
          <cell r="V166">
            <v>115672</v>
          </cell>
          <cell r="W166">
            <v>0</v>
          </cell>
        </row>
        <row r="167">
          <cell r="E167">
            <v>171</v>
          </cell>
          <cell r="G167">
            <v>24966</v>
          </cell>
          <cell r="J167">
            <v>25</v>
          </cell>
          <cell r="L167">
            <v>9000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120070</v>
          </cell>
          <cell r="V167">
            <v>120070</v>
          </cell>
          <cell r="W167">
            <v>0</v>
          </cell>
        </row>
        <row r="168">
          <cell r="E168">
            <v>171</v>
          </cell>
          <cell r="G168">
            <v>24966</v>
          </cell>
          <cell r="J168">
            <v>8</v>
          </cell>
          <cell r="L168">
            <v>2880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113950</v>
          </cell>
          <cell r="V168">
            <v>113950</v>
          </cell>
          <cell r="W168">
            <v>0</v>
          </cell>
        </row>
        <row r="169">
          <cell r="E169">
            <v>105</v>
          </cell>
          <cell r="G169">
            <v>15330</v>
          </cell>
          <cell r="J169">
            <v>10</v>
          </cell>
          <cell r="L169">
            <v>3600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104640</v>
          </cell>
          <cell r="V169">
            <v>113950</v>
          </cell>
          <cell r="W169">
            <v>-9310</v>
          </cell>
        </row>
        <row r="170">
          <cell r="E170">
            <v>149</v>
          </cell>
          <cell r="G170">
            <v>21754</v>
          </cell>
          <cell r="J170">
            <v>10</v>
          </cell>
          <cell r="L170">
            <v>3600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111064</v>
          </cell>
          <cell r="V170">
            <v>101754</v>
          </cell>
          <cell r="W170">
            <v>0</v>
          </cell>
        </row>
        <row r="171">
          <cell r="E171">
            <v>155</v>
          </cell>
          <cell r="G171">
            <v>22630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108705</v>
          </cell>
          <cell r="V171">
            <v>108705</v>
          </cell>
          <cell r="W171">
            <v>0</v>
          </cell>
        </row>
        <row r="172">
          <cell r="E172">
            <v>124</v>
          </cell>
          <cell r="G172">
            <v>18104</v>
          </cell>
          <cell r="J172">
            <v>48</v>
          </cell>
          <cell r="L172">
            <v>17280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116779</v>
          </cell>
          <cell r="V172">
            <v>116779</v>
          </cell>
          <cell r="W172">
            <v>0</v>
          </cell>
        </row>
        <row r="173">
          <cell r="E173">
            <v>154</v>
          </cell>
          <cell r="G173">
            <v>22484</v>
          </cell>
          <cell r="J173">
            <v>54</v>
          </cell>
          <cell r="L173">
            <v>19440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123319</v>
          </cell>
          <cell r="V173">
            <v>123319</v>
          </cell>
          <cell r="W173">
            <v>0</v>
          </cell>
        </row>
        <row r="174">
          <cell r="E174">
            <v>214</v>
          </cell>
          <cell r="G174">
            <v>31244</v>
          </cell>
          <cell r="J174">
            <v>44</v>
          </cell>
          <cell r="L174">
            <v>15840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128479</v>
          </cell>
          <cell r="V174">
            <v>128479</v>
          </cell>
          <cell r="W174">
            <v>0</v>
          </cell>
        </row>
      </sheetData>
      <sheetData sheetId="1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1792.6</v>
          </cell>
          <cell r="G16">
            <v>112933.79999999999</v>
          </cell>
          <cell r="J16">
            <v>2668.3020000000001</v>
          </cell>
          <cell r="L16">
            <v>800490.60000000009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952424.40000000014</v>
          </cell>
          <cell r="V16">
            <v>0</v>
          </cell>
          <cell r="W16">
            <v>0</v>
          </cell>
        </row>
        <row r="17">
          <cell r="E17">
            <v>76.600000000000136</v>
          </cell>
          <cell r="G17">
            <v>4825.8000000000084</v>
          </cell>
          <cell r="J17">
            <v>70.02800000000002</v>
          </cell>
          <cell r="L17">
            <v>21008.400000000005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64834.200000000012</v>
          </cell>
          <cell r="V17">
            <v>0</v>
          </cell>
          <cell r="W17">
            <v>0</v>
          </cell>
        </row>
        <row r="18">
          <cell r="E18">
            <v>374.39999999999986</v>
          </cell>
          <cell r="G18">
            <v>23587.19999999999</v>
          </cell>
          <cell r="J18">
            <v>44.950000000000045</v>
          </cell>
          <cell r="L18">
            <v>13485.000000000015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76072.200000000012</v>
          </cell>
          <cell r="V18">
            <v>0</v>
          </cell>
          <cell r="W18">
            <v>0</v>
          </cell>
        </row>
        <row r="19">
          <cell r="E19">
            <v>138.20000000000027</v>
          </cell>
          <cell r="G19">
            <v>8706.6000000000167</v>
          </cell>
          <cell r="J19">
            <v>60.799999999999955</v>
          </cell>
          <cell r="L19">
            <v>18239.999999999985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65946.600000000006</v>
          </cell>
          <cell r="V19">
            <v>0</v>
          </cell>
          <cell r="W19">
            <v>0</v>
          </cell>
        </row>
        <row r="20">
          <cell r="E20">
            <v>166.59999999999991</v>
          </cell>
          <cell r="G20">
            <v>10495.799999999994</v>
          </cell>
          <cell r="J20">
            <v>28.700000000000045</v>
          </cell>
          <cell r="L20">
            <v>8610.0000000000146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58105.80000000001</v>
          </cell>
          <cell r="V20">
            <v>0</v>
          </cell>
          <cell r="W20">
            <v>0</v>
          </cell>
        </row>
        <row r="21">
          <cell r="E21">
            <v>177.90000000000009</v>
          </cell>
          <cell r="G21">
            <v>11207.700000000006</v>
          </cell>
          <cell r="J21">
            <v>39.099999999999909</v>
          </cell>
          <cell r="L21">
            <v>11729.999999999973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61937.699999999983</v>
          </cell>
          <cell r="V21">
            <v>0</v>
          </cell>
          <cell r="W21">
            <v>0</v>
          </cell>
        </row>
        <row r="22">
          <cell r="E22">
            <v>135.69999999999982</v>
          </cell>
          <cell r="G22">
            <v>8549.0999999999876</v>
          </cell>
          <cell r="J22">
            <v>8.5</v>
          </cell>
          <cell r="L22">
            <v>3060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50609.099999999991</v>
          </cell>
          <cell r="V22">
            <v>0</v>
          </cell>
          <cell r="W22">
            <v>0</v>
          </cell>
        </row>
        <row r="23">
          <cell r="E23">
            <v>122.69999999999982</v>
          </cell>
          <cell r="G23">
            <v>7730.0999999999885</v>
          </cell>
          <cell r="J23">
            <v>2</v>
          </cell>
          <cell r="L23">
            <v>720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47450.099999999991</v>
          </cell>
          <cell r="V23">
            <v>0</v>
          </cell>
          <cell r="W23">
            <v>0</v>
          </cell>
        </row>
        <row r="24">
          <cell r="E24">
            <v>123.60000000000036</v>
          </cell>
          <cell r="G24">
            <v>7786.8000000000229</v>
          </cell>
          <cell r="J24">
            <v>0.40000000000009095</v>
          </cell>
          <cell r="L24">
            <v>144.00000000003274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46930.800000000054</v>
          </cell>
          <cell r="V24">
            <v>0</v>
          </cell>
          <cell r="W24">
            <v>46930.800000000054</v>
          </cell>
        </row>
        <row r="25">
          <cell r="E25">
            <v>148</v>
          </cell>
          <cell r="G25">
            <v>9324</v>
          </cell>
          <cell r="J25">
            <v>3.5</v>
          </cell>
          <cell r="L25">
            <v>1260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49584</v>
          </cell>
          <cell r="V25">
            <v>0</v>
          </cell>
          <cell r="W25">
            <v>96514.800000000047</v>
          </cell>
        </row>
        <row r="26">
          <cell r="E26">
            <v>138.59999999999991</v>
          </cell>
          <cell r="G26">
            <v>8731.7999999999938</v>
          </cell>
          <cell r="J26">
            <v>17</v>
          </cell>
          <cell r="L26">
            <v>6120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53851.799999999996</v>
          </cell>
          <cell r="V26">
            <v>0</v>
          </cell>
          <cell r="W26">
            <v>150366.60000000003</v>
          </cell>
        </row>
        <row r="27">
          <cell r="E27">
            <v>131.40000000000009</v>
          </cell>
          <cell r="G27">
            <v>8278.2000000000062</v>
          </cell>
          <cell r="J27">
            <v>19.599999999999909</v>
          </cell>
          <cell r="L27">
            <v>7055.9999999999673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54334.199999999975</v>
          </cell>
          <cell r="V27">
            <v>0</v>
          </cell>
          <cell r="W27">
            <v>183295.80000000002</v>
          </cell>
        </row>
        <row r="28">
          <cell r="E28">
            <v>142</v>
          </cell>
          <cell r="G28">
            <v>8946</v>
          </cell>
          <cell r="J28">
            <v>18.799999999999955</v>
          </cell>
          <cell r="L28">
            <v>6767.9999999999836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54713.999999999985</v>
          </cell>
          <cell r="V28">
            <v>150367</v>
          </cell>
          <cell r="W28">
            <v>87642.799999999988</v>
          </cell>
        </row>
        <row r="29">
          <cell r="E29">
            <v>136.69999999999982</v>
          </cell>
          <cell r="G29">
            <v>8612.0999999999876</v>
          </cell>
          <cell r="J29">
            <v>27.400000000000091</v>
          </cell>
          <cell r="L29">
            <v>9864.0000000000327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57476.10000000002</v>
          </cell>
          <cell r="V29">
            <v>0</v>
          </cell>
          <cell r="W29">
            <v>145118.90000000002</v>
          </cell>
        </row>
        <row r="30">
          <cell r="E30">
            <v>138</v>
          </cell>
          <cell r="G30">
            <v>8694</v>
          </cell>
          <cell r="J30">
            <v>26</v>
          </cell>
          <cell r="L30">
            <v>9360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57054</v>
          </cell>
          <cell r="V30">
            <v>54714</v>
          </cell>
          <cell r="W30">
            <v>147458.90000000002</v>
          </cell>
        </row>
        <row r="31">
          <cell r="E31">
            <v>147</v>
          </cell>
          <cell r="G31">
            <v>9261</v>
          </cell>
          <cell r="J31">
            <v>44</v>
          </cell>
          <cell r="L31">
            <v>15840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64101</v>
          </cell>
          <cell r="V31">
            <v>147459</v>
          </cell>
          <cell r="W31">
            <v>107100.9</v>
          </cell>
        </row>
        <row r="32">
          <cell r="E32">
            <v>310</v>
          </cell>
          <cell r="G32">
            <v>19530</v>
          </cell>
          <cell r="J32">
            <v>62</v>
          </cell>
          <cell r="L32">
            <v>22320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84850</v>
          </cell>
          <cell r="V32">
            <v>0</v>
          </cell>
          <cell r="W32">
            <v>191950.9</v>
          </cell>
        </row>
        <row r="33">
          <cell r="E33">
            <v>222</v>
          </cell>
          <cell r="G33">
            <v>13986</v>
          </cell>
          <cell r="J33">
            <v>39</v>
          </cell>
          <cell r="L33">
            <v>14040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71026</v>
          </cell>
          <cell r="V33">
            <v>144951</v>
          </cell>
          <cell r="W33">
            <v>118025.90000000002</v>
          </cell>
        </row>
        <row r="34">
          <cell r="E34">
            <v>190</v>
          </cell>
          <cell r="G34">
            <v>11970</v>
          </cell>
          <cell r="J34">
            <v>27</v>
          </cell>
          <cell r="L34">
            <v>9720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64690</v>
          </cell>
          <cell r="V34">
            <v>0</v>
          </cell>
          <cell r="W34">
            <v>182715.90000000002</v>
          </cell>
        </row>
        <row r="35">
          <cell r="E35">
            <v>148</v>
          </cell>
          <cell r="G35">
            <v>9324</v>
          </cell>
          <cell r="J35">
            <v>9</v>
          </cell>
          <cell r="L35">
            <v>3240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55564</v>
          </cell>
          <cell r="V35">
            <v>0</v>
          </cell>
          <cell r="W35">
            <v>238279.90000000002</v>
          </cell>
        </row>
        <row r="36">
          <cell r="E36">
            <v>98.100000000000364</v>
          </cell>
          <cell r="G36">
            <v>6180.3000000000229</v>
          </cell>
          <cell r="J36">
            <v>0.90000000000009095</v>
          </cell>
          <cell r="L36">
            <v>324.00000000003274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49504.300000000054</v>
          </cell>
          <cell r="V36">
            <v>0</v>
          </cell>
          <cell r="W36">
            <v>287784.20000000007</v>
          </cell>
        </row>
        <row r="37">
          <cell r="E37">
            <v>184.19999999999982</v>
          </cell>
          <cell r="G37">
            <v>11604.599999999988</v>
          </cell>
          <cell r="J37">
            <v>4.1999999999998181</v>
          </cell>
          <cell r="L37">
            <v>1511.9999999999345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56116.599999999919</v>
          </cell>
          <cell r="V37">
            <v>143716</v>
          </cell>
          <cell r="W37">
            <v>200184.8</v>
          </cell>
        </row>
        <row r="38">
          <cell r="E38">
            <v>110.80000000000018</v>
          </cell>
          <cell r="G38">
            <v>6980.4000000000115</v>
          </cell>
          <cell r="J38">
            <v>2.9000000000000909</v>
          </cell>
          <cell r="L38">
            <v>1044.0000000000327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51024.400000000045</v>
          </cell>
          <cell r="V38">
            <v>105068</v>
          </cell>
          <cell r="W38">
            <v>146141.20000000001</v>
          </cell>
        </row>
        <row r="39">
          <cell r="E39">
            <v>130.89999999999964</v>
          </cell>
          <cell r="G39">
            <v>8246.6999999999771</v>
          </cell>
          <cell r="J39">
            <v>8</v>
          </cell>
          <cell r="L39">
            <v>2880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54126.699999999975</v>
          </cell>
          <cell r="V39">
            <v>0</v>
          </cell>
          <cell r="W39">
            <v>196267.9</v>
          </cell>
        </row>
        <row r="40">
          <cell r="E40">
            <v>165</v>
          </cell>
          <cell r="G40">
            <v>10395</v>
          </cell>
          <cell r="J40">
            <v>16</v>
          </cell>
          <cell r="L40">
            <v>5760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55155</v>
          </cell>
          <cell r="V40">
            <v>0</v>
          </cell>
          <cell r="W40">
            <v>251422.9</v>
          </cell>
        </row>
        <row r="41">
          <cell r="E41">
            <v>179</v>
          </cell>
          <cell r="G41">
            <v>11277</v>
          </cell>
          <cell r="J41">
            <v>41</v>
          </cell>
          <cell r="L41">
            <v>14760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65037</v>
          </cell>
          <cell r="V41">
            <v>105282</v>
          </cell>
          <cell r="W41">
            <v>211177.90000000002</v>
          </cell>
        </row>
        <row r="42">
          <cell r="E42">
            <v>223</v>
          </cell>
          <cell r="G42">
            <v>14049</v>
          </cell>
          <cell r="J42">
            <v>39</v>
          </cell>
          <cell r="L42">
            <v>14040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67089</v>
          </cell>
          <cell r="V42">
            <v>0</v>
          </cell>
          <cell r="W42">
            <v>278266.90000000002</v>
          </cell>
        </row>
        <row r="43">
          <cell r="E43">
            <v>271</v>
          </cell>
          <cell r="G43">
            <v>17073</v>
          </cell>
          <cell r="J43">
            <v>53</v>
          </cell>
          <cell r="L43">
            <v>19080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75153</v>
          </cell>
          <cell r="V43">
            <v>0</v>
          </cell>
          <cell r="W43">
            <v>353419.9</v>
          </cell>
        </row>
        <row r="44">
          <cell r="E44">
            <v>241</v>
          </cell>
          <cell r="G44">
            <v>15183</v>
          </cell>
          <cell r="J44">
            <v>41</v>
          </cell>
          <cell r="L44">
            <v>14760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68943</v>
          </cell>
          <cell r="V44">
            <v>107140</v>
          </cell>
          <cell r="W44">
            <v>315222.90000000002</v>
          </cell>
        </row>
        <row r="45">
          <cell r="E45">
            <v>137</v>
          </cell>
          <cell r="G45">
            <v>8631</v>
          </cell>
          <cell r="J45">
            <v>24</v>
          </cell>
          <cell r="L45">
            <v>8640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56271</v>
          </cell>
          <cell r="V45">
            <v>132126</v>
          </cell>
          <cell r="W45">
            <v>239367.90000000002</v>
          </cell>
        </row>
        <row r="46">
          <cell r="E46">
            <v>137</v>
          </cell>
          <cell r="G46">
            <v>8631</v>
          </cell>
          <cell r="J46">
            <v>31</v>
          </cell>
          <cell r="L46">
            <v>11160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58791</v>
          </cell>
          <cell r="V46">
            <v>144096</v>
          </cell>
          <cell r="W46">
            <v>154062.90000000002</v>
          </cell>
        </row>
        <row r="47">
          <cell r="E47">
            <v>122</v>
          </cell>
          <cell r="G47">
            <v>7686</v>
          </cell>
          <cell r="J47">
            <v>14</v>
          </cell>
          <cell r="L47">
            <v>5040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51726</v>
          </cell>
          <cell r="V47">
            <v>56271</v>
          </cell>
          <cell r="W47">
            <v>149517.90000000002</v>
          </cell>
        </row>
        <row r="48">
          <cell r="E48">
            <v>80</v>
          </cell>
          <cell r="G48">
            <v>5040</v>
          </cell>
          <cell r="J48">
            <v>3</v>
          </cell>
          <cell r="L48">
            <v>1080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45120</v>
          </cell>
          <cell r="V48">
            <v>0</v>
          </cell>
          <cell r="W48">
            <v>194637.90000000002</v>
          </cell>
        </row>
        <row r="49">
          <cell r="E49">
            <v>35</v>
          </cell>
          <cell r="G49">
            <v>2205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41205</v>
          </cell>
          <cell r="V49">
            <v>110517</v>
          </cell>
          <cell r="W49">
            <v>125325.90000000002</v>
          </cell>
        </row>
        <row r="50">
          <cell r="E50">
            <v>97</v>
          </cell>
          <cell r="G50">
            <v>6111</v>
          </cell>
          <cell r="J50">
            <v>4</v>
          </cell>
          <cell r="L50">
            <v>1440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46551</v>
          </cell>
          <cell r="V50">
            <v>0</v>
          </cell>
          <cell r="W50">
            <v>171876.90000000002</v>
          </cell>
        </row>
        <row r="51">
          <cell r="E51">
            <v>94</v>
          </cell>
          <cell r="G51">
            <v>5922</v>
          </cell>
          <cell r="J51">
            <v>6</v>
          </cell>
          <cell r="L51">
            <v>2160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47082</v>
          </cell>
          <cell r="V51">
            <v>0</v>
          </cell>
          <cell r="W51">
            <v>218958.90000000002</v>
          </cell>
        </row>
        <row r="52">
          <cell r="E52">
            <v>133</v>
          </cell>
          <cell r="G52">
            <v>8379</v>
          </cell>
          <cell r="J52">
            <v>11</v>
          </cell>
          <cell r="L52">
            <v>3960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51339</v>
          </cell>
          <cell r="V52">
            <v>0</v>
          </cell>
          <cell r="W52">
            <v>270297.90000000002</v>
          </cell>
        </row>
        <row r="53">
          <cell r="E53">
            <v>146</v>
          </cell>
          <cell r="G53">
            <v>9198</v>
          </cell>
          <cell r="J53">
            <v>73</v>
          </cell>
          <cell r="L53">
            <v>26280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74478</v>
          </cell>
          <cell r="V53">
            <v>132876</v>
          </cell>
          <cell r="W53">
            <v>211899.90000000002</v>
          </cell>
        </row>
        <row r="54">
          <cell r="E54">
            <v>138</v>
          </cell>
          <cell r="G54">
            <v>8694</v>
          </cell>
          <cell r="J54">
            <v>90</v>
          </cell>
          <cell r="L54">
            <v>32400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80094</v>
          </cell>
          <cell r="V54">
            <v>0</v>
          </cell>
          <cell r="W54">
            <v>298993.90000000002</v>
          </cell>
        </row>
        <row r="55">
          <cell r="E55">
            <v>474</v>
          </cell>
          <cell r="G55">
            <v>29862</v>
          </cell>
          <cell r="J55">
            <v>52</v>
          </cell>
          <cell r="L55">
            <v>18720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94582</v>
          </cell>
          <cell r="V55">
            <v>98421</v>
          </cell>
          <cell r="W55">
            <v>295154.90000000002</v>
          </cell>
        </row>
        <row r="56">
          <cell r="E56">
            <v>546</v>
          </cell>
          <cell r="G56">
            <v>34398</v>
          </cell>
          <cell r="J56">
            <v>71</v>
          </cell>
          <cell r="L56">
            <v>25560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105958</v>
          </cell>
          <cell r="V56">
            <v>0</v>
          </cell>
          <cell r="W56">
            <v>401112.9</v>
          </cell>
        </row>
        <row r="57">
          <cell r="E57">
            <v>205</v>
          </cell>
          <cell r="G57">
            <v>12915</v>
          </cell>
          <cell r="J57">
            <v>23</v>
          </cell>
          <cell r="L57">
            <v>8280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67195</v>
          </cell>
          <cell r="V57">
            <v>161572</v>
          </cell>
          <cell r="W57">
            <v>306735.90000000002</v>
          </cell>
        </row>
        <row r="58">
          <cell r="E58">
            <v>298</v>
          </cell>
          <cell r="G58">
            <v>18774</v>
          </cell>
          <cell r="J58">
            <v>86</v>
          </cell>
          <cell r="L58">
            <v>30960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95734</v>
          </cell>
          <cell r="V58">
            <v>0</v>
          </cell>
          <cell r="W58">
            <v>402469.9</v>
          </cell>
        </row>
        <row r="59">
          <cell r="E59">
            <v>199</v>
          </cell>
          <cell r="G59">
            <v>12537</v>
          </cell>
          <cell r="J59">
            <v>28</v>
          </cell>
          <cell r="L59">
            <v>10080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68617</v>
          </cell>
          <cell r="V59">
            <v>0</v>
          </cell>
          <cell r="W59">
            <v>471086.9</v>
          </cell>
        </row>
        <row r="60">
          <cell r="E60">
            <v>131</v>
          </cell>
          <cell r="G60">
            <v>8253</v>
          </cell>
          <cell r="J60">
            <v>22</v>
          </cell>
          <cell r="L60">
            <v>7920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62173</v>
          </cell>
          <cell r="V60">
            <v>0</v>
          </cell>
          <cell r="W60">
            <v>533259.9</v>
          </cell>
        </row>
        <row r="61">
          <cell r="E61">
            <v>88</v>
          </cell>
          <cell r="G61">
            <v>5544</v>
          </cell>
          <cell r="J61">
            <v>12</v>
          </cell>
          <cell r="L61">
            <v>4320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55864</v>
          </cell>
          <cell r="V61">
            <v>0</v>
          </cell>
          <cell r="W61">
            <v>589123.9</v>
          </cell>
        </row>
        <row r="62">
          <cell r="E62">
            <v>44</v>
          </cell>
          <cell r="G62">
            <v>2772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48772</v>
          </cell>
          <cell r="V62">
            <v>0</v>
          </cell>
          <cell r="W62">
            <v>637895.9</v>
          </cell>
        </row>
        <row r="63">
          <cell r="E63">
            <v>125</v>
          </cell>
          <cell r="G63">
            <v>7875</v>
          </cell>
          <cell r="J63">
            <v>13</v>
          </cell>
          <cell r="L63">
            <v>4680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58555</v>
          </cell>
          <cell r="V63">
            <v>137893</v>
          </cell>
          <cell r="W63">
            <v>558557.9</v>
          </cell>
        </row>
        <row r="64">
          <cell r="E64">
            <v>77</v>
          </cell>
          <cell r="G64">
            <v>6083</v>
          </cell>
          <cell r="J64">
            <v>2</v>
          </cell>
          <cell r="L64">
            <v>720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52803</v>
          </cell>
          <cell r="V64">
            <v>0</v>
          </cell>
          <cell r="W64">
            <v>611360.9</v>
          </cell>
        </row>
        <row r="65">
          <cell r="E65">
            <v>185</v>
          </cell>
          <cell r="G65">
            <v>14615</v>
          </cell>
          <cell r="J65">
            <v>53</v>
          </cell>
          <cell r="L65">
            <v>19080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79695</v>
          </cell>
          <cell r="V65">
            <v>311360</v>
          </cell>
          <cell r="W65">
            <v>379695.9</v>
          </cell>
        </row>
        <row r="66">
          <cell r="E66">
            <v>202</v>
          </cell>
          <cell r="G66">
            <v>15958</v>
          </cell>
          <cell r="J66">
            <v>12</v>
          </cell>
          <cell r="L66">
            <v>4320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66278</v>
          </cell>
          <cell r="V66">
            <v>0</v>
          </cell>
          <cell r="W66">
            <v>445973.9</v>
          </cell>
        </row>
        <row r="67">
          <cell r="E67">
            <v>503</v>
          </cell>
          <cell r="G67">
            <v>43761</v>
          </cell>
          <cell r="J67">
            <v>51</v>
          </cell>
          <cell r="L67">
            <v>18360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108121</v>
          </cell>
          <cell r="V67">
            <v>145973</v>
          </cell>
          <cell r="W67">
            <v>408121.9</v>
          </cell>
        </row>
        <row r="68">
          <cell r="E68">
            <v>295</v>
          </cell>
          <cell r="G68">
            <v>25665</v>
          </cell>
          <cell r="J68">
            <v>48</v>
          </cell>
          <cell r="L68">
            <v>17280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88945</v>
          </cell>
          <cell r="V68">
            <v>0</v>
          </cell>
          <cell r="W68">
            <v>497066.9</v>
          </cell>
        </row>
        <row r="69">
          <cell r="E69">
            <v>136</v>
          </cell>
          <cell r="G69">
            <v>15096</v>
          </cell>
          <cell r="J69">
            <v>73</v>
          </cell>
          <cell r="L69">
            <v>26280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87376</v>
          </cell>
          <cell r="V69">
            <v>497000</v>
          </cell>
          <cell r="W69">
            <v>87442.900000000023</v>
          </cell>
        </row>
        <row r="70">
          <cell r="E70">
            <v>168</v>
          </cell>
          <cell r="G70">
            <v>20832</v>
          </cell>
          <cell r="J70">
            <v>27</v>
          </cell>
          <cell r="L70">
            <v>9720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76552</v>
          </cell>
          <cell r="V70">
            <v>0</v>
          </cell>
          <cell r="W70">
            <v>163994.90000000002</v>
          </cell>
        </row>
        <row r="71">
          <cell r="E71">
            <v>71</v>
          </cell>
          <cell r="G71">
            <v>6958</v>
          </cell>
          <cell r="J71">
            <v>7</v>
          </cell>
          <cell r="L71">
            <v>2520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55478</v>
          </cell>
          <cell r="V71">
            <v>0</v>
          </cell>
          <cell r="W71">
            <v>219472.90000000002</v>
          </cell>
        </row>
        <row r="72">
          <cell r="E72">
            <v>49</v>
          </cell>
          <cell r="G72">
            <v>5096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51096</v>
          </cell>
          <cell r="V72">
            <v>87376</v>
          </cell>
          <cell r="W72">
            <v>183192.90000000002</v>
          </cell>
        </row>
        <row r="73">
          <cell r="E73">
            <v>86</v>
          </cell>
          <cell r="G73">
            <v>9632</v>
          </cell>
          <cell r="J73">
            <v>6</v>
          </cell>
          <cell r="L73">
            <v>2160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57792</v>
          </cell>
          <cell r="V73">
            <v>0</v>
          </cell>
          <cell r="W73">
            <v>240984.90000000002</v>
          </cell>
        </row>
        <row r="74">
          <cell r="E74">
            <v>46</v>
          </cell>
          <cell r="G74">
            <v>4922</v>
          </cell>
          <cell r="J74">
            <v>2</v>
          </cell>
          <cell r="L74">
            <v>720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51642</v>
          </cell>
          <cell r="V74">
            <v>0</v>
          </cell>
          <cell r="W74">
            <v>292626.90000000002</v>
          </cell>
        </row>
        <row r="75">
          <cell r="E75">
            <v>91</v>
          </cell>
          <cell r="G75">
            <v>10010</v>
          </cell>
          <cell r="J75">
            <v>9</v>
          </cell>
          <cell r="L75">
            <v>3240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59250</v>
          </cell>
          <cell r="V75">
            <v>150000</v>
          </cell>
          <cell r="W75">
            <v>201876.90000000002</v>
          </cell>
        </row>
        <row r="76">
          <cell r="E76">
            <v>83</v>
          </cell>
          <cell r="G76">
            <v>10458</v>
          </cell>
          <cell r="J76">
            <v>10</v>
          </cell>
          <cell r="L76">
            <v>3600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60058</v>
          </cell>
          <cell r="V76">
            <v>260934</v>
          </cell>
          <cell r="W76">
            <v>1000.9000000000233</v>
          </cell>
        </row>
        <row r="77">
          <cell r="E77">
            <v>107</v>
          </cell>
          <cell r="G77">
            <v>12733</v>
          </cell>
          <cell r="J77">
            <v>75</v>
          </cell>
          <cell r="L77">
            <v>27000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85733</v>
          </cell>
          <cell r="V77">
            <v>0</v>
          </cell>
          <cell r="W77">
            <v>86733.900000000023</v>
          </cell>
        </row>
        <row r="78">
          <cell r="E78">
            <v>352</v>
          </cell>
          <cell r="G78">
            <v>38016</v>
          </cell>
          <cell r="J78">
            <v>37</v>
          </cell>
          <cell r="L78">
            <v>13320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97336</v>
          </cell>
          <cell r="V78">
            <v>0</v>
          </cell>
          <cell r="W78">
            <v>184069.90000000002</v>
          </cell>
        </row>
        <row r="79">
          <cell r="E79">
            <v>275</v>
          </cell>
          <cell r="G79">
            <v>34100</v>
          </cell>
          <cell r="J79">
            <v>35</v>
          </cell>
          <cell r="L79">
            <v>12600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92700</v>
          </cell>
          <cell r="V79">
            <v>0</v>
          </cell>
          <cell r="W79">
            <v>276769.90000000002</v>
          </cell>
        </row>
        <row r="80">
          <cell r="E80">
            <v>432</v>
          </cell>
          <cell r="G80">
            <v>56160</v>
          </cell>
          <cell r="J80">
            <v>55</v>
          </cell>
          <cell r="L80">
            <v>19800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121960</v>
          </cell>
          <cell r="V80">
            <v>183069</v>
          </cell>
          <cell r="W80">
            <v>215660.90000000002</v>
          </cell>
        </row>
        <row r="81">
          <cell r="E81">
            <v>365</v>
          </cell>
          <cell r="G81">
            <v>47450</v>
          </cell>
          <cell r="J81">
            <v>45</v>
          </cell>
          <cell r="L81">
            <v>16200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109650</v>
          </cell>
          <cell r="V81">
            <v>92700</v>
          </cell>
          <cell r="W81">
            <v>232610.90000000002</v>
          </cell>
        </row>
        <row r="82">
          <cell r="E82">
            <v>191</v>
          </cell>
          <cell r="G82">
            <v>26740</v>
          </cell>
          <cell r="J82">
            <v>7</v>
          </cell>
          <cell r="L82">
            <v>2520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75260</v>
          </cell>
          <cell r="V82">
            <v>184160</v>
          </cell>
          <cell r="W82">
            <v>127710.90000000002</v>
          </cell>
        </row>
        <row r="83">
          <cell r="E83">
            <v>33</v>
          </cell>
          <cell r="G83">
            <v>4818</v>
          </cell>
          <cell r="J83">
            <v>6</v>
          </cell>
          <cell r="L83">
            <v>2160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56978</v>
          </cell>
          <cell r="V83">
            <v>0</v>
          </cell>
          <cell r="W83">
            <v>184688.90000000002</v>
          </cell>
        </row>
        <row r="84">
          <cell r="E84">
            <v>29</v>
          </cell>
          <cell r="G84">
            <v>4234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54234</v>
          </cell>
          <cell r="V84">
            <v>0</v>
          </cell>
          <cell r="W84">
            <v>238922.90000000002</v>
          </cell>
        </row>
        <row r="85">
          <cell r="E85">
            <v>19</v>
          </cell>
          <cell r="G85">
            <v>2774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52774</v>
          </cell>
          <cell r="V85">
            <v>0</v>
          </cell>
          <cell r="W85">
            <v>301696.90000000002</v>
          </cell>
        </row>
        <row r="86">
          <cell r="E86">
            <v>5</v>
          </cell>
          <cell r="G86">
            <v>730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60730</v>
          </cell>
          <cell r="V86">
            <v>0</v>
          </cell>
          <cell r="W86">
            <v>352426.9</v>
          </cell>
        </row>
        <row r="87">
          <cell r="E87">
            <v>123</v>
          </cell>
          <cell r="G87">
            <v>17958</v>
          </cell>
          <cell r="J87">
            <v>18</v>
          </cell>
          <cell r="L87">
            <v>6480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74438</v>
          </cell>
          <cell r="V87">
            <v>250000</v>
          </cell>
          <cell r="W87">
            <v>176864.90000000002</v>
          </cell>
        </row>
        <row r="88">
          <cell r="E88">
            <v>264</v>
          </cell>
          <cell r="G88">
            <v>38544</v>
          </cell>
          <cell r="J88">
            <v>11</v>
          </cell>
          <cell r="L88">
            <v>3960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92504</v>
          </cell>
          <cell r="V88">
            <v>150000</v>
          </cell>
          <cell r="W88">
            <v>119368.90000000002</v>
          </cell>
        </row>
        <row r="89">
          <cell r="E89">
            <v>194</v>
          </cell>
          <cell r="G89">
            <v>28324</v>
          </cell>
          <cell r="J89">
            <v>10</v>
          </cell>
          <cell r="L89">
            <v>3600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20129</v>
          </cell>
          <cell r="S89">
            <v>81924</v>
          </cell>
          <cell r="V89">
            <v>201293</v>
          </cell>
          <cell r="W89">
            <v>20128.900000000023</v>
          </cell>
        </row>
        <row r="90">
          <cell r="E90">
            <v>252</v>
          </cell>
          <cell r="G90">
            <v>36792</v>
          </cell>
          <cell r="J90">
            <v>53</v>
          </cell>
          <cell r="L90">
            <v>19080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105872</v>
          </cell>
          <cell r="V90">
            <v>105872</v>
          </cell>
          <cell r="W90">
            <v>20128.900000000023</v>
          </cell>
        </row>
        <row r="91">
          <cell r="E91">
            <v>169</v>
          </cell>
          <cell r="G91">
            <v>24674</v>
          </cell>
          <cell r="J91">
            <v>74</v>
          </cell>
          <cell r="L91">
            <v>26640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110314</v>
          </cell>
          <cell r="V91">
            <v>140443</v>
          </cell>
          <cell r="W91">
            <v>-9.9999999976716936E-2</v>
          </cell>
        </row>
        <row r="92">
          <cell r="E92">
            <v>287</v>
          </cell>
          <cell r="G92">
            <v>41902</v>
          </cell>
          <cell r="J92">
            <v>115</v>
          </cell>
          <cell r="L92">
            <v>41400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142302</v>
          </cell>
          <cell r="V92">
            <v>152302</v>
          </cell>
          <cell r="W92">
            <v>-9.9999999976716936E-2</v>
          </cell>
        </row>
        <row r="93">
          <cell r="E93">
            <v>18</v>
          </cell>
          <cell r="G93">
            <v>2628</v>
          </cell>
          <cell r="J93">
            <v>47</v>
          </cell>
          <cell r="L93">
            <v>16920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78548</v>
          </cell>
          <cell r="V93">
            <v>0</v>
          </cell>
          <cell r="W93">
            <v>88547.900000000023</v>
          </cell>
        </row>
        <row r="94">
          <cell r="E94">
            <v>42</v>
          </cell>
          <cell r="G94">
            <v>6132</v>
          </cell>
          <cell r="J94">
            <v>11</v>
          </cell>
          <cell r="L94">
            <v>3960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69092</v>
          </cell>
          <cell r="V94">
            <v>167640</v>
          </cell>
          <cell r="W94">
            <v>-9.9999999976716936E-2</v>
          </cell>
        </row>
        <row r="95">
          <cell r="E95">
            <v>25</v>
          </cell>
          <cell r="G95">
            <v>3650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62650</v>
          </cell>
          <cell r="V95">
            <v>72650</v>
          </cell>
          <cell r="W95">
            <v>-9.9999999976716936E-2</v>
          </cell>
        </row>
        <row r="96">
          <cell r="E96">
            <v>24</v>
          </cell>
          <cell r="G96">
            <v>3504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62504</v>
          </cell>
          <cell r="V96">
            <v>0</v>
          </cell>
          <cell r="W96">
            <v>62503.900000000023</v>
          </cell>
        </row>
        <row r="97">
          <cell r="E97">
            <v>21</v>
          </cell>
          <cell r="G97">
            <v>3066</v>
          </cell>
          <cell r="J97">
            <v>51</v>
          </cell>
          <cell r="L97">
            <v>18360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80426</v>
          </cell>
          <cell r="V97">
            <v>142930</v>
          </cell>
          <cell r="W97">
            <v>-9.9999999976716936E-2</v>
          </cell>
        </row>
        <row r="98">
          <cell r="E98">
            <v>16</v>
          </cell>
          <cell r="G98">
            <v>2336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61336</v>
          </cell>
          <cell r="V98">
            <v>61336</v>
          </cell>
          <cell r="W98">
            <v>-9.9999999976716936E-2</v>
          </cell>
        </row>
        <row r="99">
          <cell r="E99">
            <v>95</v>
          </cell>
          <cell r="G99">
            <v>13870</v>
          </cell>
          <cell r="J99">
            <v>11</v>
          </cell>
          <cell r="L99">
            <v>3960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76830</v>
          </cell>
          <cell r="V99">
            <v>0</v>
          </cell>
          <cell r="W99">
            <v>76829.900000000023</v>
          </cell>
        </row>
        <row r="100">
          <cell r="E100">
            <v>169</v>
          </cell>
          <cell r="G100">
            <v>24674</v>
          </cell>
          <cell r="J100">
            <v>24</v>
          </cell>
          <cell r="L100">
            <v>8640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92314</v>
          </cell>
          <cell r="V100">
            <v>169144</v>
          </cell>
          <cell r="W100">
            <v>-9.9999999976716936E-2</v>
          </cell>
        </row>
        <row r="101">
          <cell r="E101">
            <v>271</v>
          </cell>
          <cell r="G101">
            <v>39566</v>
          </cell>
          <cell r="J101">
            <v>307</v>
          </cell>
          <cell r="L101">
            <v>160560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259126</v>
          </cell>
          <cell r="V101">
            <v>200000</v>
          </cell>
          <cell r="W101">
            <v>59125.900000000023</v>
          </cell>
        </row>
        <row r="102">
          <cell r="E102">
            <v>228</v>
          </cell>
          <cell r="G102">
            <v>33288</v>
          </cell>
          <cell r="J102">
            <v>14</v>
          </cell>
          <cell r="L102">
            <v>5040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97328</v>
          </cell>
          <cell r="V102">
            <v>156000</v>
          </cell>
          <cell r="W102">
            <v>453.90000000002328</v>
          </cell>
        </row>
        <row r="103">
          <cell r="E103">
            <v>266</v>
          </cell>
          <cell r="G103">
            <v>38836</v>
          </cell>
          <cell r="J103">
            <v>39</v>
          </cell>
          <cell r="L103">
            <v>14040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113526</v>
          </cell>
          <cell r="V103">
            <v>0</v>
          </cell>
          <cell r="W103">
            <v>113979.90000000002</v>
          </cell>
        </row>
        <row r="104">
          <cell r="E104">
            <v>208</v>
          </cell>
          <cell r="G104">
            <v>30368</v>
          </cell>
          <cell r="J104">
            <v>45</v>
          </cell>
          <cell r="L104">
            <v>16200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107218</v>
          </cell>
          <cell r="V104">
            <v>221198</v>
          </cell>
          <cell r="W104">
            <v>-9.9999999976716936E-2</v>
          </cell>
        </row>
        <row r="105">
          <cell r="E105">
            <v>227</v>
          </cell>
          <cell r="G105">
            <v>33142</v>
          </cell>
          <cell r="J105">
            <v>141</v>
          </cell>
          <cell r="L105">
            <v>50760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144552</v>
          </cell>
          <cell r="V105">
            <v>144552</v>
          </cell>
          <cell r="W105">
            <v>-9.9999999976716936E-2</v>
          </cell>
        </row>
        <row r="106">
          <cell r="E106">
            <v>227</v>
          </cell>
          <cell r="G106">
            <v>33142</v>
          </cell>
          <cell r="J106">
            <v>14</v>
          </cell>
          <cell r="L106">
            <v>5040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98832</v>
          </cell>
          <cell r="V106">
            <v>98832</v>
          </cell>
          <cell r="W106">
            <v>-9.9999999976716936E-2</v>
          </cell>
        </row>
        <row r="107">
          <cell r="E107">
            <v>65</v>
          </cell>
          <cell r="G107">
            <v>9490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70500</v>
          </cell>
          <cell r="V107">
            <v>70500</v>
          </cell>
          <cell r="W107">
            <v>-9.9999999976716936E-2</v>
          </cell>
        </row>
        <row r="108">
          <cell r="E108">
            <v>63</v>
          </cell>
          <cell r="G108">
            <v>9198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69848</v>
          </cell>
          <cell r="V108">
            <v>69848</v>
          </cell>
          <cell r="W108">
            <v>-9.9999999976716936E-2</v>
          </cell>
        </row>
        <row r="109">
          <cell r="E109">
            <v>41</v>
          </cell>
          <cell r="G109">
            <v>5986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66636</v>
          </cell>
          <cell r="V109">
            <v>0</v>
          </cell>
          <cell r="W109">
            <v>66635.900000000023</v>
          </cell>
        </row>
        <row r="110">
          <cell r="E110">
            <v>41</v>
          </cell>
          <cell r="G110">
            <v>5986</v>
          </cell>
          <cell r="J110">
            <v>5</v>
          </cell>
          <cell r="L110">
            <v>1800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68436</v>
          </cell>
          <cell r="V110">
            <v>135072</v>
          </cell>
          <cell r="W110">
            <v>-9.9999999976716936E-2</v>
          </cell>
        </row>
        <row r="111">
          <cell r="E111">
            <v>179</v>
          </cell>
          <cell r="G111">
            <v>26134</v>
          </cell>
          <cell r="J111">
            <v>10</v>
          </cell>
          <cell r="L111">
            <v>3600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90384</v>
          </cell>
          <cell r="V111">
            <v>90000</v>
          </cell>
          <cell r="W111">
            <v>383.90000000002328</v>
          </cell>
        </row>
        <row r="112">
          <cell r="E112">
            <v>118</v>
          </cell>
          <cell r="G112">
            <v>17228</v>
          </cell>
          <cell r="J112">
            <v>13</v>
          </cell>
          <cell r="L112">
            <v>4680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82558</v>
          </cell>
          <cell r="V112">
            <v>0</v>
          </cell>
          <cell r="W112">
            <v>82941.900000000023</v>
          </cell>
        </row>
        <row r="113">
          <cell r="E113">
            <v>95</v>
          </cell>
          <cell r="G113">
            <v>13870</v>
          </cell>
          <cell r="J113">
            <v>19</v>
          </cell>
          <cell r="L113">
            <v>6840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81360</v>
          </cell>
          <cell r="V113">
            <v>164302</v>
          </cell>
          <cell r="W113">
            <v>-9.9999999976716936E-2</v>
          </cell>
        </row>
        <row r="114">
          <cell r="E114">
            <v>52</v>
          </cell>
          <cell r="G114">
            <v>7592</v>
          </cell>
          <cell r="J114">
            <v>35</v>
          </cell>
          <cell r="L114">
            <v>12600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80842</v>
          </cell>
          <cell r="V114">
            <v>0</v>
          </cell>
          <cell r="W114">
            <v>80841.900000000023</v>
          </cell>
        </row>
        <row r="115">
          <cell r="E115">
            <v>159</v>
          </cell>
          <cell r="G115">
            <v>23214</v>
          </cell>
          <cell r="J115">
            <v>69</v>
          </cell>
          <cell r="L115">
            <v>24840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19175</v>
          </cell>
          <cell r="S115">
            <v>130088</v>
          </cell>
          <cell r="V115">
            <v>210000</v>
          </cell>
          <cell r="W115">
            <v>929.90000000002328</v>
          </cell>
        </row>
        <row r="116">
          <cell r="E116">
            <v>259</v>
          </cell>
          <cell r="G116">
            <v>37814</v>
          </cell>
          <cell r="J116">
            <v>16</v>
          </cell>
          <cell r="L116">
            <v>5760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106433</v>
          </cell>
          <cell r="V116">
            <v>0</v>
          </cell>
          <cell r="W116">
            <v>107362.90000000002</v>
          </cell>
        </row>
        <row r="117">
          <cell r="E117">
            <v>172</v>
          </cell>
          <cell r="G117">
            <v>25112</v>
          </cell>
          <cell r="J117">
            <v>25</v>
          </cell>
          <cell r="L117">
            <v>9000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96971</v>
          </cell>
          <cell r="V117">
            <v>204000</v>
          </cell>
          <cell r="W117">
            <v>333.90000000002328</v>
          </cell>
        </row>
        <row r="118">
          <cell r="E118">
            <v>253</v>
          </cell>
          <cell r="G118">
            <v>36938</v>
          </cell>
          <cell r="J118">
            <v>20</v>
          </cell>
          <cell r="L118">
            <v>7200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106997</v>
          </cell>
          <cell r="V118">
            <v>107330</v>
          </cell>
          <cell r="W118">
            <v>0.90000000002328306</v>
          </cell>
        </row>
        <row r="119">
          <cell r="E119">
            <v>195</v>
          </cell>
          <cell r="G119">
            <v>28470</v>
          </cell>
          <cell r="J119">
            <v>11</v>
          </cell>
          <cell r="L119">
            <v>3960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95289</v>
          </cell>
          <cell r="V119">
            <v>95289</v>
          </cell>
          <cell r="W119">
            <v>0.90000000002328306</v>
          </cell>
        </row>
        <row r="120">
          <cell r="E120">
            <v>61</v>
          </cell>
          <cell r="G120">
            <v>8906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71765</v>
          </cell>
          <cell r="V120">
            <v>71000</v>
          </cell>
          <cell r="W120">
            <v>765.90000000002328</v>
          </cell>
        </row>
        <row r="121">
          <cell r="E121">
            <v>138</v>
          </cell>
          <cell r="G121">
            <v>20148</v>
          </cell>
          <cell r="J121">
            <v>7</v>
          </cell>
          <cell r="L121">
            <v>2520</v>
          </cell>
          <cell r="M121">
            <v>0</v>
          </cell>
          <cell r="N121">
            <v>0</v>
          </cell>
          <cell r="O121">
            <v>63432</v>
          </cell>
          <cell r="P121">
            <v>4000</v>
          </cell>
          <cell r="Q121">
            <v>58859</v>
          </cell>
          <cell r="R121">
            <v>0</v>
          </cell>
          <cell r="S121">
            <v>148959</v>
          </cell>
          <cell r="V121">
            <v>149725</v>
          </cell>
          <cell r="W121">
            <v>-9.9999999976716936E-2</v>
          </cell>
        </row>
        <row r="122">
          <cell r="E122">
            <v>105</v>
          </cell>
          <cell r="G122">
            <v>15330</v>
          </cell>
          <cell r="J122">
            <v>4</v>
          </cell>
          <cell r="L122">
            <v>1440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85629</v>
          </cell>
          <cell r="V122">
            <v>85629</v>
          </cell>
          <cell r="W122">
            <v>-9.9999999976716936E-2</v>
          </cell>
        </row>
        <row r="123">
          <cell r="E123">
            <v>160</v>
          </cell>
          <cell r="G123">
            <v>23360</v>
          </cell>
          <cell r="J123">
            <v>16</v>
          </cell>
          <cell r="L123">
            <v>5760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97979</v>
          </cell>
          <cell r="V123">
            <v>97978</v>
          </cell>
          <cell r="W123">
            <v>0.90000000002328306</v>
          </cell>
        </row>
        <row r="124">
          <cell r="E124">
            <v>151</v>
          </cell>
          <cell r="G124">
            <v>22046</v>
          </cell>
          <cell r="J124">
            <v>21</v>
          </cell>
          <cell r="L124">
            <v>7560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98465</v>
          </cell>
          <cell r="V124">
            <v>98465</v>
          </cell>
          <cell r="W124">
            <v>0.90000000002328306</v>
          </cell>
        </row>
        <row r="125">
          <cell r="E125">
            <v>134</v>
          </cell>
          <cell r="G125">
            <v>19564</v>
          </cell>
          <cell r="J125">
            <v>22</v>
          </cell>
          <cell r="L125">
            <v>7920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96343</v>
          </cell>
          <cell r="V125">
            <v>96343</v>
          </cell>
          <cell r="W125">
            <v>0.90000000002328306</v>
          </cell>
        </row>
        <row r="126">
          <cell r="E126">
            <v>44</v>
          </cell>
          <cell r="G126">
            <v>6424</v>
          </cell>
          <cell r="J126">
            <v>64</v>
          </cell>
          <cell r="L126">
            <v>23040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98323</v>
          </cell>
          <cell r="V126">
            <v>98343</v>
          </cell>
          <cell r="W126">
            <v>-19.099999999976717</v>
          </cell>
        </row>
        <row r="127">
          <cell r="E127">
            <v>301</v>
          </cell>
          <cell r="G127">
            <v>43946</v>
          </cell>
          <cell r="J127">
            <v>73</v>
          </cell>
          <cell r="L127">
            <v>26280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139960</v>
          </cell>
          <cell r="V127">
            <v>139960</v>
          </cell>
          <cell r="W127">
            <v>-19.099999999976717</v>
          </cell>
        </row>
        <row r="128">
          <cell r="E128">
            <v>176</v>
          </cell>
          <cell r="G128">
            <v>25696</v>
          </cell>
          <cell r="J128">
            <v>56</v>
          </cell>
          <cell r="L128">
            <v>20160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127878</v>
          </cell>
          <cell r="V128">
            <v>127878</v>
          </cell>
          <cell r="W128">
            <v>-19.099999999976717</v>
          </cell>
        </row>
        <row r="129">
          <cell r="E129">
            <v>103</v>
          </cell>
          <cell r="G129">
            <v>15038</v>
          </cell>
          <cell r="J129">
            <v>35</v>
          </cell>
          <cell r="L129">
            <v>12600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97372</v>
          </cell>
          <cell r="V129">
            <v>97352</v>
          </cell>
          <cell r="W129">
            <v>0.90000000002328306</v>
          </cell>
        </row>
        <row r="130">
          <cell r="E130">
            <v>68</v>
          </cell>
          <cell r="G130">
            <v>9928</v>
          </cell>
          <cell r="J130">
            <v>17</v>
          </cell>
          <cell r="L130">
            <v>6120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85782</v>
          </cell>
          <cell r="V130">
            <v>85782</v>
          </cell>
          <cell r="W130">
            <v>0.90000000002328306</v>
          </cell>
        </row>
        <row r="131">
          <cell r="E131">
            <v>70</v>
          </cell>
          <cell r="G131">
            <v>10220</v>
          </cell>
          <cell r="J131">
            <v>3</v>
          </cell>
          <cell r="L131">
            <v>1080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81034</v>
          </cell>
          <cell r="V131">
            <v>0</v>
          </cell>
          <cell r="W131">
            <v>81034.900000000023</v>
          </cell>
        </row>
        <row r="132">
          <cell r="E132">
            <v>55</v>
          </cell>
          <cell r="G132">
            <v>8030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77764</v>
          </cell>
          <cell r="V132">
            <v>158798</v>
          </cell>
          <cell r="W132">
            <v>0.90000000002328306</v>
          </cell>
        </row>
        <row r="133">
          <cell r="E133">
            <v>0</v>
          </cell>
          <cell r="G133">
            <v>24382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96276</v>
          </cell>
          <cell r="V133">
            <v>96276</v>
          </cell>
          <cell r="W133">
            <v>0.90000000002328306</v>
          </cell>
        </row>
        <row r="134">
          <cell r="E134">
            <v>50</v>
          </cell>
          <cell r="G134">
            <v>7300</v>
          </cell>
          <cell r="J134">
            <v>3</v>
          </cell>
          <cell r="L134">
            <v>1080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78114</v>
          </cell>
          <cell r="V134">
            <v>78114</v>
          </cell>
          <cell r="W134">
            <v>0.90000000002328306</v>
          </cell>
        </row>
        <row r="135">
          <cell r="E135">
            <v>106</v>
          </cell>
          <cell r="G135">
            <v>15476</v>
          </cell>
          <cell r="J135">
            <v>83</v>
          </cell>
          <cell r="L135">
            <v>29880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19320</v>
          </cell>
          <cell r="S135">
            <v>134410</v>
          </cell>
          <cell r="V135">
            <v>0</v>
          </cell>
          <cell r="W135">
            <v>134410.90000000002</v>
          </cell>
        </row>
        <row r="136">
          <cell r="E136">
            <v>95</v>
          </cell>
          <cell r="G136">
            <v>13870</v>
          </cell>
          <cell r="J136">
            <v>47</v>
          </cell>
          <cell r="L136">
            <v>16920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100524</v>
          </cell>
          <cell r="V136">
            <v>215614</v>
          </cell>
          <cell r="W136">
            <v>19320.900000000023</v>
          </cell>
        </row>
        <row r="137">
          <cell r="E137">
            <v>103</v>
          </cell>
          <cell r="G137">
            <v>15038</v>
          </cell>
          <cell r="J137">
            <v>50</v>
          </cell>
          <cell r="L137">
            <v>18000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102772</v>
          </cell>
          <cell r="V137">
            <v>122093</v>
          </cell>
          <cell r="W137">
            <v>-9.9999999976716936E-2</v>
          </cell>
        </row>
        <row r="138">
          <cell r="E138">
            <v>102</v>
          </cell>
          <cell r="G138">
            <v>14892</v>
          </cell>
          <cell r="J138">
            <v>11</v>
          </cell>
          <cell r="L138">
            <v>3960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108586</v>
          </cell>
          <cell r="V138">
            <v>108585</v>
          </cell>
          <cell r="W138">
            <v>0.90000000002328306</v>
          </cell>
        </row>
        <row r="139">
          <cell r="E139">
            <v>235</v>
          </cell>
          <cell r="G139">
            <v>34310</v>
          </cell>
          <cell r="J139">
            <v>161</v>
          </cell>
          <cell r="L139">
            <v>71280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182126</v>
          </cell>
          <cell r="V139">
            <v>182126</v>
          </cell>
          <cell r="W139">
            <v>0.90000000002328306</v>
          </cell>
        </row>
        <row r="140">
          <cell r="E140">
            <v>193</v>
          </cell>
          <cell r="G140">
            <v>28178</v>
          </cell>
          <cell r="J140">
            <v>129</v>
          </cell>
          <cell r="L140">
            <v>48060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152774</v>
          </cell>
          <cell r="V140">
            <v>0</v>
          </cell>
          <cell r="W140">
            <v>152774.90000000002</v>
          </cell>
        </row>
        <row r="141">
          <cell r="E141">
            <v>192</v>
          </cell>
          <cell r="G141">
            <v>28032</v>
          </cell>
          <cell r="J141">
            <v>71</v>
          </cell>
          <cell r="L141">
            <v>25560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130128</v>
          </cell>
          <cell r="V141">
            <v>282902</v>
          </cell>
          <cell r="W141">
            <v>0.90000000002328306</v>
          </cell>
        </row>
        <row r="142">
          <cell r="E142">
            <v>112</v>
          </cell>
          <cell r="G142">
            <v>16352</v>
          </cell>
          <cell r="J142">
            <v>22</v>
          </cell>
          <cell r="L142">
            <v>7920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100808</v>
          </cell>
          <cell r="V142">
            <v>0</v>
          </cell>
          <cell r="W142">
            <v>100808.90000000002</v>
          </cell>
        </row>
        <row r="143">
          <cell r="E143">
            <v>51</v>
          </cell>
          <cell r="G143">
            <v>7446</v>
          </cell>
          <cell r="J143">
            <v>13</v>
          </cell>
          <cell r="L143">
            <v>4680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88662</v>
          </cell>
          <cell r="V143">
            <v>189470</v>
          </cell>
          <cell r="W143">
            <v>0.90000000002328306</v>
          </cell>
        </row>
        <row r="144">
          <cell r="E144">
            <v>18</v>
          </cell>
          <cell r="G144">
            <v>2628</v>
          </cell>
          <cell r="J144">
            <v>101</v>
          </cell>
          <cell r="L144">
            <v>36360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115524</v>
          </cell>
          <cell r="V144">
            <v>115524</v>
          </cell>
          <cell r="W144">
            <v>0.90000000002328306</v>
          </cell>
        </row>
        <row r="145">
          <cell r="E145">
            <v>67</v>
          </cell>
          <cell r="G145">
            <v>9782</v>
          </cell>
          <cell r="J145">
            <v>6</v>
          </cell>
          <cell r="L145">
            <v>2160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88478</v>
          </cell>
          <cell r="V145">
            <v>88478</v>
          </cell>
          <cell r="W145">
            <v>0.90000000002328306</v>
          </cell>
        </row>
        <row r="146">
          <cell r="E146">
            <v>46</v>
          </cell>
          <cell r="G146">
            <v>6716</v>
          </cell>
          <cell r="J146">
            <v>3</v>
          </cell>
          <cell r="L146">
            <v>1080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84332</v>
          </cell>
          <cell r="V146">
            <v>0</v>
          </cell>
          <cell r="W146">
            <v>84332.900000000023</v>
          </cell>
        </row>
        <row r="147">
          <cell r="E147">
            <v>109</v>
          </cell>
          <cell r="G147">
            <v>15914</v>
          </cell>
          <cell r="J147">
            <v>7</v>
          </cell>
          <cell r="L147">
            <v>2520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94970</v>
          </cell>
          <cell r="V147">
            <v>179303</v>
          </cell>
          <cell r="W147">
            <v>-9.9999999976716936E-2</v>
          </cell>
        </row>
        <row r="148">
          <cell r="E148">
            <v>33</v>
          </cell>
          <cell r="G148">
            <v>4818</v>
          </cell>
          <cell r="J148">
            <v>3</v>
          </cell>
          <cell r="L148">
            <v>1080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82434</v>
          </cell>
          <cell r="V148">
            <v>82434</v>
          </cell>
          <cell r="W148">
            <v>-9.9999999976716936E-2</v>
          </cell>
        </row>
        <row r="149">
          <cell r="E149">
            <v>41</v>
          </cell>
          <cell r="G149">
            <v>5986</v>
          </cell>
          <cell r="J149">
            <v>3</v>
          </cell>
          <cell r="L149">
            <v>1080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83602</v>
          </cell>
          <cell r="V149">
            <v>83602</v>
          </cell>
          <cell r="W149">
            <v>-9.9999999976716936E-2</v>
          </cell>
        </row>
        <row r="150">
          <cell r="E150">
            <v>57</v>
          </cell>
          <cell r="G150">
            <v>8322</v>
          </cell>
          <cell r="J150">
            <v>7</v>
          </cell>
          <cell r="L150">
            <v>2520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89378</v>
          </cell>
          <cell r="V150">
            <v>0</v>
          </cell>
          <cell r="W150">
            <v>89377.900000000023</v>
          </cell>
        </row>
        <row r="151">
          <cell r="E151">
            <v>126</v>
          </cell>
          <cell r="G151">
            <v>18396</v>
          </cell>
          <cell r="J151">
            <v>22</v>
          </cell>
          <cell r="L151">
            <v>7920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107711</v>
          </cell>
          <cell r="V151">
            <v>197089</v>
          </cell>
          <cell r="W151">
            <v>-9.9999999976716936E-2</v>
          </cell>
        </row>
        <row r="152">
          <cell r="E152">
            <v>45</v>
          </cell>
          <cell r="G152">
            <v>6570</v>
          </cell>
          <cell r="J152">
            <v>24</v>
          </cell>
          <cell r="L152">
            <v>8640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96605</v>
          </cell>
          <cell r="V152">
            <v>96605</v>
          </cell>
          <cell r="W152">
            <v>-9.9999999976716936E-2</v>
          </cell>
        </row>
        <row r="153">
          <cell r="E153">
            <v>15</v>
          </cell>
          <cell r="G153">
            <v>2190</v>
          </cell>
          <cell r="J153">
            <v>10</v>
          </cell>
          <cell r="L153">
            <v>3600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92144</v>
          </cell>
          <cell r="V153">
            <v>92144</v>
          </cell>
          <cell r="W153">
            <v>-9.9999999976716936E-2</v>
          </cell>
        </row>
        <row r="154">
          <cell r="E154">
            <v>77</v>
          </cell>
          <cell r="G154">
            <v>11242</v>
          </cell>
          <cell r="J154">
            <v>25</v>
          </cell>
          <cell r="L154">
            <v>9000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106596</v>
          </cell>
          <cell r="V154">
            <v>106596</v>
          </cell>
          <cell r="W154">
            <v>-9.9999999976716936E-2</v>
          </cell>
        </row>
        <row r="155">
          <cell r="E155">
            <v>75</v>
          </cell>
          <cell r="G155">
            <v>10950</v>
          </cell>
          <cell r="J155">
            <v>21</v>
          </cell>
          <cell r="L155">
            <v>7560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104864</v>
          </cell>
          <cell r="V155">
            <v>0</v>
          </cell>
          <cell r="W155">
            <v>104863.90000000002</v>
          </cell>
        </row>
        <row r="156">
          <cell r="E156">
            <v>45</v>
          </cell>
          <cell r="G156">
            <v>6570</v>
          </cell>
          <cell r="J156">
            <v>3</v>
          </cell>
          <cell r="L156">
            <v>1080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94004</v>
          </cell>
          <cell r="V156">
            <v>198868</v>
          </cell>
          <cell r="W156">
            <v>-9.9999999976716936E-2</v>
          </cell>
        </row>
        <row r="157">
          <cell r="E157">
            <v>69</v>
          </cell>
          <cell r="G157">
            <v>10074</v>
          </cell>
          <cell r="J157">
            <v>4</v>
          </cell>
          <cell r="L157">
            <v>1440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97868</v>
          </cell>
          <cell r="V157">
            <v>97868</v>
          </cell>
          <cell r="W157">
            <v>-9.9999999976716936E-2</v>
          </cell>
        </row>
        <row r="158">
          <cell r="E158">
            <v>157</v>
          </cell>
          <cell r="G158">
            <v>22922</v>
          </cell>
          <cell r="J158">
            <v>5</v>
          </cell>
          <cell r="L158">
            <v>1800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111076</v>
          </cell>
          <cell r="V158">
            <v>111076</v>
          </cell>
          <cell r="W158">
            <v>-9.9999999976716936E-2</v>
          </cell>
        </row>
        <row r="159">
          <cell r="E159">
            <v>131</v>
          </cell>
          <cell r="G159">
            <v>19126</v>
          </cell>
          <cell r="J159">
            <v>10</v>
          </cell>
          <cell r="L159">
            <v>3600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109080</v>
          </cell>
          <cell r="V159">
            <v>109080</v>
          </cell>
          <cell r="W159">
            <v>-9.9999999976716936E-2</v>
          </cell>
        </row>
        <row r="160">
          <cell r="E160">
            <v>132</v>
          </cell>
          <cell r="G160">
            <v>19272</v>
          </cell>
          <cell r="J160">
            <v>5</v>
          </cell>
          <cell r="L160">
            <v>1800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107426</v>
          </cell>
          <cell r="V160">
            <v>107426</v>
          </cell>
          <cell r="W160">
            <v>-9.9999999976716936E-2</v>
          </cell>
        </row>
        <row r="161">
          <cell r="E161">
            <v>226</v>
          </cell>
          <cell r="G161">
            <v>32996</v>
          </cell>
          <cell r="J161">
            <v>77</v>
          </cell>
          <cell r="L161">
            <v>27720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147070</v>
          </cell>
          <cell r="V161">
            <v>147070</v>
          </cell>
          <cell r="W161">
            <v>-9.9999999976716936E-2</v>
          </cell>
        </row>
        <row r="162">
          <cell r="E162">
            <v>407</v>
          </cell>
          <cell r="G162">
            <v>59422</v>
          </cell>
          <cell r="J162">
            <v>38</v>
          </cell>
          <cell r="L162">
            <v>13680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159162</v>
          </cell>
          <cell r="V162">
            <v>159162</v>
          </cell>
          <cell r="W162">
            <v>-9.9999999976716936E-2</v>
          </cell>
        </row>
        <row r="163">
          <cell r="E163">
            <v>299</v>
          </cell>
          <cell r="G163">
            <v>43654</v>
          </cell>
          <cell r="J163">
            <v>90</v>
          </cell>
          <cell r="L163">
            <v>32400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172114</v>
          </cell>
          <cell r="V163">
            <v>172114</v>
          </cell>
          <cell r="W163">
            <v>-9.9999999976716936E-2</v>
          </cell>
        </row>
        <row r="164">
          <cell r="E164">
            <v>388</v>
          </cell>
          <cell r="G164">
            <v>56648</v>
          </cell>
          <cell r="J164">
            <v>121</v>
          </cell>
          <cell r="L164">
            <v>43740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196448</v>
          </cell>
          <cell r="V164">
            <v>196448</v>
          </cell>
          <cell r="W164">
            <v>-9.9999999976716936E-2</v>
          </cell>
        </row>
        <row r="165">
          <cell r="E165">
            <v>214</v>
          </cell>
          <cell r="G165">
            <v>31244</v>
          </cell>
          <cell r="J165">
            <v>56</v>
          </cell>
          <cell r="L165">
            <v>20160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147464</v>
          </cell>
          <cell r="V165">
            <v>147464</v>
          </cell>
          <cell r="W165">
            <v>-9.9999999976716936E-2</v>
          </cell>
        </row>
        <row r="166">
          <cell r="E166">
            <v>24</v>
          </cell>
          <cell r="G166">
            <v>3504</v>
          </cell>
          <cell r="J166">
            <v>39</v>
          </cell>
          <cell r="L166">
            <v>14040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113648</v>
          </cell>
          <cell r="V166">
            <v>113648</v>
          </cell>
          <cell r="W166">
            <v>-9.9999999976716936E-2</v>
          </cell>
        </row>
        <row r="167">
          <cell r="E167">
            <v>53</v>
          </cell>
          <cell r="G167">
            <v>7738</v>
          </cell>
          <cell r="J167">
            <v>4</v>
          </cell>
          <cell r="L167">
            <v>1440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105282</v>
          </cell>
          <cell r="V167">
            <v>105282</v>
          </cell>
          <cell r="W167">
            <v>-9.9999999976716936E-2</v>
          </cell>
        </row>
        <row r="168">
          <cell r="E168">
            <v>149</v>
          </cell>
          <cell r="G168">
            <v>21754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117858</v>
          </cell>
          <cell r="V168">
            <v>117858</v>
          </cell>
          <cell r="W168">
            <v>-9.9999999976716936E-2</v>
          </cell>
        </row>
        <row r="169">
          <cell r="E169">
            <v>83</v>
          </cell>
          <cell r="G169">
            <v>12118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108188</v>
          </cell>
          <cell r="V169">
            <v>108188</v>
          </cell>
          <cell r="W169">
            <v>-9.9999999976716936E-2</v>
          </cell>
        </row>
        <row r="170">
          <cell r="E170">
            <v>90</v>
          </cell>
          <cell r="G170">
            <v>13140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108850</v>
          </cell>
          <cell r="V170">
            <v>108850</v>
          </cell>
          <cell r="W170">
            <v>-9.9999999976716936E-2</v>
          </cell>
        </row>
        <row r="171">
          <cell r="E171">
            <v>204</v>
          </cell>
          <cell r="G171">
            <v>29784</v>
          </cell>
          <cell r="J171">
            <v>7</v>
          </cell>
          <cell r="L171">
            <v>2520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123699</v>
          </cell>
          <cell r="V171">
            <v>123699</v>
          </cell>
          <cell r="W171">
            <v>-9.9999999976716936E-2</v>
          </cell>
        </row>
        <row r="172">
          <cell r="E172">
            <v>137</v>
          </cell>
          <cell r="G172">
            <v>20002</v>
          </cell>
          <cell r="J172">
            <v>9</v>
          </cell>
          <cell r="L172">
            <v>3240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114637</v>
          </cell>
          <cell r="V172">
            <v>0</v>
          </cell>
          <cell r="W172">
            <v>114636.90000000002</v>
          </cell>
        </row>
        <row r="173">
          <cell r="E173">
            <v>164</v>
          </cell>
          <cell r="G173">
            <v>23944</v>
          </cell>
          <cell r="J173">
            <v>85</v>
          </cell>
          <cell r="L173">
            <v>30600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145939</v>
          </cell>
          <cell r="V173">
            <v>260576</v>
          </cell>
          <cell r="W173">
            <v>-9.9999999976716936E-2</v>
          </cell>
        </row>
        <row r="174">
          <cell r="E174">
            <v>168</v>
          </cell>
          <cell r="G174">
            <v>24528</v>
          </cell>
          <cell r="J174">
            <v>36</v>
          </cell>
          <cell r="L174">
            <v>12960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128883</v>
          </cell>
          <cell r="V174">
            <v>128883</v>
          </cell>
          <cell r="W174">
            <v>-9.9999999976716936E-2</v>
          </cell>
        </row>
      </sheetData>
      <sheetData sheetId="2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30.422999999999998</v>
          </cell>
          <cell r="L16">
            <v>9126.9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48126.9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3.6770000000000032</v>
          </cell>
          <cell r="L18">
            <v>1103.100000000001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40103.1</v>
          </cell>
          <cell r="V18">
            <v>0</v>
          </cell>
          <cell r="W18">
            <v>0</v>
          </cell>
        </row>
        <row r="19">
          <cell r="E19">
            <v>0.2</v>
          </cell>
          <cell r="G19">
            <v>12.600000000000001</v>
          </cell>
          <cell r="J19">
            <v>1.1000000000000014</v>
          </cell>
          <cell r="L19">
            <v>330.00000000000045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39342.6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49.5</v>
          </cell>
          <cell r="L20">
            <v>14850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53850</v>
          </cell>
          <cell r="V20">
            <v>0</v>
          </cell>
          <cell r="W20">
            <v>0</v>
          </cell>
        </row>
        <row r="21">
          <cell r="E21">
            <v>349.8</v>
          </cell>
          <cell r="G21">
            <v>22037.4</v>
          </cell>
          <cell r="J21">
            <v>88.7</v>
          </cell>
          <cell r="L21">
            <v>26610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87647.4</v>
          </cell>
          <cell r="V21">
            <v>0</v>
          </cell>
          <cell r="W21">
            <v>0</v>
          </cell>
        </row>
        <row r="22">
          <cell r="E22">
            <v>264</v>
          </cell>
          <cell r="G22">
            <v>16632</v>
          </cell>
          <cell r="J22">
            <v>33.799999999999983</v>
          </cell>
          <cell r="L22">
            <v>12167.999999999995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67800</v>
          </cell>
          <cell r="V22">
            <v>0</v>
          </cell>
          <cell r="W22">
            <v>0</v>
          </cell>
        </row>
        <row r="23">
          <cell r="E23">
            <v>264</v>
          </cell>
          <cell r="G23">
            <v>16632</v>
          </cell>
          <cell r="J23">
            <v>35.900000000000006</v>
          </cell>
          <cell r="L23">
            <v>12924.000000000002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68556</v>
          </cell>
          <cell r="V23">
            <v>0</v>
          </cell>
          <cell r="W23">
            <v>0</v>
          </cell>
        </row>
        <row r="24">
          <cell r="E24">
            <v>142</v>
          </cell>
          <cell r="G24">
            <v>8946</v>
          </cell>
          <cell r="J24">
            <v>11.800000000000011</v>
          </cell>
          <cell r="L24">
            <v>4248.0000000000036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52194</v>
          </cell>
          <cell r="V24">
            <v>0</v>
          </cell>
          <cell r="W24">
            <v>0</v>
          </cell>
        </row>
        <row r="25">
          <cell r="E25">
            <v>123</v>
          </cell>
          <cell r="G25">
            <v>7749</v>
          </cell>
          <cell r="J25">
            <v>7.4000000000000057</v>
          </cell>
          <cell r="L25">
            <v>2664.0000000000018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49413</v>
          </cell>
          <cell r="V25">
            <v>0</v>
          </cell>
          <cell r="W25">
            <v>0</v>
          </cell>
        </row>
        <row r="26">
          <cell r="E26">
            <v>113</v>
          </cell>
          <cell r="G26">
            <v>7119</v>
          </cell>
          <cell r="J26">
            <v>8.5</v>
          </cell>
          <cell r="L26">
            <v>3060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49179</v>
          </cell>
          <cell r="V26">
            <v>0</v>
          </cell>
          <cell r="W26">
            <v>49179</v>
          </cell>
        </row>
        <row r="27">
          <cell r="E27">
            <v>164</v>
          </cell>
          <cell r="G27">
            <v>10332</v>
          </cell>
          <cell r="J27">
            <v>10.099999999999966</v>
          </cell>
          <cell r="L27">
            <v>3635.9999999999877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52967.999999999985</v>
          </cell>
          <cell r="V27">
            <v>49179</v>
          </cell>
          <cell r="W27">
            <v>52967.999999999985</v>
          </cell>
        </row>
        <row r="28">
          <cell r="E28">
            <v>50</v>
          </cell>
          <cell r="G28">
            <v>3150</v>
          </cell>
          <cell r="J28">
            <v>19.900000000000034</v>
          </cell>
          <cell r="L28">
            <v>7164.0000000000127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49314.000000000015</v>
          </cell>
          <cell r="V28">
            <v>0</v>
          </cell>
          <cell r="W28">
            <v>102282</v>
          </cell>
        </row>
        <row r="29">
          <cell r="E29">
            <v>52</v>
          </cell>
          <cell r="G29">
            <v>3276</v>
          </cell>
          <cell r="J29">
            <v>13.199999999999989</v>
          </cell>
          <cell r="L29">
            <v>4751.9999999999964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47028</v>
          </cell>
          <cell r="V29">
            <v>49179</v>
          </cell>
          <cell r="W29">
            <v>100131</v>
          </cell>
        </row>
        <row r="30">
          <cell r="E30">
            <v>62</v>
          </cell>
          <cell r="G30">
            <v>3906</v>
          </cell>
          <cell r="J30">
            <v>12</v>
          </cell>
          <cell r="L30">
            <v>4320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47226</v>
          </cell>
          <cell r="V30">
            <v>53103</v>
          </cell>
          <cell r="W30">
            <v>94254</v>
          </cell>
        </row>
        <row r="31">
          <cell r="E31">
            <v>98</v>
          </cell>
          <cell r="G31">
            <v>6174</v>
          </cell>
          <cell r="J31">
            <v>16</v>
          </cell>
          <cell r="L31">
            <v>5760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50934</v>
          </cell>
          <cell r="V31">
            <v>49314</v>
          </cell>
          <cell r="W31">
            <v>138874</v>
          </cell>
        </row>
        <row r="32">
          <cell r="E32">
            <v>151</v>
          </cell>
          <cell r="G32">
            <v>9513</v>
          </cell>
          <cell r="J32">
            <v>48</v>
          </cell>
          <cell r="L32">
            <v>17280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69793</v>
          </cell>
          <cell r="V32">
            <v>0</v>
          </cell>
          <cell r="W32">
            <v>208667</v>
          </cell>
        </row>
        <row r="33">
          <cell r="E33">
            <v>84</v>
          </cell>
          <cell r="G33">
            <v>5292</v>
          </cell>
          <cell r="J33">
            <v>16</v>
          </cell>
          <cell r="L33">
            <v>5760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54052</v>
          </cell>
          <cell r="V33">
            <v>0</v>
          </cell>
          <cell r="W33">
            <v>262719</v>
          </cell>
        </row>
        <row r="34">
          <cell r="E34">
            <v>121</v>
          </cell>
          <cell r="G34">
            <v>7623</v>
          </cell>
          <cell r="J34">
            <v>27</v>
          </cell>
          <cell r="L34">
            <v>9720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60343</v>
          </cell>
          <cell r="V34">
            <v>200000</v>
          </cell>
          <cell r="W34">
            <v>123062</v>
          </cell>
        </row>
        <row r="35">
          <cell r="E35">
            <v>156</v>
          </cell>
          <cell r="G35">
            <v>9828</v>
          </cell>
          <cell r="J35">
            <v>14</v>
          </cell>
          <cell r="L35">
            <v>5040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57868</v>
          </cell>
          <cell r="V35">
            <v>120000</v>
          </cell>
          <cell r="W35">
            <v>60930</v>
          </cell>
        </row>
        <row r="36">
          <cell r="E36">
            <v>116</v>
          </cell>
          <cell r="G36">
            <v>7308</v>
          </cell>
          <cell r="J36">
            <v>8</v>
          </cell>
          <cell r="L36">
            <v>2880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53188</v>
          </cell>
          <cell r="V36">
            <v>0</v>
          </cell>
          <cell r="W36">
            <v>114118</v>
          </cell>
        </row>
        <row r="37">
          <cell r="E37">
            <v>154</v>
          </cell>
          <cell r="G37">
            <v>9702</v>
          </cell>
          <cell r="J37">
            <v>5.3000000000000114</v>
          </cell>
          <cell r="L37">
            <v>1908.0000000000041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54610</v>
          </cell>
          <cell r="V37">
            <v>114118</v>
          </cell>
          <cell r="W37">
            <v>54610</v>
          </cell>
        </row>
        <row r="38">
          <cell r="E38">
            <v>227</v>
          </cell>
          <cell r="G38">
            <v>14301</v>
          </cell>
          <cell r="J38">
            <v>7.6999999999999886</v>
          </cell>
          <cell r="L38">
            <v>2771.9999999999959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60073</v>
          </cell>
          <cell r="V38">
            <v>52072</v>
          </cell>
          <cell r="W38">
            <v>62611</v>
          </cell>
        </row>
        <row r="39">
          <cell r="E39">
            <v>157</v>
          </cell>
          <cell r="G39">
            <v>9891</v>
          </cell>
          <cell r="J39">
            <v>5</v>
          </cell>
          <cell r="L39">
            <v>1800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54691</v>
          </cell>
          <cell r="V39">
            <v>60073</v>
          </cell>
          <cell r="W39">
            <v>57229</v>
          </cell>
        </row>
        <row r="40">
          <cell r="E40">
            <v>83</v>
          </cell>
          <cell r="G40">
            <v>5229</v>
          </cell>
          <cell r="J40">
            <v>3</v>
          </cell>
          <cell r="L40">
            <v>1080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49309</v>
          </cell>
          <cell r="V40">
            <v>57229</v>
          </cell>
          <cell r="W40">
            <v>49309</v>
          </cell>
        </row>
        <row r="41">
          <cell r="E41">
            <v>97</v>
          </cell>
          <cell r="G41">
            <v>6111</v>
          </cell>
          <cell r="J41">
            <v>9</v>
          </cell>
          <cell r="L41">
            <v>3240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52351</v>
          </cell>
          <cell r="V41">
            <v>0</v>
          </cell>
          <cell r="W41">
            <v>101660</v>
          </cell>
        </row>
        <row r="42">
          <cell r="E42">
            <v>83</v>
          </cell>
          <cell r="G42">
            <v>5229</v>
          </cell>
          <cell r="J42">
            <v>6</v>
          </cell>
          <cell r="L42">
            <v>2160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50389</v>
          </cell>
          <cell r="V42">
            <v>101660</v>
          </cell>
          <cell r="W42">
            <v>50389</v>
          </cell>
        </row>
        <row r="43">
          <cell r="E43">
            <v>107</v>
          </cell>
          <cell r="G43">
            <v>6741</v>
          </cell>
          <cell r="J43">
            <v>8</v>
          </cell>
          <cell r="L43">
            <v>2880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52621</v>
          </cell>
          <cell r="V43">
            <v>50389</v>
          </cell>
          <cell r="W43">
            <v>52621</v>
          </cell>
        </row>
        <row r="44">
          <cell r="E44">
            <v>106</v>
          </cell>
          <cell r="G44">
            <v>6678</v>
          </cell>
          <cell r="J44">
            <v>21</v>
          </cell>
          <cell r="L44">
            <v>7560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57238</v>
          </cell>
          <cell r="V44">
            <v>52621</v>
          </cell>
          <cell r="W44">
            <v>57238</v>
          </cell>
        </row>
        <row r="45">
          <cell r="E45">
            <v>72</v>
          </cell>
          <cell r="G45">
            <v>4536</v>
          </cell>
          <cell r="J45">
            <v>45</v>
          </cell>
          <cell r="L45">
            <v>16200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63736</v>
          </cell>
          <cell r="V45">
            <v>57238</v>
          </cell>
          <cell r="W45">
            <v>63736</v>
          </cell>
        </row>
        <row r="46">
          <cell r="E46">
            <v>98</v>
          </cell>
          <cell r="G46">
            <v>6174</v>
          </cell>
          <cell r="J46">
            <v>8</v>
          </cell>
          <cell r="L46">
            <v>2880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52054</v>
          </cell>
          <cell r="V46">
            <v>63736</v>
          </cell>
          <cell r="W46">
            <v>52054</v>
          </cell>
        </row>
        <row r="47">
          <cell r="E47">
            <v>144</v>
          </cell>
          <cell r="G47">
            <v>9072</v>
          </cell>
          <cell r="J47">
            <v>1</v>
          </cell>
          <cell r="L47">
            <v>360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52432</v>
          </cell>
          <cell r="V47">
            <v>52054</v>
          </cell>
          <cell r="W47">
            <v>52432</v>
          </cell>
        </row>
        <row r="48">
          <cell r="E48">
            <v>116</v>
          </cell>
          <cell r="G48">
            <v>7308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50308</v>
          </cell>
          <cell r="V48">
            <v>52432</v>
          </cell>
          <cell r="W48">
            <v>50308</v>
          </cell>
        </row>
        <row r="49">
          <cell r="E49">
            <v>124</v>
          </cell>
          <cell r="G49">
            <v>7812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50812</v>
          </cell>
          <cell r="V49">
            <v>0</v>
          </cell>
          <cell r="W49">
            <v>101120</v>
          </cell>
        </row>
        <row r="50">
          <cell r="E50">
            <v>170</v>
          </cell>
          <cell r="G50">
            <v>10710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53710</v>
          </cell>
          <cell r="V50">
            <v>202240</v>
          </cell>
          <cell r="W50">
            <v>-47410</v>
          </cell>
        </row>
        <row r="51">
          <cell r="E51">
            <v>124</v>
          </cell>
          <cell r="G51">
            <v>7812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50812</v>
          </cell>
          <cell r="V51">
            <v>0</v>
          </cell>
          <cell r="W51">
            <v>3402</v>
          </cell>
        </row>
        <row r="52">
          <cell r="E52">
            <v>135</v>
          </cell>
          <cell r="G52">
            <v>8505</v>
          </cell>
          <cell r="J52">
            <v>18</v>
          </cell>
          <cell r="L52">
            <v>6480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57985</v>
          </cell>
          <cell r="V52">
            <v>0</v>
          </cell>
          <cell r="W52">
            <v>61387</v>
          </cell>
        </row>
        <row r="53">
          <cell r="E53">
            <v>84</v>
          </cell>
          <cell r="G53">
            <v>5292</v>
          </cell>
          <cell r="J53">
            <v>13</v>
          </cell>
          <cell r="L53">
            <v>4680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52972</v>
          </cell>
          <cell r="V53">
            <v>61387</v>
          </cell>
          <cell r="W53">
            <v>52972</v>
          </cell>
        </row>
        <row r="54">
          <cell r="E54">
            <v>55</v>
          </cell>
          <cell r="G54">
            <v>3465</v>
          </cell>
          <cell r="J54">
            <v>11</v>
          </cell>
          <cell r="L54">
            <v>3960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50425</v>
          </cell>
          <cell r="V54">
            <v>0</v>
          </cell>
          <cell r="W54">
            <v>110397</v>
          </cell>
        </row>
        <row r="55">
          <cell r="E55">
            <v>137</v>
          </cell>
          <cell r="G55">
            <v>8631</v>
          </cell>
          <cell r="J55">
            <v>41</v>
          </cell>
          <cell r="L55">
            <v>14760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73391</v>
          </cell>
          <cell r="V55">
            <v>110397</v>
          </cell>
          <cell r="W55">
            <v>73391</v>
          </cell>
        </row>
        <row r="56">
          <cell r="E56">
            <v>107</v>
          </cell>
          <cell r="G56">
            <v>6741</v>
          </cell>
          <cell r="J56">
            <v>32</v>
          </cell>
          <cell r="L56">
            <v>11520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68261</v>
          </cell>
          <cell r="V56">
            <v>73391</v>
          </cell>
          <cell r="W56">
            <v>68261</v>
          </cell>
        </row>
        <row r="57">
          <cell r="E57">
            <v>80</v>
          </cell>
          <cell r="G57">
            <v>5040</v>
          </cell>
          <cell r="J57">
            <v>31</v>
          </cell>
          <cell r="L57">
            <v>11160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66200</v>
          </cell>
          <cell r="V57">
            <v>68261</v>
          </cell>
          <cell r="W57">
            <v>66200</v>
          </cell>
        </row>
        <row r="58">
          <cell r="E58">
            <v>117</v>
          </cell>
          <cell r="G58">
            <v>7371</v>
          </cell>
          <cell r="J58">
            <v>20</v>
          </cell>
          <cell r="L58">
            <v>7200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64571</v>
          </cell>
          <cell r="V58">
            <v>0</v>
          </cell>
          <cell r="W58">
            <v>130771</v>
          </cell>
        </row>
        <row r="59">
          <cell r="E59">
            <v>127</v>
          </cell>
          <cell r="G59">
            <v>8001</v>
          </cell>
          <cell r="J59">
            <v>17</v>
          </cell>
          <cell r="L59">
            <v>6120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64121</v>
          </cell>
          <cell r="V59">
            <v>130771</v>
          </cell>
          <cell r="W59">
            <v>64121</v>
          </cell>
        </row>
        <row r="60">
          <cell r="E60">
            <v>147</v>
          </cell>
          <cell r="G60">
            <v>9261</v>
          </cell>
          <cell r="J60">
            <v>3</v>
          </cell>
          <cell r="L60">
            <v>1080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60341</v>
          </cell>
          <cell r="V60">
            <v>64121</v>
          </cell>
          <cell r="W60">
            <v>60341</v>
          </cell>
        </row>
        <row r="61">
          <cell r="E61">
            <v>208</v>
          </cell>
          <cell r="G61">
            <v>13104</v>
          </cell>
          <cell r="J61">
            <v>7</v>
          </cell>
          <cell r="L61">
            <v>2520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65624</v>
          </cell>
          <cell r="V61">
            <v>0</v>
          </cell>
          <cell r="W61">
            <v>125965</v>
          </cell>
        </row>
        <row r="62">
          <cell r="E62">
            <v>151</v>
          </cell>
          <cell r="G62">
            <v>9513</v>
          </cell>
          <cell r="J62">
            <v>2</v>
          </cell>
          <cell r="L62">
            <v>720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60233</v>
          </cell>
          <cell r="V62">
            <v>125965</v>
          </cell>
          <cell r="W62">
            <v>60233</v>
          </cell>
        </row>
        <row r="63">
          <cell r="E63">
            <v>112</v>
          </cell>
          <cell r="G63">
            <v>7056</v>
          </cell>
          <cell r="J63">
            <v>4</v>
          </cell>
          <cell r="L63">
            <v>1440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58496</v>
          </cell>
          <cell r="V63">
            <v>0</v>
          </cell>
          <cell r="W63">
            <v>118729</v>
          </cell>
        </row>
        <row r="64">
          <cell r="E64">
            <v>110</v>
          </cell>
          <cell r="G64">
            <v>8690</v>
          </cell>
          <cell r="J64">
            <v>21</v>
          </cell>
          <cell r="L64">
            <v>7560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66250</v>
          </cell>
          <cell r="V64">
            <v>118729</v>
          </cell>
          <cell r="W64">
            <v>66250</v>
          </cell>
        </row>
        <row r="65">
          <cell r="E65">
            <v>109</v>
          </cell>
          <cell r="G65">
            <v>8611</v>
          </cell>
          <cell r="J65">
            <v>27</v>
          </cell>
          <cell r="L65">
            <v>9720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68331</v>
          </cell>
          <cell r="V65">
            <v>66250</v>
          </cell>
          <cell r="W65">
            <v>68331</v>
          </cell>
        </row>
        <row r="66">
          <cell r="E66">
            <v>54</v>
          </cell>
          <cell r="G66">
            <v>4266</v>
          </cell>
          <cell r="J66">
            <v>15</v>
          </cell>
          <cell r="L66">
            <v>5400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59666</v>
          </cell>
          <cell r="V66">
            <v>68331</v>
          </cell>
          <cell r="W66">
            <v>59666</v>
          </cell>
        </row>
        <row r="67">
          <cell r="E67">
            <v>247</v>
          </cell>
          <cell r="G67">
            <v>21489</v>
          </cell>
          <cell r="J67">
            <v>108</v>
          </cell>
          <cell r="L67">
            <v>38880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110369</v>
          </cell>
          <cell r="V67">
            <v>59666</v>
          </cell>
          <cell r="W67">
            <v>110369</v>
          </cell>
        </row>
        <row r="68">
          <cell r="E68">
            <v>88</v>
          </cell>
          <cell r="G68">
            <v>7656</v>
          </cell>
          <cell r="J68">
            <v>104</v>
          </cell>
          <cell r="L68">
            <v>37440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95096</v>
          </cell>
          <cell r="V68">
            <v>110369</v>
          </cell>
          <cell r="W68">
            <v>95096</v>
          </cell>
        </row>
        <row r="69">
          <cell r="E69">
            <v>109</v>
          </cell>
          <cell r="G69">
            <v>12099</v>
          </cell>
          <cell r="J69">
            <v>84</v>
          </cell>
          <cell r="L69">
            <v>30240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92339</v>
          </cell>
          <cell r="V69">
            <v>95096</v>
          </cell>
          <cell r="W69">
            <v>92339</v>
          </cell>
        </row>
        <row r="70">
          <cell r="E70">
            <v>187</v>
          </cell>
          <cell r="G70">
            <v>23188</v>
          </cell>
          <cell r="J70">
            <v>143</v>
          </cell>
          <cell r="L70">
            <v>51480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124668</v>
          </cell>
          <cell r="V70">
            <v>0</v>
          </cell>
          <cell r="W70">
            <v>217007</v>
          </cell>
        </row>
        <row r="71">
          <cell r="E71">
            <v>148</v>
          </cell>
          <cell r="G71">
            <v>14504</v>
          </cell>
          <cell r="J71">
            <v>44</v>
          </cell>
          <cell r="L71">
            <v>15840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80344</v>
          </cell>
          <cell r="V71">
            <v>217007</v>
          </cell>
          <cell r="W71">
            <v>80344</v>
          </cell>
        </row>
        <row r="72">
          <cell r="E72">
            <v>119</v>
          </cell>
          <cell r="G72">
            <v>12376</v>
          </cell>
          <cell r="J72">
            <v>16</v>
          </cell>
          <cell r="L72">
            <v>5760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68136</v>
          </cell>
          <cell r="V72">
            <v>0</v>
          </cell>
          <cell r="W72">
            <v>148480</v>
          </cell>
        </row>
        <row r="73">
          <cell r="E73">
            <v>155</v>
          </cell>
          <cell r="G73">
            <v>17360</v>
          </cell>
          <cell r="J73">
            <v>12</v>
          </cell>
          <cell r="L73">
            <v>4320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71680</v>
          </cell>
          <cell r="V73">
            <v>220160</v>
          </cell>
          <cell r="W73">
            <v>0</v>
          </cell>
        </row>
        <row r="74">
          <cell r="E74">
            <v>122</v>
          </cell>
          <cell r="G74">
            <v>13054</v>
          </cell>
          <cell r="J74">
            <v>5</v>
          </cell>
          <cell r="L74">
            <v>1800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64854</v>
          </cell>
          <cell r="V74">
            <v>64854</v>
          </cell>
          <cell r="W74">
            <v>0</v>
          </cell>
        </row>
        <row r="75">
          <cell r="E75">
            <v>114</v>
          </cell>
          <cell r="G75">
            <v>12540</v>
          </cell>
          <cell r="J75">
            <v>16</v>
          </cell>
          <cell r="L75">
            <v>5760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68300</v>
          </cell>
          <cell r="V75">
            <v>68300</v>
          </cell>
          <cell r="W75">
            <v>0</v>
          </cell>
        </row>
        <row r="76">
          <cell r="E76">
            <v>97</v>
          </cell>
          <cell r="G76">
            <v>12222</v>
          </cell>
          <cell r="J76">
            <v>25</v>
          </cell>
          <cell r="L76">
            <v>9000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71222</v>
          </cell>
          <cell r="V76">
            <v>71222</v>
          </cell>
          <cell r="W76">
            <v>0</v>
          </cell>
        </row>
        <row r="77">
          <cell r="E77">
            <v>93</v>
          </cell>
          <cell r="G77">
            <v>11067</v>
          </cell>
          <cell r="J77">
            <v>33</v>
          </cell>
          <cell r="L77">
            <v>11880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72947</v>
          </cell>
          <cell r="V77">
            <v>0</v>
          </cell>
          <cell r="W77">
            <v>72947</v>
          </cell>
        </row>
        <row r="78">
          <cell r="E78">
            <v>123</v>
          </cell>
          <cell r="G78">
            <v>13284</v>
          </cell>
          <cell r="J78">
            <v>101</v>
          </cell>
          <cell r="L78">
            <v>36360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99644</v>
          </cell>
          <cell r="V78">
            <v>72947</v>
          </cell>
          <cell r="W78">
            <v>99644</v>
          </cell>
        </row>
        <row r="79">
          <cell r="E79">
            <v>95</v>
          </cell>
          <cell r="G79">
            <v>11780</v>
          </cell>
          <cell r="J79">
            <v>53</v>
          </cell>
          <cell r="L79">
            <v>19080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80860</v>
          </cell>
          <cell r="V79">
            <v>99644</v>
          </cell>
          <cell r="W79">
            <v>86860</v>
          </cell>
        </row>
        <row r="80">
          <cell r="E80">
            <v>151</v>
          </cell>
          <cell r="G80">
            <v>19630</v>
          </cell>
          <cell r="J80">
            <v>98</v>
          </cell>
          <cell r="L80">
            <v>35280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104910</v>
          </cell>
          <cell r="V80">
            <v>86860</v>
          </cell>
          <cell r="W80">
            <v>104910</v>
          </cell>
        </row>
        <row r="81">
          <cell r="E81">
            <v>130</v>
          </cell>
          <cell r="G81">
            <v>16900</v>
          </cell>
          <cell r="J81">
            <v>103</v>
          </cell>
          <cell r="L81">
            <v>37080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103980</v>
          </cell>
          <cell r="V81">
            <v>104910</v>
          </cell>
          <cell r="W81">
            <v>103980</v>
          </cell>
        </row>
        <row r="82">
          <cell r="E82">
            <v>92</v>
          </cell>
          <cell r="G82">
            <v>12880</v>
          </cell>
          <cell r="J82">
            <v>87</v>
          </cell>
          <cell r="L82">
            <v>31320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94200</v>
          </cell>
          <cell r="V82">
            <v>103980</v>
          </cell>
          <cell r="W82">
            <v>94200</v>
          </cell>
        </row>
        <row r="83">
          <cell r="E83">
            <v>114</v>
          </cell>
          <cell r="G83">
            <v>16644</v>
          </cell>
          <cell r="J83">
            <v>20</v>
          </cell>
          <cell r="L83">
            <v>7200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73844</v>
          </cell>
          <cell r="V83">
            <v>94200</v>
          </cell>
          <cell r="W83">
            <v>73844</v>
          </cell>
        </row>
        <row r="84">
          <cell r="E84">
            <v>145</v>
          </cell>
          <cell r="G84">
            <v>21170</v>
          </cell>
          <cell r="J84">
            <v>17</v>
          </cell>
          <cell r="L84">
            <v>6120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77290</v>
          </cell>
          <cell r="V84">
            <v>73844</v>
          </cell>
          <cell r="W84">
            <v>77290</v>
          </cell>
        </row>
        <row r="85">
          <cell r="E85">
            <v>178</v>
          </cell>
          <cell r="G85">
            <v>25988</v>
          </cell>
          <cell r="J85">
            <v>11</v>
          </cell>
          <cell r="L85">
            <v>3960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79948</v>
          </cell>
          <cell r="V85">
            <v>77290</v>
          </cell>
          <cell r="W85">
            <v>89948</v>
          </cell>
        </row>
        <row r="86">
          <cell r="E86">
            <v>123</v>
          </cell>
          <cell r="G86">
            <v>17958</v>
          </cell>
          <cell r="J86">
            <v>25</v>
          </cell>
          <cell r="L86">
            <v>9000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86958</v>
          </cell>
          <cell r="V86">
            <v>0</v>
          </cell>
          <cell r="W86">
            <v>166906</v>
          </cell>
        </row>
        <row r="87">
          <cell r="E87">
            <v>142</v>
          </cell>
          <cell r="G87">
            <v>20732</v>
          </cell>
          <cell r="J87">
            <v>38</v>
          </cell>
          <cell r="L87">
            <v>13680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84412</v>
          </cell>
          <cell r="V87">
            <v>0</v>
          </cell>
          <cell r="W87">
            <v>251318</v>
          </cell>
        </row>
        <row r="88">
          <cell r="E88">
            <v>114</v>
          </cell>
          <cell r="G88">
            <v>16644</v>
          </cell>
          <cell r="J88">
            <v>41</v>
          </cell>
          <cell r="L88">
            <v>14760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81404</v>
          </cell>
          <cell r="V88">
            <v>251318</v>
          </cell>
          <cell r="W88">
            <v>81404</v>
          </cell>
        </row>
        <row r="89">
          <cell r="E89">
            <v>94</v>
          </cell>
          <cell r="G89">
            <v>13724</v>
          </cell>
          <cell r="J89">
            <v>50</v>
          </cell>
          <cell r="L89">
            <v>18000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81724</v>
          </cell>
          <cell r="V89">
            <v>81404</v>
          </cell>
          <cell r="W89">
            <v>81724</v>
          </cell>
        </row>
        <row r="90">
          <cell r="E90">
            <v>122</v>
          </cell>
          <cell r="G90">
            <v>17812</v>
          </cell>
          <cell r="J90">
            <v>78</v>
          </cell>
          <cell r="L90">
            <v>28080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95892</v>
          </cell>
          <cell r="V90">
            <v>81724</v>
          </cell>
          <cell r="W90">
            <v>95892</v>
          </cell>
        </row>
        <row r="91">
          <cell r="E91">
            <v>85</v>
          </cell>
          <cell r="G91">
            <v>12410</v>
          </cell>
          <cell r="J91">
            <v>72</v>
          </cell>
          <cell r="L91">
            <v>25920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97330</v>
          </cell>
          <cell r="V91">
            <v>95892</v>
          </cell>
          <cell r="W91">
            <v>107330</v>
          </cell>
        </row>
        <row r="92">
          <cell r="E92">
            <v>146</v>
          </cell>
          <cell r="G92">
            <v>21316</v>
          </cell>
          <cell r="J92">
            <v>74</v>
          </cell>
          <cell r="L92">
            <v>26640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106956</v>
          </cell>
          <cell r="V92">
            <v>107330</v>
          </cell>
          <cell r="W92">
            <v>116956</v>
          </cell>
        </row>
        <row r="93">
          <cell r="E93">
            <v>38</v>
          </cell>
          <cell r="G93">
            <v>5548</v>
          </cell>
          <cell r="J93">
            <v>53</v>
          </cell>
          <cell r="L93">
            <v>19080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83628</v>
          </cell>
          <cell r="V93">
            <v>116956</v>
          </cell>
          <cell r="W93">
            <v>93628</v>
          </cell>
        </row>
        <row r="94">
          <cell r="E94">
            <v>30</v>
          </cell>
          <cell r="G94">
            <v>4380</v>
          </cell>
          <cell r="J94">
            <v>88</v>
          </cell>
          <cell r="L94">
            <v>31680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95060</v>
          </cell>
          <cell r="V94">
            <v>93628</v>
          </cell>
          <cell r="W94">
            <v>105060</v>
          </cell>
        </row>
        <row r="95">
          <cell r="E95">
            <v>44</v>
          </cell>
          <cell r="G95">
            <v>6424</v>
          </cell>
          <cell r="J95">
            <v>21</v>
          </cell>
          <cell r="L95">
            <v>7560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72984</v>
          </cell>
          <cell r="V95">
            <v>105060</v>
          </cell>
          <cell r="W95">
            <v>82984</v>
          </cell>
        </row>
        <row r="96">
          <cell r="E96">
            <v>81</v>
          </cell>
          <cell r="G96">
            <v>11826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71906</v>
          </cell>
          <cell r="V96">
            <v>82984</v>
          </cell>
          <cell r="W96">
            <v>71906</v>
          </cell>
        </row>
        <row r="97">
          <cell r="E97">
            <v>120</v>
          </cell>
          <cell r="G97">
            <v>17520</v>
          </cell>
          <cell r="J97">
            <v>5</v>
          </cell>
          <cell r="L97">
            <v>1800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78320</v>
          </cell>
          <cell r="V97">
            <v>71906</v>
          </cell>
          <cell r="W97">
            <v>78320</v>
          </cell>
        </row>
        <row r="98">
          <cell r="E98">
            <v>74</v>
          </cell>
          <cell r="G98">
            <v>10804</v>
          </cell>
          <cell r="J98">
            <v>4</v>
          </cell>
          <cell r="L98">
            <v>1440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71244</v>
          </cell>
          <cell r="V98">
            <v>149564</v>
          </cell>
          <cell r="W98">
            <v>0</v>
          </cell>
        </row>
        <row r="99">
          <cell r="E99">
            <v>117</v>
          </cell>
          <cell r="G99">
            <v>17082</v>
          </cell>
          <cell r="J99">
            <v>28</v>
          </cell>
          <cell r="L99">
            <v>10080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86162</v>
          </cell>
          <cell r="V99">
            <v>86162</v>
          </cell>
          <cell r="W99">
            <v>0</v>
          </cell>
        </row>
        <row r="100">
          <cell r="E100">
            <v>122</v>
          </cell>
          <cell r="G100">
            <v>17812</v>
          </cell>
          <cell r="J100">
            <v>38</v>
          </cell>
          <cell r="L100">
            <v>13680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90492</v>
          </cell>
          <cell r="V100">
            <v>90492</v>
          </cell>
          <cell r="W100">
            <v>0</v>
          </cell>
        </row>
        <row r="101">
          <cell r="E101">
            <v>115</v>
          </cell>
          <cell r="G101">
            <v>16790</v>
          </cell>
          <cell r="J101">
            <v>52</v>
          </cell>
          <cell r="L101">
            <v>18720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94510</v>
          </cell>
          <cell r="V101">
            <v>0</v>
          </cell>
          <cell r="W101">
            <v>94510</v>
          </cell>
        </row>
        <row r="102">
          <cell r="E102">
            <v>102</v>
          </cell>
          <cell r="G102">
            <v>14892</v>
          </cell>
          <cell r="J102">
            <v>80</v>
          </cell>
          <cell r="L102">
            <v>28800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102692</v>
          </cell>
          <cell r="V102">
            <v>197202</v>
          </cell>
          <cell r="W102">
            <v>0</v>
          </cell>
        </row>
        <row r="103">
          <cell r="E103">
            <v>123</v>
          </cell>
          <cell r="G103">
            <v>17958</v>
          </cell>
          <cell r="J103">
            <v>122</v>
          </cell>
          <cell r="L103">
            <v>43920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122528</v>
          </cell>
          <cell r="V103">
            <v>122528</v>
          </cell>
          <cell r="W103">
            <v>0</v>
          </cell>
        </row>
        <row r="104">
          <cell r="E104">
            <v>146</v>
          </cell>
          <cell r="G104">
            <v>21316</v>
          </cell>
          <cell r="J104">
            <v>102</v>
          </cell>
          <cell r="L104">
            <v>36720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118686</v>
          </cell>
          <cell r="V104">
            <v>0</v>
          </cell>
          <cell r="W104">
            <v>118686</v>
          </cell>
        </row>
        <row r="105">
          <cell r="E105">
            <v>90</v>
          </cell>
          <cell r="G105">
            <v>13140</v>
          </cell>
          <cell r="J105">
            <v>108</v>
          </cell>
          <cell r="L105">
            <v>38880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112670</v>
          </cell>
          <cell r="V105">
            <v>231356</v>
          </cell>
          <cell r="W105">
            <v>0</v>
          </cell>
        </row>
        <row r="106">
          <cell r="E106">
            <v>169</v>
          </cell>
          <cell r="G106">
            <v>24674</v>
          </cell>
          <cell r="J106">
            <v>99</v>
          </cell>
          <cell r="L106">
            <v>35640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120964</v>
          </cell>
          <cell r="V106">
            <v>120964</v>
          </cell>
          <cell r="W106">
            <v>0</v>
          </cell>
        </row>
        <row r="107">
          <cell r="E107">
            <v>121</v>
          </cell>
          <cell r="G107">
            <v>17666</v>
          </cell>
          <cell r="J107">
            <v>44</v>
          </cell>
          <cell r="L107">
            <v>15840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94156</v>
          </cell>
          <cell r="V107">
            <v>94156</v>
          </cell>
          <cell r="W107">
            <v>0</v>
          </cell>
        </row>
        <row r="108">
          <cell r="E108">
            <v>138</v>
          </cell>
          <cell r="G108">
            <v>20148</v>
          </cell>
          <cell r="J108">
            <v>30</v>
          </cell>
          <cell r="L108">
            <v>10800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91598</v>
          </cell>
          <cell r="V108">
            <v>91598</v>
          </cell>
          <cell r="W108">
            <v>0</v>
          </cell>
        </row>
        <row r="109">
          <cell r="E109">
            <v>178</v>
          </cell>
          <cell r="G109">
            <v>25988</v>
          </cell>
          <cell r="J109">
            <v>19</v>
          </cell>
          <cell r="L109">
            <v>6840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93478</v>
          </cell>
          <cell r="V109">
            <v>93478</v>
          </cell>
          <cell r="W109">
            <v>0</v>
          </cell>
        </row>
        <row r="110">
          <cell r="E110">
            <v>162</v>
          </cell>
          <cell r="G110">
            <v>23652</v>
          </cell>
          <cell r="J110">
            <v>8</v>
          </cell>
          <cell r="L110">
            <v>2880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87182</v>
          </cell>
          <cell r="V110">
            <v>0</v>
          </cell>
          <cell r="W110">
            <v>87182</v>
          </cell>
        </row>
        <row r="111">
          <cell r="E111">
            <v>155</v>
          </cell>
          <cell r="G111">
            <v>22630</v>
          </cell>
          <cell r="J111">
            <v>19</v>
          </cell>
          <cell r="L111">
            <v>6840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90120</v>
          </cell>
          <cell r="V111">
            <v>177302</v>
          </cell>
          <cell r="W111">
            <v>0</v>
          </cell>
        </row>
        <row r="112">
          <cell r="E112">
            <v>105</v>
          </cell>
          <cell r="G112">
            <v>15330</v>
          </cell>
          <cell r="J112">
            <v>37</v>
          </cell>
          <cell r="L112">
            <v>13320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89300</v>
          </cell>
          <cell r="V112">
            <v>0</v>
          </cell>
          <cell r="W112">
            <v>89300</v>
          </cell>
        </row>
        <row r="113">
          <cell r="E113">
            <v>130</v>
          </cell>
          <cell r="G113">
            <v>18980</v>
          </cell>
          <cell r="J113">
            <v>68</v>
          </cell>
          <cell r="L113">
            <v>24480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104110</v>
          </cell>
          <cell r="V113">
            <v>193410</v>
          </cell>
          <cell r="W113">
            <v>0</v>
          </cell>
        </row>
        <row r="114">
          <cell r="E114">
            <v>142</v>
          </cell>
          <cell r="G114">
            <v>20732</v>
          </cell>
          <cell r="J114">
            <v>96</v>
          </cell>
          <cell r="L114">
            <v>34560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115942</v>
          </cell>
          <cell r="V114">
            <v>115942</v>
          </cell>
          <cell r="W114">
            <v>0</v>
          </cell>
        </row>
        <row r="115">
          <cell r="E115">
            <v>120</v>
          </cell>
          <cell r="G115">
            <v>17520</v>
          </cell>
          <cell r="J115">
            <v>114</v>
          </cell>
          <cell r="L115">
            <v>41040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121419</v>
          </cell>
          <cell r="V115">
            <v>121419</v>
          </cell>
          <cell r="W115">
            <v>0</v>
          </cell>
        </row>
        <row r="116">
          <cell r="E116">
            <v>154</v>
          </cell>
          <cell r="G116">
            <v>22484</v>
          </cell>
          <cell r="J116">
            <v>148</v>
          </cell>
          <cell r="L116">
            <v>53280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138623</v>
          </cell>
          <cell r="V116">
            <v>138623</v>
          </cell>
          <cell r="W116">
            <v>0</v>
          </cell>
        </row>
        <row r="117">
          <cell r="E117">
            <v>143</v>
          </cell>
          <cell r="G117">
            <v>20878</v>
          </cell>
          <cell r="J117">
            <v>92</v>
          </cell>
          <cell r="L117">
            <v>33120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116857</v>
          </cell>
          <cell r="V117">
            <v>0</v>
          </cell>
          <cell r="W117">
            <v>116857</v>
          </cell>
        </row>
        <row r="118">
          <cell r="E118">
            <v>122</v>
          </cell>
          <cell r="G118">
            <v>17812</v>
          </cell>
          <cell r="J118">
            <v>101</v>
          </cell>
          <cell r="L118">
            <v>36360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117031</v>
          </cell>
          <cell r="V118">
            <v>233888</v>
          </cell>
          <cell r="W118">
            <v>0</v>
          </cell>
        </row>
        <row r="119">
          <cell r="E119">
            <v>202</v>
          </cell>
          <cell r="G119">
            <v>29492</v>
          </cell>
          <cell r="J119">
            <v>74</v>
          </cell>
          <cell r="L119">
            <v>26640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118991</v>
          </cell>
          <cell r="V119">
            <v>118991</v>
          </cell>
          <cell r="W119">
            <v>0</v>
          </cell>
        </row>
        <row r="120">
          <cell r="E120">
            <v>144</v>
          </cell>
          <cell r="G120">
            <v>21024</v>
          </cell>
          <cell r="J120">
            <v>33</v>
          </cell>
          <cell r="L120">
            <v>11880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95763</v>
          </cell>
          <cell r="V120">
            <v>95763</v>
          </cell>
          <cell r="W120">
            <v>0</v>
          </cell>
        </row>
        <row r="121">
          <cell r="E121">
            <v>166</v>
          </cell>
          <cell r="G121">
            <v>24236</v>
          </cell>
          <cell r="J121">
            <v>33</v>
          </cell>
          <cell r="L121">
            <v>11880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98975</v>
          </cell>
          <cell r="V121">
            <v>98975</v>
          </cell>
          <cell r="W121">
            <v>0</v>
          </cell>
        </row>
        <row r="122">
          <cell r="E122">
            <v>217</v>
          </cell>
          <cell r="G122">
            <v>31682</v>
          </cell>
          <cell r="J122">
            <v>53</v>
          </cell>
          <cell r="L122">
            <v>19080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119621</v>
          </cell>
          <cell r="V122">
            <v>119621</v>
          </cell>
          <cell r="W122">
            <v>0</v>
          </cell>
        </row>
        <row r="123">
          <cell r="E123">
            <v>175</v>
          </cell>
          <cell r="G123">
            <v>25550</v>
          </cell>
          <cell r="J123">
            <v>52</v>
          </cell>
          <cell r="L123">
            <v>18720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113129</v>
          </cell>
          <cell r="V123">
            <v>113129</v>
          </cell>
          <cell r="W123">
            <v>0</v>
          </cell>
        </row>
        <row r="124">
          <cell r="E124">
            <v>157</v>
          </cell>
          <cell r="G124">
            <v>22922</v>
          </cell>
          <cell r="J124">
            <v>60</v>
          </cell>
          <cell r="L124">
            <v>21600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113381</v>
          </cell>
          <cell r="V124">
            <v>113381</v>
          </cell>
          <cell r="W124">
            <v>0</v>
          </cell>
        </row>
        <row r="125">
          <cell r="E125">
            <v>125</v>
          </cell>
          <cell r="G125">
            <v>18250</v>
          </cell>
          <cell r="J125">
            <v>58</v>
          </cell>
          <cell r="L125">
            <v>20880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107989</v>
          </cell>
          <cell r="V125">
            <v>107989</v>
          </cell>
          <cell r="W125">
            <v>0</v>
          </cell>
        </row>
        <row r="126">
          <cell r="E126">
            <v>107</v>
          </cell>
          <cell r="G126">
            <v>15622</v>
          </cell>
          <cell r="J126">
            <v>90</v>
          </cell>
          <cell r="L126">
            <v>32400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116881</v>
          </cell>
          <cell r="V126">
            <v>116881</v>
          </cell>
          <cell r="W126">
            <v>0</v>
          </cell>
        </row>
        <row r="127">
          <cell r="E127">
            <v>145</v>
          </cell>
          <cell r="G127">
            <v>21170</v>
          </cell>
          <cell r="J127">
            <v>141</v>
          </cell>
          <cell r="L127">
            <v>50760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141664</v>
          </cell>
          <cell r="V127">
            <v>141664</v>
          </cell>
          <cell r="W127">
            <v>0</v>
          </cell>
        </row>
        <row r="128">
          <cell r="E128">
            <v>147</v>
          </cell>
          <cell r="G128">
            <v>21462</v>
          </cell>
          <cell r="J128">
            <v>108</v>
          </cell>
          <cell r="L128">
            <v>38880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142364</v>
          </cell>
          <cell r="V128">
            <v>141364</v>
          </cell>
          <cell r="W128">
            <v>1000</v>
          </cell>
        </row>
        <row r="129">
          <cell r="E129">
            <v>114</v>
          </cell>
          <cell r="G129">
            <v>16644</v>
          </cell>
          <cell r="J129">
            <v>101</v>
          </cell>
          <cell r="L129">
            <v>36360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122738</v>
          </cell>
          <cell r="V129">
            <v>123738</v>
          </cell>
          <cell r="W129">
            <v>0</v>
          </cell>
        </row>
        <row r="130">
          <cell r="E130">
            <v>140</v>
          </cell>
          <cell r="G130">
            <v>20440</v>
          </cell>
          <cell r="J130">
            <v>111</v>
          </cell>
          <cell r="L130">
            <v>39960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130134</v>
          </cell>
          <cell r="V130">
            <v>130134</v>
          </cell>
          <cell r="W130">
            <v>0</v>
          </cell>
        </row>
        <row r="131">
          <cell r="E131">
            <v>184</v>
          </cell>
          <cell r="G131">
            <v>26864</v>
          </cell>
          <cell r="J131">
            <v>86</v>
          </cell>
          <cell r="L131">
            <v>30960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127558</v>
          </cell>
          <cell r="V131">
            <v>127558</v>
          </cell>
          <cell r="W131">
            <v>0</v>
          </cell>
        </row>
        <row r="132">
          <cell r="E132">
            <v>150</v>
          </cell>
          <cell r="G132">
            <v>21900</v>
          </cell>
          <cell r="J132">
            <v>14</v>
          </cell>
          <cell r="L132">
            <v>5040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96674</v>
          </cell>
          <cell r="V132">
            <v>0</v>
          </cell>
          <cell r="W132">
            <v>96674</v>
          </cell>
        </row>
        <row r="133">
          <cell r="E133">
            <v>117</v>
          </cell>
          <cell r="G133">
            <v>17082</v>
          </cell>
          <cell r="J133">
            <v>24</v>
          </cell>
          <cell r="L133">
            <v>8640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95456</v>
          </cell>
          <cell r="V133">
            <v>192130</v>
          </cell>
          <cell r="W133">
            <v>0</v>
          </cell>
        </row>
        <row r="134">
          <cell r="E134">
            <v>184</v>
          </cell>
          <cell r="G134">
            <v>26864</v>
          </cell>
          <cell r="J134">
            <v>32</v>
          </cell>
          <cell r="L134">
            <v>11520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108118</v>
          </cell>
          <cell r="V134">
            <v>108118</v>
          </cell>
          <cell r="W134">
            <v>0</v>
          </cell>
        </row>
        <row r="135">
          <cell r="E135">
            <v>118</v>
          </cell>
          <cell r="G135">
            <v>17228</v>
          </cell>
          <cell r="J135">
            <v>30</v>
          </cell>
          <cell r="L135">
            <v>10800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97762</v>
          </cell>
          <cell r="V135">
            <v>0</v>
          </cell>
          <cell r="W135">
            <v>97762</v>
          </cell>
        </row>
        <row r="136">
          <cell r="E136">
            <v>149</v>
          </cell>
          <cell r="G136">
            <v>21754</v>
          </cell>
          <cell r="J136">
            <v>137</v>
          </cell>
          <cell r="L136">
            <v>49320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140808</v>
          </cell>
          <cell r="V136">
            <v>238570</v>
          </cell>
          <cell r="W136">
            <v>0</v>
          </cell>
        </row>
        <row r="137">
          <cell r="E137">
            <v>108</v>
          </cell>
          <cell r="G137">
            <v>15768</v>
          </cell>
          <cell r="J137">
            <v>90</v>
          </cell>
          <cell r="L137">
            <v>32400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117902</v>
          </cell>
          <cell r="V137">
            <v>117902</v>
          </cell>
          <cell r="W137">
            <v>0</v>
          </cell>
        </row>
        <row r="138">
          <cell r="E138">
            <v>122</v>
          </cell>
          <cell r="G138">
            <v>17812</v>
          </cell>
          <cell r="J138">
            <v>98</v>
          </cell>
          <cell r="L138">
            <v>35280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142826</v>
          </cell>
          <cell r="V138">
            <v>0</v>
          </cell>
          <cell r="W138">
            <v>142826</v>
          </cell>
        </row>
        <row r="139">
          <cell r="E139">
            <v>166</v>
          </cell>
          <cell r="G139">
            <v>24236</v>
          </cell>
          <cell r="J139">
            <v>137</v>
          </cell>
          <cell r="L139">
            <v>52380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153152</v>
          </cell>
          <cell r="V139">
            <v>295978</v>
          </cell>
          <cell r="W139">
            <v>0</v>
          </cell>
        </row>
        <row r="140">
          <cell r="E140">
            <v>188</v>
          </cell>
          <cell r="G140">
            <v>27448</v>
          </cell>
          <cell r="J140">
            <v>130</v>
          </cell>
          <cell r="L140">
            <v>48600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152584</v>
          </cell>
          <cell r="V140">
            <v>152584</v>
          </cell>
          <cell r="W140">
            <v>0</v>
          </cell>
        </row>
        <row r="141">
          <cell r="E141">
            <v>101</v>
          </cell>
          <cell r="G141">
            <v>14746</v>
          </cell>
          <cell r="J141">
            <v>120</v>
          </cell>
          <cell r="L141">
            <v>43200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134482</v>
          </cell>
          <cell r="V141">
            <v>134482</v>
          </cell>
          <cell r="W141">
            <v>0</v>
          </cell>
        </row>
        <row r="142">
          <cell r="E142">
            <v>104</v>
          </cell>
          <cell r="G142">
            <v>15184</v>
          </cell>
          <cell r="J142">
            <v>98</v>
          </cell>
          <cell r="L142">
            <v>35280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127000</v>
          </cell>
          <cell r="V142">
            <v>0</v>
          </cell>
          <cell r="W142">
            <v>127000</v>
          </cell>
        </row>
        <row r="143">
          <cell r="E143">
            <v>174</v>
          </cell>
          <cell r="G143">
            <v>25404</v>
          </cell>
          <cell r="J143">
            <v>68</v>
          </cell>
          <cell r="L143">
            <v>24480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126420</v>
          </cell>
          <cell r="V143">
            <v>253420</v>
          </cell>
          <cell r="W143">
            <v>0</v>
          </cell>
        </row>
        <row r="144">
          <cell r="E144">
            <v>120</v>
          </cell>
          <cell r="G144">
            <v>17520</v>
          </cell>
          <cell r="J144">
            <v>40</v>
          </cell>
          <cell r="L144">
            <v>14400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108456</v>
          </cell>
          <cell r="V144">
            <v>108456</v>
          </cell>
          <cell r="W144">
            <v>0</v>
          </cell>
        </row>
        <row r="145">
          <cell r="E145">
            <v>184</v>
          </cell>
          <cell r="G145">
            <v>26864</v>
          </cell>
          <cell r="J145">
            <v>20</v>
          </cell>
          <cell r="L145">
            <v>7200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110600</v>
          </cell>
          <cell r="V145">
            <v>110600</v>
          </cell>
          <cell r="W145">
            <v>0</v>
          </cell>
        </row>
        <row r="146">
          <cell r="E146">
            <v>185</v>
          </cell>
          <cell r="G146">
            <v>27010</v>
          </cell>
          <cell r="J146">
            <v>45</v>
          </cell>
          <cell r="L146">
            <v>16200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119746</v>
          </cell>
          <cell r="V146">
            <v>119746</v>
          </cell>
          <cell r="W146">
            <v>0</v>
          </cell>
        </row>
        <row r="147">
          <cell r="E147">
            <v>167</v>
          </cell>
          <cell r="G147">
            <v>24382</v>
          </cell>
          <cell r="J147">
            <v>24</v>
          </cell>
          <cell r="L147">
            <v>8640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109558</v>
          </cell>
          <cell r="V147">
            <v>109558</v>
          </cell>
          <cell r="W147">
            <v>0</v>
          </cell>
        </row>
        <row r="148">
          <cell r="E148">
            <v>141</v>
          </cell>
          <cell r="G148">
            <v>20586</v>
          </cell>
          <cell r="J148">
            <v>29</v>
          </cell>
          <cell r="L148">
            <v>10440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107562</v>
          </cell>
          <cell r="V148">
            <v>107562</v>
          </cell>
          <cell r="W148">
            <v>0</v>
          </cell>
        </row>
        <row r="149">
          <cell r="E149">
            <v>177</v>
          </cell>
          <cell r="G149">
            <v>25842</v>
          </cell>
          <cell r="J149">
            <v>68</v>
          </cell>
          <cell r="L149">
            <v>24480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126858</v>
          </cell>
          <cell r="V149">
            <v>126858</v>
          </cell>
          <cell r="W149">
            <v>0</v>
          </cell>
        </row>
        <row r="150">
          <cell r="E150">
            <v>141</v>
          </cell>
          <cell r="G150">
            <v>20586</v>
          </cell>
          <cell r="J150">
            <v>76</v>
          </cell>
          <cell r="L150">
            <v>27360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126482</v>
          </cell>
          <cell r="V150">
            <v>126482</v>
          </cell>
          <cell r="W150">
            <v>0</v>
          </cell>
        </row>
        <row r="151">
          <cell r="E151">
            <v>161</v>
          </cell>
          <cell r="G151">
            <v>23506</v>
          </cell>
          <cell r="J151">
            <v>85</v>
          </cell>
          <cell r="L151">
            <v>30600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135501</v>
          </cell>
          <cell r="V151">
            <v>135501</v>
          </cell>
          <cell r="W151">
            <v>0</v>
          </cell>
        </row>
        <row r="152">
          <cell r="E152">
            <v>146</v>
          </cell>
          <cell r="G152">
            <v>21316</v>
          </cell>
          <cell r="J152">
            <v>78</v>
          </cell>
          <cell r="L152">
            <v>28080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130791</v>
          </cell>
          <cell r="V152">
            <v>130791</v>
          </cell>
          <cell r="W152">
            <v>0</v>
          </cell>
        </row>
        <row r="153">
          <cell r="E153">
            <v>130</v>
          </cell>
          <cell r="G153">
            <v>18980</v>
          </cell>
          <cell r="J153">
            <v>74</v>
          </cell>
          <cell r="L153">
            <v>26640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131974</v>
          </cell>
          <cell r="V153">
            <v>131974</v>
          </cell>
          <cell r="W153">
            <v>0</v>
          </cell>
        </row>
        <row r="154">
          <cell r="E154">
            <v>151</v>
          </cell>
          <cell r="G154">
            <v>22046</v>
          </cell>
          <cell r="J154">
            <v>82</v>
          </cell>
          <cell r="L154">
            <v>29520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137920</v>
          </cell>
          <cell r="V154">
            <v>137920</v>
          </cell>
          <cell r="W154">
            <v>0</v>
          </cell>
        </row>
        <row r="155">
          <cell r="E155">
            <v>156</v>
          </cell>
          <cell r="G155">
            <v>22776</v>
          </cell>
          <cell r="J155">
            <v>49</v>
          </cell>
          <cell r="L155">
            <v>17640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126770</v>
          </cell>
          <cell r="V155">
            <v>0</v>
          </cell>
          <cell r="W155">
            <v>126770</v>
          </cell>
        </row>
        <row r="156">
          <cell r="E156">
            <v>155</v>
          </cell>
          <cell r="G156">
            <v>22630</v>
          </cell>
          <cell r="J156">
            <v>33</v>
          </cell>
          <cell r="L156">
            <v>11880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120864</v>
          </cell>
          <cell r="V156">
            <v>247634</v>
          </cell>
          <cell r="W156">
            <v>0</v>
          </cell>
        </row>
        <row r="157">
          <cell r="E157">
            <v>181</v>
          </cell>
          <cell r="G157">
            <v>26426</v>
          </cell>
          <cell r="J157">
            <v>37</v>
          </cell>
          <cell r="L157">
            <v>13320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126100</v>
          </cell>
          <cell r="V157">
            <v>126100</v>
          </cell>
          <cell r="W157">
            <v>0</v>
          </cell>
        </row>
        <row r="158">
          <cell r="E158">
            <v>160</v>
          </cell>
          <cell r="G158">
            <v>23360</v>
          </cell>
          <cell r="J158">
            <v>13</v>
          </cell>
          <cell r="L158">
            <v>4680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114394</v>
          </cell>
          <cell r="V158">
            <v>114394</v>
          </cell>
          <cell r="W158">
            <v>0</v>
          </cell>
        </row>
        <row r="159">
          <cell r="E159">
            <v>156</v>
          </cell>
          <cell r="G159">
            <v>22776</v>
          </cell>
          <cell r="J159">
            <v>28</v>
          </cell>
          <cell r="L159">
            <v>10080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119210</v>
          </cell>
          <cell r="V159">
            <v>119210</v>
          </cell>
          <cell r="W159">
            <v>0</v>
          </cell>
        </row>
        <row r="160">
          <cell r="E160">
            <v>151</v>
          </cell>
          <cell r="G160">
            <v>22046</v>
          </cell>
          <cell r="J160">
            <v>33</v>
          </cell>
          <cell r="L160">
            <v>11880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120280</v>
          </cell>
          <cell r="V160">
            <v>120280</v>
          </cell>
          <cell r="W160">
            <v>0</v>
          </cell>
        </row>
        <row r="161">
          <cell r="E161">
            <v>126</v>
          </cell>
          <cell r="G161">
            <v>18396</v>
          </cell>
          <cell r="J161">
            <v>38</v>
          </cell>
          <cell r="L161">
            <v>13680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118430</v>
          </cell>
          <cell r="V161">
            <v>0</v>
          </cell>
          <cell r="W161">
            <v>118430</v>
          </cell>
        </row>
        <row r="162">
          <cell r="E162">
            <v>150</v>
          </cell>
          <cell r="G162">
            <v>21900</v>
          </cell>
          <cell r="J162">
            <v>45</v>
          </cell>
          <cell r="L162">
            <v>16200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124160</v>
          </cell>
          <cell r="V162">
            <v>242590</v>
          </cell>
          <cell r="W162">
            <v>0</v>
          </cell>
        </row>
        <row r="163">
          <cell r="E163">
            <v>122</v>
          </cell>
          <cell r="G163">
            <v>17812</v>
          </cell>
          <cell r="J163">
            <v>39</v>
          </cell>
          <cell r="L163">
            <v>14040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127912</v>
          </cell>
          <cell r="V163">
            <v>0</v>
          </cell>
          <cell r="W163">
            <v>127912</v>
          </cell>
        </row>
        <row r="164">
          <cell r="E164">
            <v>116</v>
          </cell>
          <cell r="G164">
            <v>16936</v>
          </cell>
          <cell r="J164">
            <v>46</v>
          </cell>
          <cell r="L164">
            <v>16560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129556</v>
          </cell>
          <cell r="V164">
            <v>257468</v>
          </cell>
          <cell r="W164">
            <v>0</v>
          </cell>
        </row>
        <row r="165">
          <cell r="E165">
            <v>133</v>
          </cell>
          <cell r="G165">
            <v>19418</v>
          </cell>
          <cell r="J165">
            <v>64</v>
          </cell>
          <cell r="L165">
            <v>23040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138518</v>
          </cell>
          <cell r="V165">
            <v>0</v>
          </cell>
          <cell r="W165">
            <v>138518</v>
          </cell>
        </row>
        <row r="166">
          <cell r="E166">
            <v>121</v>
          </cell>
          <cell r="G166">
            <v>17666</v>
          </cell>
          <cell r="J166">
            <v>35</v>
          </cell>
          <cell r="L166">
            <v>12600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126370</v>
          </cell>
          <cell r="V166">
            <v>264888</v>
          </cell>
          <cell r="W166">
            <v>0</v>
          </cell>
        </row>
        <row r="167">
          <cell r="E167">
            <v>120</v>
          </cell>
          <cell r="G167">
            <v>17520</v>
          </cell>
          <cell r="J167">
            <v>2</v>
          </cell>
          <cell r="L167">
            <v>720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114344</v>
          </cell>
          <cell r="V167">
            <v>0</v>
          </cell>
          <cell r="W167">
            <v>114344</v>
          </cell>
        </row>
        <row r="168">
          <cell r="E168">
            <v>154</v>
          </cell>
          <cell r="G168">
            <v>22484</v>
          </cell>
          <cell r="J168">
            <v>1</v>
          </cell>
          <cell r="L168">
            <v>360</v>
          </cell>
          <cell r="M168">
            <v>0</v>
          </cell>
          <cell r="N168">
            <v>11079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118318</v>
          </cell>
          <cell r="V168">
            <v>232662</v>
          </cell>
          <cell r="W168">
            <v>0</v>
          </cell>
        </row>
        <row r="169">
          <cell r="E169">
            <v>154</v>
          </cell>
          <cell r="G169">
            <v>22484</v>
          </cell>
          <cell r="J169">
            <v>3</v>
          </cell>
          <cell r="L169">
            <v>1080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119274</v>
          </cell>
          <cell r="V169">
            <v>0</v>
          </cell>
          <cell r="W169">
            <v>119274</v>
          </cell>
        </row>
        <row r="170">
          <cell r="E170">
            <v>149</v>
          </cell>
          <cell r="G170">
            <v>21754</v>
          </cell>
          <cell r="J170">
            <v>6</v>
          </cell>
          <cell r="L170">
            <v>2160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119624</v>
          </cell>
          <cell r="V170">
            <v>238898</v>
          </cell>
          <cell r="W170">
            <v>0</v>
          </cell>
        </row>
        <row r="171">
          <cell r="E171">
            <v>149</v>
          </cell>
          <cell r="G171">
            <v>21754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117829</v>
          </cell>
          <cell r="V171">
            <v>117829</v>
          </cell>
          <cell r="W171">
            <v>0</v>
          </cell>
        </row>
        <row r="172">
          <cell r="E172">
            <v>116</v>
          </cell>
          <cell r="G172">
            <v>16936</v>
          </cell>
          <cell r="J172">
            <v>39</v>
          </cell>
          <cell r="L172">
            <v>14040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122371</v>
          </cell>
          <cell r="V172">
            <v>122371</v>
          </cell>
          <cell r="W172">
            <v>0</v>
          </cell>
        </row>
        <row r="173">
          <cell r="E173">
            <v>128</v>
          </cell>
          <cell r="G173">
            <v>18688</v>
          </cell>
          <cell r="J173">
            <v>58</v>
          </cell>
          <cell r="L173">
            <v>20880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130963</v>
          </cell>
          <cell r="V173">
            <v>130963</v>
          </cell>
          <cell r="W173">
            <v>0</v>
          </cell>
        </row>
        <row r="174">
          <cell r="E174">
            <v>149</v>
          </cell>
          <cell r="G174">
            <v>21754</v>
          </cell>
          <cell r="J174">
            <v>121</v>
          </cell>
          <cell r="L174">
            <v>43740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156889</v>
          </cell>
          <cell r="V174">
            <v>156889</v>
          </cell>
          <cell r="W174">
            <v>0</v>
          </cell>
        </row>
      </sheetData>
      <sheetData sheetId="2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78000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78000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54105</v>
          </cell>
          <cell r="W27">
            <v>62895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62895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117000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40000</v>
          </cell>
          <cell r="W30">
            <v>116000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40000</v>
          </cell>
          <cell r="W31">
            <v>154000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193000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78000</v>
          </cell>
          <cell r="W33">
            <v>154000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154000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154000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154000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154000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154000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154000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193000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78000</v>
          </cell>
          <cell r="W41">
            <v>154000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193000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193000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232000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271000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310000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349000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388000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427000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466000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505000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544000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583000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629000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675000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721000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150000</v>
          </cell>
          <cell r="W57">
            <v>617000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100000</v>
          </cell>
          <cell r="W58">
            <v>563000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100000</v>
          </cell>
          <cell r="W59">
            <v>509000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100000</v>
          </cell>
          <cell r="W60">
            <v>455000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100000</v>
          </cell>
          <cell r="W61">
            <v>401000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100000</v>
          </cell>
          <cell r="W62">
            <v>347000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100000</v>
          </cell>
          <cell r="W63">
            <v>293000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339000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385000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200000</v>
          </cell>
          <cell r="W66">
            <v>231000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277000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323000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100000</v>
          </cell>
          <cell r="W69">
            <v>269000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100000</v>
          </cell>
          <cell r="W70">
            <v>215000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100000</v>
          </cell>
          <cell r="W71">
            <v>161000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100000</v>
          </cell>
          <cell r="W72">
            <v>107000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100000</v>
          </cell>
          <cell r="W73">
            <v>53000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53000</v>
          </cell>
          <cell r="W74">
            <v>46000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32776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56000</v>
          </cell>
          <cell r="W87">
            <v>36000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36000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15122</v>
          </cell>
          <cell r="S89">
            <v>46000</v>
          </cell>
          <cell r="V89">
            <v>46000</v>
          </cell>
          <cell r="W89">
            <v>36000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36000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65000</v>
          </cell>
          <cell r="W91">
            <v>36000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60000</v>
          </cell>
          <cell r="W92">
            <v>41000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41000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65000</v>
          </cell>
          <cell r="W94">
            <v>41000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41000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12000</v>
          </cell>
          <cell r="S96">
            <v>55000</v>
          </cell>
          <cell r="V96">
            <v>65000</v>
          </cell>
          <cell r="W96">
            <v>31000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12000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2000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56000</v>
          </cell>
          <cell r="W99">
            <v>1000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56000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56000</v>
          </cell>
          <cell r="W101">
            <v>-1000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-1000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-1000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55650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56650</v>
          </cell>
          <cell r="W115">
            <v>2209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56650</v>
          </cell>
          <cell r="W116">
            <v>4418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56650</v>
          </cell>
          <cell r="W117">
            <v>6627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56650</v>
          </cell>
          <cell r="W118">
            <v>8836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56650</v>
          </cell>
          <cell r="W119">
            <v>11045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56650</v>
          </cell>
          <cell r="W120">
            <v>13254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56650</v>
          </cell>
          <cell r="W121">
            <v>15463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113300</v>
          </cell>
          <cell r="W122">
            <v>-38978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56650</v>
          </cell>
          <cell r="W123">
            <v>-36769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56650</v>
          </cell>
          <cell r="W124">
            <v>-34560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56650</v>
          </cell>
          <cell r="W125">
            <v>-32351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56650</v>
          </cell>
          <cell r="W126">
            <v>-30142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56650</v>
          </cell>
          <cell r="W127">
            <v>-27058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56650</v>
          </cell>
          <cell r="W128">
            <v>-11686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56650</v>
          </cell>
          <cell r="W129">
            <v>-8602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56650</v>
          </cell>
          <cell r="W130">
            <v>-5518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56650</v>
          </cell>
          <cell r="W131">
            <v>-2434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56650</v>
          </cell>
          <cell r="W132">
            <v>650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56650</v>
          </cell>
          <cell r="W133">
            <v>3734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56650</v>
          </cell>
          <cell r="W134">
            <v>6818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56650</v>
          </cell>
          <cell r="W135">
            <v>9902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56650</v>
          </cell>
          <cell r="W136">
            <v>12986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56650</v>
          </cell>
          <cell r="W137">
            <v>16070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95804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61536</v>
          </cell>
          <cell r="W139">
            <v>5000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5000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5000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71536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0</v>
          </cell>
          <cell r="W149">
            <v>66536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135072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0</v>
          </cell>
          <cell r="W163">
            <v>81395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162790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81395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162790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0</v>
          </cell>
          <cell r="W167">
            <v>81395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162790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0</v>
          </cell>
          <cell r="W169">
            <v>81395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162790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0</v>
          </cell>
          <cell r="W171">
            <v>81395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162790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0</v>
          </cell>
          <cell r="W174">
            <v>81395</v>
          </cell>
        </row>
      </sheetData>
      <sheetData sheetId="2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1176.5</v>
          </cell>
          <cell r="G16">
            <v>74119.5</v>
          </cell>
          <cell r="J16">
            <v>740.43899999999996</v>
          </cell>
          <cell r="L16">
            <v>222131.69999999998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335251.19999999995</v>
          </cell>
          <cell r="V16">
            <v>0</v>
          </cell>
          <cell r="W16">
            <v>0</v>
          </cell>
        </row>
        <row r="17">
          <cell r="E17">
            <v>123.79999999999995</v>
          </cell>
          <cell r="G17">
            <v>7799.3999999999969</v>
          </cell>
          <cell r="J17">
            <v>320.95999999999992</v>
          </cell>
          <cell r="L17">
            <v>96287.999999999971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143087.39999999997</v>
          </cell>
          <cell r="V17">
            <v>0</v>
          </cell>
          <cell r="W17">
            <v>0</v>
          </cell>
        </row>
        <row r="18">
          <cell r="E18">
            <v>478.79999999999995</v>
          </cell>
          <cell r="G18">
            <v>30164.399999999998</v>
          </cell>
          <cell r="J18">
            <v>499.80100000000016</v>
          </cell>
          <cell r="L18">
            <v>149940.30000000005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219104.70000000004</v>
          </cell>
          <cell r="V18">
            <v>0</v>
          </cell>
          <cell r="W18">
            <v>0</v>
          </cell>
        </row>
        <row r="19">
          <cell r="E19">
            <v>157.40000000000009</v>
          </cell>
          <cell r="G19">
            <v>9916.2000000000062</v>
          </cell>
          <cell r="J19">
            <v>311.09999999999991</v>
          </cell>
          <cell r="L19">
            <v>93329.999999999971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142246.19999999998</v>
          </cell>
          <cell r="V19">
            <v>0</v>
          </cell>
          <cell r="W19">
            <v>0</v>
          </cell>
        </row>
        <row r="20">
          <cell r="E20">
            <v>358.90000000000009</v>
          </cell>
          <cell r="G20">
            <v>22610.700000000004</v>
          </cell>
          <cell r="J20">
            <v>249.89999999999986</v>
          </cell>
          <cell r="L20">
            <v>74969.999999999956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136580.69999999995</v>
          </cell>
          <cell r="V20">
            <v>0</v>
          </cell>
          <cell r="W20">
            <v>0</v>
          </cell>
        </row>
        <row r="21">
          <cell r="E21">
            <v>161.5</v>
          </cell>
          <cell r="G21">
            <v>10174.5</v>
          </cell>
          <cell r="J21">
            <v>350.80000000000018</v>
          </cell>
          <cell r="L21">
            <v>105240.00000000006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154414.50000000006</v>
          </cell>
          <cell r="V21">
            <v>0</v>
          </cell>
          <cell r="W21">
            <v>0</v>
          </cell>
        </row>
        <row r="22">
          <cell r="E22">
            <v>131.09999999999991</v>
          </cell>
          <cell r="G22">
            <v>8259.2999999999938</v>
          </cell>
          <cell r="J22">
            <v>115</v>
          </cell>
          <cell r="L22">
            <v>41400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88659.299999999988</v>
          </cell>
          <cell r="V22">
            <v>0</v>
          </cell>
          <cell r="W22">
            <v>0</v>
          </cell>
        </row>
        <row r="23">
          <cell r="E23">
            <v>124.19999999999982</v>
          </cell>
          <cell r="G23">
            <v>7824.5999999999885</v>
          </cell>
          <cell r="J23">
            <v>132.5</v>
          </cell>
          <cell r="L23">
            <v>47700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94524.599999999991</v>
          </cell>
          <cell r="V23">
            <v>0</v>
          </cell>
          <cell r="W23">
            <v>0</v>
          </cell>
        </row>
        <row r="24">
          <cell r="E24">
            <v>104.30000000000018</v>
          </cell>
          <cell r="G24">
            <v>6570.9000000000115</v>
          </cell>
          <cell r="J24">
            <v>79.800000000000182</v>
          </cell>
          <cell r="L24">
            <v>28728.000000000065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74298.900000000081</v>
          </cell>
          <cell r="V24">
            <v>0</v>
          </cell>
          <cell r="W24">
            <v>0</v>
          </cell>
        </row>
        <row r="25">
          <cell r="E25">
            <v>106.40000000000009</v>
          </cell>
          <cell r="G25">
            <v>6703.2000000000062</v>
          </cell>
          <cell r="J25">
            <v>63.699999999999818</v>
          </cell>
          <cell r="L25">
            <v>22931.999999999935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68635.199999999939</v>
          </cell>
          <cell r="V25">
            <v>0</v>
          </cell>
          <cell r="W25">
            <v>0</v>
          </cell>
        </row>
        <row r="26">
          <cell r="E26">
            <v>107.69999999999982</v>
          </cell>
          <cell r="G26">
            <v>6785.0999999999885</v>
          </cell>
          <cell r="J26">
            <v>56</v>
          </cell>
          <cell r="L26">
            <v>20160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65945.099999999991</v>
          </cell>
          <cell r="V26">
            <v>65945</v>
          </cell>
          <cell r="W26">
            <v>9.9999999991268851E-2</v>
          </cell>
        </row>
        <row r="27">
          <cell r="E27">
            <v>131.20000000000027</v>
          </cell>
          <cell r="G27">
            <v>8265.6000000000167</v>
          </cell>
          <cell r="J27">
            <v>134</v>
          </cell>
          <cell r="L27">
            <v>48240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95505.60000000002</v>
          </cell>
          <cell r="V27">
            <v>95505</v>
          </cell>
          <cell r="W27">
            <v>0.70000000001164153</v>
          </cell>
        </row>
        <row r="28">
          <cell r="E28">
            <v>104.69999999999982</v>
          </cell>
          <cell r="G28">
            <v>6596.0999999999885</v>
          </cell>
          <cell r="J28">
            <v>126.19999999999982</v>
          </cell>
          <cell r="L28">
            <v>45431.999999999935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91028.099999999919</v>
          </cell>
          <cell r="V28">
            <v>91028</v>
          </cell>
          <cell r="W28">
            <v>0.79999999994470272</v>
          </cell>
        </row>
        <row r="29">
          <cell r="E29">
            <v>154.09999999999991</v>
          </cell>
          <cell r="G29">
            <v>9708.2999999999938</v>
          </cell>
          <cell r="J29">
            <v>199.80000000000018</v>
          </cell>
          <cell r="L29">
            <v>71928.000000000058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120636.30000000005</v>
          </cell>
          <cell r="V29">
            <v>0</v>
          </cell>
          <cell r="W29">
            <v>120637.09999999999</v>
          </cell>
        </row>
        <row r="30">
          <cell r="E30">
            <v>106.40000000000009</v>
          </cell>
          <cell r="G30">
            <v>6703.2000000000062</v>
          </cell>
          <cell r="J30">
            <v>118</v>
          </cell>
          <cell r="L30">
            <v>42480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88183.200000000012</v>
          </cell>
          <cell r="V30">
            <v>0</v>
          </cell>
          <cell r="W30">
            <v>208820.3</v>
          </cell>
        </row>
        <row r="31">
          <cell r="E31">
            <v>293</v>
          </cell>
          <cell r="G31">
            <v>18459</v>
          </cell>
          <cell r="J31">
            <v>240</v>
          </cell>
          <cell r="L31">
            <v>86400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143859</v>
          </cell>
          <cell r="V31">
            <v>120367</v>
          </cell>
          <cell r="W31">
            <v>275312.3</v>
          </cell>
        </row>
        <row r="32">
          <cell r="E32">
            <v>380</v>
          </cell>
          <cell r="G32">
            <v>23940</v>
          </cell>
          <cell r="J32">
            <v>307</v>
          </cell>
          <cell r="L32">
            <v>110520</v>
          </cell>
          <cell r="M32">
            <v>4000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177460</v>
          </cell>
          <cell r="V32">
            <v>275042</v>
          </cell>
          <cell r="W32">
            <v>177730.3</v>
          </cell>
        </row>
        <row r="33">
          <cell r="E33">
            <v>117</v>
          </cell>
          <cell r="G33">
            <v>7371</v>
          </cell>
          <cell r="J33">
            <v>152</v>
          </cell>
          <cell r="L33">
            <v>54720</v>
          </cell>
          <cell r="M33">
            <v>4000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105091</v>
          </cell>
          <cell r="V33">
            <v>177730</v>
          </cell>
          <cell r="W33">
            <v>105091.29999999999</v>
          </cell>
        </row>
        <row r="34">
          <cell r="E34">
            <v>128</v>
          </cell>
          <cell r="G34">
            <v>8064</v>
          </cell>
          <cell r="J34">
            <v>144</v>
          </cell>
          <cell r="L34">
            <v>51840</v>
          </cell>
          <cell r="M34">
            <v>4000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102904</v>
          </cell>
          <cell r="V34">
            <v>105091</v>
          </cell>
          <cell r="W34">
            <v>102904.29999999999</v>
          </cell>
        </row>
        <row r="35">
          <cell r="E35">
            <v>113</v>
          </cell>
          <cell r="G35">
            <v>7119</v>
          </cell>
          <cell r="J35">
            <v>50</v>
          </cell>
          <cell r="L35">
            <v>18000</v>
          </cell>
          <cell r="M35">
            <v>4000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68119</v>
          </cell>
          <cell r="V35">
            <v>102904</v>
          </cell>
          <cell r="W35">
            <v>68119.299999999988</v>
          </cell>
        </row>
        <row r="36">
          <cell r="E36">
            <v>88.199999999999818</v>
          </cell>
          <cell r="G36">
            <v>5556.5999999999885</v>
          </cell>
          <cell r="J36">
            <v>3</v>
          </cell>
          <cell r="L36">
            <v>1080</v>
          </cell>
          <cell r="M36">
            <v>4000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49636.599999999991</v>
          </cell>
          <cell r="V36">
            <v>68119</v>
          </cell>
          <cell r="W36">
            <v>49636.89999999998</v>
          </cell>
        </row>
        <row r="37">
          <cell r="E37">
            <v>71.800000000000182</v>
          </cell>
          <cell r="G37">
            <v>4523.4000000000115</v>
          </cell>
          <cell r="J37">
            <v>5.6000000000003638</v>
          </cell>
          <cell r="L37">
            <v>2016.000000000131</v>
          </cell>
          <cell r="M37">
            <v>4000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49539.40000000014</v>
          </cell>
          <cell r="V37">
            <v>49636</v>
          </cell>
          <cell r="W37">
            <v>49540.300000000119</v>
          </cell>
        </row>
        <row r="38">
          <cell r="E38">
            <v>100</v>
          </cell>
          <cell r="G38">
            <v>6300</v>
          </cell>
          <cell r="J38">
            <v>53.399999999999636</v>
          </cell>
          <cell r="L38">
            <v>19223.999999999869</v>
          </cell>
          <cell r="M38">
            <v>4000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68523.999999999869</v>
          </cell>
          <cell r="V38">
            <v>49540</v>
          </cell>
          <cell r="W38">
            <v>68524.299999999988</v>
          </cell>
        </row>
        <row r="39">
          <cell r="E39">
            <v>129</v>
          </cell>
          <cell r="G39">
            <v>8127</v>
          </cell>
          <cell r="J39">
            <v>75</v>
          </cell>
          <cell r="L39">
            <v>27000</v>
          </cell>
          <cell r="M39">
            <v>4000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78127</v>
          </cell>
          <cell r="V39">
            <v>68524</v>
          </cell>
          <cell r="W39">
            <v>78127.299999999988</v>
          </cell>
        </row>
        <row r="40">
          <cell r="E40">
            <v>103</v>
          </cell>
          <cell r="G40">
            <v>6489</v>
          </cell>
          <cell r="J40">
            <v>96</v>
          </cell>
          <cell r="L40">
            <v>34560</v>
          </cell>
          <cell r="M40">
            <v>4000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84049</v>
          </cell>
          <cell r="V40">
            <v>78127</v>
          </cell>
          <cell r="W40">
            <v>84049.299999999988</v>
          </cell>
        </row>
        <row r="41">
          <cell r="E41">
            <v>143</v>
          </cell>
          <cell r="G41">
            <v>9009</v>
          </cell>
          <cell r="J41">
            <v>170</v>
          </cell>
          <cell r="L41">
            <v>61200</v>
          </cell>
          <cell r="M41">
            <v>4000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113209</v>
          </cell>
          <cell r="V41">
            <v>121850</v>
          </cell>
          <cell r="W41">
            <v>75408.299999999988</v>
          </cell>
        </row>
        <row r="42">
          <cell r="E42">
            <v>209</v>
          </cell>
          <cell r="G42">
            <v>13167</v>
          </cell>
          <cell r="J42">
            <v>172</v>
          </cell>
          <cell r="L42">
            <v>61920</v>
          </cell>
          <cell r="M42">
            <v>4000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118087</v>
          </cell>
          <cell r="V42">
            <v>75408</v>
          </cell>
          <cell r="W42">
            <v>118087.29999999999</v>
          </cell>
        </row>
        <row r="43">
          <cell r="E43">
            <v>208</v>
          </cell>
          <cell r="G43">
            <v>13104</v>
          </cell>
          <cell r="J43">
            <v>265</v>
          </cell>
          <cell r="L43">
            <v>95400</v>
          </cell>
          <cell r="M43">
            <v>4000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151504</v>
          </cell>
          <cell r="V43">
            <v>127096</v>
          </cell>
          <cell r="W43">
            <v>142495.29999999999</v>
          </cell>
        </row>
        <row r="44">
          <cell r="E44">
            <v>150</v>
          </cell>
          <cell r="G44">
            <v>9450</v>
          </cell>
          <cell r="J44">
            <v>150</v>
          </cell>
          <cell r="L44">
            <v>54000</v>
          </cell>
          <cell r="M44">
            <v>4000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106450</v>
          </cell>
          <cell r="V44">
            <v>142495</v>
          </cell>
          <cell r="W44">
            <v>106450.29999999999</v>
          </cell>
        </row>
        <row r="45">
          <cell r="E45">
            <v>143</v>
          </cell>
          <cell r="G45">
            <v>9009</v>
          </cell>
          <cell r="J45">
            <v>236</v>
          </cell>
          <cell r="L45">
            <v>84960</v>
          </cell>
          <cell r="M45">
            <v>4000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136969</v>
          </cell>
          <cell r="V45">
            <v>106450</v>
          </cell>
          <cell r="W45">
            <v>136969.29999999999</v>
          </cell>
        </row>
        <row r="46">
          <cell r="E46">
            <v>107</v>
          </cell>
          <cell r="G46">
            <v>6741</v>
          </cell>
          <cell r="J46">
            <v>175</v>
          </cell>
          <cell r="L46">
            <v>63000</v>
          </cell>
          <cell r="M46">
            <v>4000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112741</v>
          </cell>
          <cell r="V46">
            <v>136969</v>
          </cell>
          <cell r="W46">
            <v>112741.29999999999</v>
          </cell>
        </row>
        <row r="47">
          <cell r="E47">
            <v>53</v>
          </cell>
          <cell r="G47">
            <v>3339</v>
          </cell>
          <cell r="J47">
            <v>147</v>
          </cell>
          <cell r="L47">
            <v>52920</v>
          </cell>
          <cell r="M47">
            <v>4000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99259</v>
          </cell>
          <cell r="V47">
            <v>112741</v>
          </cell>
          <cell r="W47">
            <v>99259.299999999988</v>
          </cell>
        </row>
        <row r="48">
          <cell r="E48">
            <v>82</v>
          </cell>
          <cell r="G48">
            <v>5166</v>
          </cell>
          <cell r="J48">
            <v>22</v>
          </cell>
          <cell r="L48">
            <v>7920</v>
          </cell>
          <cell r="M48">
            <v>4000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56086</v>
          </cell>
          <cell r="V48">
            <v>99259</v>
          </cell>
          <cell r="W48">
            <v>56086.299999999988</v>
          </cell>
        </row>
        <row r="49">
          <cell r="E49">
            <v>31</v>
          </cell>
          <cell r="G49">
            <v>1953</v>
          </cell>
          <cell r="J49">
            <v>22</v>
          </cell>
          <cell r="L49">
            <v>7920</v>
          </cell>
          <cell r="M49">
            <v>4000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52873</v>
          </cell>
          <cell r="V49">
            <v>56086</v>
          </cell>
          <cell r="W49">
            <v>52873.299999999988</v>
          </cell>
        </row>
        <row r="50">
          <cell r="E50">
            <v>66</v>
          </cell>
          <cell r="G50">
            <v>4158</v>
          </cell>
          <cell r="J50">
            <v>10</v>
          </cell>
          <cell r="L50">
            <v>3600</v>
          </cell>
          <cell r="M50">
            <v>4000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50758</v>
          </cell>
          <cell r="V50">
            <v>0</v>
          </cell>
          <cell r="W50">
            <v>103631.29999999999</v>
          </cell>
        </row>
        <row r="51">
          <cell r="E51">
            <v>52</v>
          </cell>
          <cell r="G51">
            <v>3276</v>
          </cell>
          <cell r="J51">
            <v>147</v>
          </cell>
          <cell r="L51">
            <v>52920</v>
          </cell>
          <cell r="M51">
            <v>4000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99196</v>
          </cell>
          <cell r="V51">
            <v>103631</v>
          </cell>
          <cell r="W51">
            <v>99196.299999999988</v>
          </cell>
        </row>
        <row r="52">
          <cell r="E52">
            <v>111</v>
          </cell>
          <cell r="G52">
            <v>6993</v>
          </cell>
          <cell r="J52">
            <v>295</v>
          </cell>
          <cell r="L52">
            <v>106200</v>
          </cell>
          <cell r="M52">
            <v>4000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156193</v>
          </cell>
          <cell r="V52">
            <v>99196</v>
          </cell>
          <cell r="W52">
            <v>156193.29999999999</v>
          </cell>
        </row>
        <row r="53">
          <cell r="E53">
            <v>199</v>
          </cell>
          <cell r="G53">
            <v>12537</v>
          </cell>
          <cell r="J53">
            <v>108</v>
          </cell>
          <cell r="L53">
            <v>38880</v>
          </cell>
          <cell r="M53">
            <v>4000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94417</v>
          </cell>
          <cell r="V53">
            <v>156193</v>
          </cell>
          <cell r="W53">
            <v>94417.299999999988</v>
          </cell>
        </row>
        <row r="54">
          <cell r="E54">
            <v>111</v>
          </cell>
          <cell r="G54">
            <v>6993</v>
          </cell>
          <cell r="J54">
            <v>24</v>
          </cell>
          <cell r="L54">
            <v>8640</v>
          </cell>
          <cell r="M54">
            <v>4000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58633</v>
          </cell>
          <cell r="V54">
            <v>0</v>
          </cell>
          <cell r="W54">
            <v>160050.29999999999</v>
          </cell>
        </row>
        <row r="55">
          <cell r="E55">
            <v>274</v>
          </cell>
          <cell r="G55">
            <v>17262</v>
          </cell>
          <cell r="J55">
            <v>61</v>
          </cell>
          <cell r="L55">
            <v>21960</v>
          </cell>
          <cell r="M55">
            <v>4000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89222</v>
          </cell>
          <cell r="V55">
            <v>160050</v>
          </cell>
          <cell r="W55">
            <v>89222.299999999988</v>
          </cell>
        </row>
        <row r="56">
          <cell r="E56">
            <v>149</v>
          </cell>
          <cell r="G56">
            <v>9387</v>
          </cell>
          <cell r="J56">
            <v>57</v>
          </cell>
          <cell r="L56">
            <v>20520</v>
          </cell>
          <cell r="M56">
            <v>4000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79907</v>
          </cell>
          <cell r="V56">
            <v>89222</v>
          </cell>
          <cell r="W56">
            <v>79907.299999999988</v>
          </cell>
        </row>
        <row r="57">
          <cell r="E57">
            <v>117</v>
          </cell>
          <cell r="G57">
            <v>7371</v>
          </cell>
          <cell r="J57">
            <v>51</v>
          </cell>
          <cell r="L57">
            <v>18360</v>
          </cell>
          <cell r="M57">
            <v>4000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75731</v>
          </cell>
          <cell r="V57">
            <v>79907</v>
          </cell>
          <cell r="W57">
            <v>75731.299999999988</v>
          </cell>
        </row>
        <row r="58">
          <cell r="E58">
            <v>166</v>
          </cell>
          <cell r="G58">
            <v>10458</v>
          </cell>
          <cell r="J58">
            <v>50</v>
          </cell>
          <cell r="L58">
            <v>18000</v>
          </cell>
          <cell r="M58">
            <v>4000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78458</v>
          </cell>
          <cell r="V58">
            <v>75731</v>
          </cell>
          <cell r="W58">
            <v>78458.299999999988</v>
          </cell>
        </row>
        <row r="59">
          <cell r="E59">
            <v>140</v>
          </cell>
          <cell r="G59">
            <v>8820</v>
          </cell>
          <cell r="J59">
            <v>39</v>
          </cell>
          <cell r="L59">
            <v>14040</v>
          </cell>
          <cell r="M59">
            <v>4000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72860</v>
          </cell>
          <cell r="V59">
            <v>78458</v>
          </cell>
          <cell r="W59">
            <v>72860.299999999988</v>
          </cell>
        </row>
        <row r="60">
          <cell r="E60">
            <v>125</v>
          </cell>
          <cell r="G60">
            <v>7875</v>
          </cell>
          <cell r="J60">
            <v>17</v>
          </cell>
          <cell r="L60">
            <v>6120</v>
          </cell>
          <cell r="M60">
            <v>4000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63995</v>
          </cell>
          <cell r="V60">
            <v>72860</v>
          </cell>
          <cell r="W60">
            <v>63995.299999999988</v>
          </cell>
        </row>
        <row r="61">
          <cell r="E61">
            <v>245</v>
          </cell>
          <cell r="G61">
            <v>15435</v>
          </cell>
          <cell r="J61">
            <v>5</v>
          </cell>
          <cell r="L61">
            <v>1800</v>
          </cell>
          <cell r="M61">
            <v>4000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67235</v>
          </cell>
          <cell r="V61">
            <v>63995</v>
          </cell>
          <cell r="W61">
            <v>67235.299999999988</v>
          </cell>
        </row>
        <row r="62">
          <cell r="E62">
            <v>135</v>
          </cell>
          <cell r="G62">
            <v>8505</v>
          </cell>
          <cell r="J62">
            <v>23</v>
          </cell>
          <cell r="L62">
            <v>8280</v>
          </cell>
          <cell r="M62">
            <v>4000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66785</v>
          </cell>
          <cell r="V62">
            <v>67235</v>
          </cell>
          <cell r="W62">
            <v>66785.299999999988</v>
          </cell>
        </row>
        <row r="63">
          <cell r="E63">
            <v>35</v>
          </cell>
          <cell r="G63">
            <v>2205</v>
          </cell>
          <cell r="J63">
            <v>58</v>
          </cell>
          <cell r="L63">
            <v>20880</v>
          </cell>
          <cell r="M63">
            <v>4000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73085</v>
          </cell>
          <cell r="V63">
            <v>66785</v>
          </cell>
          <cell r="W63">
            <v>73085.299999999988</v>
          </cell>
        </row>
        <row r="64">
          <cell r="E64">
            <v>129</v>
          </cell>
          <cell r="G64">
            <v>10191</v>
          </cell>
          <cell r="J64">
            <v>103</v>
          </cell>
          <cell r="L64">
            <v>37080</v>
          </cell>
          <cell r="M64">
            <v>4000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97271</v>
          </cell>
          <cell r="V64">
            <v>73085</v>
          </cell>
          <cell r="W64">
            <v>97271.299999999988</v>
          </cell>
        </row>
        <row r="65">
          <cell r="E65">
            <v>158</v>
          </cell>
          <cell r="G65">
            <v>12482</v>
          </cell>
          <cell r="J65">
            <v>128</v>
          </cell>
          <cell r="L65">
            <v>46080</v>
          </cell>
          <cell r="M65">
            <v>4000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108562</v>
          </cell>
          <cell r="V65">
            <v>97271</v>
          </cell>
          <cell r="W65">
            <v>108562.29999999999</v>
          </cell>
        </row>
        <row r="66">
          <cell r="E66">
            <v>76</v>
          </cell>
          <cell r="G66">
            <v>6004</v>
          </cell>
          <cell r="J66">
            <v>70</v>
          </cell>
          <cell r="L66">
            <v>25200</v>
          </cell>
          <cell r="M66">
            <v>4000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81204</v>
          </cell>
          <cell r="V66">
            <v>108562</v>
          </cell>
          <cell r="W66">
            <v>81204.299999999988</v>
          </cell>
        </row>
        <row r="67">
          <cell r="E67">
            <v>158</v>
          </cell>
          <cell r="G67">
            <v>13746</v>
          </cell>
          <cell r="J67">
            <v>90</v>
          </cell>
          <cell r="L67">
            <v>32400</v>
          </cell>
          <cell r="M67">
            <v>4000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96146</v>
          </cell>
          <cell r="V67">
            <v>81204</v>
          </cell>
          <cell r="W67">
            <v>96146.299999999988</v>
          </cell>
        </row>
        <row r="68">
          <cell r="E68">
            <v>85</v>
          </cell>
          <cell r="G68">
            <v>7395</v>
          </cell>
          <cell r="J68">
            <v>91</v>
          </cell>
          <cell r="L68">
            <v>32760</v>
          </cell>
          <cell r="M68">
            <v>4000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90155</v>
          </cell>
          <cell r="V68">
            <v>96146</v>
          </cell>
          <cell r="W68">
            <v>90155.299999999988</v>
          </cell>
        </row>
        <row r="69">
          <cell r="E69">
            <v>106</v>
          </cell>
          <cell r="G69">
            <v>11766</v>
          </cell>
          <cell r="J69">
            <v>46</v>
          </cell>
          <cell r="L69">
            <v>16560</v>
          </cell>
          <cell r="M69">
            <v>4000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78326</v>
          </cell>
          <cell r="V69">
            <v>90155</v>
          </cell>
          <cell r="W69">
            <v>78326.299999999988</v>
          </cell>
        </row>
        <row r="70">
          <cell r="E70">
            <v>139</v>
          </cell>
          <cell r="G70">
            <v>17236</v>
          </cell>
          <cell r="J70">
            <v>668</v>
          </cell>
          <cell r="L70">
            <v>240480</v>
          </cell>
          <cell r="M70">
            <v>4000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307716</v>
          </cell>
          <cell r="V70">
            <v>78326</v>
          </cell>
          <cell r="W70">
            <v>307716.3</v>
          </cell>
        </row>
        <row r="71">
          <cell r="E71">
            <v>100</v>
          </cell>
          <cell r="G71">
            <v>9800</v>
          </cell>
          <cell r="J71">
            <v>34</v>
          </cell>
          <cell r="L71">
            <v>12240</v>
          </cell>
          <cell r="M71">
            <v>4000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72040</v>
          </cell>
          <cell r="V71">
            <v>0</v>
          </cell>
          <cell r="W71">
            <v>379756.3</v>
          </cell>
        </row>
        <row r="72">
          <cell r="E72">
            <v>116</v>
          </cell>
          <cell r="G72">
            <v>12064</v>
          </cell>
          <cell r="J72">
            <v>62</v>
          </cell>
          <cell r="L72">
            <v>22320</v>
          </cell>
          <cell r="M72">
            <v>4000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84384</v>
          </cell>
          <cell r="V72">
            <v>379756</v>
          </cell>
          <cell r="W72">
            <v>80384.299999999988</v>
          </cell>
        </row>
        <row r="73">
          <cell r="E73">
            <v>125</v>
          </cell>
          <cell r="G73">
            <v>14000</v>
          </cell>
          <cell r="J73">
            <v>25</v>
          </cell>
          <cell r="L73">
            <v>9000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69000</v>
          </cell>
          <cell r="V73">
            <v>80384</v>
          </cell>
          <cell r="W73">
            <v>69000.299999999988</v>
          </cell>
        </row>
        <row r="74">
          <cell r="E74">
            <v>84</v>
          </cell>
          <cell r="G74">
            <v>8988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54988</v>
          </cell>
          <cell r="V74">
            <v>0</v>
          </cell>
          <cell r="W74">
            <v>123988.29999999999</v>
          </cell>
        </row>
        <row r="75">
          <cell r="E75">
            <v>101</v>
          </cell>
          <cell r="G75">
            <v>11110</v>
          </cell>
          <cell r="J75">
            <v>127</v>
          </cell>
          <cell r="L75">
            <v>45720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102830</v>
          </cell>
          <cell r="V75">
            <v>123988</v>
          </cell>
          <cell r="W75">
            <v>102830.29999999999</v>
          </cell>
        </row>
        <row r="76">
          <cell r="E76">
            <v>97</v>
          </cell>
          <cell r="G76">
            <v>12222</v>
          </cell>
          <cell r="J76">
            <v>170</v>
          </cell>
          <cell r="L76">
            <v>61200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119422</v>
          </cell>
          <cell r="V76">
            <v>102830</v>
          </cell>
          <cell r="W76">
            <v>119422.29999999999</v>
          </cell>
        </row>
        <row r="77">
          <cell r="E77">
            <v>83</v>
          </cell>
          <cell r="G77">
            <v>9877</v>
          </cell>
          <cell r="J77">
            <v>129</v>
          </cell>
          <cell r="L77">
            <v>46440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102317</v>
          </cell>
          <cell r="V77">
            <v>119422</v>
          </cell>
          <cell r="W77">
            <v>102317.29999999999</v>
          </cell>
        </row>
        <row r="78">
          <cell r="E78">
            <v>150</v>
          </cell>
          <cell r="G78">
            <v>16200</v>
          </cell>
          <cell r="J78">
            <v>183</v>
          </cell>
          <cell r="L78">
            <v>65880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128080</v>
          </cell>
          <cell r="V78">
            <v>102317</v>
          </cell>
          <cell r="W78">
            <v>128080.29999999999</v>
          </cell>
        </row>
        <row r="79">
          <cell r="E79">
            <v>68</v>
          </cell>
          <cell r="G79">
            <v>8432</v>
          </cell>
          <cell r="J79">
            <v>150</v>
          </cell>
          <cell r="L79">
            <v>54000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108432</v>
          </cell>
          <cell r="V79">
            <v>128080</v>
          </cell>
          <cell r="W79">
            <v>108432.29999999999</v>
          </cell>
        </row>
        <row r="80">
          <cell r="E80">
            <v>101</v>
          </cell>
          <cell r="G80">
            <v>13130</v>
          </cell>
          <cell r="J80">
            <v>196</v>
          </cell>
          <cell r="L80">
            <v>119160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178290</v>
          </cell>
          <cell r="V80">
            <v>108432</v>
          </cell>
          <cell r="W80">
            <v>178290.3</v>
          </cell>
        </row>
        <row r="81">
          <cell r="E81">
            <v>112</v>
          </cell>
          <cell r="G81">
            <v>14560</v>
          </cell>
          <cell r="J81">
            <v>209</v>
          </cell>
          <cell r="L81">
            <v>112860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173420</v>
          </cell>
          <cell r="V81">
            <v>178290</v>
          </cell>
          <cell r="W81">
            <v>173420.3</v>
          </cell>
        </row>
        <row r="82">
          <cell r="E82">
            <v>110</v>
          </cell>
          <cell r="G82">
            <v>15400</v>
          </cell>
          <cell r="J82">
            <v>89</v>
          </cell>
          <cell r="L82">
            <v>32040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93440</v>
          </cell>
          <cell r="V82">
            <v>173420</v>
          </cell>
          <cell r="W82">
            <v>93440.299999999988</v>
          </cell>
        </row>
        <row r="83">
          <cell r="E83">
            <v>90</v>
          </cell>
          <cell r="G83">
            <v>13140</v>
          </cell>
          <cell r="J83">
            <v>47</v>
          </cell>
          <cell r="L83">
            <v>16920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76060</v>
          </cell>
          <cell r="V83">
            <v>93440</v>
          </cell>
          <cell r="W83">
            <v>76060.299999999988</v>
          </cell>
        </row>
        <row r="84">
          <cell r="E84">
            <v>87</v>
          </cell>
          <cell r="G84">
            <v>12702</v>
          </cell>
          <cell r="J84">
            <v>31</v>
          </cell>
          <cell r="L84">
            <v>11160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69862</v>
          </cell>
          <cell r="V84">
            <v>76060</v>
          </cell>
          <cell r="W84">
            <v>69862.299999999988</v>
          </cell>
        </row>
        <row r="85">
          <cell r="E85">
            <v>98</v>
          </cell>
          <cell r="G85">
            <v>14308</v>
          </cell>
          <cell r="J85">
            <v>1</v>
          </cell>
          <cell r="L85">
            <v>360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60668</v>
          </cell>
          <cell r="V85">
            <v>69862</v>
          </cell>
          <cell r="W85">
            <v>70668.299999999988</v>
          </cell>
        </row>
        <row r="86">
          <cell r="E86">
            <v>93</v>
          </cell>
          <cell r="G86">
            <v>13578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69578</v>
          </cell>
          <cell r="V86">
            <v>70668</v>
          </cell>
          <cell r="W86">
            <v>59578.299999999988</v>
          </cell>
        </row>
        <row r="87">
          <cell r="E87">
            <v>103</v>
          </cell>
          <cell r="G87">
            <v>15038</v>
          </cell>
          <cell r="J87">
            <v>48</v>
          </cell>
          <cell r="L87">
            <v>17280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78318</v>
          </cell>
          <cell r="V87">
            <v>59578</v>
          </cell>
          <cell r="W87">
            <v>78318.299999999988</v>
          </cell>
        </row>
        <row r="88">
          <cell r="E88">
            <v>214</v>
          </cell>
          <cell r="G88">
            <v>31244</v>
          </cell>
          <cell r="J88">
            <v>79</v>
          </cell>
          <cell r="L88">
            <v>28440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105684</v>
          </cell>
          <cell r="V88">
            <v>78318</v>
          </cell>
          <cell r="W88">
            <v>105684.29999999999</v>
          </cell>
        </row>
        <row r="89">
          <cell r="E89">
            <v>201</v>
          </cell>
          <cell r="G89">
            <v>29346</v>
          </cell>
          <cell r="J89">
            <v>100</v>
          </cell>
          <cell r="L89">
            <v>36000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111346</v>
          </cell>
          <cell r="V89">
            <v>105684</v>
          </cell>
          <cell r="W89">
            <v>111346.29999999999</v>
          </cell>
        </row>
        <row r="90">
          <cell r="E90">
            <v>304</v>
          </cell>
          <cell r="G90">
            <v>44384</v>
          </cell>
          <cell r="J90">
            <v>191</v>
          </cell>
          <cell r="L90">
            <v>76140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166524</v>
          </cell>
          <cell r="V90">
            <v>111346</v>
          </cell>
          <cell r="W90">
            <v>166524.29999999999</v>
          </cell>
        </row>
        <row r="91">
          <cell r="E91">
            <v>222</v>
          </cell>
          <cell r="G91">
            <v>32412</v>
          </cell>
          <cell r="J91">
            <v>182</v>
          </cell>
          <cell r="L91">
            <v>71280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158692</v>
          </cell>
          <cell r="V91">
            <v>166524</v>
          </cell>
          <cell r="W91">
            <v>168692.3</v>
          </cell>
        </row>
        <row r="92">
          <cell r="E92">
            <v>257</v>
          </cell>
          <cell r="G92">
            <v>37522</v>
          </cell>
          <cell r="J92">
            <v>194</v>
          </cell>
          <cell r="L92">
            <v>77760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170282</v>
          </cell>
          <cell r="V92">
            <v>168692</v>
          </cell>
          <cell r="W92">
            <v>210282.3</v>
          </cell>
        </row>
        <row r="93">
          <cell r="E93">
            <v>197</v>
          </cell>
          <cell r="G93">
            <v>28762</v>
          </cell>
          <cell r="J93">
            <v>195</v>
          </cell>
          <cell r="L93">
            <v>78300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162062</v>
          </cell>
          <cell r="V93">
            <v>210282</v>
          </cell>
          <cell r="W93">
            <v>162062.29999999999</v>
          </cell>
        </row>
        <row r="94">
          <cell r="E94">
            <v>227</v>
          </cell>
          <cell r="G94">
            <v>33142</v>
          </cell>
          <cell r="J94">
            <v>164</v>
          </cell>
          <cell r="L94">
            <v>61560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149702</v>
          </cell>
          <cell r="V94">
            <v>162062</v>
          </cell>
          <cell r="W94">
            <v>149702.29999999999</v>
          </cell>
        </row>
        <row r="95">
          <cell r="E95">
            <v>174</v>
          </cell>
          <cell r="G95">
            <v>25404</v>
          </cell>
          <cell r="J95">
            <v>100</v>
          </cell>
          <cell r="L95">
            <v>36000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116404</v>
          </cell>
          <cell r="V95">
            <v>149702</v>
          </cell>
          <cell r="W95">
            <v>116404.29999999999</v>
          </cell>
        </row>
        <row r="96">
          <cell r="E96">
            <v>181</v>
          </cell>
          <cell r="G96">
            <v>26426</v>
          </cell>
          <cell r="J96">
            <v>7</v>
          </cell>
          <cell r="L96">
            <v>2520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83946</v>
          </cell>
          <cell r="V96">
            <v>116404</v>
          </cell>
          <cell r="W96">
            <v>83946.299999999988</v>
          </cell>
        </row>
        <row r="97">
          <cell r="E97">
            <v>151</v>
          </cell>
          <cell r="G97">
            <v>22046</v>
          </cell>
          <cell r="J97">
            <v>20</v>
          </cell>
          <cell r="L97">
            <v>7200</v>
          </cell>
          <cell r="M97">
            <v>0</v>
          </cell>
          <cell r="N97">
            <v>0</v>
          </cell>
          <cell r="O97">
            <v>0</v>
          </cell>
          <cell r="P97">
            <v>84246</v>
          </cell>
          <cell r="Q97">
            <v>90574.299999999988</v>
          </cell>
          <cell r="R97">
            <v>174820.3</v>
          </cell>
          <cell r="S97">
            <v>0</v>
          </cell>
          <cell r="V97">
            <v>83946</v>
          </cell>
          <cell r="W97">
            <v>90874.299999999988</v>
          </cell>
        </row>
        <row r="98">
          <cell r="E98">
            <v>259</v>
          </cell>
          <cell r="G98">
            <v>37814</v>
          </cell>
          <cell r="J98">
            <v>101</v>
          </cell>
          <cell r="L98">
            <v>36360</v>
          </cell>
          <cell r="M98">
            <v>0</v>
          </cell>
          <cell r="N98">
            <v>0</v>
          </cell>
          <cell r="O98">
            <v>0</v>
          </cell>
          <cell r="P98">
            <v>129174</v>
          </cell>
          <cell r="Q98">
            <v>90874.299999999988</v>
          </cell>
          <cell r="R98">
            <v>220048.3</v>
          </cell>
          <cell r="S98">
            <v>0</v>
          </cell>
          <cell r="V98">
            <v>90574</v>
          </cell>
          <cell r="W98">
            <v>129474.29999999999</v>
          </cell>
        </row>
        <row r="99">
          <cell r="E99">
            <v>199</v>
          </cell>
          <cell r="G99">
            <v>29054</v>
          </cell>
          <cell r="J99">
            <v>148</v>
          </cell>
          <cell r="L99">
            <v>53280</v>
          </cell>
          <cell r="M99">
            <v>0</v>
          </cell>
          <cell r="N99">
            <v>0</v>
          </cell>
          <cell r="O99">
            <v>0</v>
          </cell>
          <cell r="P99">
            <v>137334</v>
          </cell>
          <cell r="Q99">
            <v>129474.29999999999</v>
          </cell>
          <cell r="R99">
            <v>266808.3</v>
          </cell>
          <cell r="S99">
            <v>0</v>
          </cell>
          <cell r="V99">
            <v>84246</v>
          </cell>
          <cell r="W99">
            <v>182562.3</v>
          </cell>
        </row>
        <row r="100">
          <cell r="E100">
            <v>-13475</v>
          </cell>
          <cell r="G100">
            <v>-1967350</v>
          </cell>
          <cell r="J100">
            <v>-3797</v>
          </cell>
          <cell r="L100">
            <v>-1366920</v>
          </cell>
          <cell r="M100">
            <v>0</v>
          </cell>
          <cell r="N100">
            <v>0</v>
          </cell>
          <cell r="O100">
            <v>0</v>
          </cell>
          <cell r="P100">
            <v>-3279270</v>
          </cell>
          <cell r="Q100">
            <v>182562.3</v>
          </cell>
          <cell r="R100">
            <v>-3096707.7</v>
          </cell>
          <cell r="S100">
            <v>0</v>
          </cell>
          <cell r="V100">
            <v>129174</v>
          </cell>
          <cell r="W100">
            <v>-3225881.7</v>
          </cell>
        </row>
        <row r="101">
          <cell r="E101">
            <v>13661</v>
          </cell>
          <cell r="G101">
            <v>1994506</v>
          </cell>
          <cell r="J101">
            <v>3942</v>
          </cell>
          <cell r="L101">
            <v>1419120</v>
          </cell>
          <cell r="M101">
            <v>0</v>
          </cell>
          <cell r="N101">
            <v>0</v>
          </cell>
          <cell r="O101">
            <v>0</v>
          </cell>
          <cell r="P101">
            <v>3468626</v>
          </cell>
          <cell r="Q101">
            <v>-3225881.7</v>
          </cell>
          <cell r="R101">
            <v>242744.29999999981</v>
          </cell>
          <cell r="S101">
            <v>0</v>
          </cell>
          <cell r="V101">
            <v>271690</v>
          </cell>
          <cell r="W101">
            <v>-28945.700000000186</v>
          </cell>
        </row>
        <row r="102">
          <cell r="E102">
            <v>188</v>
          </cell>
          <cell r="G102">
            <v>27448</v>
          </cell>
          <cell r="J102">
            <v>215</v>
          </cell>
          <cell r="L102">
            <v>91800</v>
          </cell>
          <cell r="M102">
            <v>0</v>
          </cell>
          <cell r="N102">
            <v>0</v>
          </cell>
          <cell r="O102">
            <v>0</v>
          </cell>
          <cell r="P102">
            <v>174248</v>
          </cell>
          <cell r="Q102">
            <v>-28945.700000000186</v>
          </cell>
          <cell r="R102">
            <v>145302.29999999981</v>
          </cell>
          <cell r="S102">
            <v>0</v>
          </cell>
          <cell r="V102">
            <v>174248</v>
          </cell>
          <cell r="W102">
            <v>-28945.700000000186</v>
          </cell>
        </row>
        <row r="103">
          <cell r="E103">
            <v>194</v>
          </cell>
          <cell r="G103">
            <v>28324</v>
          </cell>
          <cell r="J103">
            <v>205</v>
          </cell>
          <cell r="L103">
            <v>84600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169574</v>
          </cell>
          <cell r="V103">
            <v>169574</v>
          </cell>
          <cell r="W103">
            <v>-28945.700000000186</v>
          </cell>
        </row>
        <row r="104">
          <cell r="E104">
            <v>172</v>
          </cell>
          <cell r="G104">
            <v>25112</v>
          </cell>
          <cell r="J104">
            <v>157</v>
          </cell>
          <cell r="L104">
            <v>57780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139542</v>
          </cell>
          <cell r="V104">
            <v>139542</v>
          </cell>
          <cell r="W104">
            <v>-28945.700000000186</v>
          </cell>
        </row>
        <row r="105">
          <cell r="E105">
            <v>167</v>
          </cell>
          <cell r="G105">
            <v>24382</v>
          </cell>
          <cell r="J105">
            <v>146</v>
          </cell>
          <cell r="L105">
            <v>52560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133592</v>
          </cell>
          <cell r="V105">
            <v>133592</v>
          </cell>
          <cell r="W105">
            <v>-28945.700000000186</v>
          </cell>
        </row>
        <row r="106">
          <cell r="E106">
            <v>199</v>
          </cell>
          <cell r="G106">
            <v>29054</v>
          </cell>
          <cell r="J106">
            <v>125</v>
          </cell>
          <cell r="L106">
            <v>45000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130704</v>
          </cell>
          <cell r="V106">
            <v>130704</v>
          </cell>
          <cell r="W106">
            <v>-28945.700000000186</v>
          </cell>
        </row>
        <row r="107">
          <cell r="E107">
            <v>96</v>
          </cell>
          <cell r="G107">
            <v>14016</v>
          </cell>
          <cell r="J107">
            <v>35</v>
          </cell>
          <cell r="L107">
            <v>12600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83266</v>
          </cell>
          <cell r="V107">
            <v>83266</v>
          </cell>
          <cell r="W107">
            <v>-28945.700000000186</v>
          </cell>
        </row>
        <row r="108">
          <cell r="E108">
            <v>94</v>
          </cell>
          <cell r="G108">
            <v>13724</v>
          </cell>
          <cell r="J108">
            <v>17</v>
          </cell>
          <cell r="L108">
            <v>6120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76494</v>
          </cell>
          <cell r="V108">
            <v>76494</v>
          </cell>
          <cell r="W108">
            <v>-28945.700000000186</v>
          </cell>
        </row>
        <row r="109">
          <cell r="E109">
            <v>122</v>
          </cell>
          <cell r="G109">
            <v>17812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74462</v>
          </cell>
          <cell r="V109">
            <v>74462</v>
          </cell>
          <cell r="W109">
            <v>-28945.700000000186</v>
          </cell>
        </row>
        <row r="110">
          <cell r="E110">
            <v>105</v>
          </cell>
          <cell r="G110">
            <v>15330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72340</v>
          </cell>
          <cell r="V110">
            <v>72340</v>
          </cell>
          <cell r="W110">
            <v>-28945.700000000186</v>
          </cell>
        </row>
        <row r="111">
          <cell r="E111">
            <v>165</v>
          </cell>
          <cell r="G111">
            <v>24090</v>
          </cell>
          <cell r="J111">
            <v>27</v>
          </cell>
          <cell r="L111">
            <v>9720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90460</v>
          </cell>
          <cell r="V111">
            <v>90460</v>
          </cell>
          <cell r="W111">
            <v>-28945.700000000186</v>
          </cell>
        </row>
        <row r="112">
          <cell r="E112">
            <v>116</v>
          </cell>
          <cell r="G112">
            <v>16936</v>
          </cell>
          <cell r="J112">
            <v>65</v>
          </cell>
          <cell r="L112">
            <v>23400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96986</v>
          </cell>
          <cell r="V112">
            <v>96986</v>
          </cell>
          <cell r="W112">
            <v>-28945.700000000186</v>
          </cell>
        </row>
        <row r="113">
          <cell r="E113">
            <v>177</v>
          </cell>
          <cell r="G113">
            <v>25842</v>
          </cell>
          <cell r="J113">
            <v>142</v>
          </cell>
          <cell r="L113">
            <v>51120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133612</v>
          </cell>
          <cell r="V113">
            <v>133612</v>
          </cell>
          <cell r="W113">
            <v>-28945.700000000186</v>
          </cell>
        </row>
        <row r="114">
          <cell r="E114">
            <v>186</v>
          </cell>
          <cell r="G114">
            <v>27156</v>
          </cell>
          <cell r="J114">
            <v>177</v>
          </cell>
          <cell r="L114">
            <v>68580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152386</v>
          </cell>
          <cell r="V114">
            <v>152386</v>
          </cell>
          <cell r="W114">
            <v>-28945.700000000186</v>
          </cell>
        </row>
        <row r="115">
          <cell r="E115">
            <v>219</v>
          </cell>
          <cell r="G115">
            <v>31974</v>
          </cell>
          <cell r="J115">
            <v>175</v>
          </cell>
          <cell r="L115">
            <v>67500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158333</v>
          </cell>
          <cell r="V115">
            <v>158333</v>
          </cell>
          <cell r="W115">
            <v>-28945.700000000186</v>
          </cell>
        </row>
        <row r="116">
          <cell r="E116">
            <v>174</v>
          </cell>
          <cell r="G116">
            <v>25404</v>
          </cell>
          <cell r="J116">
            <v>149</v>
          </cell>
          <cell r="L116">
            <v>53640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137903</v>
          </cell>
          <cell r="V116">
            <v>137903</v>
          </cell>
          <cell r="W116">
            <v>-28945.700000000186</v>
          </cell>
        </row>
        <row r="117">
          <cell r="E117">
            <v>173</v>
          </cell>
          <cell r="G117">
            <v>25258</v>
          </cell>
          <cell r="J117">
            <v>165</v>
          </cell>
          <cell r="L117">
            <v>62100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146217</v>
          </cell>
          <cell r="V117">
            <v>146217</v>
          </cell>
          <cell r="W117">
            <v>-28945.700000000186</v>
          </cell>
        </row>
        <row r="118">
          <cell r="E118">
            <v>158</v>
          </cell>
          <cell r="G118">
            <v>23068</v>
          </cell>
          <cell r="J118">
            <v>126</v>
          </cell>
          <cell r="L118">
            <v>45360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127287</v>
          </cell>
          <cell r="V118">
            <v>127287</v>
          </cell>
          <cell r="W118">
            <v>-28945.700000000186</v>
          </cell>
        </row>
        <row r="119">
          <cell r="E119">
            <v>308</v>
          </cell>
          <cell r="G119">
            <v>44968</v>
          </cell>
          <cell r="J119">
            <v>59</v>
          </cell>
          <cell r="L119">
            <v>21240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125067</v>
          </cell>
          <cell r="V119">
            <v>125067</v>
          </cell>
          <cell r="W119">
            <v>-28945.700000000186</v>
          </cell>
        </row>
        <row r="120">
          <cell r="E120">
            <v>122</v>
          </cell>
          <cell r="G120">
            <v>17812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80671</v>
          </cell>
          <cell r="V120">
            <v>80671</v>
          </cell>
          <cell r="W120">
            <v>-28945.700000000186</v>
          </cell>
        </row>
        <row r="121">
          <cell r="E121">
            <v>151</v>
          </cell>
          <cell r="G121">
            <v>22046</v>
          </cell>
          <cell r="J121">
            <v>5</v>
          </cell>
          <cell r="L121">
            <v>1800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86705</v>
          </cell>
          <cell r="V121">
            <v>86705</v>
          </cell>
          <cell r="W121">
            <v>-28945.700000000186</v>
          </cell>
        </row>
        <row r="122">
          <cell r="E122">
            <v>135</v>
          </cell>
          <cell r="G122">
            <v>19710</v>
          </cell>
          <cell r="J122">
            <v>12</v>
          </cell>
          <cell r="L122">
            <v>4320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82889</v>
          </cell>
          <cell r="V122">
            <v>82889</v>
          </cell>
          <cell r="W122">
            <v>-28945.700000000186</v>
          </cell>
        </row>
        <row r="123">
          <cell r="E123">
            <v>93</v>
          </cell>
          <cell r="G123">
            <v>13578</v>
          </cell>
          <cell r="J123">
            <v>31</v>
          </cell>
          <cell r="L123">
            <v>11160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83597</v>
          </cell>
          <cell r="V123">
            <v>83597</v>
          </cell>
          <cell r="W123">
            <v>-28945.700000000186</v>
          </cell>
        </row>
        <row r="124">
          <cell r="E124">
            <v>134</v>
          </cell>
          <cell r="G124">
            <v>19564</v>
          </cell>
          <cell r="J124">
            <v>74</v>
          </cell>
          <cell r="L124">
            <v>26640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105063</v>
          </cell>
          <cell r="V124">
            <v>105063</v>
          </cell>
          <cell r="W124">
            <v>-28945.700000000186</v>
          </cell>
        </row>
        <row r="125">
          <cell r="E125">
            <v>148</v>
          </cell>
          <cell r="G125">
            <v>21608</v>
          </cell>
          <cell r="J125">
            <v>75</v>
          </cell>
          <cell r="L125">
            <v>27000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107467</v>
          </cell>
          <cell r="V125">
            <v>107467</v>
          </cell>
          <cell r="W125">
            <v>0</v>
          </cell>
        </row>
        <row r="126">
          <cell r="E126">
            <v>145</v>
          </cell>
          <cell r="G126">
            <v>21170</v>
          </cell>
          <cell r="J126">
            <v>88</v>
          </cell>
          <cell r="L126">
            <v>31680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111709</v>
          </cell>
          <cell r="V126">
            <v>111709</v>
          </cell>
          <cell r="W126">
            <v>0</v>
          </cell>
        </row>
        <row r="127">
          <cell r="E127">
            <v>379</v>
          </cell>
          <cell r="G127">
            <v>55334</v>
          </cell>
          <cell r="J127">
            <v>140</v>
          </cell>
          <cell r="L127">
            <v>50400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165468</v>
          </cell>
          <cell r="V127">
            <v>165468</v>
          </cell>
          <cell r="W127">
            <v>0</v>
          </cell>
        </row>
        <row r="128">
          <cell r="E128">
            <v>575</v>
          </cell>
          <cell r="G128">
            <v>83950</v>
          </cell>
          <cell r="J128">
            <v>109</v>
          </cell>
          <cell r="L128">
            <v>39240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195212</v>
          </cell>
          <cell r="V128">
            <v>195212</v>
          </cell>
          <cell r="W128">
            <v>0</v>
          </cell>
        </row>
        <row r="129">
          <cell r="E129">
            <v>733</v>
          </cell>
          <cell r="G129">
            <v>107018</v>
          </cell>
          <cell r="J129">
            <v>100</v>
          </cell>
          <cell r="L129">
            <v>36000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202752</v>
          </cell>
          <cell r="V129">
            <v>202752</v>
          </cell>
          <cell r="W129">
            <v>0</v>
          </cell>
        </row>
        <row r="130">
          <cell r="E130">
            <v>900</v>
          </cell>
          <cell r="G130">
            <v>131400</v>
          </cell>
          <cell r="J130">
            <v>103</v>
          </cell>
          <cell r="L130">
            <v>37080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228214</v>
          </cell>
          <cell r="V130">
            <v>228214</v>
          </cell>
          <cell r="W130">
            <v>0</v>
          </cell>
        </row>
        <row r="131">
          <cell r="E131">
            <v>1014</v>
          </cell>
          <cell r="G131">
            <v>148044</v>
          </cell>
          <cell r="J131">
            <v>38</v>
          </cell>
          <cell r="L131">
            <v>13680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221458</v>
          </cell>
          <cell r="V131">
            <v>221458</v>
          </cell>
          <cell r="W131">
            <v>0</v>
          </cell>
        </row>
        <row r="132">
          <cell r="E132">
            <v>1081</v>
          </cell>
          <cell r="G132">
            <v>157826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218640</v>
          </cell>
          <cell r="V132">
            <v>218640</v>
          </cell>
          <cell r="W132">
            <v>0</v>
          </cell>
        </row>
        <row r="133">
          <cell r="E133">
            <v>60</v>
          </cell>
          <cell r="G133">
            <v>8760</v>
          </cell>
          <cell r="J133">
            <v>1</v>
          </cell>
          <cell r="L133">
            <v>360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68854</v>
          </cell>
          <cell r="V133">
            <v>68854</v>
          </cell>
          <cell r="W133">
            <v>0</v>
          </cell>
        </row>
        <row r="134">
          <cell r="E134">
            <v>52</v>
          </cell>
          <cell r="G134">
            <v>7592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67326</v>
          </cell>
          <cell r="V134">
            <v>67326</v>
          </cell>
          <cell r="W134">
            <v>0</v>
          </cell>
        </row>
        <row r="135">
          <cell r="E135">
            <v>95</v>
          </cell>
          <cell r="G135">
            <v>13870</v>
          </cell>
          <cell r="J135">
            <v>16</v>
          </cell>
          <cell r="L135">
            <v>5760</v>
          </cell>
          <cell r="M135">
            <v>0</v>
          </cell>
          <cell r="N135">
            <v>0</v>
          </cell>
          <cell r="O135">
            <v>8380</v>
          </cell>
          <cell r="P135">
            <v>0</v>
          </cell>
          <cell r="Q135">
            <v>59734</v>
          </cell>
          <cell r="R135">
            <v>0</v>
          </cell>
          <cell r="S135">
            <v>87744</v>
          </cell>
          <cell r="V135">
            <v>87744</v>
          </cell>
          <cell r="W135">
            <v>0</v>
          </cell>
        </row>
        <row r="136">
          <cell r="E136">
            <v>100</v>
          </cell>
          <cell r="G136">
            <v>14600</v>
          </cell>
          <cell r="J136">
            <v>77</v>
          </cell>
          <cell r="L136">
            <v>27720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102054</v>
          </cell>
          <cell r="V136">
            <v>102054</v>
          </cell>
          <cell r="W136">
            <v>0</v>
          </cell>
        </row>
        <row r="137">
          <cell r="E137">
            <v>91</v>
          </cell>
          <cell r="G137">
            <v>13286</v>
          </cell>
          <cell r="J137">
            <v>96</v>
          </cell>
          <cell r="L137">
            <v>34560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107580</v>
          </cell>
          <cell r="V137">
            <v>107580</v>
          </cell>
          <cell r="W137">
            <v>0</v>
          </cell>
        </row>
        <row r="138">
          <cell r="E138">
            <v>78</v>
          </cell>
          <cell r="G138">
            <v>11388</v>
          </cell>
          <cell r="J138">
            <v>123</v>
          </cell>
          <cell r="L138">
            <v>44280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135402</v>
          </cell>
          <cell r="V138">
            <v>135402</v>
          </cell>
          <cell r="W138">
            <v>0</v>
          </cell>
        </row>
        <row r="139">
          <cell r="E139">
            <v>144</v>
          </cell>
          <cell r="G139">
            <v>21024</v>
          </cell>
          <cell r="J139">
            <v>111</v>
          </cell>
          <cell r="L139">
            <v>39960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127520</v>
          </cell>
          <cell r="V139">
            <v>127500</v>
          </cell>
          <cell r="W139">
            <v>20</v>
          </cell>
        </row>
        <row r="140">
          <cell r="E140">
            <v>207</v>
          </cell>
          <cell r="G140">
            <v>30222</v>
          </cell>
          <cell r="J140">
            <v>80</v>
          </cell>
          <cell r="L140">
            <v>28800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125558</v>
          </cell>
          <cell r="V140">
            <v>125578</v>
          </cell>
          <cell r="W140">
            <v>0</v>
          </cell>
        </row>
        <row r="141">
          <cell r="E141">
            <v>127</v>
          </cell>
          <cell r="G141">
            <v>18542</v>
          </cell>
          <cell r="J141">
            <v>90</v>
          </cell>
          <cell r="L141">
            <v>32400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117478</v>
          </cell>
          <cell r="V141">
            <v>117478</v>
          </cell>
          <cell r="W141">
            <v>0</v>
          </cell>
        </row>
        <row r="142">
          <cell r="E142">
            <v>160</v>
          </cell>
          <cell r="G142">
            <v>23360</v>
          </cell>
          <cell r="J142">
            <v>77</v>
          </cell>
          <cell r="L142">
            <v>27720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117616</v>
          </cell>
          <cell r="V142">
            <v>0</v>
          </cell>
          <cell r="W142">
            <v>117616</v>
          </cell>
        </row>
        <row r="143">
          <cell r="E143">
            <v>108</v>
          </cell>
          <cell r="G143">
            <v>15768</v>
          </cell>
          <cell r="J143">
            <v>69</v>
          </cell>
          <cell r="L143">
            <v>24840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107144</v>
          </cell>
          <cell r="V143">
            <v>224760</v>
          </cell>
          <cell r="W143">
            <v>0</v>
          </cell>
        </row>
        <row r="144">
          <cell r="E144">
            <v>93</v>
          </cell>
          <cell r="G144">
            <v>13578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80474</v>
          </cell>
          <cell r="V144">
            <v>80474</v>
          </cell>
          <cell r="W144">
            <v>0</v>
          </cell>
        </row>
        <row r="145">
          <cell r="E145">
            <v>110</v>
          </cell>
          <cell r="G145">
            <v>16060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82596</v>
          </cell>
          <cell r="V145">
            <v>82596</v>
          </cell>
          <cell r="W145">
            <v>0</v>
          </cell>
        </row>
        <row r="146">
          <cell r="E146">
            <v>80</v>
          </cell>
          <cell r="G146">
            <v>11680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78216</v>
          </cell>
          <cell r="V146">
            <v>78216</v>
          </cell>
          <cell r="W146">
            <v>0</v>
          </cell>
        </row>
        <row r="147">
          <cell r="E147">
            <v>70</v>
          </cell>
          <cell r="G147">
            <v>10220</v>
          </cell>
          <cell r="J147">
            <v>1</v>
          </cell>
          <cell r="L147">
            <v>360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77116</v>
          </cell>
          <cell r="V147">
            <v>77116</v>
          </cell>
          <cell r="W147">
            <v>0</v>
          </cell>
        </row>
        <row r="148">
          <cell r="E148">
            <v>109</v>
          </cell>
          <cell r="G148">
            <v>15914</v>
          </cell>
          <cell r="J148">
            <v>47</v>
          </cell>
          <cell r="L148">
            <v>16920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99370</v>
          </cell>
          <cell r="V148">
            <v>99370</v>
          </cell>
          <cell r="W148">
            <v>0</v>
          </cell>
        </row>
        <row r="149">
          <cell r="E149">
            <v>134</v>
          </cell>
          <cell r="G149">
            <v>19564</v>
          </cell>
          <cell r="J149">
            <v>110</v>
          </cell>
          <cell r="L149">
            <v>39600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125700</v>
          </cell>
          <cell r="V149">
            <v>125700</v>
          </cell>
          <cell r="W149">
            <v>0</v>
          </cell>
        </row>
        <row r="150">
          <cell r="E150">
            <v>173</v>
          </cell>
          <cell r="G150">
            <v>25258</v>
          </cell>
          <cell r="J150">
            <v>126</v>
          </cell>
          <cell r="L150">
            <v>46440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140234</v>
          </cell>
          <cell r="V150">
            <v>140234</v>
          </cell>
          <cell r="W150">
            <v>0</v>
          </cell>
        </row>
        <row r="151">
          <cell r="E151">
            <v>218</v>
          </cell>
          <cell r="G151">
            <v>31828</v>
          </cell>
          <cell r="J151">
            <v>150</v>
          </cell>
          <cell r="L151">
            <v>59400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162623</v>
          </cell>
          <cell r="V151">
            <v>162623</v>
          </cell>
          <cell r="W151">
            <v>0</v>
          </cell>
        </row>
        <row r="152">
          <cell r="E152">
            <v>156</v>
          </cell>
          <cell r="G152">
            <v>22776</v>
          </cell>
          <cell r="J152">
            <v>78</v>
          </cell>
          <cell r="L152">
            <v>28080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122251</v>
          </cell>
          <cell r="V152">
            <v>122251</v>
          </cell>
          <cell r="W152">
            <v>0</v>
          </cell>
        </row>
        <row r="153">
          <cell r="E153">
            <v>152</v>
          </cell>
          <cell r="G153">
            <v>22192</v>
          </cell>
          <cell r="J153">
            <v>61</v>
          </cell>
          <cell r="L153">
            <v>21960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120506</v>
          </cell>
          <cell r="V153">
            <v>120506</v>
          </cell>
          <cell r="W153">
            <v>0</v>
          </cell>
        </row>
        <row r="154">
          <cell r="E154">
            <v>145</v>
          </cell>
          <cell r="G154">
            <v>21170</v>
          </cell>
          <cell r="J154">
            <v>39</v>
          </cell>
          <cell r="L154">
            <v>14040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111564</v>
          </cell>
          <cell r="V154">
            <v>111564</v>
          </cell>
          <cell r="W154">
            <v>0</v>
          </cell>
        </row>
        <row r="155">
          <cell r="E155">
            <v>111</v>
          </cell>
          <cell r="G155">
            <v>16206</v>
          </cell>
          <cell r="J155">
            <v>28</v>
          </cell>
          <cell r="L155">
            <v>10080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102640</v>
          </cell>
          <cell r="V155">
            <v>102640</v>
          </cell>
          <cell r="W155">
            <v>0</v>
          </cell>
        </row>
        <row r="156">
          <cell r="E156">
            <v>135</v>
          </cell>
          <cell r="G156">
            <v>19710</v>
          </cell>
          <cell r="J156">
            <v>4</v>
          </cell>
          <cell r="L156">
            <v>1440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97504</v>
          </cell>
          <cell r="V156">
            <v>97504</v>
          </cell>
          <cell r="W156">
            <v>0</v>
          </cell>
        </row>
        <row r="157">
          <cell r="E157">
            <v>104</v>
          </cell>
          <cell r="G157">
            <v>15184</v>
          </cell>
          <cell r="J157">
            <v>9</v>
          </cell>
          <cell r="L157">
            <v>3240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94778</v>
          </cell>
          <cell r="V157">
            <v>94778</v>
          </cell>
          <cell r="W157">
            <v>0</v>
          </cell>
        </row>
        <row r="158">
          <cell r="E158">
            <v>123</v>
          </cell>
          <cell r="G158">
            <v>17958</v>
          </cell>
          <cell r="J158">
            <v>4</v>
          </cell>
          <cell r="L158">
            <v>1440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95752</v>
          </cell>
          <cell r="V158">
            <v>95752</v>
          </cell>
          <cell r="W158">
            <v>0</v>
          </cell>
        </row>
        <row r="159">
          <cell r="E159">
            <v>94</v>
          </cell>
          <cell r="G159">
            <v>13724</v>
          </cell>
          <cell r="J159">
            <v>2</v>
          </cell>
          <cell r="L159">
            <v>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90798</v>
          </cell>
          <cell r="V159">
            <v>90798</v>
          </cell>
          <cell r="W159">
            <v>0</v>
          </cell>
        </row>
        <row r="160">
          <cell r="E160">
            <v>113</v>
          </cell>
          <cell r="G160">
            <v>16498</v>
          </cell>
          <cell r="J160">
            <v>6</v>
          </cell>
          <cell r="L160">
            <v>2160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95012</v>
          </cell>
          <cell r="V160">
            <v>95012</v>
          </cell>
          <cell r="W160">
            <v>0</v>
          </cell>
        </row>
        <row r="161">
          <cell r="E161">
            <v>94</v>
          </cell>
          <cell r="G161">
            <v>13724</v>
          </cell>
          <cell r="J161">
            <v>29</v>
          </cell>
          <cell r="L161">
            <v>10440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100518</v>
          </cell>
          <cell r="V161">
            <v>100518</v>
          </cell>
          <cell r="W161">
            <v>0</v>
          </cell>
        </row>
        <row r="162">
          <cell r="E162">
            <v>133</v>
          </cell>
          <cell r="G162">
            <v>19418</v>
          </cell>
          <cell r="J162">
            <v>93</v>
          </cell>
          <cell r="L162">
            <v>33480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128958</v>
          </cell>
          <cell r="V162">
            <v>128958</v>
          </cell>
          <cell r="W162">
            <v>0</v>
          </cell>
        </row>
        <row r="163">
          <cell r="E163">
            <v>96</v>
          </cell>
          <cell r="G163">
            <v>14016</v>
          </cell>
          <cell r="J163">
            <v>61</v>
          </cell>
          <cell r="L163">
            <v>21960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122036</v>
          </cell>
          <cell r="V163">
            <v>122036</v>
          </cell>
          <cell r="W163">
            <v>0</v>
          </cell>
        </row>
        <row r="164">
          <cell r="E164">
            <v>108</v>
          </cell>
          <cell r="G164">
            <v>15768</v>
          </cell>
          <cell r="J164">
            <v>14</v>
          </cell>
          <cell r="L164">
            <v>5040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106868</v>
          </cell>
          <cell r="V164">
            <v>106868</v>
          </cell>
          <cell r="W164">
            <v>0</v>
          </cell>
        </row>
        <row r="165">
          <cell r="E165">
            <v>109</v>
          </cell>
          <cell r="G165">
            <v>15914</v>
          </cell>
          <cell r="J165">
            <v>56</v>
          </cell>
          <cell r="L165">
            <v>20160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122134</v>
          </cell>
          <cell r="V165">
            <v>122134</v>
          </cell>
          <cell r="W165">
            <v>0</v>
          </cell>
        </row>
        <row r="166">
          <cell r="E166">
            <v>90</v>
          </cell>
          <cell r="G166">
            <v>13140</v>
          </cell>
          <cell r="J166">
            <v>56</v>
          </cell>
          <cell r="L166">
            <v>20160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119404</v>
          </cell>
          <cell r="V166">
            <v>119404</v>
          </cell>
          <cell r="W166">
            <v>0</v>
          </cell>
        </row>
        <row r="167">
          <cell r="E167">
            <v>89</v>
          </cell>
          <cell r="G167">
            <v>12994</v>
          </cell>
          <cell r="J167">
            <v>17</v>
          </cell>
          <cell r="L167">
            <v>6120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105218</v>
          </cell>
          <cell r="V167">
            <v>105218</v>
          </cell>
          <cell r="W167">
            <v>0</v>
          </cell>
        </row>
        <row r="168">
          <cell r="E168">
            <v>123</v>
          </cell>
          <cell r="G168">
            <v>17958</v>
          </cell>
          <cell r="J168">
            <v>3</v>
          </cell>
          <cell r="L168">
            <v>1080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105142</v>
          </cell>
          <cell r="V168">
            <v>105142</v>
          </cell>
          <cell r="W168">
            <v>0</v>
          </cell>
        </row>
        <row r="169">
          <cell r="E169">
            <v>79</v>
          </cell>
          <cell r="G169">
            <v>11534</v>
          </cell>
          <cell r="J169">
            <v>89</v>
          </cell>
          <cell r="L169">
            <v>32040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129284</v>
          </cell>
          <cell r="V169">
            <v>0</v>
          </cell>
          <cell r="W169">
            <v>129284</v>
          </cell>
        </row>
        <row r="170">
          <cell r="E170">
            <v>75</v>
          </cell>
          <cell r="G170">
            <v>10950</v>
          </cell>
          <cell r="J170">
            <v>132</v>
          </cell>
          <cell r="L170">
            <v>69300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165960</v>
          </cell>
          <cell r="V170">
            <v>295244</v>
          </cell>
          <cell r="W170">
            <v>0</v>
          </cell>
        </row>
        <row r="171">
          <cell r="E171">
            <v>87</v>
          </cell>
          <cell r="G171">
            <v>12702</v>
          </cell>
          <cell r="J171">
            <v>43</v>
          </cell>
          <cell r="L171">
            <v>15480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109577</v>
          </cell>
          <cell r="V171">
            <v>109577</v>
          </cell>
          <cell r="W171">
            <v>0</v>
          </cell>
        </row>
        <row r="172">
          <cell r="E172">
            <v>81</v>
          </cell>
          <cell r="G172">
            <v>11826</v>
          </cell>
          <cell r="J172">
            <v>138</v>
          </cell>
          <cell r="L172">
            <v>52920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146141</v>
          </cell>
          <cell r="V172">
            <v>0</v>
          </cell>
          <cell r="W172">
            <v>146141</v>
          </cell>
        </row>
        <row r="173">
          <cell r="E173">
            <v>94</v>
          </cell>
          <cell r="G173">
            <v>13724</v>
          </cell>
          <cell r="J173">
            <v>247</v>
          </cell>
          <cell r="L173">
            <v>214920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310039</v>
          </cell>
          <cell r="V173">
            <v>0</v>
          </cell>
          <cell r="W173">
            <v>456180</v>
          </cell>
        </row>
        <row r="174">
          <cell r="E174">
            <v>84</v>
          </cell>
          <cell r="G174">
            <v>12264</v>
          </cell>
          <cell r="J174">
            <v>166</v>
          </cell>
          <cell r="L174">
            <v>76680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170339</v>
          </cell>
          <cell r="V174">
            <v>626519</v>
          </cell>
          <cell r="W174">
            <v>0</v>
          </cell>
        </row>
      </sheetData>
      <sheetData sheetId="2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2107.8000000000002</v>
          </cell>
          <cell r="G16">
            <v>132791.40000000002</v>
          </cell>
          <cell r="J16">
            <v>1239.845</v>
          </cell>
          <cell r="L16">
            <v>371953.5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543744.9</v>
          </cell>
          <cell r="V16">
            <v>0</v>
          </cell>
          <cell r="W16">
            <v>0</v>
          </cell>
        </row>
        <row r="17">
          <cell r="E17">
            <v>123.89999999999964</v>
          </cell>
          <cell r="G17">
            <v>7805.6999999999771</v>
          </cell>
          <cell r="J17">
            <v>108.29600000000005</v>
          </cell>
          <cell r="L17">
            <v>32488.800000000014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79294.5</v>
          </cell>
          <cell r="V17">
            <v>0</v>
          </cell>
          <cell r="W17">
            <v>0</v>
          </cell>
        </row>
        <row r="18">
          <cell r="E18">
            <v>76.900000000000091</v>
          </cell>
          <cell r="G18">
            <v>4844.7000000000062</v>
          </cell>
          <cell r="J18">
            <v>334.35899999999992</v>
          </cell>
          <cell r="L18">
            <v>100307.69999999998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144152.4</v>
          </cell>
          <cell r="V18">
            <v>0</v>
          </cell>
          <cell r="W18">
            <v>0</v>
          </cell>
        </row>
        <row r="19">
          <cell r="E19">
            <v>93.300000000000182</v>
          </cell>
          <cell r="G19">
            <v>5877.9000000000115</v>
          </cell>
          <cell r="J19">
            <v>169.29999999999995</v>
          </cell>
          <cell r="L19">
            <v>50789.999999999985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95667.9</v>
          </cell>
          <cell r="V19">
            <v>0</v>
          </cell>
          <cell r="W19">
            <v>0</v>
          </cell>
        </row>
        <row r="20">
          <cell r="E20">
            <v>79.599999999999909</v>
          </cell>
          <cell r="G20">
            <v>5014.7999999999938</v>
          </cell>
          <cell r="J20">
            <v>216.29999999999995</v>
          </cell>
          <cell r="L20">
            <v>64889.999999999985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108904.79999999997</v>
          </cell>
          <cell r="V20">
            <v>0</v>
          </cell>
          <cell r="W20">
            <v>0</v>
          </cell>
        </row>
        <row r="21">
          <cell r="E21">
            <v>58.699999999999818</v>
          </cell>
          <cell r="G21">
            <v>3698.0999999999885</v>
          </cell>
          <cell r="J21">
            <v>96.5</v>
          </cell>
          <cell r="L21">
            <v>28950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71648.099999999991</v>
          </cell>
          <cell r="V21">
            <v>0</v>
          </cell>
          <cell r="W21">
            <v>0</v>
          </cell>
        </row>
        <row r="22">
          <cell r="E22">
            <v>31.800000000000182</v>
          </cell>
          <cell r="G22">
            <v>2003.4000000000115</v>
          </cell>
          <cell r="J22">
            <v>28.700000000000273</v>
          </cell>
          <cell r="L22">
            <v>10332.000000000098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51335.400000000111</v>
          </cell>
          <cell r="V22">
            <v>0</v>
          </cell>
          <cell r="W22">
            <v>0</v>
          </cell>
        </row>
        <row r="23">
          <cell r="E23">
            <v>28.099999999999909</v>
          </cell>
          <cell r="G23">
            <v>1770.2999999999943</v>
          </cell>
          <cell r="J23">
            <v>22.699999999999818</v>
          </cell>
          <cell r="L23">
            <v>8171.9999999999345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48942.29999999993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3.0999999999999091</v>
          </cell>
          <cell r="L24">
            <v>1115.9999999999673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40115.999999999971</v>
          </cell>
          <cell r="V24">
            <v>0</v>
          </cell>
          <cell r="W24">
            <v>0</v>
          </cell>
        </row>
        <row r="25">
          <cell r="E25">
            <v>166</v>
          </cell>
          <cell r="G25">
            <v>10458</v>
          </cell>
          <cell r="J25">
            <v>11.400000000000091</v>
          </cell>
          <cell r="L25">
            <v>4104.0000000000327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53562.000000000029</v>
          </cell>
          <cell r="V25">
            <v>0</v>
          </cell>
          <cell r="W25">
            <v>53562.000000000029</v>
          </cell>
        </row>
        <row r="26">
          <cell r="E26">
            <v>102.20000000000027</v>
          </cell>
          <cell r="G26">
            <v>6438.6000000000167</v>
          </cell>
          <cell r="J26">
            <v>11.599999999999909</v>
          </cell>
          <cell r="L26">
            <v>4175.9999999999673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49614.599999999984</v>
          </cell>
          <cell r="V26">
            <v>53562</v>
          </cell>
          <cell r="W26">
            <v>49614.60000000002</v>
          </cell>
        </row>
        <row r="27">
          <cell r="E27">
            <v>18.799999999999727</v>
          </cell>
          <cell r="G27">
            <v>1184.3999999999828</v>
          </cell>
          <cell r="J27">
            <v>31.5</v>
          </cell>
          <cell r="L27">
            <v>11340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51524.39999999998</v>
          </cell>
          <cell r="V27">
            <v>53562</v>
          </cell>
          <cell r="W27">
            <v>47577</v>
          </cell>
        </row>
        <row r="28">
          <cell r="E28">
            <v>6.3000000000001819</v>
          </cell>
          <cell r="G28">
            <v>396.90000000001146</v>
          </cell>
          <cell r="J28">
            <v>48.5</v>
          </cell>
          <cell r="L28">
            <v>17460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56856.900000000009</v>
          </cell>
          <cell r="V28">
            <v>0</v>
          </cell>
          <cell r="W28">
            <v>104433.90000000001</v>
          </cell>
        </row>
        <row r="29">
          <cell r="E29">
            <v>2.5999999999999091</v>
          </cell>
          <cell r="G29">
            <v>163.79999999999427</v>
          </cell>
          <cell r="J29">
            <v>47.900000000000091</v>
          </cell>
          <cell r="L29">
            <v>17244.000000000033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56407.800000000032</v>
          </cell>
          <cell r="V29">
            <v>104435</v>
          </cell>
          <cell r="W29">
            <v>56406.700000000041</v>
          </cell>
        </row>
        <row r="30">
          <cell r="E30">
            <v>6</v>
          </cell>
          <cell r="G30">
            <v>378</v>
          </cell>
          <cell r="J30">
            <v>84</v>
          </cell>
          <cell r="L30">
            <v>30240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69618</v>
          </cell>
          <cell r="V30">
            <v>56406</v>
          </cell>
          <cell r="W30">
            <v>69618.700000000041</v>
          </cell>
        </row>
        <row r="31">
          <cell r="E31">
            <v>75</v>
          </cell>
          <cell r="G31">
            <v>4725</v>
          </cell>
          <cell r="J31">
            <v>126</v>
          </cell>
          <cell r="L31">
            <v>45360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89085</v>
          </cell>
          <cell r="V31">
            <v>69618</v>
          </cell>
          <cell r="W31">
            <v>112585.70000000004</v>
          </cell>
        </row>
        <row r="32">
          <cell r="E32">
            <v>72</v>
          </cell>
          <cell r="G32">
            <v>4536</v>
          </cell>
          <cell r="J32">
            <v>79</v>
          </cell>
          <cell r="L32">
            <v>28440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75976</v>
          </cell>
          <cell r="V32">
            <v>112585</v>
          </cell>
          <cell r="W32">
            <v>95476.700000000041</v>
          </cell>
        </row>
        <row r="33">
          <cell r="E33">
            <v>7</v>
          </cell>
          <cell r="G33">
            <v>441</v>
          </cell>
          <cell r="J33">
            <v>24</v>
          </cell>
          <cell r="L33">
            <v>8640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52081</v>
          </cell>
          <cell r="V33">
            <v>95476</v>
          </cell>
          <cell r="W33">
            <v>52081.700000000041</v>
          </cell>
        </row>
        <row r="34">
          <cell r="E34">
            <v>49</v>
          </cell>
          <cell r="G34">
            <v>3087</v>
          </cell>
          <cell r="J34">
            <v>55</v>
          </cell>
          <cell r="L34">
            <v>19800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65887</v>
          </cell>
          <cell r="V34">
            <v>0</v>
          </cell>
          <cell r="W34">
            <v>117968.70000000004</v>
          </cell>
        </row>
        <row r="35">
          <cell r="E35">
            <v>0</v>
          </cell>
          <cell r="G35">
            <v>0</v>
          </cell>
          <cell r="J35">
            <v>9</v>
          </cell>
          <cell r="L35">
            <v>3240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46240</v>
          </cell>
          <cell r="V35">
            <v>117968</v>
          </cell>
          <cell r="W35">
            <v>46240.700000000041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43000</v>
          </cell>
          <cell r="V36">
            <v>0</v>
          </cell>
          <cell r="W36">
            <v>89240.700000000041</v>
          </cell>
        </row>
        <row r="37">
          <cell r="E37">
            <v>22</v>
          </cell>
          <cell r="G37">
            <v>1386</v>
          </cell>
          <cell r="J37">
            <v>1</v>
          </cell>
          <cell r="L37">
            <v>360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44746</v>
          </cell>
          <cell r="V37">
            <v>133986</v>
          </cell>
          <cell r="W37">
            <v>0.70000000004074536</v>
          </cell>
        </row>
        <row r="38">
          <cell r="E38">
            <v>94</v>
          </cell>
          <cell r="G38">
            <v>5922</v>
          </cell>
          <cell r="J38">
            <v>8</v>
          </cell>
          <cell r="L38">
            <v>2880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51802</v>
          </cell>
          <cell r="V38">
            <v>0</v>
          </cell>
          <cell r="W38">
            <v>51802.700000000041</v>
          </cell>
        </row>
        <row r="39">
          <cell r="E39">
            <v>60</v>
          </cell>
          <cell r="G39">
            <v>3780</v>
          </cell>
          <cell r="J39">
            <v>24</v>
          </cell>
          <cell r="L39">
            <v>8640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55420</v>
          </cell>
          <cell r="V39">
            <v>51802</v>
          </cell>
          <cell r="W39">
            <v>55420.700000000041</v>
          </cell>
        </row>
        <row r="40">
          <cell r="E40">
            <v>19</v>
          </cell>
          <cell r="G40">
            <v>1197</v>
          </cell>
          <cell r="J40">
            <v>22</v>
          </cell>
          <cell r="L40">
            <v>7920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52117</v>
          </cell>
          <cell r="V40">
            <v>55420</v>
          </cell>
          <cell r="W40">
            <v>52117.700000000041</v>
          </cell>
        </row>
        <row r="41">
          <cell r="E41">
            <v>19</v>
          </cell>
          <cell r="G41">
            <v>1197</v>
          </cell>
          <cell r="J41">
            <v>62</v>
          </cell>
          <cell r="L41">
            <v>22320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66517</v>
          </cell>
          <cell r="V41">
            <v>52118</v>
          </cell>
          <cell r="W41">
            <v>66516.700000000041</v>
          </cell>
        </row>
        <row r="42">
          <cell r="E42">
            <v>0</v>
          </cell>
          <cell r="G42">
            <v>0</v>
          </cell>
          <cell r="J42">
            <v>35</v>
          </cell>
          <cell r="L42">
            <v>12600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55600</v>
          </cell>
          <cell r="V42">
            <v>0</v>
          </cell>
          <cell r="W42">
            <v>122116.70000000004</v>
          </cell>
        </row>
        <row r="43">
          <cell r="E43">
            <v>40</v>
          </cell>
          <cell r="G43">
            <v>2520</v>
          </cell>
          <cell r="J43">
            <v>133</v>
          </cell>
          <cell r="L43">
            <v>47880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93400</v>
          </cell>
          <cell r="V43">
            <v>0</v>
          </cell>
          <cell r="W43">
            <v>215516.70000000004</v>
          </cell>
        </row>
        <row r="44">
          <cell r="E44">
            <v>100</v>
          </cell>
          <cell r="G44">
            <v>6300</v>
          </cell>
          <cell r="J44">
            <v>70</v>
          </cell>
          <cell r="L44">
            <v>25200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74500</v>
          </cell>
          <cell r="V44">
            <v>122117</v>
          </cell>
          <cell r="W44">
            <v>167899.70000000007</v>
          </cell>
        </row>
        <row r="45">
          <cell r="E45">
            <v>1</v>
          </cell>
          <cell r="G45">
            <v>63</v>
          </cell>
          <cell r="J45">
            <v>65</v>
          </cell>
          <cell r="L45">
            <v>23400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66463</v>
          </cell>
          <cell r="V45">
            <v>0</v>
          </cell>
          <cell r="W45">
            <v>234362.70000000007</v>
          </cell>
        </row>
        <row r="46">
          <cell r="E46">
            <v>16</v>
          </cell>
          <cell r="G46">
            <v>1008</v>
          </cell>
          <cell r="J46">
            <v>69</v>
          </cell>
          <cell r="L46">
            <v>24840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68848</v>
          </cell>
          <cell r="V46">
            <v>167899</v>
          </cell>
          <cell r="W46">
            <v>135311.70000000007</v>
          </cell>
        </row>
        <row r="47">
          <cell r="E47">
            <v>1</v>
          </cell>
          <cell r="G47">
            <v>63</v>
          </cell>
          <cell r="J47">
            <v>35</v>
          </cell>
          <cell r="L47">
            <v>12600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55663</v>
          </cell>
          <cell r="V47">
            <v>135311</v>
          </cell>
          <cell r="W47">
            <v>55663.70000000007</v>
          </cell>
        </row>
        <row r="48">
          <cell r="E48">
            <v>1</v>
          </cell>
          <cell r="G48">
            <v>63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43423</v>
          </cell>
          <cell r="V48">
            <v>55663</v>
          </cell>
          <cell r="W48">
            <v>43423.70000000007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43000</v>
          </cell>
          <cell r="V49">
            <v>43423</v>
          </cell>
          <cell r="W49">
            <v>43000.70000000007</v>
          </cell>
        </row>
        <row r="50">
          <cell r="E50">
            <v>30</v>
          </cell>
          <cell r="G50">
            <v>1890</v>
          </cell>
          <cell r="J50">
            <v>5</v>
          </cell>
          <cell r="L50">
            <v>1800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46690</v>
          </cell>
          <cell r="V50">
            <v>43000</v>
          </cell>
          <cell r="W50">
            <v>46690.70000000007</v>
          </cell>
        </row>
        <row r="51">
          <cell r="E51">
            <v>6</v>
          </cell>
          <cell r="G51">
            <v>378</v>
          </cell>
          <cell r="J51">
            <v>5</v>
          </cell>
          <cell r="L51">
            <v>1800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45178</v>
          </cell>
          <cell r="V51">
            <v>46690</v>
          </cell>
          <cell r="W51">
            <v>45178.70000000007</v>
          </cell>
        </row>
        <row r="52">
          <cell r="E52">
            <v>1</v>
          </cell>
          <cell r="G52">
            <v>63</v>
          </cell>
          <cell r="J52">
            <v>42</v>
          </cell>
          <cell r="L52">
            <v>15120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58183</v>
          </cell>
          <cell r="V52">
            <v>45178</v>
          </cell>
          <cell r="W52">
            <v>58183.70000000007</v>
          </cell>
        </row>
        <row r="53">
          <cell r="E53">
            <v>81</v>
          </cell>
          <cell r="G53">
            <v>5103</v>
          </cell>
          <cell r="J53">
            <v>227</v>
          </cell>
          <cell r="L53">
            <v>81720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129823</v>
          </cell>
          <cell r="V53">
            <v>58183</v>
          </cell>
          <cell r="W53">
            <v>129823.70000000007</v>
          </cell>
        </row>
        <row r="54">
          <cell r="E54">
            <v>1</v>
          </cell>
          <cell r="G54">
            <v>63</v>
          </cell>
          <cell r="J54">
            <v>44</v>
          </cell>
          <cell r="L54">
            <v>15840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58903</v>
          </cell>
          <cell r="V54">
            <v>129823</v>
          </cell>
          <cell r="W54">
            <v>65903.70000000007</v>
          </cell>
        </row>
        <row r="55">
          <cell r="E55">
            <v>1</v>
          </cell>
          <cell r="G55">
            <v>63</v>
          </cell>
          <cell r="J55">
            <v>49</v>
          </cell>
          <cell r="L55">
            <v>17640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67703</v>
          </cell>
          <cell r="V55">
            <v>65903</v>
          </cell>
          <cell r="W55">
            <v>67703.70000000007</v>
          </cell>
        </row>
        <row r="56">
          <cell r="E56">
            <v>127</v>
          </cell>
          <cell r="G56">
            <v>8001</v>
          </cell>
          <cell r="J56">
            <v>88</v>
          </cell>
          <cell r="L56">
            <v>31680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89681</v>
          </cell>
          <cell r="V56">
            <v>67703</v>
          </cell>
          <cell r="W56">
            <v>89681.70000000007</v>
          </cell>
        </row>
        <row r="57">
          <cell r="E57">
            <v>0</v>
          </cell>
          <cell r="G57">
            <v>0</v>
          </cell>
          <cell r="J57">
            <v>24</v>
          </cell>
          <cell r="L57">
            <v>8640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58640</v>
          </cell>
          <cell r="V57">
            <v>0</v>
          </cell>
          <cell r="W57">
            <v>148321.70000000007</v>
          </cell>
        </row>
        <row r="58">
          <cell r="E58">
            <v>1</v>
          </cell>
          <cell r="G58">
            <v>63</v>
          </cell>
          <cell r="J58">
            <v>31</v>
          </cell>
          <cell r="L58">
            <v>11160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61223</v>
          </cell>
          <cell r="V58">
            <v>148321</v>
          </cell>
          <cell r="W58">
            <v>61223.70000000007</v>
          </cell>
        </row>
        <row r="59">
          <cell r="E59">
            <v>17</v>
          </cell>
          <cell r="G59">
            <v>1071</v>
          </cell>
          <cell r="J59">
            <v>26</v>
          </cell>
          <cell r="L59">
            <v>9360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60431</v>
          </cell>
          <cell r="V59">
            <v>61223</v>
          </cell>
          <cell r="W59">
            <v>60431.70000000007</v>
          </cell>
        </row>
        <row r="60">
          <cell r="E60">
            <v>0</v>
          </cell>
          <cell r="G60">
            <v>0</v>
          </cell>
          <cell r="J60">
            <v>3</v>
          </cell>
          <cell r="L60">
            <v>1080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51080</v>
          </cell>
          <cell r="V60">
            <v>60431</v>
          </cell>
          <cell r="W60">
            <v>51080.70000000007</v>
          </cell>
        </row>
        <row r="61">
          <cell r="E61">
            <v>4</v>
          </cell>
          <cell r="G61">
            <v>252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50612</v>
          </cell>
          <cell r="V61">
            <v>51060</v>
          </cell>
          <cell r="W61">
            <v>50632.70000000007</v>
          </cell>
        </row>
        <row r="62">
          <cell r="E62">
            <v>0</v>
          </cell>
          <cell r="G62">
            <v>0</v>
          </cell>
          <cell r="J62">
            <v>2</v>
          </cell>
          <cell r="L62">
            <v>720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50720</v>
          </cell>
          <cell r="V62">
            <v>50632</v>
          </cell>
          <cell r="W62">
            <v>50720.70000000007</v>
          </cell>
        </row>
        <row r="63">
          <cell r="E63">
            <v>165</v>
          </cell>
          <cell r="G63">
            <v>10395</v>
          </cell>
          <cell r="J63">
            <v>16</v>
          </cell>
          <cell r="L63">
            <v>5760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66155</v>
          </cell>
          <cell r="V63">
            <v>50720</v>
          </cell>
          <cell r="W63">
            <v>66155.70000000007</v>
          </cell>
        </row>
        <row r="64">
          <cell r="E64">
            <v>4</v>
          </cell>
          <cell r="G64">
            <v>316</v>
          </cell>
          <cell r="J64">
            <v>50</v>
          </cell>
          <cell r="L64">
            <v>18000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68316</v>
          </cell>
          <cell r="V64">
            <v>0</v>
          </cell>
          <cell r="W64">
            <v>134471.70000000007</v>
          </cell>
        </row>
        <row r="65">
          <cell r="E65">
            <v>12</v>
          </cell>
          <cell r="G65">
            <v>948</v>
          </cell>
          <cell r="J65">
            <v>55</v>
          </cell>
          <cell r="L65">
            <v>19800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70748</v>
          </cell>
          <cell r="V65">
            <v>134471</v>
          </cell>
          <cell r="W65">
            <v>70748.70000000007</v>
          </cell>
        </row>
        <row r="66">
          <cell r="E66">
            <v>3</v>
          </cell>
          <cell r="G66">
            <v>237</v>
          </cell>
          <cell r="J66">
            <v>33</v>
          </cell>
          <cell r="L66">
            <v>11880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62117</v>
          </cell>
          <cell r="V66">
            <v>70748</v>
          </cell>
          <cell r="W66">
            <v>62117.70000000007</v>
          </cell>
        </row>
        <row r="67">
          <cell r="E67">
            <v>35</v>
          </cell>
          <cell r="G67">
            <v>3045</v>
          </cell>
          <cell r="J67">
            <v>20</v>
          </cell>
          <cell r="L67">
            <v>7200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60245</v>
          </cell>
          <cell r="V67">
            <v>62117</v>
          </cell>
          <cell r="W67">
            <v>60245.70000000007</v>
          </cell>
        </row>
        <row r="68">
          <cell r="E68">
            <v>0</v>
          </cell>
          <cell r="G68">
            <v>0</v>
          </cell>
          <cell r="J68">
            <v>14</v>
          </cell>
          <cell r="L68">
            <v>5040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55040</v>
          </cell>
          <cell r="V68">
            <v>60245</v>
          </cell>
          <cell r="W68">
            <v>55040.70000000007</v>
          </cell>
        </row>
        <row r="69">
          <cell r="E69">
            <v>0</v>
          </cell>
          <cell r="G69">
            <v>0</v>
          </cell>
          <cell r="J69">
            <v>15</v>
          </cell>
          <cell r="L69">
            <v>5400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55400</v>
          </cell>
          <cell r="V69">
            <v>55040</v>
          </cell>
          <cell r="W69">
            <v>55400.70000000007</v>
          </cell>
        </row>
        <row r="70">
          <cell r="E70">
            <v>0</v>
          </cell>
          <cell r="G70">
            <v>0</v>
          </cell>
          <cell r="J70">
            <v>22</v>
          </cell>
          <cell r="L70">
            <v>7920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57920</v>
          </cell>
          <cell r="V70">
            <v>55400</v>
          </cell>
          <cell r="W70">
            <v>57920.70000000007</v>
          </cell>
        </row>
        <row r="71">
          <cell r="E71">
            <v>2</v>
          </cell>
          <cell r="G71">
            <v>196</v>
          </cell>
          <cell r="J71">
            <v>7</v>
          </cell>
          <cell r="L71">
            <v>2520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52716</v>
          </cell>
          <cell r="V71">
            <v>57920</v>
          </cell>
          <cell r="W71">
            <v>52716.70000000007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50000</v>
          </cell>
          <cell r="V72">
            <v>0</v>
          </cell>
          <cell r="W72">
            <v>102716.70000000007</v>
          </cell>
        </row>
        <row r="73">
          <cell r="E73">
            <v>42</v>
          </cell>
          <cell r="G73">
            <v>4704</v>
          </cell>
          <cell r="J73">
            <v>2</v>
          </cell>
          <cell r="L73">
            <v>720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55424</v>
          </cell>
          <cell r="V73">
            <v>102716</v>
          </cell>
          <cell r="W73">
            <v>55424.70000000007</v>
          </cell>
        </row>
        <row r="74">
          <cell r="E74">
            <v>49</v>
          </cell>
          <cell r="G74">
            <v>5243</v>
          </cell>
          <cell r="J74">
            <v>3</v>
          </cell>
          <cell r="L74">
            <v>1080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56323</v>
          </cell>
          <cell r="V74">
            <v>55424</v>
          </cell>
          <cell r="W74">
            <v>56323.70000000007</v>
          </cell>
        </row>
        <row r="75">
          <cell r="E75">
            <v>103</v>
          </cell>
          <cell r="G75">
            <v>11330</v>
          </cell>
          <cell r="J75">
            <v>16</v>
          </cell>
          <cell r="L75">
            <v>5760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67090</v>
          </cell>
          <cell r="V75">
            <v>0</v>
          </cell>
          <cell r="W75">
            <v>123413.70000000007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50000</v>
          </cell>
          <cell r="V76">
            <v>0</v>
          </cell>
          <cell r="W76">
            <v>173413.70000000007</v>
          </cell>
        </row>
        <row r="77">
          <cell r="E77">
            <v>1</v>
          </cell>
          <cell r="G77">
            <v>119</v>
          </cell>
          <cell r="J77">
            <v>36</v>
          </cell>
          <cell r="L77">
            <v>12960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63079</v>
          </cell>
          <cell r="V77">
            <v>0</v>
          </cell>
          <cell r="W77">
            <v>236492.70000000007</v>
          </cell>
        </row>
        <row r="78">
          <cell r="E78">
            <v>3</v>
          </cell>
          <cell r="G78">
            <v>324</v>
          </cell>
          <cell r="J78">
            <v>70</v>
          </cell>
          <cell r="L78">
            <v>25200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31201.670000000009</v>
          </cell>
          <cell r="S78">
            <v>75524</v>
          </cell>
          <cell r="V78">
            <v>0</v>
          </cell>
          <cell r="W78">
            <v>343218.37000000005</v>
          </cell>
        </row>
        <row r="79">
          <cell r="E79">
            <v>456</v>
          </cell>
          <cell r="G79">
            <v>56544</v>
          </cell>
          <cell r="J79">
            <v>76</v>
          </cell>
          <cell r="L79">
            <v>27360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133904</v>
          </cell>
          <cell r="V79">
            <v>343217</v>
          </cell>
          <cell r="W79">
            <v>133905.37000000005</v>
          </cell>
        </row>
        <row r="80">
          <cell r="E80">
            <v>473</v>
          </cell>
          <cell r="G80">
            <v>61490</v>
          </cell>
          <cell r="J80">
            <v>126</v>
          </cell>
          <cell r="L80">
            <v>45360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156850</v>
          </cell>
          <cell r="V80">
            <v>102703</v>
          </cell>
          <cell r="W80">
            <v>152850.70000000007</v>
          </cell>
        </row>
        <row r="81">
          <cell r="E81">
            <v>139</v>
          </cell>
          <cell r="G81">
            <v>18070</v>
          </cell>
          <cell r="J81">
            <v>53</v>
          </cell>
          <cell r="L81">
            <v>19080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83150</v>
          </cell>
          <cell r="V81">
            <v>152850</v>
          </cell>
          <cell r="W81">
            <v>83150.70000000007</v>
          </cell>
        </row>
        <row r="82">
          <cell r="E82">
            <v>102</v>
          </cell>
          <cell r="G82">
            <v>14280</v>
          </cell>
          <cell r="J82">
            <v>49</v>
          </cell>
          <cell r="L82">
            <v>17640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77920</v>
          </cell>
          <cell r="V82">
            <v>114352</v>
          </cell>
          <cell r="W82">
            <v>46718.70000000007</v>
          </cell>
        </row>
        <row r="83">
          <cell r="E83">
            <v>512</v>
          </cell>
          <cell r="G83">
            <v>74752</v>
          </cell>
          <cell r="J83">
            <v>24</v>
          </cell>
          <cell r="L83">
            <v>8640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129392</v>
          </cell>
          <cell r="V83">
            <v>46718</v>
          </cell>
          <cell r="W83">
            <v>129392.70000000007</v>
          </cell>
        </row>
        <row r="84">
          <cell r="E84">
            <v>1341</v>
          </cell>
          <cell r="G84">
            <v>195786</v>
          </cell>
          <cell r="J84">
            <v>35</v>
          </cell>
          <cell r="L84">
            <v>12600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254386</v>
          </cell>
          <cell r="V84">
            <v>129392</v>
          </cell>
          <cell r="W84">
            <v>254386.70000000007</v>
          </cell>
        </row>
        <row r="85">
          <cell r="E85">
            <v>302</v>
          </cell>
          <cell r="G85">
            <v>44092</v>
          </cell>
          <cell r="J85">
            <v>6</v>
          </cell>
          <cell r="L85">
            <v>2160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92252</v>
          </cell>
          <cell r="V85">
            <v>254387</v>
          </cell>
          <cell r="W85">
            <v>102251.70000000007</v>
          </cell>
        </row>
        <row r="86">
          <cell r="E86">
            <v>613</v>
          </cell>
          <cell r="G86">
            <v>89498</v>
          </cell>
          <cell r="J86">
            <v>12</v>
          </cell>
          <cell r="L86">
            <v>4320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149818</v>
          </cell>
          <cell r="V86">
            <v>102252</v>
          </cell>
          <cell r="W86">
            <v>139817.70000000007</v>
          </cell>
        </row>
        <row r="87">
          <cell r="E87">
            <v>1382</v>
          </cell>
          <cell r="G87">
            <v>201772</v>
          </cell>
          <cell r="J87">
            <v>35</v>
          </cell>
          <cell r="L87">
            <v>12600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260372</v>
          </cell>
          <cell r="V87">
            <v>139818</v>
          </cell>
          <cell r="W87">
            <v>260371.70000000007</v>
          </cell>
        </row>
        <row r="88">
          <cell r="E88">
            <v>989</v>
          </cell>
          <cell r="G88">
            <v>144394</v>
          </cell>
          <cell r="J88">
            <v>67</v>
          </cell>
          <cell r="L88">
            <v>24120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214514</v>
          </cell>
          <cell r="V88">
            <v>260372</v>
          </cell>
          <cell r="W88">
            <v>214513.70000000007</v>
          </cell>
        </row>
        <row r="89">
          <cell r="E89">
            <v>667</v>
          </cell>
          <cell r="G89">
            <v>97382</v>
          </cell>
          <cell r="J89">
            <v>75</v>
          </cell>
          <cell r="L89">
            <v>27000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170382</v>
          </cell>
          <cell r="V89">
            <v>384896</v>
          </cell>
          <cell r="W89">
            <v>-0.29999999993015081</v>
          </cell>
        </row>
        <row r="90">
          <cell r="E90">
            <v>179</v>
          </cell>
          <cell r="G90">
            <v>26134</v>
          </cell>
          <cell r="J90">
            <v>159</v>
          </cell>
          <cell r="L90">
            <v>58860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130994</v>
          </cell>
          <cell r="V90">
            <v>0</v>
          </cell>
          <cell r="W90">
            <v>130993.70000000007</v>
          </cell>
        </row>
        <row r="91">
          <cell r="E91">
            <v>205</v>
          </cell>
          <cell r="G91">
            <v>29930</v>
          </cell>
          <cell r="J91">
            <v>189</v>
          </cell>
          <cell r="L91">
            <v>75060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159990</v>
          </cell>
          <cell r="V91">
            <v>300984</v>
          </cell>
          <cell r="W91">
            <v>-0.29999999993015081</v>
          </cell>
        </row>
        <row r="92">
          <cell r="E92">
            <v>355</v>
          </cell>
          <cell r="G92">
            <v>51830</v>
          </cell>
          <cell r="J92">
            <v>162</v>
          </cell>
          <cell r="L92">
            <v>60480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167310</v>
          </cell>
          <cell r="V92">
            <v>0</v>
          </cell>
          <cell r="W92">
            <v>177309.70000000007</v>
          </cell>
        </row>
        <row r="93">
          <cell r="E93">
            <v>501</v>
          </cell>
          <cell r="G93">
            <v>73146</v>
          </cell>
          <cell r="J93">
            <v>114</v>
          </cell>
          <cell r="L93">
            <v>41040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169186</v>
          </cell>
          <cell r="V93">
            <v>356496</v>
          </cell>
          <cell r="W93">
            <v>-0.29999999993015081</v>
          </cell>
        </row>
        <row r="94">
          <cell r="E94">
            <v>383</v>
          </cell>
          <cell r="G94">
            <v>55918</v>
          </cell>
          <cell r="J94">
            <v>82</v>
          </cell>
          <cell r="L94">
            <v>29520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140438</v>
          </cell>
          <cell r="V94">
            <v>0</v>
          </cell>
          <cell r="W94">
            <v>150437.70000000007</v>
          </cell>
        </row>
        <row r="95">
          <cell r="E95">
            <v>47</v>
          </cell>
          <cell r="G95">
            <v>6862</v>
          </cell>
          <cell r="J95">
            <v>28</v>
          </cell>
          <cell r="L95">
            <v>10080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71942</v>
          </cell>
          <cell r="V95">
            <v>232380</v>
          </cell>
          <cell r="W95">
            <v>-0.29999999993015081</v>
          </cell>
        </row>
        <row r="96">
          <cell r="E96">
            <v>205</v>
          </cell>
          <cell r="G96">
            <v>29930</v>
          </cell>
          <cell r="J96">
            <v>18</v>
          </cell>
          <cell r="L96">
            <v>6480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91410</v>
          </cell>
          <cell r="V96">
            <v>0</v>
          </cell>
          <cell r="W96">
            <v>91409.70000000007</v>
          </cell>
        </row>
        <row r="97">
          <cell r="E97">
            <v>234</v>
          </cell>
          <cell r="G97">
            <v>34164</v>
          </cell>
          <cell r="J97">
            <v>8</v>
          </cell>
          <cell r="L97">
            <v>2880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92044</v>
          </cell>
          <cell r="V97">
            <v>183454</v>
          </cell>
          <cell r="W97">
            <v>-0.29999999993015081</v>
          </cell>
        </row>
        <row r="98">
          <cell r="E98">
            <v>65</v>
          </cell>
          <cell r="G98">
            <v>9490</v>
          </cell>
          <cell r="J98">
            <v>10</v>
          </cell>
          <cell r="L98">
            <v>3600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68090</v>
          </cell>
          <cell r="V98">
            <v>0</v>
          </cell>
          <cell r="W98">
            <v>68089.70000000007</v>
          </cell>
        </row>
        <row r="99">
          <cell r="E99">
            <v>1339</v>
          </cell>
          <cell r="G99">
            <v>195494</v>
          </cell>
          <cell r="J99">
            <v>77</v>
          </cell>
          <cell r="L99">
            <v>27720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278214</v>
          </cell>
          <cell r="V99">
            <v>346304</v>
          </cell>
          <cell r="W99">
            <v>-0.29999999993015081</v>
          </cell>
        </row>
        <row r="100">
          <cell r="E100">
            <v>508</v>
          </cell>
          <cell r="G100">
            <v>74168</v>
          </cell>
          <cell r="J100">
            <v>71</v>
          </cell>
          <cell r="L100">
            <v>25560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154728</v>
          </cell>
          <cell r="V100">
            <v>154728</v>
          </cell>
          <cell r="W100">
            <v>-0.29999999993015081</v>
          </cell>
        </row>
        <row r="101">
          <cell r="E101">
            <v>209</v>
          </cell>
          <cell r="G101">
            <v>30514</v>
          </cell>
          <cell r="J101">
            <v>283</v>
          </cell>
          <cell r="L101">
            <v>140760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226274</v>
          </cell>
          <cell r="V101">
            <v>226274</v>
          </cell>
          <cell r="W101">
            <v>-0.29999999993015081</v>
          </cell>
        </row>
        <row r="102">
          <cell r="E102">
            <v>224</v>
          </cell>
          <cell r="G102">
            <v>32704</v>
          </cell>
          <cell r="J102">
            <v>160</v>
          </cell>
          <cell r="L102">
            <v>59400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147104</v>
          </cell>
          <cell r="V102">
            <v>147104</v>
          </cell>
          <cell r="W102">
            <v>-0.29999999993015081</v>
          </cell>
        </row>
        <row r="103">
          <cell r="E103">
            <v>298</v>
          </cell>
          <cell r="G103">
            <v>43508</v>
          </cell>
          <cell r="J103">
            <v>262</v>
          </cell>
          <cell r="L103">
            <v>125640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225798</v>
          </cell>
          <cell r="V103">
            <v>225798</v>
          </cell>
          <cell r="W103">
            <v>-0.29999999993015081</v>
          </cell>
        </row>
        <row r="104">
          <cell r="E104">
            <v>163</v>
          </cell>
          <cell r="G104">
            <v>23798</v>
          </cell>
          <cell r="J104">
            <v>200</v>
          </cell>
          <cell r="L104">
            <v>81000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161448</v>
          </cell>
          <cell r="V104">
            <v>161448</v>
          </cell>
          <cell r="W104">
            <v>-0.29999999993015081</v>
          </cell>
        </row>
        <row r="105">
          <cell r="E105">
            <v>50</v>
          </cell>
          <cell r="G105">
            <v>7300</v>
          </cell>
          <cell r="J105">
            <v>166</v>
          </cell>
          <cell r="L105">
            <v>62640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126590</v>
          </cell>
          <cell r="V105">
            <v>126590</v>
          </cell>
          <cell r="W105">
            <v>-0.29999999993015081</v>
          </cell>
        </row>
        <row r="106">
          <cell r="E106">
            <v>61</v>
          </cell>
          <cell r="G106">
            <v>8906</v>
          </cell>
          <cell r="J106">
            <v>171</v>
          </cell>
          <cell r="L106">
            <v>65340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130896</v>
          </cell>
          <cell r="V106">
            <v>130896</v>
          </cell>
          <cell r="W106">
            <v>-0.29999999993015081</v>
          </cell>
        </row>
        <row r="107">
          <cell r="E107">
            <v>44</v>
          </cell>
          <cell r="G107">
            <v>6424</v>
          </cell>
          <cell r="J107">
            <v>14</v>
          </cell>
          <cell r="L107">
            <v>5040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68114</v>
          </cell>
          <cell r="V107">
            <v>68114</v>
          </cell>
          <cell r="W107">
            <v>-0.29999999993015081</v>
          </cell>
        </row>
        <row r="108">
          <cell r="E108">
            <v>49</v>
          </cell>
          <cell r="G108">
            <v>7154</v>
          </cell>
          <cell r="J108">
            <v>24</v>
          </cell>
          <cell r="L108">
            <v>8640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72444</v>
          </cell>
          <cell r="V108">
            <v>72444</v>
          </cell>
          <cell r="W108">
            <v>-0.29999999993015081</v>
          </cell>
        </row>
        <row r="109">
          <cell r="E109">
            <v>26</v>
          </cell>
          <cell r="G109">
            <v>3796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61166</v>
          </cell>
          <cell r="V109">
            <v>61166</v>
          </cell>
          <cell r="W109">
            <v>-0.29999999993015081</v>
          </cell>
        </row>
        <row r="110">
          <cell r="E110">
            <v>35</v>
          </cell>
          <cell r="G110">
            <v>5110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62120</v>
          </cell>
          <cell r="V110">
            <v>62120</v>
          </cell>
          <cell r="W110">
            <v>-0.29999999993015081</v>
          </cell>
        </row>
        <row r="111">
          <cell r="E111">
            <v>78</v>
          </cell>
          <cell r="G111">
            <v>11388</v>
          </cell>
          <cell r="J111">
            <v>32</v>
          </cell>
          <cell r="L111">
            <v>11520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79558</v>
          </cell>
          <cell r="V111">
            <v>79558</v>
          </cell>
          <cell r="W111">
            <v>-0.29999999993015081</v>
          </cell>
        </row>
        <row r="112">
          <cell r="E112">
            <v>734</v>
          </cell>
          <cell r="G112">
            <v>107164</v>
          </cell>
          <cell r="J112">
            <v>164</v>
          </cell>
          <cell r="L112">
            <v>61560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225374</v>
          </cell>
          <cell r="V112">
            <v>0</v>
          </cell>
          <cell r="W112">
            <v>225373.70000000007</v>
          </cell>
        </row>
        <row r="113">
          <cell r="E113">
            <v>413</v>
          </cell>
          <cell r="G113">
            <v>60298</v>
          </cell>
          <cell r="J113">
            <v>130</v>
          </cell>
          <cell r="L113">
            <v>46800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163748</v>
          </cell>
          <cell r="V113">
            <v>389122</v>
          </cell>
          <cell r="W113">
            <v>-0.29999999993015081</v>
          </cell>
        </row>
        <row r="114">
          <cell r="E114">
            <v>181</v>
          </cell>
          <cell r="G114">
            <v>26426</v>
          </cell>
          <cell r="J114">
            <v>210</v>
          </cell>
          <cell r="L114">
            <v>88200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171276</v>
          </cell>
          <cell r="V114">
            <v>0</v>
          </cell>
          <cell r="W114">
            <v>171275.70000000007</v>
          </cell>
        </row>
        <row r="115">
          <cell r="E115">
            <v>266</v>
          </cell>
          <cell r="G115">
            <v>38836</v>
          </cell>
          <cell r="J115">
            <v>213</v>
          </cell>
          <cell r="L115">
            <v>90360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188055</v>
          </cell>
          <cell r="V115">
            <v>359331</v>
          </cell>
          <cell r="W115">
            <v>-0.29999999993015081</v>
          </cell>
        </row>
        <row r="116">
          <cell r="E116">
            <v>139</v>
          </cell>
          <cell r="G116">
            <v>20294</v>
          </cell>
          <cell r="J116">
            <v>246</v>
          </cell>
          <cell r="L116">
            <v>114120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193273</v>
          </cell>
          <cell r="V116">
            <v>0</v>
          </cell>
          <cell r="W116">
            <v>193272.70000000007</v>
          </cell>
        </row>
        <row r="117">
          <cell r="E117">
            <v>179</v>
          </cell>
          <cell r="G117">
            <v>26134</v>
          </cell>
          <cell r="J117">
            <v>225</v>
          </cell>
          <cell r="L117">
            <v>99000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183993</v>
          </cell>
          <cell r="V117">
            <v>377266</v>
          </cell>
          <cell r="W117">
            <v>-0.29999999993015081</v>
          </cell>
        </row>
        <row r="118">
          <cell r="E118">
            <v>551</v>
          </cell>
          <cell r="G118">
            <v>80446</v>
          </cell>
          <cell r="J118">
            <v>116</v>
          </cell>
          <cell r="L118">
            <v>41760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181065</v>
          </cell>
          <cell r="V118">
            <v>0</v>
          </cell>
          <cell r="W118">
            <v>181064.70000000007</v>
          </cell>
        </row>
        <row r="119">
          <cell r="E119">
            <v>356</v>
          </cell>
          <cell r="G119">
            <v>51976</v>
          </cell>
          <cell r="J119">
            <v>86</v>
          </cell>
          <cell r="L119">
            <v>30960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141795</v>
          </cell>
          <cell r="V119">
            <v>322860</v>
          </cell>
          <cell r="W119">
            <v>-0.29999999993015081</v>
          </cell>
        </row>
        <row r="120">
          <cell r="E120">
            <v>128</v>
          </cell>
          <cell r="G120">
            <v>18688</v>
          </cell>
          <cell r="J120">
            <v>62</v>
          </cell>
          <cell r="L120">
            <v>22320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99867</v>
          </cell>
          <cell r="V120">
            <v>99867</v>
          </cell>
          <cell r="W120">
            <v>-0.29999999993015081</v>
          </cell>
        </row>
        <row r="121">
          <cell r="E121">
            <v>91</v>
          </cell>
          <cell r="G121">
            <v>13286</v>
          </cell>
          <cell r="J121">
            <v>56</v>
          </cell>
          <cell r="L121">
            <v>20160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92305</v>
          </cell>
          <cell r="V121">
            <v>92305</v>
          </cell>
          <cell r="W121">
            <v>-0.29999999993015081</v>
          </cell>
        </row>
        <row r="122">
          <cell r="E122">
            <v>22</v>
          </cell>
          <cell r="G122">
            <v>3212</v>
          </cell>
          <cell r="J122">
            <v>60</v>
          </cell>
          <cell r="L122">
            <v>21600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83671</v>
          </cell>
          <cell r="V122">
            <v>83671</v>
          </cell>
          <cell r="W122">
            <v>-0.29999999993015081</v>
          </cell>
        </row>
        <row r="123">
          <cell r="E123">
            <v>116</v>
          </cell>
          <cell r="G123">
            <v>16936</v>
          </cell>
          <cell r="J123">
            <v>55</v>
          </cell>
          <cell r="L123">
            <v>19800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95595</v>
          </cell>
          <cell r="V123">
            <v>0</v>
          </cell>
          <cell r="W123">
            <v>95594.70000000007</v>
          </cell>
        </row>
        <row r="124">
          <cell r="E124">
            <v>30</v>
          </cell>
          <cell r="G124">
            <v>4380</v>
          </cell>
          <cell r="J124">
            <v>57</v>
          </cell>
          <cell r="L124">
            <v>20520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83759</v>
          </cell>
          <cell r="V124">
            <v>193273</v>
          </cell>
          <cell r="W124">
            <v>-13919.29999999993</v>
          </cell>
        </row>
        <row r="125">
          <cell r="E125">
            <v>83</v>
          </cell>
          <cell r="G125">
            <v>12118</v>
          </cell>
          <cell r="J125">
            <v>100</v>
          </cell>
          <cell r="L125">
            <v>36000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106977</v>
          </cell>
          <cell r="V125">
            <v>93058</v>
          </cell>
          <cell r="W125">
            <v>-0.29999999993015081</v>
          </cell>
        </row>
        <row r="126">
          <cell r="E126">
            <v>34</v>
          </cell>
          <cell r="G126">
            <v>4964</v>
          </cell>
          <cell r="J126">
            <v>225</v>
          </cell>
          <cell r="L126">
            <v>99000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162823</v>
          </cell>
          <cell r="V126">
            <v>0</v>
          </cell>
          <cell r="W126">
            <v>162822.70000000007</v>
          </cell>
        </row>
        <row r="127">
          <cell r="E127">
            <v>91</v>
          </cell>
          <cell r="G127">
            <v>13286</v>
          </cell>
          <cell r="J127">
            <v>116</v>
          </cell>
          <cell r="L127">
            <v>41760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114780</v>
          </cell>
          <cell r="V127">
            <v>377603</v>
          </cell>
          <cell r="W127">
            <v>-100000.29999999993</v>
          </cell>
        </row>
        <row r="128">
          <cell r="E128">
            <v>91</v>
          </cell>
          <cell r="G128">
            <v>13286</v>
          </cell>
          <cell r="J128">
            <v>119</v>
          </cell>
          <cell r="L128">
            <v>42840</v>
          </cell>
          <cell r="M128">
            <v>0</v>
          </cell>
          <cell r="N128">
            <v>0</v>
          </cell>
          <cell r="O128">
            <v>12288</v>
          </cell>
          <cell r="P128">
            <v>0</v>
          </cell>
          <cell r="Q128">
            <v>59734</v>
          </cell>
          <cell r="R128">
            <v>0</v>
          </cell>
          <cell r="S128">
            <v>128148</v>
          </cell>
          <cell r="V128">
            <v>0</v>
          </cell>
          <cell r="W128">
            <v>28147.70000000007</v>
          </cell>
        </row>
        <row r="129">
          <cell r="E129">
            <v>37</v>
          </cell>
          <cell r="G129">
            <v>5402</v>
          </cell>
          <cell r="J129">
            <v>88</v>
          </cell>
          <cell r="L129">
            <v>31680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96816</v>
          </cell>
          <cell r="V129">
            <v>124964</v>
          </cell>
          <cell r="W129">
            <v>-0.29999999993015081</v>
          </cell>
        </row>
        <row r="130">
          <cell r="E130">
            <v>60</v>
          </cell>
          <cell r="G130">
            <v>8760</v>
          </cell>
          <cell r="J130">
            <v>72</v>
          </cell>
          <cell r="L130">
            <v>25920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94414</v>
          </cell>
          <cell r="V130">
            <v>94414</v>
          </cell>
          <cell r="W130">
            <v>-0.29999999993015081</v>
          </cell>
        </row>
        <row r="131">
          <cell r="E131">
            <v>79</v>
          </cell>
          <cell r="G131">
            <v>11534</v>
          </cell>
          <cell r="J131">
            <v>50</v>
          </cell>
          <cell r="L131">
            <v>18000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89268</v>
          </cell>
          <cell r="V131">
            <v>89268</v>
          </cell>
          <cell r="W131">
            <v>-0.29999999993015081</v>
          </cell>
        </row>
        <row r="132">
          <cell r="E132">
            <v>106</v>
          </cell>
          <cell r="G132">
            <v>15476</v>
          </cell>
          <cell r="J132">
            <v>40</v>
          </cell>
          <cell r="L132">
            <v>14400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89610</v>
          </cell>
          <cell r="V132">
            <v>89610</v>
          </cell>
          <cell r="W132">
            <v>-0.29999999993015081</v>
          </cell>
        </row>
        <row r="133">
          <cell r="E133">
            <v>17</v>
          </cell>
          <cell r="G133">
            <v>2482</v>
          </cell>
          <cell r="J133">
            <v>20</v>
          </cell>
          <cell r="L133">
            <v>7200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69416</v>
          </cell>
          <cell r="V133">
            <v>69416</v>
          </cell>
          <cell r="W133">
            <v>-0.29999999993015081</v>
          </cell>
        </row>
        <row r="134">
          <cell r="E134">
            <v>113</v>
          </cell>
          <cell r="G134">
            <v>16498</v>
          </cell>
          <cell r="J134">
            <v>4</v>
          </cell>
          <cell r="L134">
            <v>1440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77672</v>
          </cell>
          <cell r="V134">
            <v>77672</v>
          </cell>
          <cell r="W134">
            <v>-0.29999999993015081</v>
          </cell>
        </row>
        <row r="135">
          <cell r="E135">
            <v>1125</v>
          </cell>
          <cell r="G135">
            <v>164250</v>
          </cell>
          <cell r="J135">
            <v>46</v>
          </cell>
          <cell r="L135">
            <v>16560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240544</v>
          </cell>
          <cell r="V135">
            <v>240544</v>
          </cell>
          <cell r="W135">
            <v>-0.29999999993015081</v>
          </cell>
        </row>
        <row r="136">
          <cell r="E136">
            <v>514</v>
          </cell>
          <cell r="G136">
            <v>75044</v>
          </cell>
          <cell r="J136">
            <v>77</v>
          </cell>
          <cell r="L136">
            <v>27720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162498</v>
          </cell>
          <cell r="V136">
            <v>162498</v>
          </cell>
          <cell r="W136">
            <v>-0.29999999993015081</v>
          </cell>
        </row>
        <row r="137">
          <cell r="E137">
            <v>55</v>
          </cell>
          <cell r="G137">
            <v>8030</v>
          </cell>
          <cell r="J137">
            <v>166</v>
          </cell>
          <cell r="L137">
            <v>62640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130404</v>
          </cell>
          <cell r="V137">
            <v>130404</v>
          </cell>
          <cell r="W137">
            <v>-0.29999999993015081</v>
          </cell>
        </row>
        <row r="138">
          <cell r="E138">
            <v>41</v>
          </cell>
          <cell r="G138">
            <v>5986</v>
          </cell>
          <cell r="J138">
            <v>168</v>
          </cell>
          <cell r="L138">
            <v>63720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149440</v>
          </cell>
          <cell r="V138">
            <v>149440</v>
          </cell>
          <cell r="W138">
            <v>-0.29999999993015081</v>
          </cell>
        </row>
        <row r="139">
          <cell r="E139">
            <v>54</v>
          </cell>
          <cell r="G139">
            <v>7884</v>
          </cell>
          <cell r="J139">
            <v>99</v>
          </cell>
          <cell r="L139">
            <v>35640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110060</v>
          </cell>
          <cell r="V139">
            <v>110060</v>
          </cell>
          <cell r="W139">
            <v>-0.29999999993015081</v>
          </cell>
        </row>
        <row r="140">
          <cell r="E140">
            <v>206</v>
          </cell>
          <cell r="G140">
            <v>30076</v>
          </cell>
          <cell r="J140">
            <v>98</v>
          </cell>
          <cell r="L140">
            <v>35280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131892</v>
          </cell>
          <cell r="V140">
            <v>131892</v>
          </cell>
          <cell r="W140">
            <v>-0.29999999993015081</v>
          </cell>
        </row>
        <row r="141">
          <cell r="E141">
            <v>257</v>
          </cell>
          <cell r="G141">
            <v>37522</v>
          </cell>
          <cell r="J141">
            <v>95</v>
          </cell>
          <cell r="L141">
            <v>34200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138258</v>
          </cell>
          <cell r="V141">
            <v>138258</v>
          </cell>
          <cell r="W141">
            <v>-0.29999999993015081</v>
          </cell>
        </row>
        <row r="142">
          <cell r="E142">
            <v>34</v>
          </cell>
          <cell r="G142">
            <v>4964</v>
          </cell>
          <cell r="J142">
            <v>184</v>
          </cell>
          <cell r="L142">
            <v>96120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167620</v>
          </cell>
          <cell r="V142">
            <v>167620</v>
          </cell>
          <cell r="W142">
            <v>-0.29999999993015081</v>
          </cell>
        </row>
        <row r="143">
          <cell r="E143">
            <v>30</v>
          </cell>
          <cell r="G143">
            <v>4380</v>
          </cell>
          <cell r="J143">
            <v>190</v>
          </cell>
          <cell r="L143">
            <v>102600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173516</v>
          </cell>
          <cell r="V143">
            <v>173516</v>
          </cell>
          <cell r="W143">
            <v>-0.29999999993015081</v>
          </cell>
        </row>
        <row r="144">
          <cell r="E144">
            <v>17</v>
          </cell>
          <cell r="G144">
            <v>2482</v>
          </cell>
          <cell r="J144">
            <v>44</v>
          </cell>
          <cell r="L144">
            <v>15840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84858</v>
          </cell>
          <cell r="V144">
            <v>84858</v>
          </cell>
          <cell r="W144">
            <v>-0.29999999993015081</v>
          </cell>
        </row>
        <row r="145">
          <cell r="E145">
            <v>18</v>
          </cell>
          <cell r="G145">
            <v>2628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70244</v>
          </cell>
          <cell r="V145">
            <v>70244</v>
          </cell>
          <cell r="W145">
            <v>-0.29999999993015081</v>
          </cell>
        </row>
        <row r="146">
          <cell r="E146">
            <v>22</v>
          </cell>
          <cell r="G146">
            <v>3212</v>
          </cell>
          <cell r="J146">
            <v>11</v>
          </cell>
          <cell r="L146">
            <v>3960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73708</v>
          </cell>
          <cell r="V146">
            <v>73708</v>
          </cell>
          <cell r="W146">
            <v>-0.29999999993015081</v>
          </cell>
        </row>
        <row r="147">
          <cell r="E147">
            <v>523</v>
          </cell>
          <cell r="G147">
            <v>76358</v>
          </cell>
          <cell r="J147">
            <v>60</v>
          </cell>
          <cell r="L147">
            <v>21600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164494</v>
          </cell>
          <cell r="V147">
            <v>164494</v>
          </cell>
          <cell r="W147">
            <v>-0.29999999993015081</v>
          </cell>
        </row>
        <row r="148">
          <cell r="E148">
            <v>894</v>
          </cell>
          <cell r="G148">
            <v>130524</v>
          </cell>
          <cell r="J148">
            <v>80</v>
          </cell>
          <cell r="L148">
            <v>28800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225860</v>
          </cell>
          <cell r="V148">
            <v>225860</v>
          </cell>
          <cell r="W148">
            <v>-0.29999999993015081</v>
          </cell>
        </row>
        <row r="149">
          <cell r="E149">
            <v>553</v>
          </cell>
          <cell r="G149">
            <v>80738</v>
          </cell>
          <cell r="J149">
            <v>69</v>
          </cell>
          <cell r="L149">
            <v>24840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172114</v>
          </cell>
          <cell r="V149">
            <v>172114</v>
          </cell>
          <cell r="W149">
            <v>-0.29999999993015081</v>
          </cell>
        </row>
        <row r="150">
          <cell r="E150">
            <v>266</v>
          </cell>
          <cell r="G150">
            <v>38836</v>
          </cell>
          <cell r="J150">
            <v>99</v>
          </cell>
          <cell r="L150">
            <v>35640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143012</v>
          </cell>
          <cell r="V150">
            <v>143012</v>
          </cell>
          <cell r="W150">
            <v>-0.29999999993015081</v>
          </cell>
        </row>
        <row r="151">
          <cell r="E151">
            <v>245</v>
          </cell>
          <cell r="G151">
            <v>35770</v>
          </cell>
          <cell r="J151">
            <v>205</v>
          </cell>
          <cell r="L151">
            <v>124200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231365</v>
          </cell>
          <cell r="V151">
            <v>231365</v>
          </cell>
          <cell r="W151">
            <v>-0.29999999993015081</v>
          </cell>
        </row>
        <row r="152">
          <cell r="E152">
            <v>69</v>
          </cell>
          <cell r="G152">
            <v>10074</v>
          </cell>
          <cell r="J152">
            <v>179</v>
          </cell>
          <cell r="L152">
            <v>69660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151129</v>
          </cell>
          <cell r="V152">
            <v>151129</v>
          </cell>
          <cell r="W152">
            <v>-0.29999999993015081</v>
          </cell>
        </row>
        <row r="153">
          <cell r="E153">
            <v>99</v>
          </cell>
          <cell r="G153">
            <v>14454</v>
          </cell>
          <cell r="J153">
            <v>259</v>
          </cell>
          <cell r="L153">
            <v>208440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299248</v>
          </cell>
          <cell r="V153">
            <v>229248</v>
          </cell>
          <cell r="W153">
            <v>69999.70000000007</v>
          </cell>
        </row>
        <row r="154">
          <cell r="E154">
            <v>106</v>
          </cell>
          <cell r="G154">
            <v>15476</v>
          </cell>
          <cell r="J154">
            <v>77</v>
          </cell>
          <cell r="L154">
            <v>27720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119550</v>
          </cell>
          <cell r="V154">
            <v>189550</v>
          </cell>
          <cell r="W154">
            <v>-0.29999999993015081</v>
          </cell>
        </row>
        <row r="155">
          <cell r="E155">
            <v>99</v>
          </cell>
          <cell r="G155">
            <v>14454</v>
          </cell>
          <cell r="J155">
            <v>106</v>
          </cell>
          <cell r="L155">
            <v>38160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128968</v>
          </cell>
          <cell r="V155">
            <v>128968</v>
          </cell>
          <cell r="W155">
            <v>-0.29999999993015081</v>
          </cell>
        </row>
        <row r="156">
          <cell r="E156">
            <v>75</v>
          </cell>
          <cell r="G156">
            <v>10950</v>
          </cell>
          <cell r="J156">
            <v>70</v>
          </cell>
          <cell r="L156">
            <v>25200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112504</v>
          </cell>
          <cell r="V156">
            <v>112504</v>
          </cell>
          <cell r="W156">
            <v>-0.29999999993015081</v>
          </cell>
        </row>
        <row r="157">
          <cell r="E157">
            <v>152</v>
          </cell>
          <cell r="G157">
            <v>22192</v>
          </cell>
          <cell r="J157">
            <v>22</v>
          </cell>
          <cell r="L157">
            <v>7920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106466</v>
          </cell>
          <cell r="V157">
            <v>106466</v>
          </cell>
          <cell r="W157">
            <v>-0.29999999993015081</v>
          </cell>
        </row>
        <row r="158">
          <cell r="E158">
            <v>41</v>
          </cell>
          <cell r="G158">
            <v>5986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83420</v>
          </cell>
          <cell r="V158">
            <v>83420</v>
          </cell>
          <cell r="W158">
            <v>-0.29999999993015081</v>
          </cell>
        </row>
        <row r="159">
          <cell r="E159">
            <v>54</v>
          </cell>
          <cell r="G159">
            <v>7884</v>
          </cell>
          <cell r="J159">
            <v>9</v>
          </cell>
          <cell r="L159">
            <v>3240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87478</v>
          </cell>
          <cell r="V159">
            <v>87478</v>
          </cell>
          <cell r="W159">
            <v>-0.29999999993015081</v>
          </cell>
        </row>
        <row r="160">
          <cell r="E160">
            <v>716</v>
          </cell>
          <cell r="G160">
            <v>104536</v>
          </cell>
          <cell r="J160">
            <v>23</v>
          </cell>
          <cell r="L160">
            <v>8280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189170</v>
          </cell>
          <cell r="V160">
            <v>189170</v>
          </cell>
          <cell r="W160">
            <v>-0.29999999993015081</v>
          </cell>
        </row>
        <row r="161">
          <cell r="E161">
            <v>698</v>
          </cell>
          <cell r="G161">
            <v>101908</v>
          </cell>
          <cell r="J161">
            <v>162</v>
          </cell>
          <cell r="L161">
            <v>65880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244142</v>
          </cell>
          <cell r="V161">
            <v>244142</v>
          </cell>
          <cell r="W161">
            <v>-0.29999999993015081</v>
          </cell>
        </row>
        <row r="162">
          <cell r="E162">
            <v>137</v>
          </cell>
          <cell r="G162">
            <v>20002</v>
          </cell>
          <cell r="J162">
            <v>151</v>
          </cell>
          <cell r="L162">
            <v>60480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156542</v>
          </cell>
          <cell r="V162">
            <v>156542</v>
          </cell>
          <cell r="W162">
            <v>-0.29999999993015081</v>
          </cell>
        </row>
        <row r="163">
          <cell r="E163">
            <v>119</v>
          </cell>
          <cell r="G163">
            <v>17374</v>
          </cell>
          <cell r="J163">
            <v>98</v>
          </cell>
          <cell r="L163">
            <v>35280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138714</v>
          </cell>
          <cell r="V163">
            <v>138714</v>
          </cell>
          <cell r="W163">
            <v>-0.29999999993015081</v>
          </cell>
        </row>
        <row r="164">
          <cell r="E164">
            <v>159</v>
          </cell>
          <cell r="G164">
            <v>23214</v>
          </cell>
          <cell r="J164">
            <v>139</v>
          </cell>
          <cell r="L164">
            <v>53460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162734</v>
          </cell>
          <cell r="V164">
            <v>162734</v>
          </cell>
          <cell r="W164">
            <v>-0.29999999993015081</v>
          </cell>
        </row>
        <row r="165">
          <cell r="E165">
            <v>26</v>
          </cell>
          <cell r="G165">
            <v>3796</v>
          </cell>
          <cell r="J165">
            <v>496</v>
          </cell>
          <cell r="L165">
            <v>752760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842616</v>
          </cell>
          <cell r="V165">
            <v>0</v>
          </cell>
          <cell r="W165">
            <v>842615.70000000007</v>
          </cell>
        </row>
        <row r="166">
          <cell r="E166">
            <v>2189</v>
          </cell>
          <cell r="G166">
            <v>319594</v>
          </cell>
          <cell r="J166">
            <v>127</v>
          </cell>
          <cell r="L166">
            <v>46980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452678</v>
          </cell>
          <cell r="V166">
            <v>1295294</v>
          </cell>
          <cell r="W166">
            <v>-0.29999999981373549</v>
          </cell>
        </row>
        <row r="167">
          <cell r="E167">
            <v>40</v>
          </cell>
          <cell r="G167">
            <v>5840</v>
          </cell>
          <cell r="J167">
            <v>20</v>
          </cell>
          <cell r="L167">
            <v>7200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99144</v>
          </cell>
          <cell r="V167">
            <v>0</v>
          </cell>
          <cell r="W167">
            <v>99143.700000000186</v>
          </cell>
        </row>
        <row r="168">
          <cell r="E168">
            <v>0</v>
          </cell>
          <cell r="G168">
            <v>109743</v>
          </cell>
          <cell r="J168">
            <v>7</v>
          </cell>
          <cell r="L168">
            <v>2520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198367</v>
          </cell>
          <cell r="V168">
            <v>295510</v>
          </cell>
          <cell r="W168">
            <v>2000.7000000001863</v>
          </cell>
        </row>
        <row r="169">
          <cell r="E169">
            <v>3</v>
          </cell>
          <cell r="G169">
            <v>438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86868</v>
          </cell>
          <cell r="V169">
            <v>88868</v>
          </cell>
          <cell r="W169">
            <v>0.70000000018626451</v>
          </cell>
        </row>
        <row r="170">
          <cell r="E170">
            <v>17</v>
          </cell>
          <cell r="G170">
            <v>2482</v>
          </cell>
          <cell r="J170">
            <v>6</v>
          </cell>
          <cell r="L170">
            <v>2160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90352</v>
          </cell>
          <cell r="V170">
            <v>0</v>
          </cell>
          <cell r="W170">
            <v>90352.700000000186</v>
          </cell>
        </row>
        <row r="171">
          <cell r="E171">
            <v>24</v>
          </cell>
          <cell r="G171">
            <v>3504</v>
          </cell>
          <cell r="J171">
            <v>22</v>
          </cell>
          <cell r="L171">
            <v>7920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92819</v>
          </cell>
          <cell r="V171">
            <v>183171</v>
          </cell>
          <cell r="W171">
            <v>0.70000000018626451</v>
          </cell>
        </row>
        <row r="172">
          <cell r="E172">
            <v>510</v>
          </cell>
          <cell r="G172">
            <v>74460</v>
          </cell>
          <cell r="J172">
            <v>38</v>
          </cell>
          <cell r="L172">
            <v>13680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169535</v>
          </cell>
          <cell r="V172">
            <v>169535</v>
          </cell>
          <cell r="W172">
            <v>0.70000000018626451</v>
          </cell>
        </row>
        <row r="173">
          <cell r="E173">
            <v>191</v>
          </cell>
          <cell r="G173">
            <v>27886</v>
          </cell>
          <cell r="J173">
            <v>90</v>
          </cell>
          <cell r="L173">
            <v>32400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141681</v>
          </cell>
          <cell r="V173">
            <v>141681</v>
          </cell>
          <cell r="W173">
            <v>0.70000000018626451</v>
          </cell>
        </row>
        <row r="174">
          <cell r="E174">
            <v>26</v>
          </cell>
          <cell r="G174">
            <v>3796</v>
          </cell>
          <cell r="J174">
            <v>116</v>
          </cell>
          <cell r="L174">
            <v>41760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126951</v>
          </cell>
          <cell r="V174">
            <v>141681</v>
          </cell>
          <cell r="W174">
            <v>-14729.299999999814</v>
          </cell>
        </row>
      </sheetData>
      <sheetData sheetId="2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78000</v>
          </cell>
        </row>
        <row r="31">
          <cell r="E31">
            <v>3771</v>
          </cell>
          <cell r="G31">
            <v>237573</v>
          </cell>
          <cell r="J31">
            <v>568.1</v>
          </cell>
          <cell r="L31">
            <v>204516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481089</v>
          </cell>
          <cell r="V31">
            <v>0</v>
          </cell>
          <cell r="W31">
            <v>598089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637089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676089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715089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754089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793089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832089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871089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910089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949089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988089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1027089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1066089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1105089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1144089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1183089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1222089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1261089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1300089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1339089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1378089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1417089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1456089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1502089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1548089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1594089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1594089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138000</v>
          </cell>
        </row>
        <row r="61">
          <cell r="E61">
            <v>31</v>
          </cell>
          <cell r="G61">
            <v>1953</v>
          </cell>
          <cell r="J61">
            <v>8</v>
          </cell>
          <cell r="L61">
            <v>2880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50833</v>
          </cell>
          <cell r="V61">
            <v>0</v>
          </cell>
          <cell r="W61">
            <v>188833</v>
          </cell>
        </row>
        <row r="62">
          <cell r="E62">
            <v>70</v>
          </cell>
          <cell r="G62">
            <v>4410</v>
          </cell>
          <cell r="J62">
            <v>16</v>
          </cell>
          <cell r="L62">
            <v>5760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56170</v>
          </cell>
          <cell r="V62">
            <v>188833</v>
          </cell>
          <cell r="W62">
            <v>56170</v>
          </cell>
        </row>
        <row r="63">
          <cell r="E63">
            <v>222</v>
          </cell>
          <cell r="G63">
            <v>13986</v>
          </cell>
          <cell r="J63">
            <v>20</v>
          </cell>
          <cell r="L63">
            <v>7200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67186</v>
          </cell>
          <cell r="V63">
            <v>56170</v>
          </cell>
          <cell r="W63">
            <v>67186</v>
          </cell>
        </row>
        <row r="64">
          <cell r="E64">
            <v>8</v>
          </cell>
          <cell r="G64">
            <v>632</v>
          </cell>
          <cell r="J64">
            <v>9</v>
          </cell>
          <cell r="L64">
            <v>3240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49872</v>
          </cell>
          <cell r="V64">
            <v>0</v>
          </cell>
          <cell r="W64">
            <v>117058</v>
          </cell>
        </row>
        <row r="65">
          <cell r="E65">
            <v>5</v>
          </cell>
          <cell r="G65">
            <v>395</v>
          </cell>
          <cell r="J65">
            <v>27</v>
          </cell>
          <cell r="L65">
            <v>9720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56115</v>
          </cell>
          <cell r="V65">
            <v>117058</v>
          </cell>
          <cell r="W65">
            <v>56115</v>
          </cell>
        </row>
        <row r="66">
          <cell r="E66">
            <v>2</v>
          </cell>
          <cell r="G66">
            <v>158</v>
          </cell>
          <cell r="J66">
            <v>35</v>
          </cell>
          <cell r="L66">
            <v>12600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58758</v>
          </cell>
          <cell r="V66">
            <v>0</v>
          </cell>
          <cell r="W66">
            <v>114873</v>
          </cell>
        </row>
        <row r="67">
          <cell r="E67">
            <v>18</v>
          </cell>
          <cell r="G67">
            <v>1566</v>
          </cell>
          <cell r="J67">
            <v>29</v>
          </cell>
          <cell r="L67">
            <v>10440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58006</v>
          </cell>
          <cell r="V67">
            <v>114873</v>
          </cell>
          <cell r="W67">
            <v>58006</v>
          </cell>
        </row>
        <row r="68">
          <cell r="E68">
            <v>52</v>
          </cell>
          <cell r="G68">
            <v>4524</v>
          </cell>
          <cell r="J68">
            <v>22</v>
          </cell>
          <cell r="L68">
            <v>7920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58444</v>
          </cell>
          <cell r="V68">
            <v>58006</v>
          </cell>
          <cell r="W68">
            <v>58444</v>
          </cell>
        </row>
        <row r="69">
          <cell r="E69">
            <v>1</v>
          </cell>
          <cell r="G69">
            <v>111</v>
          </cell>
          <cell r="J69">
            <v>20</v>
          </cell>
          <cell r="L69">
            <v>7200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53311</v>
          </cell>
          <cell r="V69">
            <v>0</v>
          </cell>
          <cell r="W69">
            <v>111755</v>
          </cell>
        </row>
        <row r="70">
          <cell r="E70">
            <v>53</v>
          </cell>
          <cell r="G70">
            <v>6572</v>
          </cell>
          <cell r="J70">
            <v>22</v>
          </cell>
          <cell r="L70">
            <v>7920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60492</v>
          </cell>
          <cell r="V70">
            <v>111755</v>
          </cell>
          <cell r="W70">
            <v>60492</v>
          </cell>
        </row>
        <row r="71">
          <cell r="E71">
            <v>77</v>
          </cell>
          <cell r="G71">
            <v>7546</v>
          </cell>
          <cell r="J71">
            <v>5</v>
          </cell>
          <cell r="L71">
            <v>1800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55346</v>
          </cell>
          <cell r="V71">
            <v>60492</v>
          </cell>
          <cell r="W71">
            <v>55346</v>
          </cell>
        </row>
        <row r="72">
          <cell r="E72">
            <v>59</v>
          </cell>
          <cell r="G72">
            <v>6136</v>
          </cell>
          <cell r="J72">
            <v>4</v>
          </cell>
          <cell r="L72">
            <v>1440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53576</v>
          </cell>
          <cell r="V72">
            <v>0</v>
          </cell>
          <cell r="W72">
            <v>108922</v>
          </cell>
        </row>
        <row r="73">
          <cell r="E73">
            <v>51</v>
          </cell>
          <cell r="G73">
            <v>5712</v>
          </cell>
          <cell r="J73">
            <v>8</v>
          </cell>
          <cell r="L73">
            <v>2880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54592</v>
          </cell>
          <cell r="V73">
            <v>60000</v>
          </cell>
          <cell r="W73">
            <v>103514</v>
          </cell>
        </row>
        <row r="74">
          <cell r="E74">
            <v>0</v>
          </cell>
          <cell r="G74">
            <v>0</v>
          </cell>
          <cell r="J74">
            <v>9</v>
          </cell>
          <cell r="L74">
            <v>3240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49240</v>
          </cell>
          <cell r="V74">
            <v>0</v>
          </cell>
          <cell r="W74">
            <v>152754</v>
          </cell>
        </row>
        <row r="75">
          <cell r="E75">
            <v>26</v>
          </cell>
          <cell r="G75">
            <v>2860</v>
          </cell>
          <cell r="J75">
            <v>15</v>
          </cell>
          <cell r="L75">
            <v>5400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54260</v>
          </cell>
          <cell r="V75">
            <v>100000</v>
          </cell>
          <cell r="W75">
            <v>107014</v>
          </cell>
        </row>
        <row r="76">
          <cell r="E76">
            <v>34</v>
          </cell>
          <cell r="G76">
            <v>4284</v>
          </cell>
          <cell r="J76">
            <v>12</v>
          </cell>
          <cell r="L76">
            <v>4320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54604</v>
          </cell>
          <cell r="V76">
            <v>100000</v>
          </cell>
          <cell r="W76">
            <v>61618</v>
          </cell>
        </row>
        <row r="77">
          <cell r="E77">
            <v>33</v>
          </cell>
          <cell r="G77">
            <v>3927</v>
          </cell>
          <cell r="J77">
            <v>11</v>
          </cell>
          <cell r="L77">
            <v>3960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53887</v>
          </cell>
          <cell r="V77">
            <v>100000</v>
          </cell>
          <cell r="W77">
            <v>15505</v>
          </cell>
        </row>
        <row r="78">
          <cell r="E78">
            <v>59</v>
          </cell>
          <cell r="G78">
            <v>6372</v>
          </cell>
          <cell r="J78">
            <v>38</v>
          </cell>
          <cell r="L78">
            <v>13680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66052</v>
          </cell>
          <cell r="V78">
            <v>0</v>
          </cell>
          <cell r="W78">
            <v>81557</v>
          </cell>
        </row>
        <row r="79">
          <cell r="E79">
            <v>90</v>
          </cell>
          <cell r="G79">
            <v>11160</v>
          </cell>
          <cell r="J79">
            <v>28</v>
          </cell>
          <cell r="L79">
            <v>10080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67240</v>
          </cell>
          <cell r="V79">
            <v>80000</v>
          </cell>
          <cell r="W79">
            <v>72797</v>
          </cell>
        </row>
        <row r="80">
          <cell r="E80">
            <v>108</v>
          </cell>
          <cell r="G80">
            <v>14040</v>
          </cell>
          <cell r="J80">
            <v>56</v>
          </cell>
          <cell r="L80">
            <v>20160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80200</v>
          </cell>
          <cell r="V80">
            <v>72797</v>
          </cell>
          <cell r="W80">
            <v>80200</v>
          </cell>
        </row>
        <row r="81">
          <cell r="E81">
            <v>28</v>
          </cell>
          <cell r="G81">
            <v>3640</v>
          </cell>
          <cell r="J81">
            <v>10</v>
          </cell>
          <cell r="L81">
            <v>3600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53240</v>
          </cell>
          <cell r="V81">
            <v>80200</v>
          </cell>
          <cell r="W81">
            <v>53240</v>
          </cell>
        </row>
        <row r="82">
          <cell r="E82">
            <v>32</v>
          </cell>
          <cell r="G82">
            <v>4480</v>
          </cell>
          <cell r="J82">
            <v>4</v>
          </cell>
          <cell r="L82">
            <v>1440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51920</v>
          </cell>
          <cell r="V82">
            <v>0</v>
          </cell>
          <cell r="W82">
            <v>105160</v>
          </cell>
        </row>
        <row r="83">
          <cell r="E83">
            <v>28</v>
          </cell>
          <cell r="G83">
            <v>4088</v>
          </cell>
          <cell r="J83">
            <v>5</v>
          </cell>
          <cell r="L83">
            <v>1800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51888</v>
          </cell>
          <cell r="V83">
            <v>105160</v>
          </cell>
          <cell r="W83">
            <v>51888</v>
          </cell>
        </row>
        <row r="84">
          <cell r="E84">
            <v>15</v>
          </cell>
          <cell r="G84">
            <v>2190</v>
          </cell>
          <cell r="J84">
            <v>6</v>
          </cell>
          <cell r="L84">
            <v>2160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50350</v>
          </cell>
          <cell r="V84">
            <v>52000</v>
          </cell>
          <cell r="W84">
            <v>50238</v>
          </cell>
        </row>
        <row r="85">
          <cell r="E85">
            <v>15</v>
          </cell>
          <cell r="G85">
            <v>2190</v>
          </cell>
          <cell r="J85">
            <v>6</v>
          </cell>
          <cell r="L85">
            <v>2160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50350</v>
          </cell>
          <cell r="V85">
            <v>50238</v>
          </cell>
          <cell r="W85">
            <v>60350</v>
          </cell>
        </row>
        <row r="86">
          <cell r="E86">
            <v>5</v>
          </cell>
          <cell r="G86">
            <v>730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57450</v>
          </cell>
          <cell r="V86">
            <v>60350</v>
          </cell>
          <cell r="W86">
            <v>47450</v>
          </cell>
        </row>
        <row r="87">
          <cell r="E87">
            <v>19</v>
          </cell>
          <cell r="G87">
            <v>2774</v>
          </cell>
          <cell r="J87">
            <v>3</v>
          </cell>
          <cell r="L87">
            <v>1080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49854</v>
          </cell>
          <cell r="V87">
            <v>100000</v>
          </cell>
          <cell r="W87">
            <v>-2696</v>
          </cell>
        </row>
        <row r="88">
          <cell r="E88">
            <v>1</v>
          </cell>
          <cell r="G88">
            <v>146</v>
          </cell>
          <cell r="J88">
            <v>34</v>
          </cell>
          <cell r="L88">
            <v>12240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58386</v>
          </cell>
          <cell r="V88">
            <v>55690</v>
          </cell>
          <cell r="W88">
            <v>0</v>
          </cell>
        </row>
        <row r="89">
          <cell r="E89">
            <v>13</v>
          </cell>
          <cell r="G89">
            <v>1898</v>
          </cell>
          <cell r="J89">
            <v>14</v>
          </cell>
          <cell r="L89">
            <v>5040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52938</v>
          </cell>
          <cell r="V89">
            <v>0</v>
          </cell>
          <cell r="W89">
            <v>94973</v>
          </cell>
        </row>
        <row r="90">
          <cell r="E90">
            <v>12</v>
          </cell>
          <cell r="G90">
            <v>1752</v>
          </cell>
          <cell r="J90">
            <v>15</v>
          </cell>
          <cell r="L90">
            <v>5400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53152</v>
          </cell>
          <cell r="V90">
            <v>106090</v>
          </cell>
          <cell r="W90">
            <v>42035</v>
          </cell>
        </row>
        <row r="91">
          <cell r="E91">
            <v>164</v>
          </cell>
          <cell r="G91">
            <v>23944</v>
          </cell>
          <cell r="J91">
            <v>47</v>
          </cell>
          <cell r="L91">
            <v>16920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95864</v>
          </cell>
          <cell r="V91">
            <v>105864</v>
          </cell>
          <cell r="W91">
            <v>42035</v>
          </cell>
        </row>
        <row r="92">
          <cell r="E92">
            <v>100</v>
          </cell>
          <cell r="G92">
            <v>14600</v>
          </cell>
          <cell r="J92">
            <v>16</v>
          </cell>
          <cell r="L92">
            <v>5760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75360</v>
          </cell>
          <cell r="V92">
            <v>0</v>
          </cell>
          <cell r="W92">
            <v>127395</v>
          </cell>
        </row>
        <row r="93">
          <cell r="E93">
            <v>39</v>
          </cell>
          <cell r="G93">
            <v>5694</v>
          </cell>
          <cell r="J93">
            <v>4</v>
          </cell>
          <cell r="L93">
            <v>1440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62134</v>
          </cell>
          <cell r="V93">
            <v>157494</v>
          </cell>
          <cell r="W93">
            <v>42035</v>
          </cell>
        </row>
        <row r="94">
          <cell r="E94">
            <v>75</v>
          </cell>
          <cell r="G94">
            <v>10950</v>
          </cell>
          <cell r="J94">
            <v>5</v>
          </cell>
          <cell r="L94">
            <v>1800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67750</v>
          </cell>
          <cell r="V94">
            <v>77750</v>
          </cell>
          <cell r="W94">
            <v>42035</v>
          </cell>
        </row>
        <row r="95">
          <cell r="E95">
            <v>66</v>
          </cell>
          <cell r="G95">
            <v>9636</v>
          </cell>
          <cell r="J95">
            <v>10</v>
          </cell>
          <cell r="L95">
            <v>3600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68236</v>
          </cell>
          <cell r="V95">
            <v>78236</v>
          </cell>
          <cell r="W95">
            <v>42035</v>
          </cell>
        </row>
        <row r="96">
          <cell r="E96">
            <v>51</v>
          </cell>
          <cell r="G96">
            <v>7446</v>
          </cell>
          <cell r="J96">
            <v>4</v>
          </cell>
          <cell r="L96">
            <v>1440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63886</v>
          </cell>
          <cell r="V96">
            <v>63886</v>
          </cell>
          <cell r="W96">
            <v>42035</v>
          </cell>
        </row>
        <row r="97">
          <cell r="E97">
            <v>31</v>
          </cell>
          <cell r="G97">
            <v>4526</v>
          </cell>
          <cell r="J97">
            <v>5</v>
          </cell>
          <cell r="L97">
            <v>1800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61326</v>
          </cell>
          <cell r="V97">
            <v>61326</v>
          </cell>
          <cell r="W97">
            <v>42035</v>
          </cell>
        </row>
        <row r="98">
          <cell r="E98">
            <v>37</v>
          </cell>
          <cell r="G98">
            <v>5402</v>
          </cell>
          <cell r="J98">
            <v>5</v>
          </cell>
          <cell r="L98">
            <v>1800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62202</v>
          </cell>
          <cell r="V98">
            <v>62202</v>
          </cell>
          <cell r="W98">
            <v>42035</v>
          </cell>
        </row>
        <row r="99">
          <cell r="E99">
            <v>73</v>
          </cell>
          <cell r="G99">
            <v>10658</v>
          </cell>
          <cell r="J99">
            <v>24</v>
          </cell>
          <cell r="L99">
            <v>8640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74298</v>
          </cell>
          <cell r="V99">
            <v>74298</v>
          </cell>
          <cell r="W99">
            <v>42035</v>
          </cell>
        </row>
        <row r="100">
          <cell r="E100">
            <v>97</v>
          </cell>
          <cell r="G100">
            <v>14162</v>
          </cell>
          <cell r="J100">
            <v>49</v>
          </cell>
          <cell r="L100">
            <v>17640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86802</v>
          </cell>
          <cell r="V100">
            <v>86802</v>
          </cell>
          <cell r="W100">
            <v>42035</v>
          </cell>
        </row>
        <row r="101">
          <cell r="E101">
            <v>105</v>
          </cell>
          <cell r="G101">
            <v>15330</v>
          </cell>
          <cell r="J101">
            <v>41</v>
          </cell>
          <cell r="L101">
            <v>14760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85090</v>
          </cell>
          <cell r="V101">
            <v>127125</v>
          </cell>
          <cell r="W101">
            <v>0</v>
          </cell>
        </row>
        <row r="102">
          <cell r="E102">
            <v>97</v>
          </cell>
          <cell r="G102">
            <v>14162</v>
          </cell>
          <cell r="J102">
            <v>86</v>
          </cell>
          <cell r="L102">
            <v>30960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100122</v>
          </cell>
          <cell r="V102">
            <v>100122</v>
          </cell>
          <cell r="W102">
            <v>0</v>
          </cell>
        </row>
        <row r="103">
          <cell r="E103">
            <v>82</v>
          </cell>
          <cell r="G103">
            <v>11972</v>
          </cell>
          <cell r="J103">
            <v>10</v>
          </cell>
          <cell r="L103">
            <v>3600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72222</v>
          </cell>
          <cell r="V103">
            <v>72222</v>
          </cell>
          <cell r="W103">
            <v>0</v>
          </cell>
        </row>
        <row r="104">
          <cell r="E104">
            <v>91</v>
          </cell>
          <cell r="G104">
            <v>13286</v>
          </cell>
          <cell r="J104">
            <v>73</v>
          </cell>
          <cell r="L104">
            <v>26280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96216</v>
          </cell>
          <cell r="V104">
            <v>96216</v>
          </cell>
          <cell r="W104">
            <v>0</v>
          </cell>
        </row>
        <row r="105">
          <cell r="E105">
            <v>83</v>
          </cell>
          <cell r="G105">
            <v>12118</v>
          </cell>
          <cell r="J105">
            <v>87</v>
          </cell>
          <cell r="L105">
            <v>31320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100088</v>
          </cell>
          <cell r="V105">
            <v>100088</v>
          </cell>
          <cell r="W105">
            <v>0</v>
          </cell>
        </row>
        <row r="106">
          <cell r="E106">
            <v>103</v>
          </cell>
          <cell r="G106">
            <v>15038</v>
          </cell>
          <cell r="J106">
            <v>81</v>
          </cell>
          <cell r="L106">
            <v>29160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100848</v>
          </cell>
          <cell r="V106">
            <v>100848</v>
          </cell>
          <cell r="W106">
            <v>0</v>
          </cell>
        </row>
        <row r="107">
          <cell r="E107">
            <v>57</v>
          </cell>
          <cell r="G107">
            <v>8322</v>
          </cell>
          <cell r="J107">
            <v>26</v>
          </cell>
          <cell r="L107">
            <v>9360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74332</v>
          </cell>
          <cell r="V107">
            <v>74332</v>
          </cell>
          <cell r="W107">
            <v>0</v>
          </cell>
        </row>
        <row r="108">
          <cell r="E108">
            <v>47</v>
          </cell>
          <cell r="G108">
            <v>6862</v>
          </cell>
          <cell r="J108">
            <v>14</v>
          </cell>
          <cell r="L108">
            <v>5040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68552</v>
          </cell>
          <cell r="V108">
            <v>68552</v>
          </cell>
          <cell r="W108">
            <v>0</v>
          </cell>
        </row>
        <row r="109">
          <cell r="E109">
            <v>63</v>
          </cell>
          <cell r="G109">
            <v>9198</v>
          </cell>
          <cell r="J109">
            <v>12</v>
          </cell>
          <cell r="L109">
            <v>4320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70168</v>
          </cell>
          <cell r="V109">
            <v>70168</v>
          </cell>
          <cell r="W109">
            <v>0</v>
          </cell>
        </row>
        <row r="110">
          <cell r="E110">
            <v>119</v>
          </cell>
          <cell r="G110">
            <v>17374</v>
          </cell>
          <cell r="J110">
            <v>26</v>
          </cell>
          <cell r="L110">
            <v>9360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83384</v>
          </cell>
          <cell r="V110">
            <v>83384</v>
          </cell>
          <cell r="W110">
            <v>0</v>
          </cell>
        </row>
        <row r="111">
          <cell r="E111">
            <v>116</v>
          </cell>
          <cell r="G111">
            <v>16936</v>
          </cell>
          <cell r="J111">
            <v>84</v>
          </cell>
          <cell r="L111">
            <v>30240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103826</v>
          </cell>
          <cell r="V111">
            <v>103826</v>
          </cell>
          <cell r="W111">
            <v>0</v>
          </cell>
        </row>
        <row r="112">
          <cell r="E112">
            <v>84</v>
          </cell>
          <cell r="G112">
            <v>12264</v>
          </cell>
          <cell r="J112">
            <v>90</v>
          </cell>
          <cell r="L112">
            <v>32400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101314</v>
          </cell>
          <cell r="V112">
            <v>101314</v>
          </cell>
          <cell r="W112">
            <v>0</v>
          </cell>
        </row>
        <row r="113">
          <cell r="E113">
            <v>124</v>
          </cell>
          <cell r="G113">
            <v>18104</v>
          </cell>
          <cell r="J113">
            <v>87</v>
          </cell>
          <cell r="L113">
            <v>31320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106074</v>
          </cell>
          <cell r="V113">
            <v>106074</v>
          </cell>
          <cell r="W113">
            <v>0</v>
          </cell>
        </row>
        <row r="114">
          <cell r="E114">
            <v>163</v>
          </cell>
          <cell r="G114">
            <v>23798</v>
          </cell>
          <cell r="J114">
            <v>104</v>
          </cell>
          <cell r="L114">
            <v>37440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117888</v>
          </cell>
          <cell r="V114">
            <v>117888</v>
          </cell>
          <cell r="W114">
            <v>0</v>
          </cell>
        </row>
        <row r="115">
          <cell r="E115">
            <v>153</v>
          </cell>
          <cell r="G115">
            <v>22338</v>
          </cell>
          <cell r="J115">
            <v>104</v>
          </cell>
          <cell r="L115">
            <v>37440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118637</v>
          </cell>
          <cell r="V115">
            <v>118637</v>
          </cell>
          <cell r="W115">
            <v>0</v>
          </cell>
        </row>
        <row r="116">
          <cell r="E116">
            <v>155</v>
          </cell>
          <cell r="G116">
            <v>22630</v>
          </cell>
          <cell r="J116">
            <v>104</v>
          </cell>
          <cell r="L116">
            <v>37440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118929</v>
          </cell>
          <cell r="V116">
            <v>118929</v>
          </cell>
          <cell r="W116">
            <v>0</v>
          </cell>
        </row>
        <row r="117">
          <cell r="E117">
            <v>164</v>
          </cell>
          <cell r="G117">
            <v>23944</v>
          </cell>
          <cell r="J117">
            <v>26</v>
          </cell>
          <cell r="L117">
            <v>9360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92163</v>
          </cell>
          <cell r="V117">
            <v>92163</v>
          </cell>
          <cell r="W117">
            <v>0</v>
          </cell>
        </row>
        <row r="118">
          <cell r="E118">
            <v>97</v>
          </cell>
          <cell r="G118">
            <v>14162</v>
          </cell>
          <cell r="J118">
            <v>21</v>
          </cell>
          <cell r="L118">
            <v>7560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80581</v>
          </cell>
          <cell r="V118">
            <v>80581</v>
          </cell>
          <cell r="W118">
            <v>0</v>
          </cell>
        </row>
        <row r="119">
          <cell r="E119">
            <v>136</v>
          </cell>
          <cell r="G119">
            <v>19856</v>
          </cell>
          <cell r="J119">
            <v>75</v>
          </cell>
          <cell r="L119">
            <v>27000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105715</v>
          </cell>
          <cell r="V119">
            <v>105715</v>
          </cell>
          <cell r="W119">
            <v>0</v>
          </cell>
        </row>
        <row r="120">
          <cell r="E120">
            <v>85</v>
          </cell>
          <cell r="G120">
            <v>12410</v>
          </cell>
          <cell r="J120">
            <v>15</v>
          </cell>
          <cell r="L120">
            <v>5400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76669</v>
          </cell>
          <cell r="V120">
            <v>76669</v>
          </cell>
          <cell r="W120">
            <v>0</v>
          </cell>
        </row>
        <row r="121">
          <cell r="E121">
            <v>78</v>
          </cell>
          <cell r="G121">
            <v>11388</v>
          </cell>
          <cell r="J121">
            <v>4</v>
          </cell>
          <cell r="L121">
            <v>1440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71687</v>
          </cell>
          <cell r="V121">
            <v>71687</v>
          </cell>
          <cell r="W121">
            <v>0</v>
          </cell>
        </row>
        <row r="122">
          <cell r="E122">
            <v>94</v>
          </cell>
          <cell r="G122">
            <v>13724</v>
          </cell>
          <cell r="J122">
            <v>12</v>
          </cell>
          <cell r="L122">
            <v>4320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76903</v>
          </cell>
          <cell r="V122">
            <v>76903</v>
          </cell>
          <cell r="W122">
            <v>0</v>
          </cell>
        </row>
        <row r="123">
          <cell r="E123">
            <v>132</v>
          </cell>
          <cell r="G123">
            <v>19272</v>
          </cell>
          <cell r="J123">
            <v>73</v>
          </cell>
          <cell r="L123">
            <v>26280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104411</v>
          </cell>
          <cell r="V123">
            <v>104411</v>
          </cell>
          <cell r="W123">
            <v>0</v>
          </cell>
        </row>
        <row r="124">
          <cell r="E124">
            <v>136</v>
          </cell>
          <cell r="G124">
            <v>19856</v>
          </cell>
          <cell r="J124">
            <v>110</v>
          </cell>
          <cell r="L124">
            <v>39600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118315</v>
          </cell>
          <cell r="V124">
            <v>118315</v>
          </cell>
          <cell r="W124">
            <v>0</v>
          </cell>
        </row>
        <row r="125">
          <cell r="E125">
            <v>155</v>
          </cell>
          <cell r="G125">
            <v>22630</v>
          </cell>
          <cell r="J125">
            <v>159</v>
          </cell>
          <cell r="L125">
            <v>58860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140349</v>
          </cell>
          <cell r="V125">
            <v>140349</v>
          </cell>
          <cell r="W125">
            <v>0</v>
          </cell>
        </row>
        <row r="126">
          <cell r="E126">
            <v>148</v>
          </cell>
          <cell r="G126">
            <v>21608</v>
          </cell>
          <cell r="J126">
            <v>163</v>
          </cell>
          <cell r="L126">
            <v>61020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141487</v>
          </cell>
          <cell r="V126">
            <v>141487</v>
          </cell>
          <cell r="W126">
            <v>0</v>
          </cell>
        </row>
        <row r="127">
          <cell r="E127">
            <v>192</v>
          </cell>
          <cell r="G127">
            <v>28032</v>
          </cell>
          <cell r="J127">
            <v>195</v>
          </cell>
          <cell r="L127">
            <v>78300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166066</v>
          </cell>
          <cell r="V127">
            <v>166066</v>
          </cell>
          <cell r="W127">
            <v>0</v>
          </cell>
        </row>
        <row r="128">
          <cell r="E128">
            <v>150</v>
          </cell>
          <cell r="G128">
            <v>21900</v>
          </cell>
          <cell r="J128">
            <v>163</v>
          </cell>
          <cell r="L128">
            <v>61020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154942</v>
          </cell>
          <cell r="V128">
            <v>154942</v>
          </cell>
          <cell r="W128">
            <v>0</v>
          </cell>
        </row>
        <row r="129">
          <cell r="E129">
            <v>133</v>
          </cell>
          <cell r="G129">
            <v>19418</v>
          </cell>
          <cell r="J129">
            <v>144</v>
          </cell>
          <cell r="L129">
            <v>51840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130992</v>
          </cell>
          <cell r="V129">
            <v>130992</v>
          </cell>
          <cell r="W129">
            <v>0</v>
          </cell>
        </row>
        <row r="130">
          <cell r="E130">
            <v>120</v>
          </cell>
          <cell r="G130">
            <v>17520</v>
          </cell>
          <cell r="J130">
            <v>135</v>
          </cell>
          <cell r="L130">
            <v>48600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125854</v>
          </cell>
          <cell r="V130">
            <v>125854</v>
          </cell>
          <cell r="W130">
            <v>0</v>
          </cell>
        </row>
        <row r="131">
          <cell r="E131">
            <v>61</v>
          </cell>
          <cell r="G131">
            <v>8906</v>
          </cell>
          <cell r="J131">
            <v>87</v>
          </cell>
          <cell r="L131">
            <v>31320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99960</v>
          </cell>
          <cell r="V131">
            <v>99960</v>
          </cell>
          <cell r="W131">
            <v>0</v>
          </cell>
        </row>
        <row r="132">
          <cell r="E132">
            <v>122</v>
          </cell>
          <cell r="G132">
            <v>17812</v>
          </cell>
          <cell r="J132">
            <v>60</v>
          </cell>
          <cell r="L132">
            <v>21600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99146</v>
          </cell>
          <cell r="V132">
            <v>99146</v>
          </cell>
          <cell r="W132">
            <v>0</v>
          </cell>
        </row>
        <row r="133">
          <cell r="E133">
            <v>84</v>
          </cell>
          <cell r="G133">
            <v>12264</v>
          </cell>
          <cell r="J133">
            <v>38</v>
          </cell>
          <cell r="L133">
            <v>13680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85678</v>
          </cell>
          <cell r="V133">
            <v>85678</v>
          </cell>
          <cell r="W133">
            <v>0</v>
          </cell>
        </row>
        <row r="134">
          <cell r="E134">
            <v>116</v>
          </cell>
          <cell r="G134">
            <v>16936</v>
          </cell>
          <cell r="J134">
            <v>67</v>
          </cell>
          <cell r="L134">
            <v>24120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100790</v>
          </cell>
          <cell r="V134">
            <v>100790</v>
          </cell>
          <cell r="W134">
            <v>0</v>
          </cell>
        </row>
        <row r="135">
          <cell r="E135">
            <v>133</v>
          </cell>
          <cell r="G135">
            <v>19418</v>
          </cell>
          <cell r="J135">
            <v>66</v>
          </cell>
          <cell r="L135">
            <v>23760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102912</v>
          </cell>
          <cell r="V135">
            <v>102912</v>
          </cell>
          <cell r="W135">
            <v>0</v>
          </cell>
        </row>
        <row r="136">
          <cell r="E136">
            <v>152</v>
          </cell>
          <cell r="G136">
            <v>22192</v>
          </cell>
          <cell r="J136">
            <v>102</v>
          </cell>
          <cell r="L136">
            <v>36720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118646</v>
          </cell>
          <cell r="V136">
            <v>118646</v>
          </cell>
          <cell r="W136">
            <v>0</v>
          </cell>
        </row>
        <row r="137">
          <cell r="E137">
            <v>128</v>
          </cell>
          <cell r="G137">
            <v>18688</v>
          </cell>
          <cell r="J137">
            <v>133</v>
          </cell>
          <cell r="L137">
            <v>47880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126302</v>
          </cell>
          <cell r="V137">
            <v>126302</v>
          </cell>
          <cell r="W137">
            <v>0</v>
          </cell>
        </row>
        <row r="138">
          <cell r="E138">
            <v>141</v>
          </cell>
          <cell r="G138">
            <v>20586</v>
          </cell>
          <cell r="J138">
            <v>164</v>
          </cell>
          <cell r="L138">
            <v>61560</v>
          </cell>
          <cell r="M138">
            <v>0</v>
          </cell>
          <cell r="N138">
            <v>20000</v>
          </cell>
          <cell r="O138">
            <v>33082</v>
          </cell>
          <cell r="P138">
            <v>0</v>
          </cell>
          <cell r="Q138">
            <v>59734</v>
          </cell>
          <cell r="R138">
            <v>0</v>
          </cell>
          <cell r="S138">
            <v>194962</v>
          </cell>
          <cell r="V138">
            <v>194962</v>
          </cell>
          <cell r="W138">
            <v>0</v>
          </cell>
        </row>
        <row r="139">
          <cell r="E139">
            <v>87</v>
          </cell>
          <cell r="G139">
            <v>12702</v>
          </cell>
          <cell r="J139">
            <v>150</v>
          </cell>
          <cell r="L139">
            <v>59400</v>
          </cell>
          <cell r="M139">
            <v>0</v>
          </cell>
          <cell r="N139">
            <v>5000</v>
          </cell>
          <cell r="O139">
            <v>8380</v>
          </cell>
          <cell r="P139">
            <v>0</v>
          </cell>
          <cell r="Q139">
            <v>61536</v>
          </cell>
          <cell r="R139">
            <v>0</v>
          </cell>
          <cell r="S139">
            <v>147018</v>
          </cell>
          <cell r="V139">
            <v>147018</v>
          </cell>
          <cell r="W139">
            <v>0</v>
          </cell>
        </row>
        <row r="140">
          <cell r="E140">
            <v>275</v>
          </cell>
          <cell r="G140">
            <v>40150</v>
          </cell>
          <cell r="J140">
            <v>137</v>
          </cell>
          <cell r="L140">
            <v>52380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159066</v>
          </cell>
          <cell r="V140">
            <v>159066</v>
          </cell>
          <cell r="W140">
            <v>0</v>
          </cell>
        </row>
        <row r="141">
          <cell r="E141">
            <v>161</v>
          </cell>
          <cell r="G141">
            <v>23506</v>
          </cell>
          <cell r="J141">
            <v>131</v>
          </cell>
          <cell r="L141">
            <v>49140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139182</v>
          </cell>
          <cell r="V141">
            <v>139182</v>
          </cell>
          <cell r="W141">
            <v>0</v>
          </cell>
        </row>
        <row r="142">
          <cell r="E142">
            <v>156</v>
          </cell>
          <cell r="G142">
            <v>22776</v>
          </cell>
          <cell r="J142">
            <v>110</v>
          </cell>
          <cell r="L142">
            <v>39600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128912</v>
          </cell>
          <cell r="V142">
            <v>128912</v>
          </cell>
          <cell r="W142">
            <v>0</v>
          </cell>
        </row>
        <row r="143">
          <cell r="E143">
            <v>158</v>
          </cell>
          <cell r="G143">
            <v>23068</v>
          </cell>
          <cell r="J143">
            <v>84</v>
          </cell>
          <cell r="L143">
            <v>30240</v>
          </cell>
          <cell r="M143">
            <v>0</v>
          </cell>
          <cell r="N143">
            <v>5000</v>
          </cell>
          <cell r="O143">
            <v>40000</v>
          </cell>
          <cell r="P143">
            <v>0</v>
          </cell>
          <cell r="Q143">
            <v>61536</v>
          </cell>
          <cell r="R143">
            <v>0</v>
          </cell>
          <cell r="S143">
            <v>159844</v>
          </cell>
          <cell r="V143">
            <v>159844</v>
          </cell>
          <cell r="W143">
            <v>0</v>
          </cell>
        </row>
        <row r="144">
          <cell r="E144">
            <v>97</v>
          </cell>
          <cell r="G144">
            <v>14162</v>
          </cell>
          <cell r="J144">
            <v>32</v>
          </cell>
          <cell r="L144">
            <v>11520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92218</v>
          </cell>
          <cell r="V144">
            <v>92218</v>
          </cell>
          <cell r="W144">
            <v>0</v>
          </cell>
        </row>
        <row r="145">
          <cell r="E145">
            <v>113</v>
          </cell>
          <cell r="G145">
            <v>16498</v>
          </cell>
          <cell r="J145">
            <v>29</v>
          </cell>
          <cell r="L145">
            <v>10440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93474</v>
          </cell>
          <cell r="V145">
            <v>93474</v>
          </cell>
          <cell r="W145">
            <v>0</v>
          </cell>
        </row>
        <row r="146">
          <cell r="E146">
            <v>111</v>
          </cell>
          <cell r="G146">
            <v>16206</v>
          </cell>
          <cell r="J146">
            <v>18</v>
          </cell>
          <cell r="L146">
            <v>6480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89222</v>
          </cell>
          <cell r="V146">
            <v>89222</v>
          </cell>
          <cell r="W146">
            <v>0</v>
          </cell>
        </row>
        <row r="147">
          <cell r="E147">
            <v>125</v>
          </cell>
          <cell r="G147">
            <v>18250</v>
          </cell>
          <cell r="J147">
            <v>34</v>
          </cell>
          <cell r="L147">
            <v>12240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97026</v>
          </cell>
          <cell r="V147">
            <v>97026</v>
          </cell>
          <cell r="W147">
            <v>0</v>
          </cell>
        </row>
        <row r="148">
          <cell r="E148">
            <v>147</v>
          </cell>
          <cell r="G148">
            <v>21462</v>
          </cell>
          <cell r="J148">
            <v>61</v>
          </cell>
          <cell r="L148">
            <v>21960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109958</v>
          </cell>
          <cell r="V148">
            <v>109958</v>
          </cell>
          <cell r="W148">
            <v>0</v>
          </cell>
        </row>
        <row r="149">
          <cell r="E149">
            <v>175</v>
          </cell>
          <cell r="G149">
            <v>25550</v>
          </cell>
          <cell r="J149">
            <v>95</v>
          </cell>
          <cell r="L149">
            <v>34200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126286</v>
          </cell>
          <cell r="V149">
            <v>126286</v>
          </cell>
          <cell r="W149">
            <v>0</v>
          </cell>
        </row>
        <row r="150">
          <cell r="E150">
            <v>166</v>
          </cell>
          <cell r="G150">
            <v>24236</v>
          </cell>
          <cell r="J150">
            <v>93</v>
          </cell>
          <cell r="L150">
            <v>33480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126252</v>
          </cell>
          <cell r="V150">
            <v>126252</v>
          </cell>
          <cell r="W150">
            <v>0</v>
          </cell>
        </row>
        <row r="151">
          <cell r="E151">
            <v>225</v>
          </cell>
          <cell r="G151">
            <v>32850</v>
          </cell>
          <cell r="J151">
            <v>95</v>
          </cell>
          <cell r="L151">
            <v>34200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138445</v>
          </cell>
          <cell r="V151">
            <v>138445</v>
          </cell>
          <cell r="W151">
            <v>0</v>
          </cell>
        </row>
        <row r="152">
          <cell r="E152">
            <v>154</v>
          </cell>
          <cell r="G152">
            <v>22484</v>
          </cell>
          <cell r="J152">
            <v>130</v>
          </cell>
          <cell r="L152">
            <v>48600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142479</v>
          </cell>
          <cell r="V152">
            <v>142479</v>
          </cell>
          <cell r="W152">
            <v>0</v>
          </cell>
        </row>
        <row r="153">
          <cell r="E153">
            <v>136</v>
          </cell>
          <cell r="G153">
            <v>19856</v>
          </cell>
          <cell r="J153">
            <v>91</v>
          </cell>
          <cell r="L153">
            <v>32760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128970</v>
          </cell>
          <cell r="V153">
            <v>128970</v>
          </cell>
          <cell r="W153">
            <v>0</v>
          </cell>
        </row>
        <row r="154">
          <cell r="E154">
            <v>157</v>
          </cell>
          <cell r="G154">
            <v>22922</v>
          </cell>
          <cell r="J154">
            <v>94</v>
          </cell>
          <cell r="L154">
            <v>33840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133116</v>
          </cell>
          <cell r="V154">
            <v>133116</v>
          </cell>
          <cell r="W154">
            <v>0</v>
          </cell>
        </row>
        <row r="155">
          <cell r="E155">
            <v>148</v>
          </cell>
          <cell r="G155">
            <v>21608</v>
          </cell>
          <cell r="J155">
            <v>66</v>
          </cell>
          <cell r="L155">
            <v>23760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121722</v>
          </cell>
          <cell r="V155">
            <v>121722</v>
          </cell>
          <cell r="W155">
            <v>0</v>
          </cell>
        </row>
        <row r="156">
          <cell r="E156">
            <v>123</v>
          </cell>
          <cell r="G156">
            <v>17958</v>
          </cell>
          <cell r="J156">
            <v>44</v>
          </cell>
          <cell r="L156">
            <v>15840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110152</v>
          </cell>
          <cell r="V156">
            <v>110152</v>
          </cell>
          <cell r="W156">
            <v>0</v>
          </cell>
        </row>
        <row r="157">
          <cell r="E157">
            <v>128</v>
          </cell>
          <cell r="G157">
            <v>18688</v>
          </cell>
          <cell r="J157">
            <v>29</v>
          </cell>
          <cell r="L157">
            <v>10440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105482</v>
          </cell>
          <cell r="V157">
            <v>105482</v>
          </cell>
          <cell r="W157">
            <v>0</v>
          </cell>
        </row>
        <row r="158">
          <cell r="E158">
            <v>127</v>
          </cell>
          <cell r="G158">
            <v>18542</v>
          </cell>
          <cell r="J158">
            <v>5</v>
          </cell>
          <cell r="L158">
            <v>1800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96696</v>
          </cell>
          <cell r="V158">
            <v>96696</v>
          </cell>
          <cell r="W158">
            <v>0</v>
          </cell>
        </row>
        <row r="159">
          <cell r="E159">
            <v>146</v>
          </cell>
          <cell r="G159">
            <v>21316</v>
          </cell>
          <cell r="J159">
            <v>13</v>
          </cell>
          <cell r="L159">
            <v>4680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102350</v>
          </cell>
          <cell r="V159">
            <v>102350</v>
          </cell>
          <cell r="W159">
            <v>0</v>
          </cell>
        </row>
        <row r="160">
          <cell r="E160">
            <v>150</v>
          </cell>
          <cell r="G160">
            <v>21900</v>
          </cell>
          <cell r="J160">
            <v>17</v>
          </cell>
          <cell r="L160">
            <v>6120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104374</v>
          </cell>
          <cell r="V160">
            <v>104374</v>
          </cell>
          <cell r="W160">
            <v>0</v>
          </cell>
        </row>
        <row r="161">
          <cell r="E161">
            <v>135</v>
          </cell>
          <cell r="G161">
            <v>19710</v>
          </cell>
          <cell r="J161">
            <v>60</v>
          </cell>
          <cell r="L161">
            <v>21600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117664</v>
          </cell>
          <cell r="V161">
            <v>117664</v>
          </cell>
          <cell r="W161">
            <v>0</v>
          </cell>
        </row>
        <row r="162">
          <cell r="E162">
            <v>205</v>
          </cell>
          <cell r="G162">
            <v>29930</v>
          </cell>
          <cell r="J162">
            <v>98</v>
          </cell>
          <cell r="L162">
            <v>35280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141270</v>
          </cell>
          <cell r="V162">
            <v>141270</v>
          </cell>
          <cell r="W162">
            <v>0</v>
          </cell>
        </row>
        <row r="163">
          <cell r="E163">
            <v>181</v>
          </cell>
          <cell r="G163">
            <v>26426</v>
          </cell>
          <cell r="J163">
            <v>82</v>
          </cell>
          <cell r="L163">
            <v>29520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142006</v>
          </cell>
          <cell r="V163">
            <v>142006</v>
          </cell>
          <cell r="W163">
            <v>0</v>
          </cell>
        </row>
        <row r="164">
          <cell r="E164">
            <v>165</v>
          </cell>
          <cell r="G164">
            <v>24090</v>
          </cell>
          <cell r="J164">
            <v>81</v>
          </cell>
          <cell r="L164">
            <v>29160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139310</v>
          </cell>
          <cell r="V164">
            <v>139310</v>
          </cell>
          <cell r="W164">
            <v>0</v>
          </cell>
        </row>
        <row r="165">
          <cell r="E165">
            <v>161</v>
          </cell>
          <cell r="G165">
            <v>23506</v>
          </cell>
          <cell r="J165">
            <v>87</v>
          </cell>
          <cell r="L165">
            <v>31320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140886</v>
          </cell>
          <cell r="V165">
            <v>140886</v>
          </cell>
          <cell r="W165">
            <v>0</v>
          </cell>
        </row>
        <row r="166">
          <cell r="E166">
            <v>89</v>
          </cell>
          <cell r="G166">
            <v>12994</v>
          </cell>
          <cell r="J166">
            <v>42</v>
          </cell>
          <cell r="L166">
            <v>15120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114218</v>
          </cell>
          <cell r="V166">
            <v>114218</v>
          </cell>
          <cell r="W166">
            <v>0</v>
          </cell>
        </row>
        <row r="167">
          <cell r="E167">
            <v>62</v>
          </cell>
          <cell r="G167">
            <v>9052</v>
          </cell>
          <cell r="J167">
            <v>25</v>
          </cell>
          <cell r="L167">
            <v>9000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104156</v>
          </cell>
          <cell r="V167">
            <v>104156</v>
          </cell>
          <cell r="W167">
            <v>0</v>
          </cell>
        </row>
        <row r="168">
          <cell r="E168">
            <v>64</v>
          </cell>
          <cell r="G168">
            <v>9344</v>
          </cell>
          <cell r="J168">
            <v>6</v>
          </cell>
          <cell r="L168">
            <v>2160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97608</v>
          </cell>
          <cell r="V168">
            <v>97608</v>
          </cell>
          <cell r="W168">
            <v>0</v>
          </cell>
        </row>
        <row r="169">
          <cell r="E169">
            <v>46</v>
          </cell>
          <cell r="G169">
            <v>6716</v>
          </cell>
          <cell r="J169">
            <v>7</v>
          </cell>
          <cell r="L169">
            <v>2520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94946</v>
          </cell>
          <cell r="V169">
            <v>94946</v>
          </cell>
          <cell r="W169">
            <v>0</v>
          </cell>
        </row>
        <row r="170">
          <cell r="E170">
            <v>56</v>
          </cell>
          <cell r="G170">
            <v>8176</v>
          </cell>
          <cell r="J170">
            <v>17</v>
          </cell>
          <cell r="L170">
            <v>6120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100006</v>
          </cell>
          <cell r="V170">
            <v>100006</v>
          </cell>
          <cell r="W170">
            <v>0</v>
          </cell>
        </row>
        <row r="171">
          <cell r="E171">
            <v>97</v>
          </cell>
          <cell r="G171">
            <v>14162</v>
          </cell>
          <cell r="J171">
            <v>58</v>
          </cell>
          <cell r="L171">
            <v>20880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116437</v>
          </cell>
          <cell r="V171">
            <v>116437</v>
          </cell>
          <cell r="W171">
            <v>0</v>
          </cell>
        </row>
        <row r="172">
          <cell r="E172">
            <v>53</v>
          </cell>
          <cell r="G172">
            <v>7738</v>
          </cell>
          <cell r="J172">
            <v>67</v>
          </cell>
          <cell r="L172">
            <v>24120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113253</v>
          </cell>
          <cell r="V172">
            <v>113253</v>
          </cell>
          <cell r="W172">
            <v>0</v>
          </cell>
        </row>
        <row r="173">
          <cell r="E173">
            <v>61</v>
          </cell>
          <cell r="G173">
            <v>8906</v>
          </cell>
          <cell r="J173">
            <v>81</v>
          </cell>
          <cell r="L173">
            <v>29160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119461</v>
          </cell>
          <cell r="V173">
            <v>119461</v>
          </cell>
          <cell r="W173">
            <v>0</v>
          </cell>
        </row>
        <row r="174">
          <cell r="E174">
            <v>91</v>
          </cell>
          <cell r="G174">
            <v>13286</v>
          </cell>
          <cell r="J174">
            <v>97</v>
          </cell>
          <cell r="L174">
            <v>34920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129601</v>
          </cell>
          <cell r="V174">
            <v>129601</v>
          </cell>
          <cell r="W174">
            <v>0</v>
          </cell>
        </row>
      </sheetData>
      <sheetData sheetId="2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317.89999999999998</v>
          </cell>
          <cell r="G16">
            <v>20027.699999999997</v>
          </cell>
          <cell r="J16">
            <v>156.34700000000001</v>
          </cell>
          <cell r="L16">
            <v>46904.100000000006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105931.8</v>
          </cell>
          <cell r="V16">
            <v>0</v>
          </cell>
          <cell r="W16">
            <v>0</v>
          </cell>
        </row>
        <row r="17">
          <cell r="E17">
            <v>61.700000000000045</v>
          </cell>
          <cell r="G17">
            <v>3887.1000000000031</v>
          </cell>
          <cell r="J17">
            <v>17.067999999999984</v>
          </cell>
          <cell r="L17">
            <v>5120.3999999999951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48007.5</v>
          </cell>
          <cell r="V17">
            <v>0</v>
          </cell>
          <cell r="W17">
            <v>0</v>
          </cell>
        </row>
        <row r="18">
          <cell r="E18">
            <v>133.79999999999995</v>
          </cell>
          <cell r="G18">
            <v>8429.3999999999978</v>
          </cell>
          <cell r="J18">
            <v>75.685000000000002</v>
          </cell>
          <cell r="L18">
            <v>22705.5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70134.899999999994</v>
          </cell>
          <cell r="V18">
            <v>0</v>
          </cell>
          <cell r="W18">
            <v>0</v>
          </cell>
        </row>
        <row r="19">
          <cell r="E19">
            <v>56.399999999999977</v>
          </cell>
          <cell r="G19">
            <v>3553.1999999999985</v>
          </cell>
          <cell r="J19">
            <v>43.500000000000028</v>
          </cell>
          <cell r="L19">
            <v>13050.000000000009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55603.200000000012</v>
          </cell>
          <cell r="V19">
            <v>0</v>
          </cell>
          <cell r="W19">
            <v>0</v>
          </cell>
        </row>
        <row r="20">
          <cell r="E20">
            <v>126.40000000000009</v>
          </cell>
          <cell r="G20">
            <v>7963.2000000000062</v>
          </cell>
          <cell r="J20">
            <v>127.19999999999999</v>
          </cell>
          <cell r="L20">
            <v>38160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85123.200000000012</v>
          </cell>
          <cell r="V20">
            <v>0</v>
          </cell>
          <cell r="W20">
            <v>0</v>
          </cell>
        </row>
        <row r="21">
          <cell r="E21">
            <v>177</v>
          </cell>
          <cell r="G21">
            <v>11151</v>
          </cell>
          <cell r="J21">
            <v>55.300000000000011</v>
          </cell>
          <cell r="L21">
            <v>16590.000000000004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66741</v>
          </cell>
          <cell r="V21">
            <v>0</v>
          </cell>
          <cell r="W21">
            <v>0</v>
          </cell>
        </row>
        <row r="22">
          <cell r="E22">
            <v>166.79999999999995</v>
          </cell>
          <cell r="G22">
            <v>10508.399999999998</v>
          </cell>
          <cell r="J22">
            <v>14.899999999999977</v>
          </cell>
          <cell r="L22">
            <v>5363.9999999999918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54872.399999999994</v>
          </cell>
          <cell r="V22">
            <v>0</v>
          </cell>
          <cell r="W22">
            <v>0</v>
          </cell>
        </row>
        <row r="23">
          <cell r="E23">
            <v>135.29999999999995</v>
          </cell>
          <cell r="G23">
            <v>8523.8999999999978</v>
          </cell>
          <cell r="J23">
            <v>9.1999999999999886</v>
          </cell>
          <cell r="L23">
            <v>3311.9999999999959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50835.899999999994</v>
          </cell>
          <cell r="V23">
            <v>0</v>
          </cell>
          <cell r="W23">
            <v>50835.899999999994</v>
          </cell>
        </row>
        <row r="24">
          <cell r="E24">
            <v>89.600000000000136</v>
          </cell>
          <cell r="G24">
            <v>5644.8000000000084</v>
          </cell>
          <cell r="J24">
            <v>6.8000000000000114</v>
          </cell>
          <cell r="L24">
            <v>2448.0000000000041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47092.80000000001</v>
          </cell>
          <cell r="V24">
            <v>0</v>
          </cell>
          <cell r="W24">
            <v>97928.700000000012</v>
          </cell>
        </row>
        <row r="25">
          <cell r="E25">
            <v>196.09999999999991</v>
          </cell>
          <cell r="G25">
            <v>12354.299999999994</v>
          </cell>
          <cell r="J25">
            <v>19</v>
          </cell>
          <cell r="L25">
            <v>6840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58194.299999999996</v>
          </cell>
          <cell r="V25">
            <v>0</v>
          </cell>
          <cell r="W25">
            <v>156123</v>
          </cell>
        </row>
        <row r="26">
          <cell r="E26">
            <v>93</v>
          </cell>
          <cell r="G26">
            <v>5859</v>
          </cell>
          <cell r="J26">
            <v>3.5</v>
          </cell>
          <cell r="L26">
            <v>1260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46119</v>
          </cell>
          <cell r="V26">
            <v>120000</v>
          </cell>
          <cell r="W26">
            <v>82242</v>
          </cell>
        </row>
        <row r="27">
          <cell r="E27">
            <v>125</v>
          </cell>
          <cell r="G27">
            <v>7875</v>
          </cell>
          <cell r="J27">
            <v>24.100000000000023</v>
          </cell>
          <cell r="L27">
            <v>8676.0000000000073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55551.000000000007</v>
          </cell>
          <cell r="V27">
            <v>36123</v>
          </cell>
          <cell r="W27">
            <v>101670</v>
          </cell>
        </row>
        <row r="28">
          <cell r="E28">
            <v>193.20000000000005</v>
          </cell>
          <cell r="G28">
            <v>12171.600000000002</v>
          </cell>
          <cell r="J28">
            <v>32.399999999999977</v>
          </cell>
          <cell r="L28">
            <v>11663.999999999993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62835.599999999991</v>
          </cell>
          <cell r="V28">
            <v>46119</v>
          </cell>
          <cell r="W28">
            <v>118386.59999999998</v>
          </cell>
        </row>
        <row r="29">
          <cell r="E29">
            <v>180.79999999999995</v>
          </cell>
          <cell r="G29">
            <v>11390.399999999998</v>
          </cell>
          <cell r="J29">
            <v>73.700000000000045</v>
          </cell>
          <cell r="L29">
            <v>26532.000000000015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76922.400000000009</v>
          </cell>
          <cell r="V29">
            <v>0</v>
          </cell>
          <cell r="W29">
            <v>195309</v>
          </cell>
        </row>
        <row r="30">
          <cell r="E30">
            <v>119</v>
          </cell>
          <cell r="G30">
            <v>7497</v>
          </cell>
          <cell r="J30">
            <v>83.399999999999977</v>
          </cell>
          <cell r="L30">
            <v>30023.999999999993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76521</v>
          </cell>
          <cell r="V30">
            <v>100000</v>
          </cell>
          <cell r="W30">
            <v>171830</v>
          </cell>
        </row>
        <row r="31">
          <cell r="E31">
            <v>242</v>
          </cell>
          <cell r="G31">
            <v>15246</v>
          </cell>
          <cell r="J31">
            <v>86.899999999999977</v>
          </cell>
          <cell r="L31">
            <v>31283.999999999993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85530</v>
          </cell>
          <cell r="V31">
            <v>100000</v>
          </cell>
          <cell r="W31">
            <v>200360</v>
          </cell>
        </row>
        <row r="32">
          <cell r="E32">
            <v>332</v>
          </cell>
          <cell r="G32">
            <v>20916</v>
          </cell>
          <cell r="J32">
            <v>137</v>
          </cell>
          <cell r="L32">
            <v>49320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113236</v>
          </cell>
          <cell r="V32">
            <v>0</v>
          </cell>
          <cell r="W32">
            <v>313596</v>
          </cell>
        </row>
        <row r="33">
          <cell r="E33">
            <v>206</v>
          </cell>
          <cell r="G33">
            <v>12978</v>
          </cell>
          <cell r="J33">
            <v>26</v>
          </cell>
          <cell r="L33">
            <v>9360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65338</v>
          </cell>
          <cell r="V33">
            <v>0</v>
          </cell>
          <cell r="W33">
            <v>378934</v>
          </cell>
        </row>
        <row r="34">
          <cell r="E34">
            <v>174</v>
          </cell>
          <cell r="G34">
            <v>10962</v>
          </cell>
          <cell r="J34">
            <v>51</v>
          </cell>
          <cell r="L34">
            <v>18360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72322</v>
          </cell>
          <cell r="V34">
            <v>0</v>
          </cell>
          <cell r="W34">
            <v>451256</v>
          </cell>
        </row>
        <row r="35">
          <cell r="E35">
            <v>145</v>
          </cell>
          <cell r="G35">
            <v>9135</v>
          </cell>
          <cell r="J35">
            <v>5</v>
          </cell>
          <cell r="L35">
            <v>1800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53935</v>
          </cell>
          <cell r="V35">
            <v>451256</v>
          </cell>
          <cell r="W35">
            <v>53935</v>
          </cell>
        </row>
        <row r="36">
          <cell r="E36">
            <v>128</v>
          </cell>
          <cell r="G36">
            <v>8064</v>
          </cell>
          <cell r="J36">
            <v>2</v>
          </cell>
          <cell r="L36">
            <v>720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51784</v>
          </cell>
          <cell r="V36">
            <v>0</v>
          </cell>
          <cell r="W36">
            <v>105719</v>
          </cell>
        </row>
        <row r="37">
          <cell r="E37">
            <v>121</v>
          </cell>
          <cell r="G37">
            <v>7623</v>
          </cell>
          <cell r="J37">
            <v>4</v>
          </cell>
          <cell r="L37">
            <v>1440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52063</v>
          </cell>
          <cell r="V37">
            <v>105719</v>
          </cell>
          <cell r="W37">
            <v>52063</v>
          </cell>
        </row>
        <row r="38">
          <cell r="E38">
            <v>164</v>
          </cell>
          <cell r="G38">
            <v>10332</v>
          </cell>
          <cell r="J38">
            <v>8</v>
          </cell>
          <cell r="L38">
            <v>2880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56212</v>
          </cell>
          <cell r="V38">
            <v>55000</v>
          </cell>
          <cell r="W38">
            <v>53275</v>
          </cell>
        </row>
        <row r="39">
          <cell r="E39">
            <v>155</v>
          </cell>
          <cell r="G39">
            <v>9765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54205</v>
          </cell>
          <cell r="V39">
            <v>50000</v>
          </cell>
          <cell r="W39">
            <v>57480</v>
          </cell>
        </row>
        <row r="40">
          <cell r="E40">
            <v>132</v>
          </cell>
          <cell r="G40">
            <v>8316</v>
          </cell>
          <cell r="J40">
            <v>61</v>
          </cell>
          <cell r="L40">
            <v>21960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73276</v>
          </cell>
          <cell r="V40">
            <v>0</v>
          </cell>
          <cell r="W40">
            <v>130756</v>
          </cell>
        </row>
        <row r="41">
          <cell r="E41">
            <v>256</v>
          </cell>
          <cell r="G41">
            <v>16128</v>
          </cell>
          <cell r="J41">
            <v>86</v>
          </cell>
          <cell r="L41">
            <v>30960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90088</v>
          </cell>
          <cell r="V41">
            <v>131000</v>
          </cell>
          <cell r="W41">
            <v>89844</v>
          </cell>
        </row>
        <row r="42">
          <cell r="E42">
            <v>263</v>
          </cell>
          <cell r="G42">
            <v>16569</v>
          </cell>
          <cell r="J42">
            <v>78</v>
          </cell>
          <cell r="L42">
            <v>28080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87649</v>
          </cell>
          <cell r="V42">
            <v>0</v>
          </cell>
          <cell r="W42">
            <v>177493</v>
          </cell>
        </row>
        <row r="43">
          <cell r="E43">
            <v>377</v>
          </cell>
          <cell r="G43">
            <v>23751</v>
          </cell>
          <cell r="J43">
            <v>124</v>
          </cell>
          <cell r="L43">
            <v>44640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111391</v>
          </cell>
          <cell r="V43">
            <v>177493</v>
          </cell>
          <cell r="W43">
            <v>111391</v>
          </cell>
        </row>
        <row r="44">
          <cell r="E44">
            <v>1106</v>
          </cell>
          <cell r="G44">
            <v>69678</v>
          </cell>
          <cell r="J44">
            <v>69</v>
          </cell>
          <cell r="L44">
            <v>24840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137518</v>
          </cell>
          <cell r="V44">
            <v>0</v>
          </cell>
          <cell r="W44">
            <v>248909</v>
          </cell>
        </row>
        <row r="45">
          <cell r="E45">
            <v>12</v>
          </cell>
          <cell r="G45">
            <v>756</v>
          </cell>
          <cell r="J45">
            <v>74</v>
          </cell>
          <cell r="L45">
            <v>26640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70396</v>
          </cell>
          <cell r="V45">
            <v>250000</v>
          </cell>
          <cell r="W45">
            <v>69305</v>
          </cell>
        </row>
        <row r="46">
          <cell r="E46">
            <v>10</v>
          </cell>
          <cell r="G46">
            <v>630</v>
          </cell>
          <cell r="J46">
            <v>72</v>
          </cell>
          <cell r="L46">
            <v>25920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69550</v>
          </cell>
          <cell r="V46">
            <v>0</v>
          </cell>
          <cell r="W46">
            <v>138855</v>
          </cell>
        </row>
        <row r="47">
          <cell r="E47">
            <v>11</v>
          </cell>
          <cell r="G47">
            <v>693</v>
          </cell>
          <cell r="J47">
            <v>18</v>
          </cell>
          <cell r="L47">
            <v>6480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50173</v>
          </cell>
          <cell r="V47">
            <v>69305</v>
          </cell>
          <cell r="W47">
            <v>119723</v>
          </cell>
        </row>
        <row r="48">
          <cell r="E48">
            <v>141</v>
          </cell>
          <cell r="G48">
            <v>8883</v>
          </cell>
          <cell r="J48">
            <v>4</v>
          </cell>
          <cell r="L48">
            <v>1440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53323</v>
          </cell>
          <cell r="V48">
            <v>120000</v>
          </cell>
          <cell r="W48">
            <v>53046</v>
          </cell>
        </row>
        <row r="49">
          <cell r="E49">
            <v>72</v>
          </cell>
          <cell r="G49">
            <v>4536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47896</v>
          </cell>
          <cell r="V49">
            <v>55000</v>
          </cell>
          <cell r="W49">
            <v>45942</v>
          </cell>
        </row>
        <row r="50">
          <cell r="E50">
            <v>189</v>
          </cell>
          <cell r="G50">
            <v>11907</v>
          </cell>
          <cell r="J50">
            <v>14</v>
          </cell>
          <cell r="L50">
            <v>5040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59947</v>
          </cell>
          <cell r="V50">
            <v>46000</v>
          </cell>
          <cell r="W50">
            <v>59889</v>
          </cell>
        </row>
        <row r="51">
          <cell r="E51">
            <v>63</v>
          </cell>
          <cell r="G51">
            <v>3969</v>
          </cell>
          <cell r="J51">
            <v>2</v>
          </cell>
          <cell r="L51">
            <v>720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47689</v>
          </cell>
          <cell r="V51">
            <v>0</v>
          </cell>
          <cell r="W51">
            <v>107578</v>
          </cell>
        </row>
        <row r="52">
          <cell r="E52">
            <v>241</v>
          </cell>
          <cell r="G52">
            <v>15183</v>
          </cell>
          <cell r="J52">
            <v>65</v>
          </cell>
          <cell r="L52">
            <v>23400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81583</v>
          </cell>
          <cell r="V52">
            <v>108000</v>
          </cell>
          <cell r="W52">
            <v>81161</v>
          </cell>
        </row>
        <row r="53">
          <cell r="E53">
            <v>262</v>
          </cell>
          <cell r="G53">
            <v>16506</v>
          </cell>
          <cell r="J53">
            <v>127</v>
          </cell>
          <cell r="L53">
            <v>45720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105226</v>
          </cell>
          <cell r="V53">
            <v>0</v>
          </cell>
          <cell r="W53">
            <v>186387</v>
          </cell>
        </row>
        <row r="54">
          <cell r="E54">
            <v>120</v>
          </cell>
          <cell r="G54">
            <v>7560</v>
          </cell>
          <cell r="J54">
            <v>77</v>
          </cell>
          <cell r="L54">
            <v>27720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78280</v>
          </cell>
          <cell r="V54">
            <v>160000</v>
          </cell>
          <cell r="W54">
            <v>111667</v>
          </cell>
        </row>
        <row r="55">
          <cell r="E55">
            <v>394</v>
          </cell>
          <cell r="G55">
            <v>24822</v>
          </cell>
          <cell r="J55">
            <v>95</v>
          </cell>
          <cell r="L55">
            <v>34200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109022</v>
          </cell>
          <cell r="V55">
            <v>120000</v>
          </cell>
          <cell r="W55">
            <v>100689</v>
          </cell>
        </row>
        <row r="56">
          <cell r="E56">
            <v>268</v>
          </cell>
          <cell r="G56">
            <v>16884</v>
          </cell>
          <cell r="J56">
            <v>99</v>
          </cell>
          <cell r="L56">
            <v>35640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102524</v>
          </cell>
          <cell r="V56">
            <v>0</v>
          </cell>
          <cell r="W56">
            <v>203213</v>
          </cell>
        </row>
        <row r="57">
          <cell r="E57">
            <v>216</v>
          </cell>
          <cell r="G57">
            <v>13608</v>
          </cell>
          <cell r="J57">
            <v>43</v>
          </cell>
          <cell r="L57">
            <v>15480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79088</v>
          </cell>
          <cell r="V57">
            <v>200000</v>
          </cell>
          <cell r="W57">
            <v>82301</v>
          </cell>
        </row>
        <row r="58">
          <cell r="E58">
            <v>296</v>
          </cell>
          <cell r="G58">
            <v>18648</v>
          </cell>
          <cell r="J58">
            <v>118</v>
          </cell>
          <cell r="L58">
            <v>42480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111128</v>
          </cell>
          <cell r="V58">
            <v>82000</v>
          </cell>
          <cell r="W58">
            <v>111429</v>
          </cell>
        </row>
        <row r="59">
          <cell r="E59">
            <v>217</v>
          </cell>
          <cell r="G59">
            <v>13671</v>
          </cell>
          <cell r="J59">
            <v>26</v>
          </cell>
          <cell r="L59">
            <v>9360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73031</v>
          </cell>
          <cell r="V59">
            <v>120000</v>
          </cell>
          <cell r="W59">
            <v>64460</v>
          </cell>
        </row>
        <row r="60">
          <cell r="E60">
            <v>162</v>
          </cell>
          <cell r="G60">
            <v>10206</v>
          </cell>
          <cell r="J60">
            <v>10</v>
          </cell>
          <cell r="L60">
            <v>3600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63806</v>
          </cell>
          <cell r="V60">
            <v>80000</v>
          </cell>
          <cell r="W60">
            <v>48266</v>
          </cell>
        </row>
        <row r="61">
          <cell r="E61">
            <v>120</v>
          </cell>
          <cell r="G61">
            <v>7560</v>
          </cell>
          <cell r="J61">
            <v>3</v>
          </cell>
          <cell r="L61">
            <v>1080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58640</v>
          </cell>
          <cell r="V61">
            <v>100000</v>
          </cell>
          <cell r="W61">
            <v>6906</v>
          </cell>
        </row>
        <row r="62">
          <cell r="E62">
            <v>118</v>
          </cell>
          <cell r="G62">
            <v>7434</v>
          </cell>
          <cell r="J62">
            <v>3</v>
          </cell>
          <cell r="L62">
            <v>1080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58514</v>
          </cell>
          <cell r="V62">
            <v>0</v>
          </cell>
          <cell r="W62">
            <v>65420</v>
          </cell>
        </row>
        <row r="63">
          <cell r="E63">
            <v>315</v>
          </cell>
          <cell r="G63">
            <v>19845</v>
          </cell>
          <cell r="J63">
            <v>30</v>
          </cell>
          <cell r="L63">
            <v>10800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80645</v>
          </cell>
          <cell r="V63">
            <v>100000</v>
          </cell>
          <cell r="W63">
            <v>46065</v>
          </cell>
        </row>
        <row r="64">
          <cell r="E64">
            <v>172</v>
          </cell>
          <cell r="G64">
            <v>13588</v>
          </cell>
          <cell r="J64">
            <v>142</v>
          </cell>
          <cell r="L64">
            <v>51120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114708</v>
          </cell>
          <cell r="V64">
            <v>50000</v>
          </cell>
          <cell r="W64">
            <v>110773</v>
          </cell>
        </row>
        <row r="65">
          <cell r="E65">
            <v>234</v>
          </cell>
          <cell r="G65">
            <v>18486</v>
          </cell>
          <cell r="J65">
            <v>123</v>
          </cell>
          <cell r="L65">
            <v>44280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112766</v>
          </cell>
          <cell r="V65">
            <v>100000</v>
          </cell>
          <cell r="W65">
            <v>123539</v>
          </cell>
        </row>
        <row r="66">
          <cell r="E66">
            <v>223</v>
          </cell>
          <cell r="G66">
            <v>17617</v>
          </cell>
          <cell r="J66">
            <v>116</v>
          </cell>
          <cell r="L66">
            <v>41760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109377</v>
          </cell>
          <cell r="V66">
            <v>100000</v>
          </cell>
          <cell r="W66">
            <v>132916</v>
          </cell>
        </row>
        <row r="67">
          <cell r="E67">
            <v>337</v>
          </cell>
          <cell r="G67">
            <v>29319</v>
          </cell>
          <cell r="J67">
            <v>148</v>
          </cell>
          <cell r="L67">
            <v>53280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132599</v>
          </cell>
          <cell r="V67">
            <v>120000</v>
          </cell>
          <cell r="W67">
            <v>145515</v>
          </cell>
        </row>
        <row r="68">
          <cell r="E68">
            <v>284</v>
          </cell>
          <cell r="G68">
            <v>24708</v>
          </cell>
          <cell r="J68">
            <v>76</v>
          </cell>
          <cell r="L68">
            <v>27360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102068</v>
          </cell>
          <cell r="V68">
            <v>0</v>
          </cell>
          <cell r="W68">
            <v>247583</v>
          </cell>
        </row>
        <row r="69">
          <cell r="E69">
            <v>184</v>
          </cell>
          <cell r="G69">
            <v>20424</v>
          </cell>
          <cell r="J69">
            <v>103</v>
          </cell>
          <cell r="L69">
            <v>37080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107504</v>
          </cell>
          <cell r="V69">
            <v>150000</v>
          </cell>
          <cell r="W69">
            <v>205087</v>
          </cell>
        </row>
        <row r="70">
          <cell r="E70">
            <v>229</v>
          </cell>
          <cell r="G70">
            <v>28396</v>
          </cell>
          <cell r="J70">
            <v>61</v>
          </cell>
          <cell r="L70">
            <v>21960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100356</v>
          </cell>
          <cell r="V70">
            <v>200000</v>
          </cell>
          <cell r="W70">
            <v>105443</v>
          </cell>
        </row>
        <row r="71">
          <cell r="E71">
            <v>159</v>
          </cell>
          <cell r="G71">
            <v>15582</v>
          </cell>
          <cell r="J71">
            <v>6</v>
          </cell>
          <cell r="L71">
            <v>2160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67742</v>
          </cell>
          <cell r="V71">
            <v>120000</v>
          </cell>
          <cell r="W71">
            <v>53185</v>
          </cell>
        </row>
        <row r="72">
          <cell r="E72">
            <v>132</v>
          </cell>
          <cell r="G72">
            <v>13728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64448</v>
          </cell>
          <cell r="V72">
            <v>100000</v>
          </cell>
          <cell r="W72">
            <v>17633</v>
          </cell>
        </row>
        <row r="73">
          <cell r="E73">
            <v>176</v>
          </cell>
          <cell r="G73">
            <v>19712</v>
          </cell>
          <cell r="J73">
            <v>4</v>
          </cell>
          <cell r="L73">
            <v>1440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71152</v>
          </cell>
          <cell r="V73">
            <v>0</v>
          </cell>
          <cell r="W73">
            <v>88785</v>
          </cell>
        </row>
        <row r="74">
          <cell r="E74">
            <v>110</v>
          </cell>
          <cell r="G74">
            <v>11770</v>
          </cell>
          <cell r="J74">
            <v>17</v>
          </cell>
          <cell r="L74">
            <v>6120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67890</v>
          </cell>
          <cell r="V74">
            <v>100000</v>
          </cell>
          <cell r="W74">
            <v>56675</v>
          </cell>
        </row>
        <row r="75">
          <cell r="E75">
            <v>162</v>
          </cell>
          <cell r="G75">
            <v>17820</v>
          </cell>
          <cell r="J75">
            <v>26</v>
          </cell>
          <cell r="L75">
            <v>9360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77180</v>
          </cell>
          <cell r="V75">
            <v>0</v>
          </cell>
          <cell r="W75">
            <v>133855</v>
          </cell>
        </row>
        <row r="76">
          <cell r="E76">
            <v>166</v>
          </cell>
          <cell r="G76">
            <v>20916</v>
          </cell>
          <cell r="J76">
            <v>108</v>
          </cell>
          <cell r="L76">
            <v>38880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109796</v>
          </cell>
          <cell r="V76">
            <v>0</v>
          </cell>
          <cell r="W76">
            <v>243651</v>
          </cell>
        </row>
        <row r="77">
          <cell r="E77">
            <v>194</v>
          </cell>
          <cell r="G77">
            <v>23086</v>
          </cell>
          <cell r="J77">
            <v>122</v>
          </cell>
          <cell r="L77">
            <v>43920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117006</v>
          </cell>
          <cell r="V77">
            <v>260000</v>
          </cell>
          <cell r="W77">
            <v>100657</v>
          </cell>
        </row>
        <row r="78">
          <cell r="E78">
            <v>384</v>
          </cell>
          <cell r="G78">
            <v>41472</v>
          </cell>
          <cell r="J78">
            <v>251</v>
          </cell>
          <cell r="L78">
            <v>90360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181832</v>
          </cell>
          <cell r="V78">
            <v>101000</v>
          </cell>
          <cell r="W78">
            <v>181489</v>
          </cell>
        </row>
        <row r="79">
          <cell r="E79">
            <v>167</v>
          </cell>
          <cell r="G79">
            <v>20708</v>
          </cell>
          <cell r="J79">
            <v>69</v>
          </cell>
          <cell r="L79">
            <v>24840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95548</v>
          </cell>
          <cell r="V79">
            <v>0</v>
          </cell>
          <cell r="W79">
            <v>277037</v>
          </cell>
        </row>
        <row r="80">
          <cell r="E80">
            <v>313</v>
          </cell>
          <cell r="G80">
            <v>40690</v>
          </cell>
          <cell r="J80">
            <v>150</v>
          </cell>
          <cell r="L80">
            <v>59940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150630</v>
          </cell>
          <cell r="V80">
            <v>0</v>
          </cell>
          <cell r="W80">
            <v>427667</v>
          </cell>
        </row>
        <row r="81">
          <cell r="E81">
            <v>304</v>
          </cell>
          <cell r="G81">
            <v>39520</v>
          </cell>
          <cell r="J81">
            <v>94</v>
          </cell>
          <cell r="L81">
            <v>33840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123360</v>
          </cell>
          <cell r="V81">
            <v>300000</v>
          </cell>
          <cell r="W81">
            <v>251027</v>
          </cell>
        </row>
        <row r="82">
          <cell r="E82">
            <v>185</v>
          </cell>
          <cell r="G82">
            <v>25900</v>
          </cell>
          <cell r="J82">
            <v>120</v>
          </cell>
          <cell r="L82">
            <v>43200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119100</v>
          </cell>
          <cell r="V82">
            <v>260000</v>
          </cell>
          <cell r="W82">
            <v>110127</v>
          </cell>
        </row>
        <row r="83">
          <cell r="E83">
            <v>172</v>
          </cell>
          <cell r="G83">
            <v>25112</v>
          </cell>
          <cell r="J83">
            <v>17</v>
          </cell>
          <cell r="L83">
            <v>6120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81232</v>
          </cell>
          <cell r="V83">
            <v>0</v>
          </cell>
          <cell r="W83">
            <v>191359</v>
          </cell>
        </row>
        <row r="84">
          <cell r="E84">
            <v>201</v>
          </cell>
          <cell r="G84">
            <v>29346</v>
          </cell>
          <cell r="J84">
            <v>5</v>
          </cell>
          <cell r="L84">
            <v>1800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81146</v>
          </cell>
          <cell r="V84">
            <v>200000</v>
          </cell>
          <cell r="W84">
            <v>72505</v>
          </cell>
        </row>
        <row r="85">
          <cell r="E85">
            <v>248</v>
          </cell>
          <cell r="G85">
            <v>36208</v>
          </cell>
          <cell r="J85">
            <v>9</v>
          </cell>
          <cell r="L85">
            <v>3240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89448</v>
          </cell>
          <cell r="V85">
            <v>150000</v>
          </cell>
          <cell r="W85">
            <v>21953</v>
          </cell>
        </row>
        <row r="86">
          <cell r="E86">
            <v>169</v>
          </cell>
          <cell r="G86">
            <v>24674</v>
          </cell>
          <cell r="J86">
            <v>2</v>
          </cell>
          <cell r="L86">
            <v>720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85394</v>
          </cell>
          <cell r="V86">
            <v>100000</v>
          </cell>
          <cell r="W86">
            <v>-2653</v>
          </cell>
        </row>
        <row r="87">
          <cell r="E87">
            <v>218</v>
          </cell>
          <cell r="G87">
            <v>31828</v>
          </cell>
          <cell r="J87">
            <v>18</v>
          </cell>
          <cell r="L87">
            <v>6480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88308</v>
          </cell>
          <cell r="V87">
            <v>0</v>
          </cell>
          <cell r="W87">
            <v>85655</v>
          </cell>
        </row>
        <row r="88">
          <cell r="E88">
            <v>191</v>
          </cell>
          <cell r="G88">
            <v>27886</v>
          </cell>
          <cell r="J88">
            <v>26</v>
          </cell>
          <cell r="L88">
            <v>9360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87246</v>
          </cell>
          <cell r="V88">
            <v>180000</v>
          </cell>
          <cell r="W88">
            <v>-7099</v>
          </cell>
        </row>
        <row r="89">
          <cell r="E89">
            <v>172</v>
          </cell>
          <cell r="G89">
            <v>25112</v>
          </cell>
          <cell r="J89">
            <v>24</v>
          </cell>
          <cell r="L89">
            <v>8640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83752</v>
          </cell>
          <cell r="V89">
            <v>0</v>
          </cell>
          <cell r="W89">
            <v>76653</v>
          </cell>
        </row>
        <row r="90">
          <cell r="E90">
            <v>263</v>
          </cell>
          <cell r="G90">
            <v>38398</v>
          </cell>
          <cell r="J90">
            <v>100</v>
          </cell>
          <cell r="L90">
            <v>36000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124398</v>
          </cell>
          <cell r="V90">
            <v>210000</v>
          </cell>
          <cell r="W90">
            <v>-8949</v>
          </cell>
        </row>
        <row r="91">
          <cell r="E91">
            <v>218</v>
          </cell>
          <cell r="G91">
            <v>31828</v>
          </cell>
          <cell r="J91">
            <v>32</v>
          </cell>
          <cell r="L91">
            <v>11520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102348</v>
          </cell>
          <cell r="V91">
            <v>0</v>
          </cell>
          <cell r="W91">
            <v>103399</v>
          </cell>
        </row>
        <row r="92">
          <cell r="E92">
            <v>296</v>
          </cell>
          <cell r="G92">
            <v>43216</v>
          </cell>
          <cell r="J92">
            <v>80</v>
          </cell>
          <cell r="L92">
            <v>28800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131016</v>
          </cell>
          <cell r="V92">
            <v>250000</v>
          </cell>
          <cell r="W92">
            <v>-5585</v>
          </cell>
        </row>
        <row r="93">
          <cell r="E93">
            <v>187</v>
          </cell>
          <cell r="G93">
            <v>27302</v>
          </cell>
          <cell r="J93">
            <v>48</v>
          </cell>
          <cell r="L93">
            <v>17280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103582</v>
          </cell>
          <cell r="V93">
            <v>100000</v>
          </cell>
          <cell r="W93">
            <v>7997</v>
          </cell>
        </row>
        <row r="94">
          <cell r="E94">
            <v>192</v>
          </cell>
          <cell r="G94">
            <v>28032</v>
          </cell>
          <cell r="J94">
            <v>14</v>
          </cell>
          <cell r="L94">
            <v>5040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92072</v>
          </cell>
          <cell r="V94">
            <v>120000</v>
          </cell>
          <cell r="W94">
            <v>-9931</v>
          </cell>
        </row>
        <row r="95">
          <cell r="E95">
            <v>205</v>
          </cell>
          <cell r="G95">
            <v>29930</v>
          </cell>
          <cell r="J95">
            <v>20</v>
          </cell>
          <cell r="L95">
            <v>7200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96130</v>
          </cell>
          <cell r="V95">
            <v>120000</v>
          </cell>
          <cell r="W95">
            <v>-23801</v>
          </cell>
        </row>
        <row r="96">
          <cell r="E96">
            <v>221</v>
          </cell>
          <cell r="G96">
            <v>32266</v>
          </cell>
          <cell r="J96">
            <v>2</v>
          </cell>
          <cell r="L96">
            <v>720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91986</v>
          </cell>
          <cell r="V96">
            <v>0</v>
          </cell>
          <cell r="W96">
            <v>68185</v>
          </cell>
        </row>
        <row r="97">
          <cell r="E97">
            <v>226</v>
          </cell>
          <cell r="G97">
            <v>32996</v>
          </cell>
          <cell r="J97">
            <v>5</v>
          </cell>
          <cell r="L97">
            <v>1800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93796</v>
          </cell>
          <cell r="V97">
            <v>200000</v>
          </cell>
          <cell r="W97">
            <v>-38019</v>
          </cell>
        </row>
        <row r="98">
          <cell r="E98">
            <v>174</v>
          </cell>
          <cell r="G98">
            <v>25404</v>
          </cell>
          <cell r="J98">
            <v>16</v>
          </cell>
          <cell r="L98">
            <v>5760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90164</v>
          </cell>
          <cell r="V98">
            <v>55000</v>
          </cell>
          <cell r="W98">
            <v>-2855</v>
          </cell>
        </row>
        <row r="99">
          <cell r="E99">
            <v>155</v>
          </cell>
          <cell r="G99">
            <v>22630</v>
          </cell>
          <cell r="J99">
            <v>24</v>
          </cell>
          <cell r="L99">
            <v>8640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90270</v>
          </cell>
          <cell r="V99">
            <v>0</v>
          </cell>
          <cell r="W99">
            <v>87415</v>
          </cell>
        </row>
        <row r="100">
          <cell r="E100">
            <v>122</v>
          </cell>
          <cell r="G100">
            <v>17812</v>
          </cell>
          <cell r="J100">
            <v>132</v>
          </cell>
          <cell r="L100">
            <v>47520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124332</v>
          </cell>
          <cell r="V100">
            <v>200000</v>
          </cell>
          <cell r="W100">
            <v>11747</v>
          </cell>
        </row>
        <row r="101">
          <cell r="E101">
            <v>149</v>
          </cell>
          <cell r="G101">
            <v>21754</v>
          </cell>
          <cell r="J101">
            <v>39</v>
          </cell>
          <cell r="L101">
            <v>14040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94794</v>
          </cell>
          <cell r="V101">
            <v>110000</v>
          </cell>
          <cell r="W101">
            <v>-3459</v>
          </cell>
        </row>
        <row r="102">
          <cell r="E102">
            <v>194</v>
          </cell>
          <cell r="G102">
            <v>28324</v>
          </cell>
          <cell r="J102">
            <v>93</v>
          </cell>
          <cell r="L102">
            <v>33480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120804</v>
          </cell>
          <cell r="V102">
            <v>150000</v>
          </cell>
          <cell r="W102">
            <v>-32655</v>
          </cell>
        </row>
        <row r="103">
          <cell r="E103">
            <v>216</v>
          </cell>
          <cell r="G103">
            <v>31536</v>
          </cell>
          <cell r="J103">
            <v>34</v>
          </cell>
          <cell r="L103">
            <v>12240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104426</v>
          </cell>
          <cell r="V103">
            <v>100000</v>
          </cell>
          <cell r="W103">
            <v>-28229</v>
          </cell>
        </row>
        <row r="104">
          <cell r="E104">
            <v>248</v>
          </cell>
          <cell r="G104">
            <v>36208</v>
          </cell>
          <cell r="J104">
            <v>15</v>
          </cell>
          <cell r="L104">
            <v>5400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102258</v>
          </cell>
          <cell r="V104">
            <v>0</v>
          </cell>
          <cell r="W104">
            <v>74029</v>
          </cell>
        </row>
        <row r="105">
          <cell r="E105">
            <v>237</v>
          </cell>
          <cell r="G105">
            <v>34602</v>
          </cell>
          <cell r="J105">
            <v>15</v>
          </cell>
          <cell r="L105">
            <v>5400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100652</v>
          </cell>
          <cell r="V105">
            <v>175000</v>
          </cell>
          <cell r="W105">
            <v>-319</v>
          </cell>
        </row>
        <row r="106">
          <cell r="E106">
            <v>299</v>
          </cell>
          <cell r="G106">
            <v>43654</v>
          </cell>
          <cell r="J106">
            <v>37</v>
          </cell>
          <cell r="L106">
            <v>13320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117624</v>
          </cell>
          <cell r="V106">
            <v>117500</v>
          </cell>
          <cell r="W106">
            <v>-195</v>
          </cell>
        </row>
        <row r="107">
          <cell r="E107">
            <v>253</v>
          </cell>
          <cell r="G107">
            <v>36938</v>
          </cell>
          <cell r="J107">
            <v>15</v>
          </cell>
          <cell r="L107">
            <v>5400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102988</v>
          </cell>
          <cell r="V107">
            <v>0</v>
          </cell>
          <cell r="W107">
            <v>102793</v>
          </cell>
        </row>
        <row r="108">
          <cell r="E108">
            <v>396</v>
          </cell>
          <cell r="G108">
            <v>57816</v>
          </cell>
          <cell r="J108">
            <v>2</v>
          </cell>
          <cell r="L108">
            <v>720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119186</v>
          </cell>
          <cell r="V108">
            <v>250000</v>
          </cell>
          <cell r="W108">
            <v>-28021</v>
          </cell>
        </row>
        <row r="109">
          <cell r="E109">
            <v>177</v>
          </cell>
          <cell r="G109">
            <v>25842</v>
          </cell>
          <cell r="J109">
            <v>4</v>
          </cell>
          <cell r="L109">
            <v>1440</v>
          </cell>
          <cell r="M109">
            <v>0</v>
          </cell>
          <cell r="N109">
            <v>0</v>
          </cell>
          <cell r="O109">
            <v>0</v>
          </cell>
          <cell r="P109">
            <v>8000</v>
          </cell>
          <cell r="Q109">
            <v>56650</v>
          </cell>
          <cell r="R109">
            <v>0</v>
          </cell>
          <cell r="S109">
            <v>91932</v>
          </cell>
          <cell r="V109">
            <v>0</v>
          </cell>
          <cell r="W109">
            <v>63911</v>
          </cell>
        </row>
        <row r="110">
          <cell r="E110">
            <v>142</v>
          </cell>
          <cell r="G110">
            <v>20732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8000</v>
          </cell>
          <cell r="Q110">
            <v>56650</v>
          </cell>
          <cell r="R110">
            <v>0</v>
          </cell>
          <cell r="S110">
            <v>85742</v>
          </cell>
          <cell r="V110">
            <v>150000</v>
          </cell>
          <cell r="W110">
            <v>-347</v>
          </cell>
        </row>
        <row r="111">
          <cell r="E111">
            <v>145</v>
          </cell>
          <cell r="G111">
            <v>21170</v>
          </cell>
          <cell r="J111">
            <v>18</v>
          </cell>
          <cell r="L111">
            <v>6480</v>
          </cell>
          <cell r="M111">
            <v>0</v>
          </cell>
          <cell r="N111">
            <v>0</v>
          </cell>
          <cell r="O111">
            <v>0</v>
          </cell>
          <cell r="P111">
            <v>8000</v>
          </cell>
          <cell r="Q111">
            <v>56650</v>
          </cell>
          <cell r="R111">
            <v>0</v>
          </cell>
          <cell r="S111">
            <v>92300</v>
          </cell>
          <cell r="V111">
            <v>0</v>
          </cell>
          <cell r="W111">
            <v>91953</v>
          </cell>
        </row>
        <row r="112">
          <cell r="E112">
            <v>127</v>
          </cell>
          <cell r="G112">
            <v>18542</v>
          </cell>
          <cell r="J112">
            <v>14</v>
          </cell>
          <cell r="L112">
            <v>5040</v>
          </cell>
          <cell r="M112">
            <v>0</v>
          </cell>
          <cell r="N112">
            <v>0</v>
          </cell>
          <cell r="O112">
            <v>0</v>
          </cell>
          <cell r="P112">
            <v>8000</v>
          </cell>
          <cell r="Q112">
            <v>56650</v>
          </cell>
          <cell r="R112">
            <v>0</v>
          </cell>
          <cell r="S112">
            <v>88232</v>
          </cell>
          <cell r="V112">
            <v>200000</v>
          </cell>
          <cell r="W112">
            <v>-19815</v>
          </cell>
        </row>
        <row r="113">
          <cell r="E113">
            <v>157</v>
          </cell>
          <cell r="G113">
            <v>22922</v>
          </cell>
          <cell r="J113">
            <v>69</v>
          </cell>
          <cell r="L113">
            <v>24840</v>
          </cell>
          <cell r="M113">
            <v>0</v>
          </cell>
          <cell r="N113">
            <v>0</v>
          </cell>
          <cell r="O113">
            <v>0</v>
          </cell>
          <cell r="P113">
            <v>8000</v>
          </cell>
          <cell r="Q113">
            <v>56650</v>
          </cell>
          <cell r="R113">
            <v>0</v>
          </cell>
          <cell r="S113">
            <v>112412</v>
          </cell>
          <cell r="V113">
            <v>93000</v>
          </cell>
          <cell r="W113">
            <v>-403</v>
          </cell>
        </row>
        <row r="114">
          <cell r="E114">
            <v>216</v>
          </cell>
          <cell r="G114">
            <v>31536</v>
          </cell>
          <cell r="J114">
            <v>11</v>
          </cell>
          <cell r="L114">
            <v>3960</v>
          </cell>
          <cell r="M114">
            <v>0</v>
          </cell>
          <cell r="N114">
            <v>0</v>
          </cell>
          <cell r="O114">
            <v>0</v>
          </cell>
          <cell r="P114">
            <v>8000</v>
          </cell>
          <cell r="Q114">
            <v>56650</v>
          </cell>
          <cell r="R114">
            <v>0</v>
          </cell>
          <cell r="S114">
            <v>100146</v>
          </cell>
          <cell r="V114">
            <v>100000</v>
          </cell>
          <cell r="W114">
            <v>-257</v>
          </cell>
        </row>
        <row r="115">
          <cell r="E115">
            <v>231</v>
          </cell>
          <cell r="G115">
            <v>33726</v>
          </cell>
          <cell r="J115">
            <v>14</v>
          </cell>
          <cell r="L115">
            <v>5040</v>
          </cell>
          <cell r="M115">
            <v>0</v>
          </cell>
          <cell r="N115">
            <v>0</v>
          </cell>
          <cell r="O115">
            <v>0</v>
          </cell>
          <cell r="P115">
            <v>8000</v>
          </cell>
          <cell r="Q115">
            <v>58859</v>
          </cell>
          <cell r="R115">
            <v>0</v>
          </cell>
          <cell r="S115">
            <v>105625</v>
          </cell>
          <cell r="V115">
            <v>0</v>
          </cell>
          <cell r="W115">
            <v>105368</v>
          </cell>
        </row>
        <row r="116">
          <cell r="E116">
            <v>229</v>
          </cell>
          <cell r="G116">
            <v>33434</v>
          </cell>
          <cell r="J116">
            <v>15</v>
          </cell>
          <cell r="L116">
            <v>5400</v>
          </cell>
          <cell r="M116">
            <v>0</v>
          </cell>
          <cell r="N116">
            <v>0</v>
          </cell>
          <cell r="O116">
            <v>0</v>
          </cell>
          <cell r="P116">
            <v>8000</v>
          </cell>
          <cell r="Q116">
            <v>58859</v>
          </cell>
          <cell r="R116">
            <v>0</v>
          </cell>
          <cell r="S116">
            <v>105693</v>
          </cell>
          <cell r="V116">
            <v>220000</v>
          </cell>
          <cell r="W116">
            <v>-8939</v>
          </cell>
        </row>
        <row r="117">
          <cell r="E117">
            <v>203</v>
          </cell>
          <cell r="G117">
            <v>29638</v>
          </cell>
          <cell r="J117">
            <v>4</v>
          </cell>
          <cell r="L117">
            <v>1440</v>
          </cell>
          <cell r="M117">
            <v>0</v>
          </cell>
          <cell r="N117">
            <v>0</v>
          </cell>
          <cell r="O117">
            <v>0</v>
          </cell>
          <cell r="P117">
            <v>8000</v>
          </cell>
          <cell r="Q117">
            <v>58859</v>
          </cell>
          <cell r="R117">
            <v>0</v>
          </cell>
          <cell r="S117">
            <v>97937</v>
          </cell>
          <cell r="V117">
            <v>0</v>
          </cell>
          <cell r="W117">
            <v>88998</v>
          </cell>
        </row>
        <row r="118">
          <cell r="E118">
            <v>166</v>
          </cell>
          <cell r="G118">
            <v>24236</v>
          </cell>
          <cell r="J118">
            <v>11</v>
          </cell>
          <cell r="L118">
            <v>3960</v>
          </cell>
          <cell r="M118">
            <v>0</v>
          </cell>
          <cell r="N118">
            <v>0</v>
          </cell>
          <cell r="O118">
            <v>63432</v>
          </cell>
          <cell r="P118">
            <v>8000</v>
          </cell>
          <cell r="Q118">
            <v>58859</v>
          </cell>
          <cell r="R118">
            <v>0</v>
          </cell>
          <cell r="S118">
            <v>158487</v>
          </cell>
          <cell r="V118">
            <v>248000</v>
          </cell>
          <cell r="W118">
            <v>-515</v>
          </cell>
        </row>
        <row r="119">
          <cell r="E119">
            <v>197</v>
          </cell>
          <cell r="G119">
            <v>28762</v>
          </cell>
          <cell r="J119">
            <v>67</v>
          </cell>
          <cell r="L119">
            <v>24120</v>
          </cell>
          <cell r="M119">
            <v>0</v>
          </cell>
          <cell r="N119">
            <v>0</v>
          </cell>
          <cell r="O119">
            <v>0</v>
          </cell>
          <cell r="P119">
            <v>8000</v>
          </cell>
          <cell r="Q119">
            <v>58859</v>
          </cell>
          <cell r="R119">
            <v>0</v>
          </cell>
          <cell r="S119">
            <v>119741</v>
          </cell>
          <cell r="V119">
            <v>0</v>
          </cell>
          <cell r="W119">
            <v>119226</v>
          </cell>
        </row>
        <row r="120">
          <cell r="E120">
            <v>269</v>
          </cell>
          <cell r="G120">
            <v>39274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8000</v>
          </cell>
          <cell r="Q120">
            <v>58859</v>
          </cell>
          <cell r="R120">
            <v>0</v>
          </cell>
          <cell r="S120">
            <v>106493</v>
          </cell>
          <cell r="V120">
            <v>200000</v>
          </cell>
          <cell r="W120">
            <v>25719</v>
          </cell>
        </row>
        <row r="121">
          <cell r="E121">
            <v>149</v>
          </cell>
          <cell r="G121">
            <v>21754</v>
          </cell>
          <cell r="J121">
            <v>9</v>
          </cell>
          <cell r="L121">
            <v>3240</v>
          </cell>
          <cell r="M121">
            <v>0</v>
          </cell>
          <cell r="N121">
            <v>0</v>
          </cell>
          <cell r="O121">
            <v>0</v>
          </cell>
          <cell r="P121">
            <v>8000</v>
          </cell>
          <cell r="Q121">
            <v>58859</v>
          </cell>
          <cell r="R121">
            <v>0</v>
          </cell>
          <cell r="S121">
            <v>91853</v>
          </cell>
          <cell r="V121">
            <v>0</v>
          </cell>
          <cell r="W121">
            <v>117572</v>
          </cell>
        </row>
        <row r="122">
          <cell r="E122">
            <v>114</v>
          </cell>
          <cell r="G122">
            <v>16644</v>
          </cell>
          <cell r="J122">
            <v>15</v>
          </cell>
          <cell r="L122">
            <v>5400</v>
          </cell>
          <cell r="M122">
            <v>0</v>
          </cell>
          <cell r="N122">
            <v>0</v>
          </cell>
          <cell r="O122">
            <v>0</v>
          </cell>
          <cell r="P122">
            <v>20000</v>
          </cell>
          <cell r="Q122">
            <v>58859</v>
          </cell>
          <cell r="R122">
            <v>0</v>
          </cell>
          <cell r="S122">
            <v>100903</v>
          </cell>
          <cell r="V122">
            <v>230000</v>
          </cell>
          <cell r="W122">
            <v>-11525</v>
          </cell>
        </row>
        <row r="123">
          <cell r="E123">
            <v>345</v>
          </cell>
          <cell r="G123">
            <v>50370</v>
          </cell>
          <cell r="J123">
            <v>120</v>
          </cell>
          <cell r="L123">
            <v>43200</v>
          </cell>
          <cell r="M123">
            <v>0</v>
          </cell>
          <cell r="N123">
            <v>0</v>
          </cell>
          <cell r="O123">
            <v>0</v>
          </cell>
          <cell r="P123">
            <v>20000</v>
          </cell>
          <cell r="Q123">
            <v>58859</v>
          </cell>
          <cell r="R123">
            <v>0</v>
          </cell>
          <cell r="S123">
            <v>172429</v>
          </cell>
          <cell r="V123">
            <v>0</v>
          </cell>
          <cell r="W123">
            <v>160904</v>
          </cell>
        </row>
        <row r="124">
          <cell r="E124">
            <v>4</v>
          </cell>
          <cell r="G124">
            <v>584</v>
          </cell>
          <cell r="J124">
            <v>61</v>
          </cell>
          <cell r="L124">
            <v>21960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91403</v>
          </cell>
          <cell r="V124">
            <v>253000</v>
          </cell>
          <cell r="W124">
            <v>-693</v>
          </cell>
        </row>
        <row r="125">
          <cell r="E125">
            <v>145</v>
          </cell>
          <cell r="G125">
            <v>21170</v>
          </cell>
          <cell r="J125">
            <v>126</v>
          </cell>
          <cell r="L125">
            <v>45360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135389</v>
          </cell>
          <cell r="V125">
            <v>0</v>
          </cell>
          <cell r="W125">
            <v>134696</v>
          </cell>
        </row>
        <row r="126">
          <cell r="E126">
            <v>169</v>
          </cell>
          <cell r="G126">
            <v>24674</v>
          </cell>
          <cell r="J126">
            <v>166</v>
          </cell>
          <cell r="L126">
            <v>62640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29086</v>
          </cell>
          <cell r="S126">
            <v>185259</v>
          </cell>
          <cell r="V126">
            <v>0</v>
          </cell>
          <cell r="W126">
            <v>319955</v>
          </cell>
        </row>
        <row r="127">
          <cell r="E127">
            <v>218</v>
          </cell>
          <cell r="G127">
            <v>31828</v>
          </cell>
          <cell r="J127">
            <v>181</v>
          </cell>
          <cell r="L127">
            <v>70740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172302</v>
          </cell>
          <cell r="V127">
            <v>492257</v>
          </cell>
          <cell r="W127">
            <v>0</v>
          </cell>
        </row>
        <row r="128">
          <cell r="E128">
            <v>201</v>
          </cell>
          <cell r="G128">
            <v>29346</v>
          </cell>
          <cell r="J128">
            <v>214</v>
          </cell>
          <cell r="L128">
            <v>81000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192368</v>
          </cell>
          <cell r="V128">
            <v>0</v>
          </cell>
          <cell r="W128">
            <v>192368</v>
          </cell>
        </row>
        <row r="129">
          <cell r="E129">
            <v>194</v>
          </cell>
          <cell r="G129">
            <v>28324</v>
          </cell>
          <cell r="J129">
            <v>159</v>
          </cell>
          <cell r="L129">
            <v>58860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156918</v>
          </cell>
          <cell r="V129">
            <v>350000</v>
          </cell>
          <cell r="W129">
            <v>-714</v>
          </cell>
        </row>
        <row r="130">
          <cell r="E130">
            <v>193</v>
          </cell>
          <cell r="G130">
            <v>28178</v>
          </cell>
          <cell r="J130">
            <v>105</v>
          </cell>
          <cell r="L130">
            <v>37800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135712</v>
          </cell>
          <cell r="V130">
            <v>150000</v>
          </cell>
          <cell r="W130">
            <v>-15002</v>
          </cell>
        </row>
        <row r="131">
          <cell r="E131">
            <v>215</v>
          </cell>
          <cell r="G131">
            <v>31390</v>
          </cell>
          <cell r="J131">
            <v>43</v>
          </cell>
          <cell r="L131">
            <v>15480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116604</v>
          </cell>
          <cell r="V131">
            <v>102000</v>
          </cell>
          <cell r="W131">
            <v>-398</v>
          </cell>
        </row>
        <row r="132">
          <cell r="E132">
            <v>173</v>
          </cell>
          <cell r="G132">
            <v>25258</v>
          </cell>
          <cell r="J132">
            <v>2</v>
          </cell>
          <cell r="L132">
            <v>720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95712</v>
          </cell>
          <cell r="V132">
            <v>0</v>
          </cell>
          <cell r="W132">
            <v>95314</v>
          </cell>
        </row>
        <row r="133">
          <cell r="E133">
            <v>204</v>
          </cell>
          <cell r="G133">
            <v>29784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100958</v>
          </cell>
          <cell r="V133">
            <v>230000</v>
          </cell>
          <cell r="W133">
            <v>-33728</v>
          </cell>
        </row>
        <row r="134">
          <cell r="E134">
            <v>191</v>
          </cell>
          <cell r="G134">
            <v>27886</v>
          </cell>
          <cell r="J134">
            <v>12</v>
          </cell>
          <cell r="L134">
            <v>4320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101940</v>
          </cell>
          <cell r="V134">
            <v>0</v>
          </cell>
          <cell r="W134">
            <v>68212</v>
          </cell>
        </row>
        <row r="135">
          <cell r="E135">
            <v>175</v>
          </cell>
          <cell r="G135">
            <v>25550</v>
          </cell>
          <cell r="J135">
            <v>29</v>
          </cell>
          <cell r="L135">
            <v>10440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105724</v>
          </cell>
          <cell r="V135">
            <v>174000</v>
          </cell>
          <cell r="W135">
            <v>-64</v>
          </cell>
        </row>
        <row r="136">
          <cell r="E136">
            <v>220</v>
          </cell>
          <cell r="G136">
            <v>32120</v>
          </cell>
          <cell r="J136">
            <v>120</v>
          </cell>
          <cell r="L136">
            <v>43200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145054</v>
          </cell>
          <cell r="V136">
            <v>145000</v>
          </cell>
          <cell r="W136">
            <v>-10</v>
          </cell>
        </row>
        <row r="137">
          <cell r="E137">
            <v>190</v>
          </cell>
          <cell r="G137">
            <v>27740</v>
          </cell>
          <cell r="J137">
            <v>131</v>
          </cell>
          <cell r="L137">
            <v>47160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144634</v>
          </cell>
          <cell r="V137">
            <v>0</v>
          </cell>
          <cell r="W137">
            <v>144624</v>
          </cell>
        </row>
        <row r="138">
          <cell r="E138">
            <v>212</v>
          </cell>
          <cell r="G138">
            <v>30952</v>
          </cell>
          <cell r="J138">
            <v>198</v>
          </cell>
          <cell r="L138">
            <v>79920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200606</v>
          </cell>
          <cell r="V138">
            <v>346000</v>
          </cell>
          <cell r="W138">
            <v>-770</v>
          </cell>
        </row>
        <row r="139">
          <cell r="E139">
            <v>240</v>
          </cell>
          <cell r="G139">
            <v>35040</v>
          </cell>
          <cell r="J139">
            <v>261</v>
          </cell>
          <cell r="L139">
            <v>245160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356736</v>
          </cell>
          <cell r="V139">
            <v>356000</v>
          </cell>
          <cell r="W139">
            <v>-34</v>
          </cell>
        </row>
        <row r="140">
          <cell r="E140">
            <v>190</v>
          </cell>
          <cell r="G140">
            <v>27740</v>
          </cell>
          <cell r="J140">
            <v>178</v>
          </cell>
          <cell r="L140">
            <v>89640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193916</v>
          </cell>
          <cell r="V140">
            <v>0</v>
          </cell>
          <cell r="W140">
            <v>193882</v>
          </cell>
        </row>
        <row r="141">
          <cell r="E141">
            <v>217</v>
          </cell>
          <cell r="G141">
            <v>31682</v>
          </cell>
          <cell r="J141">
            <v>60</v>
          </cell>
          <cell r="L141">
            <v>21600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32370</v>
          </cell>
          <cell r="S141">
            <v>162188</v>
          </cell>
          <cell r="V141">
            <v>356100</v>
          </cell>
          <cell r="W141">
            <v>-30</v>
          </cell>
        </row>
        <row r="142">
          <cell r="E142">
            <v>181</v>
          </cell>
          <cell r="G142">
            <v>26426</v>
          </cell>
          <cell r="J142">
            <v>119</v>
          </cell>
          <cell r="L142">
            <v>42840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145802</v>
          </cell>
          <cell r="V142">
            <v>0</v>
          </cell>
          <cell r="W142">
            <v>145772</v>
          </cell>
        </row>
        <row r="143">
          <cell r="E143">
            <v>193</v>
          </cell>
          <cell r="G143">
            <v>28178</v>
          </cell>
          <cell r="J143">
            <v>10</v>
          </cell>
          <cell r="L143">
            <v>3600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179314</v>
          </cell>
          <cell r="V143">
            <v>326000</v>
          </cell>
          <cell r="W143">
            <v>-914</v>
          </cell>
        </row>
        <row r="144">
          <cell r="E144">
            <v>172</v>
          </cell>
          <cell r="G144">
            <v>25112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101648</v>
          </cell>
          <cell r="V144">
            <v>101000</v>
          </cell>
          <cell r="W144">
            <v>-266</v>
          </cell>
        </row>
        <row r="145">
          <cell r="E145">
            <v>192</v>
          </cell>
          <cell r="G145">
            <v>28032</v>
          </cell>
          <cell r="J145">
            <v>1</v>
          </cell>
          <cell r="L145">
            <v>360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104928</v>
          </cell>
          <cell r="V145">
            <v>0</v>
          </cell>
          <cell r="W145">
            <v>104662</v>
          </cell>
        </row>
        <row r="146">
          <cell r="E146">
            <v>191</v>
          </cell>
          <cell r="G146">
            <v>27886</v>
          </cell>
          <cell r="J146">
            <v>14</v>
          </cell>
          <cell r="L146">
            <v>5040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109462</v>
          </cell>
          <cell r="V146">
            <v>214500</v>
          </cell>
          <cell r="W146">
            <v>-376</v>
          </cell>
        </row>
        <row r="147">
          <cell r="E147">
            <v>188</v>
          </cell>
          <cell r="G147">
            <v>27448</v>
          </cell>
          <cell r="J147">
            <v>16</v>
          </cell>
          <cell r="L147">
            <v>5760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109744</v>
          </cell>
          <cell r="V147">
            <v>0</v>
          </cell>
          <cell r="W147">
            <v>109368</v>
          </cell>
        </row>
        <row r="148">
          <cell r="E148">
            <v>177</v>
          </cell>
          <cell r="G148">
            <v>25842</v>
          </cell>
          <cell r="J148">
            <v>69</v>
          </cell>
          <cell r="L148">
            <v>24840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127218</v>
          </cell>
          <cell r="V148">
            <v>237000</v>
          </cell>
          <cell r="W148">
            <v>-414</v>
          </cell>
        </row>
        <row r="149">
          <cell r="E149">
            <v>198</v>
          </cell>
          <cell r="G149">
            <v>28908</v>
          </cell>
          <cell r="J149">
            <v>131</v>
          </cell>
          <cell r="L149">
            <v>49140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154584</v>
          </cell>
          <cell r="V149">
            <v>155000</v>
          </cell>
          <cell r="W149">
            <v>-830</v>
          </cell>
        </row>
        <row r="150">
          <cell r="E150">
            <v>191</v>
          </cell>
          <cell r="G150">
            <v>27886</v>
          </cell>
          <cell r="J150">
            <v>147</v>
          </cell>
          <cell r="L150">
            <v>57780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49254</v>
          </cell>
          <cell r="S150">
            <v>213456</v>
          </cell>
          <cell r="V150">
            <v>0</v>
          </cell>
          <cell r="W150">
            <v>212626</v>
          </cell>
        </row>
        <row r="151">
          <cell r="E151">
            <v>201</v>
          </cell>
          <cell r="G151">
            <v>29346</v>
          </cell>
          <cell r="J151">
            <v>193</v>
          </cell>
          <cell r="L151">
            <v>105840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19114</v>
          </cell>
          <cell r="S151">
            <v>235695</v>
          </cell>
          <cell r="V151">
            <v>448321</v>
          </cell>
          <cell r="W151">
            <v>0</v>
          </cell>
        </row>
        <row r="152">
          <cell r="E152">
            <v>308</v>
          </cell>
          <cell r="G152">
            <v>44968</v>
          </cell>
          <cell r="J152">
            <v>212</v>
          </cell>
          <cell r="L152">
            <v>139320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265683</v>
          </cell>
          <cell r="V152">
            <v>0</v>
          </cell>
          <cell r="W152">
            <v>265683</v>
          </cell>
        </row>
        <row r="153">
          <cell r="E153">
            <v>192</v>
          </cell>
          <cell r="G153">
            <v>28032</v>
          </cell>
          <cell r="J153">
            <v>168</v>
          </cell>
          <cell r="L153">
            <v>78840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193226</v>
          </cell>
          <cell r="V153">
            <v>459000</v>
          </cell>
          <cell r="W153">
            <v>-91</v>
          </cell>
        </row>
        <row r="154">
          <cell r="E154">
            <v>198</v>
          </cell>
          <cell r="G154">
            <v>28908</v>
          </cell>
          <cell r="J154">
            <v>112</v>
          </cell>
          <cell r="L154">
            <v>40320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155582</v>
          </cell>
          <cell r="V154">
            <v>0</v>
          </cell>
          <cell r="W154">
            <v>155491</v>
          </cell>
        </row>
        <row r="155">
          <cell r="E155">
            <v>176</v>
          </cell>
          <cell r="G155">
            <v>25696</v>
          </cell>
          <cell r="J155">
            <v>68</v>
          </cell>
          <cell r="L155">
            <v>24480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136530</v>
          </cell>
          <cell r="V155">
            <v>295000</v>
          </cell>
          <cell r="W155">
            <v>-2979</v>
          </cell>
        </row>
        <row r="156">
          <cell r="E156">
            <v>163</v>
          </cell>
          <cell r="G156">
            <v>23798</v>
          </cell>
          <cell r="J156">
            <v>52</v>
          </cell>
          <cell r="L156">
            <v>18720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128872</v>
          </cell>
          <cell r="V156">
            <v>0</v>
          </cell>
          <cell r="W156">
            <v>125893</v>
          </cell>
        </row>
        <row r="157">
          <cell r="E157">
            <v>177</v>
          </cell>
          <cell r="G157">
            <v>25842</v>
          </cell>
          <cell r="J157">
            <v>18</v>
          </cell>
          <cell r="L157">
            <v>6480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118676</v>
          </cell>
          <cell r="V157">
            <v>245000</v>
          </cell>
          <cell r="W157">
            <v>-431</v>
          </cell>
        </row>
        <row r="158">
          <cell r="E158">
            <v>157</v>
          </cell>
          <cell r="G158">
            <v>22922</v>
          </cell>
          <cell r="J158">
            <v>1</v>
          </cell>
          <cell r="L158">
            <v>360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109636</v>
          </cell>
          <cell r="V158">
            <v>0</v>
          </cell>
          <cell r="W158">
            <v>109205</v>
          </cell>
        </row>
        <row r="159">
          <cell r="E159">
            <v>198</v>
          </cell>
          <cell r="G159">
            <v>28908</v>
          </cell>
          <cell r="J159">
            <v>21</v>
          </cell>
          <cell r="L159">
            <v>7560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122822</v>
          </cell>
          <cell r="V159">
            <v>232027</v>
          </cell>
          <cell r="W159">
            <v>0</v>
          </cell>
        </row>
        <row r="160">
          <cell r="E160">
            <v>158</v>
          </cell>
          <cell r="G160">
            <v>23068</v>
          </cell>
          <cell r="J160">
            <v>12</v>
          </cell>
          <cell r="L160">
            <v>4320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113742</v>
          </cell>
          <cell r="V160">
            <v>0</v>
          </cell>
          <cell r="W160">
            <v>113742</v>
          </cell>
        </row>
        <row r="161">
          <cell r="E161">
            <v>189</v>
          </cell>
          <cell r="G161">
            <v>27594</v>
          </cell>
          <cell r="J161">
            <v>78</v>
          </cell>
          <cell r="L161">
            <v>28080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142028</v>
          </cell>
          <cell r="V161">
            <v>255770</v>
          </cell>
          <cell r="W161">
            <v>0</v>
          </cell>
        </row>
        <row r="162">
          <cell r="E162">
            <v>231</v>
          </cell>
          <cell r="G162">
            <v>33726</v>
          </cell>
          <cell r="J162">
            <v>181</v>
          </cell>
          <cell r="L162">
            <v>92880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212666</v>
          </cell>
          <cell r="V162">
            <v>212666</v>
          </cell>
          <cell r="W162">
            <v>0</v>
          </cell>
        </row>
        <row r="163">
          <cell r="E163">
            <v>159</v>
          </cell>
          <cell r="G163">
            <v>23214</v>
          </cell>
          <cell r="J163">
            <v>121</v>
          </cell>
          <cell r="L163">
            <v>43740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163014</v>
          </cell>
          <cell r="V163">
            <v>0</v>
          </cell>
          <cell r="W163">
            <v>163014</v>
          </cell>
        </row>
        <row r="164">
          <cell r="E164">
            <v>175</v>
          </cell>
          <cell r="G164">
            <v>25550</v>
          </cell>
          <cell r="J164">
            <v>114</v>
          </cell>
          <cell r="L164">
            <v>41040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162650</v>
          </cell>
          <cell r="V164">
            <v>325664</v>
          </cell>
          <cell r="W164">
            <v>0</v>
          </cell>
        </row>
        <row r="165">
          <cell r="E165">
            <v>199</v>
          </cell>
          <cell r="G165">
            <v>29054</v>
          </cell>
          <cell r="J165">
            <v>105</v>
          </cell>
          <cell r="L165">
            <v>37800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162914</v>
          </cell>
          <cell r="V165">
            <v>0</v>
          </cell>
          <cell r="W165">
            <v>162914</v>
          </cell>
        </row>
        <row r="166">
          <cell r="E166">
            <v>158</v>
          </cell>
          <cell r="G166">
            <v>23068</v>
          </cell>
          <cell r="J166">
            <v>36</v>
          </cell>
          <cell r="L166">
            <v>12960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132132</v>
          </cell>
          <cell r="V166">
            <v>296000</v>
          </cell>
          <cell r="W166">
            <v>-954</v>
          </cell>
        </row>
        <row r="167">
          <cell r="E167">
            <v>157</v>
          </cell>
          <cell r="G167">
            <v>22922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119026</v>
          </cell>
          <cell r="V167">
            <v>0</v>
          </cell>
          <cell r="W167">
            <v>118072</v>
          </cell>
        </row>
        <row r="168">
          <cell r="E168">
            <v>192</v>
          </cell>
          <cell r="G168">
            <v>28032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124136</v>
          </cell>
          <cell r="V168">
            <v>242500</v>
          </cell>
          <cell r="W168">
            <v>-292</v>
          </cell>
        </row>
        <row r="169">
          <cell r="E169">
            <v>143</v>
          </cell>
          <cell r="G169">
            <v>20878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117308</v>
          </cell>
          <cell r="V169">
            <v>0</v>
          </cell>
          <cell r="W169">
            <v>117016</v>
          </cell>
        </row>
        <row r="170">
          <cell r="E170">
            <v>167</v>
          </cell>
          <cell r="G170">
            <v>24382</v>
          </cell>
          <cell r="J170">
            <v>8</v>
          </cell>
          <cell r="L170">
            <v>2880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122972</v>
          </cell>
          <cell r="V170">
            <v>240000</v>
          </cell>
          <cell r="W170">
            <v>-12</v>
          </cell>
        </row>
        <row r="171">
          <cell r="E171">
            <v>202</v>
          </cell>
          <cell r="G171">
            <v>29492</v>
          </cell>
          <cell r="J171">
            <v>48</v>
          </cell>
          <cell r="L171">
            <v>17280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138167</v>
          </cell>
          <cell r="V171">
            <v>0</v>
          </cell>
          <cell r="W171">
            <v>138155</v>
          </cell>
        </row>
        <row r="172">
          <cell r="E172">
            <v>181</v>
          </cell>
          <cell r="G172">
            <v>26426</v>
          </cell>
          <cell r="J172">
            <v>47</v>
          </cell>
          <cell r="L172">
            <v>16920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134741</v>
          </cell>
          <cell r="V172">
            <v>0</v>
          </cell>
          <cell r="W172">
            <v>272896</v>
          </cell>
        </row>
        <row r="173">
          <cell r="E173">
            <v>238</v>
          </cell>
          <cell r="G173">
            <v>34748</v>
          </cell>
          <cell r="J173">
            <v>102</v>
          </cell>
          <cell r="L173">
            <v>36720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162863</v>
          </cell>
          <cell r="V173">
            <v>435759</v>
          </cell>
          <cell r="W173">
            <v>0</v>
          </cell>
        </row>
        <row r="174">
          <cell r="E174">
            <v>208</v>
          </cell>
          <cell r="G174">
            <v>30368</v>
          </cell>
          <cell r="J174">
            <v>124</v>
          </cell>
          <cell r="L174">
            <v>45360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167123</v>
          </cell>
          <cell r="V174">
            <v>0</v>
          </cell>
          <cell r="W174">
            <v>167123</v>
          </cell>
        </row>
      </sheetData>
      <sheetData sheetId="2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117000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156000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195000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234000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273000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312000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390000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429000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468000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507000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546000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585000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624000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663000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702000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741000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780000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819000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858000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897000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936000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975000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1014000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1053000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1092000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1131000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1209000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1248000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1294000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1340000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1386000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1386000</v>
          </cell>
          <cell r="W57">
            <v>46000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184000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230000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138000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184000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230000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276000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322000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368000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414000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460000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506000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552000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598000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644000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690000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736000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782000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828000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874000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920000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966000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1012000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1058000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1104000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1150000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1206000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1252000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1298000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1344000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1390000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1436000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59500</v>
          </cell>
          <cell r="S91">
            <v>65000</v>
          </cell>
          <cell r="V91">
            <v>0</v>
          </cell>
          <cell r="W91">
            <v>1560500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1625500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163100</v>
          </cell>
          <cell r="S93">
            <v>65000</v>
          </cell>
          <cell r="V93">
            <v>0</v>
          </cell>
          <cell r="W93">
            <v>1853600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1918600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176100</v>
          </cell>
          <cell r="S95">
            <v>65000</v>
          </cell>
          <cell r="V95">
            <v>0</v>
          </cell>
          <cell r="W95">
            <v>2159700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2214700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187100</v>
          </cell>
          <cell r="S97">
            <v>242100</v>
          </cell>
          <cell r="V97">
            <v>0</v>
          </cell>
          <cell r="W97">
            <v>2456800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2511800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16500</v>
          </cell>
          <cell r="S101">
            <v>71500</v>
          </cell>
          <cell r="V101">
            <v>0</v>
          </cell>
          <cell r="W101">
            <v>181500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236500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293150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349800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406450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463100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519750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576400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633050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689700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746350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803000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859650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101238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204914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308699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412625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516666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620767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724881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828898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932876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1036917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1141242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1200101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1258960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131756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59734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11946</v>
          </cell>
          <cell r="S132">
            <v>71680</v>
          </cell>
          <cell r="V132">
            <v>0</v>
          </cell>
          <cell r="W132">
            <v>131414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191148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25088</v>
          </cell>
          <cell r="S134">
            <v>84822</v>
          </cell>
          <cell r="V134">
            <v>0</v>
          </cell>
          <cell r="W134">
            <v>275970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335704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39543</v>
          </cell>
          <cell r="S136">
            <v>99277</v>
          </cell>
          <cell r="V136">
            <v>0</v>
          </cell>
          <cell r="W136">
            <v>434981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494715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55445</v>
          </cell>
          <cell r="S138">
            <v>135179</v>
          </cell>
          <cell r="V138">
            <v>200000</v>
          </cell>
          <cell r="W138">
            <v>429894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324449</v>
          </cell>
          <cell r="W139">
            <v>171981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0</v>
          </cell>
          <cell r="W140">
            <v>238517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0</v>
          </cell>
          <cell r="W141">
            <v>305053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0</v>
          </cell>
          <cell r="W142">
            <v>371589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0</v>
          </cell>
          <cell r="W143">
            <v>438125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504661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0</v>
          </cell>
          <cell r="W145">
            <v>571197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0</v>
          </cell>
          <cell r="W146">
            <v>637733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0</v>
          </cell>
          <cell r="W147">
            <v>704269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500000</v>
          </cell>
          <cell r="W148">
            <v>270805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0</v>
          </cell>
          <cell r="W149">
            <v>337341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0</v>
          </cell>
          <cell r="W150">
            <v>405877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0</v>
          </cell>
          <cell r="W151">
            <v>477272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0</v>
          </cell>
          <cell r="W152">
            <v>548667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620062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0</v>
          </cell>
          <cell r="W154">
            <v>691457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0</v>
          </cell>
          <cell r="W155">
            <v>762852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834247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0</v>
          </cell>
          <cell r="W159">
            <v>71395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142790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0</v>
          </cell>
          <cell r="W161">
            <v>71395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0</v>
          </cell>
          <cell r="W162">
            <v>142790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224246</v>
          </cell>
          <cell r="W163">
            <v>-61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81334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162729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244124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71395</v>
          </cell>
          <cell r="W167">
            <v>10000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71395</v>
          </cell>
          <cell r="W168">
            <v>20000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71395</v>
          </cell>
          <cell r="W169">
            <v>30000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71395</v>
          </cell>
          <cell r="W170">
            <v>40000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61395</v>
          </cell>
          <cell r="W171">
            <v>60000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61395</v>
          </cell>
          <cell r="W172">
            <v>80000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61395</v>
          </cell>
          <cell r="W173">
            <v>100000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61395</v>
          </cell>
          <cell r="W174">
            <v>120000</v>
          </cell>
        </row>
      </sheetData>
      <sheetData sheetId="2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117000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156000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156000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195000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234000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234000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117000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85000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92000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138000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138000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138000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92000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92000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92000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92000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101200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147200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138000</v>
          </cell>
          <cell r="W81">
            <v>55200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55200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101200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55200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55200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101000</v>
          </cell>
          <cell r="W91">
            <v>10000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75000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110000</v>
          </cell>
          <cell r="W93">
            <v>30000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55000</v>
          </cell>
          <cell r="W94">
            <v>40000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55000</v>
          </cell>
          <cell r="W95">
            <v>50000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50000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105000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113300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113300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117718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58859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117718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17657</v>
          </cell>
          <cell r="S123">
            <v>76516</v>
          </cell>
          <cell r="V123">
            <v>0</v>
          </cell>
          <cell r="W123">
            <v>194234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253093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31195</v>
          </cell>
          <cell r="S125">
            <v>90054</v>
          </cell>
          <cell r="V125">
            <v>0</v>
          </cell>
          <cell r="W125">
            <v>343147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402006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177433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282906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388520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494026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599465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705099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810910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916826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1022934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399000</v>
          </cell>
          <cell r="W137">
            <v>730141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836494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944901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1053454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1162204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1271287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1380686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1490269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1551805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0</v>
          </cell>
          <cell r="W146">
            <v>61536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12307</v>
          </cell>
          <cell r="S147">
            <v>73843</v>
          </cell>
          <cell r="V147">
            <v>0</v>
          </cell>
          <cell r="W147">
            <v>135379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245569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356212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467002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113509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226994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340635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454539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568744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683105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797673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912456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1027545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1142920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207315</v>
          </cell>
          <cell r="W161">
            <v>1051197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1166850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125653</v>
          </cell>
          <cell r="V163">
            <v>0</v>
          </cell>
          <cell r="W163">
            <v>1292503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125830</v>
          </cell>
          <cell r="V164">
            <v>0</v>
          </cell>
          <cell r="W164">
            <v>1418333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126019</v>
          </cell>
          <cell r="V165">
            <v>0</v>
          </cell>
          <cell r="W165">
            <v>1544352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450000</v>
          </cell>
          <cell r="W166">
            <v>1168747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500000</v>
          </cell>
          <cell r="W167">
            <v>743142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500000</v>
          </cell>
          <cell r="W168">
            <v>317537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500000</v>
          </cell>
          <cell r="W169">
            <v>-55785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126813</v>
          </cell>
          <cell r="V170">
            <v>0</v>
          </cell>
          <cell r="W170">
            <v>71028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126843</v>
          </cell>
          <cell r="V171">
            <v>0</v>
          </cell>
          <cell r="W171">
            <v>197871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0</v>
          </cell>
          <cell r="W172">
            <v>272266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346661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2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701.9</v>
          </cell>
          <cell r="G16">
            <v>44219.7</v>
          </cell>
          <cell r="J16">
            <v>109.346</v>
          </cell>
          <cell r="L16">
            <v>32803.800000000003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116023.5</v>
          </cell>
          <cell r="V16">
            <v>0</v>
          </cell>
          <cell r="W16">
            <v>0</v>
          </cell>
        </row>
        <row r="17">
          <cell r="E17">
            <v>89.700000000000045</v>
          </cell>
          <cell r="G17">
            <v>5651.1000000000031</v>
          </cell>
          <cell r="J17">
            <v>10.159999999999997</v>
          </cell>
          <cell r="L17">
            <v>3047.9999999999991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47699.100000000006</v>
          </cell>
          <cell r="V17">
            <v>0</v>
          </cell>
          <cell r="W17">
            <v>0</v>
          </cell>
        </row>
        <row r="18">
          <cell r="E18">
            <v>172.5</v>
          </cell>
          <cell r="G18">
            <v>10867.5</v>
          </cell>
          <cell r="J18">
            <v>41.193999999999988</v>
          </cell>
          <cell r="L18">
            <v>12358.199999999997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62225.7</v>
          </cell>
          <cell r="V18">
            <v>0</v>
          </cell>
          <cell r="W18">
            <v>0</v>
          </cell>
        </row>
        <row r="19">
          <cell r="E19">
            <v>46.399999999999977</v>
          </cell>
          <cell r="G19">
            <v>2923.1999999999985</v>
          </cell>
          <cell r="J19">
            <v>10.900000000000006</v>
          </cell>
          <cell r="L19">
            <v>3270.0000000000018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45193.2</v>
          </cell>
          <cell r="V19">
            <v>0</v>
          </cell>
          <cell r="W19">
            <v>0</v>
          </cell>
        </row>
        <row r="20">
          <cell r="E20">
            <v>97.200000000000045</v>
          </cell>
          <cell r="G20">
            <v>6123.6000000000031</v>
          </cell>
          <cell r="J20">
            <v>1761.4</v>
          </cell>
          <cell r="L20">
            <v>528420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573543.6</v>
          </cell>
          <cell r="V20">
            <v>0</v>
          </cell>
          <cell r="W20">
            <v>0</v>
          </cell>
        </row>
        <row r="21">
          <cell r="E21">
            <v>95.899999999999864</v>
          </cell>
          <cell r="G21">
            <v>6041.6999999999916</v>
          </cell>
          <cell r="J21">
            <v>153</v>
          </cell>
          <cell r="L21">
            <v>45900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90941.699999999983</v>
          </cell>
          <cell r="V21">
            <v>0</v>
          </cell>
          <cell r="W21">
            <v>0</v>
          </cell>
        </row>
        <row r="22">
          <cell r="E22">
            <v>92.200000000000045</v>
          </cell>
          <cell r="G22">
            <v>5808.6000000000031</v>
          </cell>
          <cell r="J22">
            <v>134</v>
          </cell>
          <cell r="L22">
            <v>48240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93048.6</v>
          </cell>
          <cell r="V22">
            <v>0</v>
          </cell>
          <cell r="W22">
            <v>0</v>
          </cell>
        </row>
        <row r="23">
          <cell r="E23">
            <v>76.600000000000136</v>
          </cell>
          <cell r="G23">
            <v>4825.8000000000084</v>
          </cell>
          <cell r="J23">
            <v>77</v>
          </cell>
          <cell r="L23">
            <v>27720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71545.800000000017</v>
          </cell>
          <cell r="V23">
            <v>0</v>
          </cell>
          <cell r="W23">
            <v>0</v>
          </cell>
        </row>
        <row r="24">
          <cell r="E24">
            <v>66.599999999999909</v>
          </cell>
          <cell r="G24">
            <v>4195.7999999999938</v>
          </cell>
          <cell r="J24">
            <v>55</v>
          </cell>
          <cell r="L24">
            <v>19800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62995.799999999996</v>
          </cell>
          <cell r="V24">
            <v>0</v>
          </cell>
          <cell r="W24">
            <v>0</v>
          </cell>
        </row>
        <row r="25">
          <cell r="E25">
            <v>73</v>
          </cell>
          <cell r="G25">
            <v>4599</v>
          </cell>
          <cell r="J25">
            <v>33</v>
          </cell>
          <cell r="L25">
            <v>11880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55479</v>
          </cell>
          <cell r="V25">
            <v>0</v>
          </cell>
          <cell r="W25">
            <v>55479</v>
          </cell>
        </row>
        <row r="26">
          <cell r="E26">
            <v>74.900000000000091</v>
          </cell>
          <cell r="G26">
            <v>4718.7000000000062</v>
          </cell>
          <cell r="J26">
            <v>6.2000000000000171</v>
          </cell>
          <cell r="L26">
            <v>2232.0000000000064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45950.700000000012</v>
          </cell>
          <cell r="V26">
            <v>44823</v>
          </cell>
          <cell r="W26">
            <v>56606.700000000012</v>
          </cell>
        </row>
        <row r="27">
          <cell r="E27">
            <v>97.299999999999955</v>
          </cell>
          <cell r="G27">
            <v>6129.8999999999969</v>
          </cell>
          <cell r="J27">
            <v>15.599999999999966</v>
          </cell>
          <cell r="L27">
            <v>5615.9999999999873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50745.89999999998</v>
          </cell>
          <cell r="V27">
            <v>45951</v>
          </cell>
          <cell r="W27">
            <v>61401.599999999991</v>
          </cell>
        </row>
        <row r="28">
          <cell r="E28">
            <v>65.200000000000045</v>
          </cell>
          <cell r="G28">
            <v>4107.6000000000031</v>
          </cell>
          <cell r="J28">
            <v>24.600000000000023</v>
          </cell>
          <cell r="L28">
            <v>8856.0000000000073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51963.600000000006</v>
          </cell>
          <cell r="V28">
            <v>0</v>
          </cell>
          <cell r="W28">
            <v>113365.20000000001</v>
          </cell>
        </row>
        <row r="29">
          <cell r="E29">
            <v>80.599999999999909</v>
          </cell>
          <cell r="G29">
            <v>5077.7999999999938</v>
          </cell>
          <cell r="J29">
            <v>120</v>
          </cell>
          <cell r="L29">
            <v>43200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87277.799999999988</v>
          </cell>
          <cell r="V29">
            <v>0</v>
          </cell>
          <cell r="W29">
            <v>200643</v>
          </cell>
        </row>
        <row r="30">
          <cell r="E30">
            <v>57</v>
          </cell>
          <cell r="G30">
            <v>3591</v>
          </cell>
          <cell r="J30">
            <v>53</v>
          </cell>
          <cell r="L30">
            <v>19080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61671</v>
          </cell>
          <cell r="V30">
            <v>0</v>
          </cell>
          <cell r="W30">
            <v>262314</v>
          </cell>
        </row>
        <row r="31">
          <cell r="E31">
            <v>183</v>
          </cell>
          <cell r="G31">
            <v>11529</v>
          </cell>
          <cell r="J31">
            <v>145</v>
          </cell>
          <cell r="L31">
            <v>52200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102729</v>
          </cell>
          <cell r="V31">
            <v>0</v>
          </cell>
          <cell r="W31">
            <v>404043</v>
          </cell>
        </row>
        <row r="32">
          <cell r="E32">
            <v>257</v>
          </cell>
          <cell r="G32">
            <v>16191</v>
          </cell>
          <cell r="J32">
            <v>137</v>
          </cell>
          <cell r="L32">
            <v>49320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104511</v>
          </cell>
          <cell r="V32">
            <v>404043</v>
          </cell>
          <cell r="W32">
            <v>104511</v>
          </cell>
        </row>
        <row r="33">
          <cell r="E33">
            <v>122</v>
          </cell>
          <cell r="G33">
            <v>7686</v>
          </cell>
          <cell r="J33">
            <v>78</v>
          </cell>
          <cell r="L33">
            <v>28080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74766</v>
          </cell>
          <cell r="V33">
            <v>104511</v>
          </cell>
          <cell r="W33">
            <v>74766</v>
          </cell>
        </row>
        <row r="34">
          <cell r="E34">
            <v>74</v>
          </cell>
          <cell r="G34">
            <v>4662</v>
          </cell>
          <cell r="J34">
            <v>61</v>
          </cell>
          <cell r="L34">
            <v>21960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65622</v>
          </cell>
          <cell r="V34">
            <v>74766</v>
          </cell>
          <cell r="W34">
            <v>65622</v>
          </cell>
        </row>
        <row r="35">
          <cell r="E35">
            <v>49</v>
          </cell>
          <cell r="G35">
            <v>3087</v>
          </cell>
          <cell r="J35">
            <v>19</v>
          </cell>
          <cell r="L35">
            <v>6840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48927</v>
          </cell>
          <cell r="V35">
            <v>65622</v>
          </cell>
          <cell r="W35">
            <v>48927</v>
          </cell>
        </row>
        <row r="36">
          <cell r="E36">
            <v>103</v>
          </cell>
          <cell r="G36">
            <v>6489</v>
          </cell>
          <cell r="J36">
            <v>23</v>
          </cell>
          <cell r="L36">
            <v>8280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53769</v>
          </cell>
          <cell r="V36">
            <v>48927</v>
          </cell>
          <cell r="W36">
            <v>53769</v>
          </cell>
        </row>
        <row r="37">
          <cell r="E37">
            <v>74</v>
          </cell>
          <cell r="G37">
            <v>4662</v>
          </cell>
          <cell r="J37">
            <v>14</v>
          </cell>
          <cell r="L37">
            <v>5040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48702</v>
          </cell>
          <cell r="V37">
            <v>53769</v>
          </cell>
          <cell r="W37">
            <v>48702</v>
          </cell>
        </row>
        <row r="38">
          <cell r="E38">
            <v>78</v>
          </cell>
          <cell r="G38">
            <v>4914</v>
          </cell>
          <cell r="J38">
            <v>10</v>
          </cell>
          <cell r="L38">
            <v>3600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47514</v>
          </cell>
          <cell r="V38">
            <v>48702</v>
          </cell>
          <cell r="W38">
            <v>47514</v>
          </cell>
        </row>
        <row r="39">
          <cell r="E39">
            <v>94</v>
          </cell>
          <cell r="G39">
            <v>5922</v>
          </cell>
          <cell r="J39">
            <v>41</v>
          </cell>
          <cell r="L39">
            <v>14760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59682</v>
          </cell>
          <cell r="V39">
            <v>47514</v>
          </cell>
          <cell r="W39">
            <v>59682</v>
          </cell>
        </row>
        <row r="40">
          <cell r="E40">
            <v>133</v>
          </cell>
          <cell r="G40">
            <v>8379</v>
          </cell>
          <cell r="J40">
            <v>39</v>
          </cell>
          <cell r="L40">
            <v>14040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61419</v>
          </cell>
          <cell r="V40">
            <v>0</v>
          </cell>
          <cell r="W40">
            <v>121101</v>
          </cell>
        </row>
        <row r="41">
          <cell r="E41">
            <v>228</v>
          </cell>
          <cell r="G41">
            <v>14364</v>
          </cell>
          <cell r="J41">
            <v>116</v>
          </cell>
          <cell r="L41">
            <v>41760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95124</v>
          </cell>
          <cell r="V41">
            <v>121101</v>
          </cell>
          <cell r="W41">
            <v>95124</v>
          </cell>
        </row>
        <row r="42">
          <cell r="E42">
            <v>186</v>
          </cell>
          <cell r="G42">
            <v>11718</v>
          </cell>
          <cell r="J42">
            <v>122</v>
          </cell>
          <cell r="L42">
            <v>43920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94638</v>
          </cell>
          <cell r="V42">
            <v>95124</v>
          </cell>
          <cell r="W42">
            <v>94638</v>
          </cell>
        </row>
        <row r="43">
          <cell r="E43">
            <v>344</v>
          </cell>
          <cell r="G43">
            <v>21672</v>
          </cell>
          <cell r="J43">
            <v>194</v>
          </cell>
          <cell r="L43">
            <v>69840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130512</v>
          </cell>
          <cell r="V43">
            <v>94638</v>
          </cell>
          <cell r="W43">
            <v>130512</v>
          </cell>
        </row>
        <row r="44">
          <cell r="E44">
            <v>333</v>
          </cell>
          <cell r="G44">
            <v>20979</v>
          </cell>
          <cell r="J44">
            <v>166</v>
          </cell>
          <cell r="L44">
            <v>59760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119739</v>
          </cell>
          <cell r="V44">
            <v>130512</v>
          </cell>
          <cell r="W44">
            <v>119739</v>
          </cell>
        </row>
        <row r="45">
          <cell r="E45">
            <v>224</v>
          </cell>
          <cell r="G45">
            <v>14112</v>
          </cell>
          <cell r="J45">
            <v>154</v>
          </cell>
          <cell r="L45">
            <v>55440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108552</v>
          </cell>
          <cell r="V45">
            <v>119739</v>
          </cell>
          <cell r="W45">
            <v>108552</v>
          </cell>
        </row>
        <row r="46">
          <cell r="E46">
            <v>202</v>
          </cell>
          <cell r="G46">
            <v>12726</v>
          </cell>
          <cell r="J46">
            <v>85</v>
          </cell>
          <cell r="L46">
            <v>30600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82326</v>
          </cell>
          <cell r="V46">
            <v>108552</v>
          </cell>
          <cell r="W46">
            <v>82326</v>
          </cell>
        </row>
        <row r="47">
          <cell r="E47">
            <v>241</v>
          </cell>
          <cell r="G47">
            <v>15183</v>
          </cell>
          <cell r="J47">
            <v>61</v>
          </cell>
          <cell r="L47">
            <v>21960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76143</v>
          </cell>
          <cell r="V47">
            <v>82326</v>
          </cell>
          <cell r="W47">
            <v>76143</v>
          </cell>
        </row>
        <row r="48">
          <cell r="E48">
            <v>154</v>
          </cell>
          <cell r="G48">
            <v>9702</v>
          </cell>
          <cell r="J48">
            <v>8</v>
          </cell>
          <cell r="L48">
            <v>2880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51582</v>
          </cell>
          <cell r="V48">
            <v>76143</v>
          </cell>
          <cell r="W48">
            <v>51582</v>
          </cell>
        </row>
        <row r="49">
          <cell r="E49">
            <v>105</v>
          </cell>
          <cell r="G49">
            <v>6615</v>
          </cell>
          <cell r="J49">
            <v>7</v>
          </cell>
          <cell r="L49">
            <v>2520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48135</v>
          </cell>
          <cell r="V49">
            <v>51582</v>
          </cell>
          <cell r="W49">
            <v>48135</v>
          </cell>
        </row>
        <row r="50">
          <cell r="E50">
            <v>151</v>
          </cell>
          <cell r="G50">
            <v>9513</v>
          </cell>
          <cell r="J50">
            <v>16</v>
          </cell>
          <cell r="L50">
            <v>5760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54273</v>
          </cell>
          <cell r="V50">
            <v>48135</v>
          </cell>
          <cell r="W50">
            <v>54273</v>
          </cell>
        </row>
        <row r="51">
          <cell r="E51">
            <v>120</v>
          </cell>
          <cell r="G51">
            <v>7560</v>
          </cell>
          <cell r="J51">
            <v>27</v>
          </cell>
          <cell r="L51">
            <v>9720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56280</v>
          </cell>
          <cell r="V51">
            <v>54273</v>
          </cell>
          <cell r="W51">
            <v>56280</v>
          </cell>
        </row>
        <row r="52">
          <cell r="E52">
            <v>201</v>
          </cell>
          <cell r="G52">
            <v>12663</v>
          </cell>
          <cell r="J52">
            <v>104</v>
          </cell>
          <cell r="L52">
            <v>37440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89103</v>
          </cell>
          <cell r="V52">
            <v>56280</v>
          </cell>
          <cell r="W52">
            <v>89103</v>
          </cell>
        </row>
        <row r="53">
          <cell r="E53">
            <v>295</v>
          </cell>
          <cell r="G53">
            <v>18585</v>
          </cell>
          <cell r="J53">
            <v>145</v>
          </cell>
          <cell r="L53">
            <v>52200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109785</v>
          </cell>
          <cell r="V53">
            <v>89103</v>
          </cell>
          <cell r="W53">
            <v>109785</v>
          </cell>
        </row>
        <row r="54">
          <cell r="E54">
            <v>119</v>
          </cell>
          <cell r="G54">
            <v>7497</v>
          </cell>
          <cell r="J54">
            <v>108</v>
          </cell>
          <cell r="L54">
            <v>38880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85377</v>
          </cell>
          <cell r="V54">
            <v>109785</v>
          </cell>
          <cell r="W54">
            <v>92377</v>
          </cell>
        </row>
        <row r="55">
          <cell r="E55">
            <v>406</v>
          </cell>
          <cell r="G55">
            <v>25578</v>
          </cell>
          <cell r="J55">
            <v>267</v>
          </cell>
          <cell r="L55">
            <v>96120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167698</v>
          </cell>
          <cell r="V55">
            <v>92377</v>
          </cell>
          <cell r="W55">
            <v>167698</v>
          </cell>
        </row>
        <row r="56">
          <cell r="E56">
            <v>383</v>
          </cell>
          <cell r="G56">
            <v>24129</v>
          </cell>
          <cell r="J56">
            <v>183</v>
          </cell>
          <cell r="L56">
            <v>65880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136009</v>
          </cell>
          <cell r="V56">
            <v>167698</v>
          </cell>
          <cell r="W56">
            <v>136009</v>
          </cell>
        </row>
        <row r="57">
          <cell r="E57">
            <v>216</v>
          </cell>
          <cell r="G57">
            <v>13608</v>
          </cell>
          <cell r="J57">
            <v>161</v>
          </cell>
          <cell r="L57">
            <v>57960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117568</v>
          </cell>
          <cell r="V57">
            <v>136009</v>
          </cell>
          <cell r="W57">
            <v>117568</v>
          </cell>
        </row>
        <row r="58">
          <cell r="E58">
            <v>264</v>
          </cell>
          <cell r="G58">
            <v>16632</v>
          </cell>
          <cell r="J58">
            <v>113</v>
          </cell>
          <cell r="L58">
            <v>40680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103312</v>
          </cell>
          <cell r="V58">
            <v>117568</v>
          </cell>
          <cell r="W58">
            <v>103312</v>
          </cell>
        </row>
        <row r="59">
          <cell r="E59">
            <v>265</v>
          </cell>
          <cell r="G59">
            <v>16695</v>
          </cell>
          <cell r="J59">
            <v>71</v>
          </cell>
          <cell r="L59">
            <v>25560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88255</v>
          </cell>
          <cell r="V59">
            <v>103312</v>
          </cell>
          <cell r="W59">
            <v>88255</v>
          </cell>
        </row>
        <row r="60">
          <cell r="E60">
            <v>262</v>
          </cell>
          <cell r="G60">
            <v>16506</v>
          </cell>
          <cell r="J60">
            <v>13</v>
          </cell>
          <cell r="L60">
            <v>4680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67186</v>
          </cell>
          <cell r="V60">
            <v>88255</v>
          </cell>
          <cell r="W60">
            <v>67186</v>
          </cell>
        </row>
        <row r="61">
          <cell r="E61">
            <v>290</v>
          </cell>
          <cell r="G61">
            <v>18270</v>
          </cell>
          <cell r="J61">
            <v>9</v>
          </cell>
          <cell r="L61">
            <v>3240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67510</v>
          </cell>
          <cell r="V61">
            <v>67186</v>
          </cell>
          <cell r="W61">
            <v>67510</v>
          </cell>
        </row>
        <row r="62">
          <cell r="E62">
            <v>234</v>
          </cell>
          <cell r="G62">
            <v>14742</v>
          </cell>
          <cell r="J62">
            <v>20</v>
          </cell>
          <cell r="L62">
            <v>7200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67942</v>
          </cell>
          <cell r="V62">
            <v>67510</v>
          </cell>
          <cell r="W62">
            <v>67942</v>
          </cell>
        </row>
        <row r="63">
          <cell r="E63">
            <v>231</v>
          </cell>
          <cell r="G63">
            <v>14553</v>
          </cell>
          <cell r="J63">
            <v>96</v>
          </cell>
          <cell r="L63">
            <v>34560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95113</v>
          </cell>
          <cell r="V63">
            <v>67942</v>
          </cell>
          <cell r="W63">
            <v>95113</v>
          </cell>
        </row>
        <row r="64">
          <cell r="E64">
            <v>237</v>
          </cell>
          <cell r="G64">
            <v>18723</v>
          </cell>
          <cell r="J64">
            <v>183</v>
          </cell>
          <cell r="L64">
            <v>65880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130603</v>
          </cell>
          <cell r="V64">
            <v>95113</v>
          </cell>
          <cell r="W64">
            <v>130603</v>
          </cell>
        </row>
        <row r="65">
          <cell r="E65">
            <v>298</v>
          </cell>
          <cell r="G65">
            <v>23542</v>
          </cell>
          <cell r="J65">
            <v>193</v>
          </cell>
          <cell r="L65">
            <v>69480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139022</v>
          </cell>
          <cell r="V65">
            <v>0</v>
          </cell>
          <cell r="W65">
            <v>269625</v>
          </cell>
        </row>
        <row r="66">
          <cell r="E66">
            <v>174</v>
          </cell>
          <cell r="G66">
            <v>13746</v>
          </cell>
          <cell r="J66">
            <v>239</v>
          </cell>
          <cell r="L66">
            <v>86040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145786</v>
          </cell>
          <cell r="V66">
            <v>269625</v>
          </cell>
          <cell r="W66">
            <v>145786</v>
          </cell>
        </row>
        <row r="67">
          <cell r="E67">
            <v>357</v>
          </cell>
          <cell r="G67">
            <v>31059</v>
          </cell>
          <cell r="J67">
            <v>394</v>
          </cell>
          <cell r="L67">
            <v>141840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218899</v>
          </cell>
          <cell r="V67">
            <v>145786</v>
          </cell>
          <cell r="W67">
            <v>218899</v>
          </cell>
        </row>
        <row r="68">
          <cell r="E68">
            <v>188</v>
          </cell>
          <cell r="G68">
            <v>16356</v>
          </cell>
          <cell r="J68">
            <v>205</v>
          </cell>
          <cell r="L68">
            <v>73800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136156</v>
          </cell>
          <cell r="V68">
            <v>218899</v>
          </cell>
          <cell r="W68">
            <v>136156</v>
          </cell>
        </row>
        <row r="69">
          <cell r="E69">
            <v>219</v>
          </cell>
          <cell r="G69">
            <v>24309</v>
          </cell>
          <cell r="J69">
            <v>186</v>
          </cell>
          <cell r="L69">
            <v>66960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137269</v>
          </cell>
          <cell r="V69">
            <v>136156</v>
          </cell>
          <cell r="W69">
            <v>137269</v>
          </cell>
        </row>
        <row r="70">
          <cell r="E70">
            <v>289</v>
          </cell>
          <cell r="G70">
            <v>35836</v>
          </cell>
          <cell r="J70">
            <v>176</v>
          </cell>
          <cell r="L70">
            <v>63360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145196</v>
          </cell>
          <cell r="V70">
            <v>137269</v>
          </cell>
          <cell r="W70">
            <v>145196</v>
          </cell>
        </row>
        <row r="71">
          <cell r="E71">
            <v>189</v>
          </cell>
          <cell r="G71">
            <v>18522</v>
          </cell>
          <cell r="J71">
            <v>39</v>
          </cell>
          <cell r="L71">
            <v>14040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78562</v>
          </cell>
          <cell r="V71">
            <v>145196</v>
          </cell>
          <cell r="W71">
            <v>78562</v>
          </cell>
        </row>
        <row r="72">
          <cell r="E72">
            <v>238</v>
          </cell>
          <cell r="G72">
            <v>24752</v>
          </cell>
          <cell r="J72">
            <v>14</v>
          </cell>
          <cell r="L72">
            <v>5040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75792</v>
          </cell>
          <cell r="V72">
            <v>78562</v>
          </cell>
          <cell r="W72">
            <v>75792</v>
          </cell>
        </row>
        <row r="73">
          <cell r="E73">
            <v>347</v>
          </cell>
          <cell r="G73">
            <v>38864</v>
          </cell>
          <cell r="J73">
            <v>19</v>
          </cell>
          <cell r="L73">
            <v>6840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91704</v>
          </cell>
          <cell r="V73">
            <v>75792</v>
          </cell>
          <cell r="W73">
            <v>91704</v>
          </cell>
        </row>
        <row r="74">
          <cell r="E74">
            <v>172</v>
          </cell>
          <cell r="G74">
            <v>18404</v>
          </cell>
          <cell r="J74">
            <v>9</v>
          </cell>
          <cell r="L74">
            <v>3240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67644</v>
          </cell>
          <cell r="V74">
            <v>91704</v>
          </cell>
          <cell r="W74">
            <v>67644</v>
          </cell>
        </row>
        <row r="75">
          <cell r="E75">
            <v>190</v>
          </cell>
          <cell r="G75">
            <v>20900</v>
          </cell>
          <cell r="J75">
            <v>59</v>
          </cell>
          <cell r="L75">
            <v>21240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88140</v>
          </cell>
          <cell r="V75">
            <v>67644</v>
          </cell>
          <cell r="W75">
            <v>88140</v>
          </cell>
        </row>
        <row r="76">
          <cell r="E76">
            <v>224</v>
          </cell>
          <cell r="G76">
            <v>28224</v>
          </cell>
          <cell r="J76">
            <v>164</v>
          </cell>
          <cell r="L76">
            <v>59040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133264</v>
          </cell>
          <cell r="V76">
            <v>88140</v>
          </cell>
          <cell r="W76">
            <v>133264</v>
          </cell>
        </row>
        <row r="77">
          <cell r="E77">
            <v>231</v>
          </cell>
          <cell r="G77">
            <v>27489</v>
          </cell>
          <cell r="J77">
            <v>190</v>
          </cell>
          <cell r="L77">
            <v>68400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141889</v>
          </cell>
          <cell r="V77">
            <v>133264</v>
          </cell>
          <cell r="W77">
            <v>141889</v>
          </cell>
        </row>
        <row r="78">
          <cell r="E78">
            <v>377</v>
          </cell>
          <cell r="G78">
            <v>40716</v>
          </cell>
          <cell r="J78">
            <v>220</v>
          </cell>
          <cell r="L78">
            <v>79200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165916</v>
          </cell>
          <cell r="V78">
            <v>141889</v>
          </cell>
          <cell r="W78">
            <v>165916</v>
          </cell>
        </row>
        <row r="79">
          <cell r="E79">
            <v>210</v>
          </cell>
          <cell r="G79">
            <v>26040</v>
          </cell>
          <cell r="J79">
            <v>177</v>
          </cell>
          <cell r="L79">
            <v>63720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135760</v>
          </cell>
          <cell r="V79">
            <v>165916</v>
          </cell>
          <cell r="W79">
            <v>135760</v>
          </cell>
        </row>
        <row r="80">
          <cell r="E80">
            <v>262</v>
          </cell>
          <cell r="G80">
            <v>34060</v>
          </cell>
          <cell r="J80">
            <v>150</v>
          </cell>
          <cell r="L80">
            <v>86940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167000</v>
          </cell>
          <cell r="V80">
            <v>135760</v>
          </cell>
          <cell r="W80">
            <v>167000</v>
          </cell>
        </row>
        <row r="81">
          <cell r="E81">
            <v>289</v>
          </cell>
          <cell r="G81">
            <v>37570</v>
          </cell>
          <cell r="J81">
            <v>232</v>
          </cell>
          <cell r="L81">
            <v>125280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208850</v>
          </cell>
          <cell r="V81">
            <v>167000</v>
          </cell>
          <cell r="W81">
            <v>208850</v>
          </cell>
        </row>
        <row r="82">
          <cell r="E82">
            <v>219</v>
          </cell>
          <cell r="G82">
            <v>30660</v>
          </cell>
          <cell r="J82">
            <v>154</v>
          </cell>
          <cell r="L82">
            <v>55440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132100</v>
          </cell>
          <cell r="V82">
            <v>0</v>
          </cell>
          <cell r="W82">
            <v>340950</v>
          </cell>
        </row>
        <row r="83">
          <cell r="E83">
            <v>182</v>
          </cell>
          <cell r="G83">
            <v>26572</v>
          </cell>
          <cell r="J83">
            <v>41</v>
          </cell>
          <cell r="L83">
            <v>14760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87332</v>
          </cell>
          <cell r="V83">
            <v>132100</v>
          </cell>
          <cell r="W83">
            <v>296182</v>
          </cell>
        </row>
        <row r="84">
          <cell r="E84">
            <v>238</v>
          </cell>
          <cell r="G84">
            <v>34748</v>
          </cell>
          <cell r="J84">
            <v>43</v>
          </cell>
          <cell r="L84">
            <v>15480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96228</v>
          </cell>
          <cell r="V84">
            <v>296182</v>
          </cell>
          <cell r="W84">
            <v>96228</v>
          </cell>
        </row>
        <row r="85">
          <cell r="E85">
            <v>148</v>
          </cell>
          <cell r="G85">
            <v>21608</v>
          </cell>
          <cell r="J85">
            <v>4</v>
          </cell>
          <cell r="L85">
            <v>1440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69048</v>
          </cell>
          <cell r="V85">
            <v>96228</v>
          </cell>
          <cell r="W85">
            <v>79048</v>
          </cell>
        </row>
        <row r="86">
          <cell r="E86">
            <v>218</v>
          </cell>
          <cell r="G86">
            <v>31828</v>
          </cell>
          <cell r="J86">
            <v>8</v>
          </cell>
          <cell r="L86">
            <v>2880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90708</v>
          </cell>
          <cell r="V86">
            <v>79048</v>
          </cell>
          <cell r="W86">
            <v>80708</v>
          </cell>
        </row>
        <row r="87">
          <cell r="E87">
            <v>311</v>
          </cell>
          <cell r="G87">
            <v>45406</v>
          </cell>
          <cell r="J87">
            <v>53</v>
          </cell>
          <cell r="L87">
            <v>19080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110486</v>
          </cell>
          <cell r="V87">
            <v>80708</v>
          </cell>
          <cell r="W87">
            <v>110486</v>
          </cell>
        </row>
        <row r="88">
          <cell r="E88">
            <v>163</v>
          </cell>
          <cell r="G88">
            <v>23798</v>
          </cell>
          <cell r="J88">
            <v>72</v>
          </cell>
          <cell r="L88">
            <v>25920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95718</v>
          </cell>
          <cell r="V88">
            <v>110486</v>
          </cell>
          <cell r="W88">
            <v>95718</v>
          </cell>
        </row>
        <row r="89">
          <cell r="E89">
            <v>245</v>
          </cell>
          <cell r="G89">
            <v>35770</v>
          </cell>
          <cell r="J89">
            <v>107</v>
          </cell>
          <cell r="L89">
            <v>38520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120290</v>
          </cell>
          <cell r="V89">
            <v>95718</v>
          </cell>
          <cell r="W89">
            <v>120290</v>
          </cell>
        </row>
        <row r="90">
          <cell r="E90">
            <v>326</v>
          </cell>
          <cell r="G90">
            <v>47596</v>
          </cell>
          <cell r="J90">
            <v>220</v>
          </cell>
          <cell r="L90">
            <v>95400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188996</v>
          </cell>
          <cell r="V90">
            <v>120290</v>
          </cell>
          <cell r="W90">
            <v>188996</v>
          </cell>
        </row>
        <row r="91">
          <cell r="E91">
            <v>254</v>
          </cell>
          <cell r="G91">
            <v>37084</v>
          </cell>
          <cell r="J91">
            <v>100</v>
          </cell>
          <cell r="L91">
            <v>36000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128084</v>
          </cell>
          <cell r="V91">
            <v>188996</v>
          </cell>
          <cell r="W91">
            <v>138084</v>
          </cell>
        </row>
        <row r="92">
          <cell r="E92">
            <v>247</v>
          </cell>
          <cell r="G92">
            <v>36062</v>
          </cell>
          <cell r="J92">
            <v>133</v>
          </cell>
          <cell r="L92">
            <v>47880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138942</v>
          </cell>
          <cell r="V92">
            <v>138084</v>
          </cell>
          <cell r="W92">
            <v>148942</v>
          </cell>
        </row>
        <row r="93">
          <cell r="E93">
            <v>194</v>
          </cell>
          <cell r="G93">
            <v>28324</v>
          </cell>
          <cell r="J93">
            <v>80</v>
          </cell>
          <cell r="L93">
            <v>28800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112124</v>
          </cell>
          <cell r="V93">
            <v>148942</v>
          </cell>
          <cell r="W93">
            <v>122124</v>
          </cell>
        </row>
        <row r="94">
          <cell r="E94">
            <v>220</v>
          </cell>
          <cell r="G94">
            <v>32120</v>
          </cell>
          <cell r="J94">
            <v>105</v>
          </cell>
          <cell r="L94">
            <v>37800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124920</v>
          </cell>
          <cell r="V94">
            <v>122124</v>
          </cell>
          <cell r="W94">
            <v>134920</v>
          </cell>
        </row>
        <row r="95">
          <cell r="E95">
            <v>148</v>
          </cell>
          <cell r="G95">
            <v>21608</v>
          </cell>
          <cell r="J95">
            <v>17</v>
          </cell>
          <cell r="L95">
            <v>6120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82728</v>
          </cell>
          <cell r="V95">
            <v>134920</v>
          </cell>
          <cell r="W95">
            <v>92728</v>
          </cell>
        </row>
        <row r="96">
          <cell r="E96">
            <v>147</v>
          </cell>
          <cell r="G96">
            <v>21462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77542</v>
          </cell>
          <cell r="V96">
            <v>92728</v>
          </cell>
          <cell r="W96">
            <v>77542</v>
          </cell>
        </row>
        <row r="97">
          <cell r="E97">
            <v>238</v>
          </cell>
          <cell r="G97">
            <v>34748</v>
          </cell>
          <cell r="J97">
            <v>15</v>
          </cell>
          <cell r="L97">
            <v>5400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95148</v>
          </cell>
          <cell r="V97">
            <v>77542</v>
          </cell>
          <cell r="W97">
            <v>0</v>
          </cell>
        </row>
        <row r="98">
          <cell r="E98">
            <v>172</v>
          </cell>
          <cell r="G98">
            <v>25112</v>
          </cell>
          <cell r="J98">
            <v>12</v>
          </cell>
          <cell r="L98">
            <v>4320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84432</v>
          </cell>
          <cell r="V98">
            <v>95148</v>
          </cell>
          <cell r="W98">
            <v>0</v>
          </cell>
        </row>
        <row r="99">
          <cell r="E99">
            <v>209</v>
          </cell>
          <cell r="G99">
            <v>30514</v>
          </cell>
          <cell r="J99">
            <v>55</v>
          </cell>
          <cell r="L99">
            <v>19800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105314</v>
          </cell>
          <cell r="V99">
            <v>84432</v>
          </cell>
          <cell r="W99">
            <v>0</v>
          </cell>
        </row>
        <row r="100">
          <cell r="E100">
            <v>190</v>
          </cell>
          <cell r="G100">
            <v>27740</v>
          </cell>
          <cell r="J100">
            <v>85</v>
          </cell>
          <cell r="L100">
            <v>30600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113340</v>
          </cell>
          <cell r="V100">
            <v>105314</v>
          </cell>
          <cell r="W100">
            <v>0</v>
          </cell>
        </row>
        <row r="101">
          <cell r="E101">
            <v>233</v>
          </cell>
          <cell r="G101">
            <v>34018</v>
          </cell>
          <cell r="J101">
            <v>78</v>
          </cell>
          <cell r="L101">
            <v>28080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117098</v>
          </cell>
          <cell r="V101">
            <v>117098</v>
          </cell>
          <cell r="W101">
            <v>0</v>
          </cell>
        </row>
        <row r="102">
          <cell r="E102">
            <v>223</v>
          </cell>
          <cell r="G102">
            <v>32558</v>
          </cell>
          <cell r="J102">
            <v>149</v>
          </cell>
          <cell r="L102">
            <v>53640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145198</v>
          </cell>
          <cell r="V102">
            <v>145198</v>
          </cell>
          <cell r="W102">
            <v>0</v>
          </cell>
        </row>
        <row r="103">
          <cell r="E103">
            <v>267</v>
          </cell>
          <cell r="G103">
            <v>38982</v>
          </cell>
          <cell r="J103">
            <v>383</v>
          </cell>
          <cell r="L103">
            <v>242640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342272</v>
          </cell>
          <cell r="V103">
            <v>342272</v>
          </cell>
          <cell r="W103">
            <v>0</v>
          </cell>
        </row>
        <row r="104">
          <cell r="E104">
            <v>246</v>
          </cell>
          <cell r="G104">
            <v>35916</v>
          </cell>
          <cell r="J104">
            <v>191</v>
          </cell>
          <cell r="L104">
            <v>76140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172706</v>
          </cell>
          <cell r="V104">
            <v>172706</v>
          </cell>
          <cell r="W104">
            <v>0</v>
          </cell>
        </row>
        <row r="105">
          <cell r="E105">
            <v>229</v>
          </cell>
          <cell r="G105">
            <v>33434</v>
          </cell>
          <cell r="J105">
            <v>162</v>
          </cell>
          <cell r="L105">
            <v>60480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154564</v>
          </cell>
          <cell r="V105">
            <v>154564</v>
          </cell>
          <cell r="W105">
            <v>0</v>
          </cell>
        </row>
        <row r="106">
          <cell r="E106">
            <v>254</v>
          </cell>
          <cell r="G106">
            <v>37084</v>
          </cell>
          <cell r="J106">
            <v>122</v>
          </cell>
          <cell r="L106">
            <v>43920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141654</v>
          </cell>
          <cell r="V106">
            <v>141654</v>
          </cell>
          <cell r="W106">
            <v>0</v>
          </cell>
        </row>
        <row r="107">
          <cell r="E107">
            <v>187</v>
          </cell>
          <cell r="G107">
            <v>27302</v>
          </cell>
          <cell r="J107">
            <v>70</v>
          </cell>
          <cell r="L107">
            <v>25200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113152</v>
          </cell>
          <cell r="V107">
            <v>113152</v>
          </cell>
          <cell r="W107">
            <v>0</v>
          </cell>
        </row>
        <row r="108">
          <cell r="E108">
            <v>219</v>
          </cell>
          <cell r="G108">
            <v>31974</v>
          </cell>
          <cell r="J108">
            <v>38</v>
          </cell>
          <cell r="L108">
            <v>13680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106304</v>
          </cell>
          <cell r="V108">
            <v>106304</v>
          </cell>
          <cell r="W108">
            <v>0</v>
          </cell>
        </row>
        <row r="109">
          <cell r="E109">
            <v>292</v>
          </cell>
          <cell r="G109">
            <v>42632</v>
          </cell>
          <cell r="J109">
            <v>13</v>
          </cell>
          <cell r="L109">
            <v>4680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107962</v>
          </cell>
          <cell r="V109">
            <v>107962</v>
          </cell>
          <cell r="W109">
            <v>0</v>
          </cell>
        </row>
        <row r="110">
          <cell r="E110">
            <v>240</v>
          </cell>
          <cell r="G110">
            <v>35040</v>
          </cell>
          <cell r="J110">
            <v>7</v>
          </cell>
          <cell r="L110">
            <v>2520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98210</v>
          </cell>
          <cell r="V110">
            <v>82500</v>
          </cell>
          <cell r="W110">
            <v>15710</v>
          </cell>
        </row>
        <row r="111">
          <cell r="E111">
            <v>175</v>
          </cell>
          <cell r="G111">
            <v>25550</v>
          </cell>
          <cell r="J111">
            <v>47</v>
          </cell>
          <cell r="L111">
            <v>16920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103120</v>
          </cell>
          <cell r="V111">
            <v>118830</v>
          </cell>
          <cell r="W111">
            <v>0</v>
          </cell>
        </row>
        <row r="112">
          <cell r="E112">
            <v>221</v>
          </cell>
          <cell r="G112">
            <v>32266</v>
          </cell>
          <cell r="J112">
            <v>86</v>
          </cell>
          <cell r="L112">
            <v>30960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123876</v>
          </cell>
          <cell r="V112">
            <v>0</v>
          </cell>
          <cell r="W112">
            <v>123876</v>
          </cell>
        </row>
        <row r="113">
          <cell r="E113">
            <v>222</v>
          </cell>
          <cell r="G113">
            <v>32412</v>
          </cell>
          <cell r="J113">
            <v>120</v>
          </cell>
          <cell r="L113">
            <v>43200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136262</v>
          </cell>
          <cell r="V113">
            <v>260138</v>
          </cell>
          <cell r="W113">
            <v>0</v>
          </cell>
        </row>
        <row r="114">
          <cell r="E114">
            <v>253</v>
          </cell>
          <cell r="G114">
            <v>36938</v>
          </cell>
          <cell r="J114">
            <v>187</v>
          </cell>
          <cell r="L114">
            <v>73980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171568</v>
          </cell>
          <cell r="V114">
            <v>171568</v>
          </cell>
          <cell r="W114">
            <v>0</v>
          </cell>
        </row>
        <row r="115">
          <cell r="E115">
            <v>228</v>
          </cell>
          <cell r="G115">
            <v>33288</v>
          </cell>
          <cell r="J115">
            <v>197</v>
          </cell>
          <cell r="L115">
            <v>79380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175527</v>
          </cell>
          <cell r="V115">
            <v>175527</v>
          </cell>
          <cell r="W115">
            <v>0</v>
          </cell>
        </row>
        <row r="116">
          <cell r="E116">
            <v>209</v>
          </cell>
          <cell r="G116">
            <v>30514</v>
          </cell>
          <cell r="J116">
            <v>162</v>
          </cell>
          <cell r="L116">
            <v>60480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153853</v>
          </cell>
          <cell r="V116">
            <v>153853</v>
          </cell>
          <cell r="W116">
            <v>0</v>
          </cell>
        </row>
        <row r="117">
          <cell r="E117">
            <v>255</v>
          </cell>
          <cell r="G117">
            <v>37230</v>
          </cell>
          <cell r="J117">
            <v>185</v>
          </cell>
          <cell r="L117">
            <v>72900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172989</v>
          </cell>
          <cell r="V117">
            <v>172989</v>
          </cell>
          <cell r="W117">
            <v>0</v>
          </cell>
        </row>
        <row r="118">
          <cell r="E118">
            <v>119</v>
          </cell>
          <cell r="G118">
            <v>17374</v>
          </cell>
          <cell r="J118">
            <v>104</v>
          </cell>
          <cell r="L118">
            <v>37440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117673</v>
          </cell>
          <cell r="V118">
            <v>117673</v>
          </cell>
          <cell r="W118">
            <v>0</v>
          </cell>
        </row>
        <row r="119">
          <cell r="E119">
            <v>134</v>
          </cell>
          <cell r="G119">
            <v>19564</v>
          </cell>
          <cell r="J119">
            <v>84</v>
          </cell>
          <cell r="L119">
            <v>30240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112663</v>
          </cell>
          <cell r="V119">
            <v>192663</v>
          </cell>
          <cell r="W119">
            <v>0</v>
          </cell>
        </row>
        <row r="120">
          <cell r="E120">
            <v>117</v>
          </cell>
          <cell r="G120">
            <v>17082</v>
          </cell>
          <cell r="J120">
            <v>27</v>
          </cell>
          <cell r="L120">
            <v>9720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89661</v>
          </cell>
          <cell r="V120">
            <v>89661</v>
          </cell>
          <cell r="W120">
            <v>0</v>
          </cell>
        </row>
        <row r="121">
          <cell r="E121">
            <v>126</v>
          </cell>
          <cell r="G121">
            <v>18396</v>
          </cell>
          <cell r="J121">
            <v>22</v>
          </cell>
          <cell r="L121">
            <v>7920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89175</v>
          </cell>
          <cell r="V121">
            <v>89175</v>
          </cell>
          <cell r="W121">
            <v>0</v>
          </cell>
        </row>
        <row r="122">
          <cell r="E122">
            <v>144</v>
          </cell>
          <cell r="G122">
            <v>21024</v>
          </cell>
          <cell r="J122">
            <v>42</v>
          </cell>
          <cell r="L122">
            <v>15120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105003</v>
          </cell>
          <cell r="V122">
            <v>105003</v>
          </cell>
          <cell r="W122">
            <v>0</v>
          </cell>
        </row>
        <row r="123">
          <cell r="E123">
            <v>143</v>
          </cell>
          <cell r="G123">
            <v>20878</v>
          </cell>
          <cell r="J123">
            <v>101</v>
          </cell>
          <cell r="L123">
            <v>36360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126097</v>
          </cell>
          <cell r="V123">
            <v>0</v>
          </cell>
          <cell r="W123">
            <v>126097</v>
          </cell>
        </row>
        <row r="124">
          <cell r="E124">
            <v>172</v>
          </cell>
          <cell r="G124">
            <v>25112</v>
          </cell>
          <cell r="J124">
            <v>58</v>
          </cell>
          <cell r="L124">
            <v>20880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114851</v>
          </cell>
          <cell r="V124">
            <v>240948</v>
          </cell>
          <cell r="W124">
            <v>0</v>
          </cell>
        </row>
        <row r="125">
          <cell r="E125">
            <v>200</v>
          </cell>
          <cell r="G125">
            <v>29200</v>
          </cell>
          <cell r="J125">
            <v>131</v>
          </cell>
          <cell r="L125">
            <v>47160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145219</v>
          </cell>
          <cell r="V125">
            <v>145219</v>
          </cell>
          <cell r="W125">
            <v>0</v>
          </cell>
        </row>
        <row r="126">
          <cell r="E126">
            <v>226</v>
          </cell>
          <cell r="G126">
            <v>32996</v>
          </cell>
          <cell r="J126">
            <v>184</v>
          </cell>
          <cell r="L126">
            <v>72360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174215</v>
          </cell>
          <cell r="V126">
            <v>174215</v>
          </cell>
          <cell r="W126">
            <v>0</v>
          </cell>
        </row>
        <row r="127">
          <cell r="E127">
            <v>304</v>
          </cell>
          <cell r="G127">
            <v>44384</v>
          </cell>
          <cell r="J127">
            <v>232</v>
          </cell>
          <cell r="L127">
            <v>104040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218158</v>
          </cell>
          <cell r="V127">
            <v>218159</v>
          </cell>
          <cell r="W127">
            <v>-1</v>
          </cell>
        </row>
        <row r="128">
          <cell r="E128">
            <v>356</v>
          </cell>
          <cell r="G128">
            <v>51976</v>
          </cell>
          <cell r="J128">
            <v>149</v>
          </cell>
          <cell r="L128">
            <v>53640</v>
          </cell>
          <cell r="M128">
            <v>0</v>
          </cell>
          <cell r="N128">
            <v>0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175350</v>
          </cell>
          <cell r="V128">
            <v>187637</v>
          </cell>
          <cell r="W128">
            <v>0</v>
          </cell>
        </row>
        <row r="129">
          <cell r="E129">
            <v>269</v>
          </cell>
          <cell r="G129">
            <v>39274</v>
          </cell>
          <cell r="J129">
            <v>120</v>
          </cell>
          <cell r="L129">
            <v>43200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152208</v>
          </cell>
          <cell r="V129">
            <v>152208</v>
          </cell>
          <cell r="W129">
            <v>0</v>
          </cell>
        </row>
        <row r="130">
          <cell r="E130">
            <v>259</v>
          </cell>
          <cell r="G130">
            <v>37814</v>
          </cell>
          <cell r="J130">
            <v>107</v>
          </cell>
          <cell r="L130">
            <v>38520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146068</v>
          </cell>
          <cell r="V130">
            <v>146068</v>
          </cell>
          <cell r="W130">
            <v>0</v>
          </cell>
        </row>
        <row r="131">
          <cell r="E131">
            <v>315</v>
          </cell>
          <cell r="G131">
            <v>45990</v>
          </cell>
          <cell r="J131">
            <v>74</v>
          </cell>
          <cell r="L131">
            <v>26640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142364</v>
          </cell>
          <cell r="V131">
            <v>142364</v>
          </cell>
          <cell r="W131">
            <v>0</v>
          </cell>
        </row>
        <row r="132">
          <cell r="E132">
            <v>278</v>
          </cell>
          <cell r="G132">
            <v>40588</v>
          </cell>
          <cell r="J132">
            <v>12</v>
          </cell>
          <cell r="L132">
            <v>4320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114642</v>
          </cell>
          <cell r="V132">
            <v>114642</v>
          </cell>
          <cell r="W132">
            <v>0</v>
          </cell>
        </row>
        <row r="133">
          <cell r="E133">
            <v>353</v>
          </cell>
          <cell r="G133">
            <v>51538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125592</v>
          </cell>
          <cell r="V133">
            <v>125594</v>
          </cell>
          <cell r="W133">
            <v>-2</v>
          </cell>
        </row>
        <row r="134">
          <cell r="E134">
            <v>338</v>
          </cell>
          <cell r="G134">
            <v>49348</v>
          </cell>
          <cell r="J134">
            <v>19</v>
          </cell>
          <cell r="L134">
            <v>6840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125922</v>
          </cell>
          <cell r="V134">
            <v>0</v>
          </cell>
          <cell r="W134">
            <v>125920</v>
          </cell>
        </row>
        <row r="135">
          <cell r="E135">
            <v>346</v>
          </cell>
          <cell r="G135">
            <v>50516</v>
          </cell>
          <cell r="J135">
            <v>64</v>
          </cell>
          <cell r="L135">
            <v>23040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143290</v>
          </cell>
          <cell r="V135">
            <v>269210</v>
          </cell>
          <cell r="W135">
            <v>0</v>
          </cell>
        </row>
        <row r="136">
          <cell r="E136">
            <v>272</v>
          </cell>
          <cell r="G136">
            <v>39712</v>
          </cell>
          <cell r="J136">
            <v>127</v>
          </cell>
          <cell r="L136">
            <v>45720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155166</v>
          </cell>
          <cell r="V136">
            <v>155166</v>
          </cell>
          <cell r="W136">
            <v>0</v>
          </cell>
        </row>
        <row r="137">
          <cell r="E137">
            <v>257</v>
          </cell>
          <cell r="G137">
            <v>37522</v>
          </cell>
          <cell r="J137">
            <v>114</v>
          </cell>
          <cell r="L137">
            <v>41040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148296</v>
          </cell>
          <cell r="V137">
            <v>148296</v>
          </cell>
          <cell r="W137">
            <v>0</v>
          </cell>
        </row>
        <row r="138">
          <cell r="E138">
            <v>289</v>
          </cell>
          <cell r="G138">
            <v>42194</v>
          </cell>
          <cell r="J138">
            <v>101</v>
          </cell>
          <cell r="L138">
            <v>36360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148288</v>
          </cell>
          <cell r="V138">
            <v>168288</v>
          </cell>
          <cell r="W138">
            <v>0</v>
          </cell>
        </row>
        <row r="139">
          <cell r="E139">
            <v>423</v>
          </cell>
          <cell r="G139">
            <v>61758</v>
          </cell>
          <cell r="J139">
            <v>133</v>
          </cell>
          <cell r="L139">
            <v>50220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183514</v>
          </cell>
          <cell r="V139">
            <v>188514</v>
          </cell>
          <cell r="W139">
            <v>0</v>
          </cell>
        </row>
        <row r="140">
          <cell r="E140">
            <v>262</v>
          </cell>
          <cell r="G140">
            <v>38252</v>
          </cell>
          <cell r="J140">
            <v>120</v>
          </cell>
          <cell r="L140">
            <v>43200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152988</v>
          </cell>
          <cell r="V140">
            <v>157988</v>
          </cell>
          <cell r="W140">
            <v>0</v>
          </cell>
        </row>
        <row r="141">
          <cell r="E141">
            <v>255</v>
          </cell>
          <cell r="G141">
            <v>37230</v>
          </cell>
          <cell r="J141">
            <v>91</v>
          </cell>
          <cell r="L141">
            <v>32760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141526</v>
          </cell>
          <cell r="V141">
            <v>146526</v>
          </cell>
          <cell r="W141">
            <v>0</v>
          </cell>
        </row>
        <row r="142">
          <cell r="E142">
            <v>254</v>
          </cell>
          <cell r="G142">
            <v>37084</v>
          </cell>
          <cell r="J142">
            <v>111</v>
          </cell>
          <cell r="L142">
            <v>39960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148580</v>
          </cell>
          <cell r="V142">
            <v>135580</v>
          </cell>
          <cell r="W142">
            <v>18000</v>
          </cell>
        </row>
        <row r="143">
          <cell r="E143">
            <v>180</v>
          </cell>
          <cell r="G143">
            <v>26280</v>
          </cell>
          <cell r="J143">
            <v>59</v>
          </cell>
          <cell r="L143">
            <v>21240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119056</v>
          </cell>
          <cell r="V143">
            <v>142056</v>
          </cell>
          <cell r="W143">
            <v>0</v>
          </cell>
        </row>
        <row r="144">
          <cell r="E144">
            <v>290</v>
          </cell>
          <cell r="G144">
            <v>42340</v>
          </cell>
          <cell r="J144">
            <v>11</v>
          </cell>
          <cell r="L144">
            <v>3960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117836</v>
          </cell>
          <cell r="V144">
            <v>122836</v>
          </cell>
          <cell r="W144">
            <v>0</v>
          </cell>
        </row>
        <row r="145">
          <cell r="E145">
            <v>362</v>
          </cell>
          <cell r="G145">
            <v>52852</v>
          </cell>
          <cell r="J145">
            <v>9</v>
          </cell>
          <cell r="L145">
            <v>3240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127628</v>
          </cell>
          <cell r="V145">
            <v>132628</v>
          </cell>
          <cell r="W145">
            <v>0</v>
          </cell>
        </row>
        <row r="146">
          <cell r="E146">
            <v>215</v>
          </cell>
          <cell r="G146">
            <v>31390</v>
          </cell>
          <cell r="J146">
            <v>6</v>
          </cell>
          <cell r="L146">
            <v>2160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105086</v>
          </cell>
          <cell r="V146">
            <v>110086</v>
          </cell>
          <cell r="W146">
            <v>0</v>
          </cell>
        </row>
        <row r="147">
          <cell r="E147">
            <v>243</v>
          </cell>
          <cell r="G147">
            <v>35478</v>
          </cell>
          <cell r="J147">
            <v>16</v>
          </cell>
          <cell r="L147">
            <v>5760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112774</v>
          </cell>
          <cell r="V147">
            <v>117774</v>
          </cell>
          <cell r="W147">
            <v>0</v>
          </cell>
        </row>
        <row r="148">
          <cell r="E148">
            <v>257</v>
          </cell>
          <cell r="G148">
            <v>37522</v>
          </cell>
          <cell r="J148">
            <v>197</v>
          </cell>
          <cell r="L148">
            <v>84780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193838</v>
          </cell>
          <cell r="V148">
            <v>198838</v>
          </cell>
          <cell r="W148">
            <v>0</v>
          </cell>
        </row>
        <row r="149">
          <cell r="E149">
            <v>356</v>
          </cell>
          <cell r="G149">
            <v>51976</v>
          </cell>
          <cell r="J149">
            <v>152</v>
          </cell>
          <cell r="L149">
            <v>61560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185072</v>
          </cell>
          <cell r="V149">
            <v>190072</v>
          </cell>
          <cell r="W149">
            <v>0</v>
          </cell>
        </row>
        <row r="150">
          <cell r="E150">
            <v>380</v>
          </cell>
          <cell r="G150">
            <v>55480</v>
          </cell>
          <cell r="J150">
            <v>128</v>
          </cell>
          <cell r="L150">
            <v>47520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174536</v>
          </cell>
          <cell r="V150">
            <v>181536</v>
          </cell>
          <cell r="W150">
            <v>0</v>
          </cell>
        </row>
        <row r="151">
          <cell r="E151">
            <v>465</v>
          </cell>
          <cell r="G151">
            <v>67890</v>
          </cell>
          <cell r="J151">
            <v>141</v>
          </cell>
          <cell r="L151">
            <v>54540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196825</v>
          </cell>
          <cell r="V151">
            <v>203825</v>
          </cell>
          <cell r="W151">
            <v>0</v>
          </cell>
        </row>
        <row r="152">
          <cell r="E152">
            <v>422</v>
          </cell>
          <cell r="G152">
            <v>61612</v>
          </cell>
          <cell r="J152">
            <v>138</v>
          </cell>
          <cell r="L152">
            <v>52920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188927</v>
          </cell>
          <cell r="V152">
            <v>195927</v>
          </cell>
          <cell r="W152">
            <v>0</v>
          </cell>
        </row>
        <row r="153">
          <cell r="E153">
            <v>304</v>
          </cell>
          <cell r="G153">
            <v>44384</v>
          </cell>
          <cell r="J153">
            <v>131</v>
          </cell>
          <cell r="L153">
            <v>49140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167919</v>
          </cell>
          <cell r="V153">
            <v>179878</v>
          </cell>
          <cell r="W153">
            <v>0</v>
          </cell>
        </row>
        <row r="154">
          <cell r="E154">
            <v>261</v>
          </cell>
          <cell r="G154">
            <v>38106</v>
          </cell>
          <cell r="J154">
            <v>142</v>
          </cell>
          <cell r="L154">
            <v>55080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167581</v>
          </cell>
          <cell r="V154">
            <v>179540</v>
          </cell>
          <cell r="W154">
            <v>0</v>
          </cell>
        </row>
        <row r="155">
          <cell r="E155">
            <v>358</v>
          </cell>
          <cell r="G155">
            <v>52268</v>
          </cell>
          <cell r="J155">
            <v>90</v>
          </cell>
          <cell r="L155">
            <v>32400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159063</v>
          </cell>
          <cell r="V155">
            <v>171022</v>
          </cell>
          <cell r="W155">
            <v>0</v>
          </cell>
        </row>
        <row r="156">
          <cell r="E156">
            <v>316</v>
          </cell>
          <cell r="G156">
            <v>46136</v>
          </cell>
          <cell r="J156">
            <v>49</v>
          </cell>
          <cell r="L156">
            <v>17640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138171</v>
          </cell>
          <cell r="V156">
            <v>150130</v>
          </cell>
          <cell r="W156">
            <v>0</v>
          </cell>
        </row>
        <row r="157">
          <cell r="E157">
            <v>398</v>
          </cell>
          <cell r="G157">
            <v>58108</v>
          </cell>
          <cell r="J157">
            <v>27</v>
          </cell>
          <cell r="L157">
            <v>9720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142223</v>
          </cell>
          <cell r="V157">
            <v>154182</v>
          </cell>
          <cell r="W157">
            <v>0</v>
          </cell>
        </row>
        <row r="158">
          <cell r="E158">
            <v>376</v>
          </cell>
          <cell r="G158">
            <v>54896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130371</v>
          </cell>
          <cell r="V158">
            <v>142330</v>
          </cell>
          <cell r="W158">
            <v>0</v>
          </cell>
        </row>
        <row r="159">
          <cell r="E159">
            <v>388</v>
          </cell>
          <cell r="G159">
            <v>56648</v>
          </cell>
          <cell r="J159">
            <v>24</v>
          </cell>
          <cell r="L159">
            <v>8640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139683</v>
          </cell>
          <cell r="V159">
            <v>151642</v>
          </cell>
          <cell r="W159">
            <v>0</v>
          </cell>
        </row>
        <row r="160">
          <cell r="E160">
            <v>385</v>
          </cell>
          <cell r="G160">
            <v>56210</v>
          </cell>
          <cell r="J160">
            <v>47</v>
          </cell>
          <cell r="L160">
            <v>16920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147525</v>
          </cell>
          <cell r="V160">
            <v>159484</v>
          </cell>
          <cell r="W160">
            <v>0</v>
          </cell>
        </row>
        <row r="161">
          <cell r="E161">
            <v>368</v>
          </cell>
          <cell r="G161">
            <v>53728</v>
          </cell>
          <cell r="J161">
            <v>134</v>
          </cell>
          <cell r="L161">
            <v>50760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178883</v>
          </cell>
          <cell r="V161">
            <v>190842</v>
          </cell>
          <cell r="W161">
            <v>0</v>
          </cell>
        </row>
        <row r="162">
          <cell r="E162">
            <v>516</v>
          </cell>
          <cell r="G162">
            <v>75336</v>
          </cell>
          <cell r="J162">
            <v>137</v>
          </cell>
          <cell r="L162">
            <v>52380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202111</v>
          </cell>
          <cell r="V162">
            <v>213776</v>
          </cell>
          <cell r="W162">
            <v>0</v>
          </cell>
        </row>
        <row r="163">
          <cell r="E163">
            <v>474</v>
          </cell>
          <cell r="G163">
            <v>69204</v>
          </cell>
          <cell r="J163">
            <v>147</v>
          </cell>
          <cell r="L163">
            <v>57780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211379</v>
          </cell>
          <cell r="V163">
            <v>233044</v>
          </cell>
          <cell r="W163">
            <v>-10000</v>
          </cell>
        </row>
        <row r="164">
          <cell r="E164">
            <v>512</v>
          </cell>
          <cell r="G164">
            <v>74752</v>
          </cell>
          <cell r="J164">
            <v>58</v>
          </cell>
          <cell r="L164">
            <v>20880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180027</v>
          </cell>
          <cell r="V164">
            <v>181692</v>
          </cell>
          <cell r="W164">
            <v>0</v>
          </cell>
        </row>
        <row r="165">
          <cell r="E165">
            <v>486</v>
          </cell>
          <cell r="G165">
            <v>70956</v>
          </cell>
          <cell r="J165">
            <v>78</v>
          </cell>
          <cell r="L165">
            <v>28080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183431</v>
          </cell>
          <cell r="V165">
            <v>195096</v>
          </cell>
          <cell r="W165">
            <v>0</v>
          </cell>
        </row>
        <row r="166">
          <cell r="E166">
            <v>380</v>
          </cell>
          <cell r="G166">
            <v>55480</v>
          </cell>
          <cell r="J166">
            <v>44</v>
          </cell>
          <cell r="L166">
            <v>15840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155715</v>
          </cell>
          <cell r="V166">
            <v>167424</v>
          </cell>
          <cell r="W166">
            <v>0</v>
          </cell>
        </row>
        <row r="167">
          <cell r="E167">
            <v>365</v>
          </cell>
          <cell r="G167">
            <v>53290</v>
          </cell>
          <cell r="J167">
            <v>4</v>
          </cell>
          <cell r="L167">
            <v>1440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139125</v>
          </cell>
          <cell r="V167">
            <v>150834</v>
          </cell>
          <cell r="W167">
            <v>0</v>
          </cell>
        </row>
        <row r="168">
          <cell r="E168">
            <v>603</v>
          </cell>
          <cell r="G168">
            <v>88038</v>
          </cell>
          <cell r="J168">
            <v>8</v>
          </cell>
          <cell r="L168">
            <v>2880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175313</v>
          </cell>
          <cell r="V168">
            <v>187022</v>
          </cell>
          <cell r="W168">
            <v>0</v>
          </cell>
        </row>
        <row r="169">
          <cell r="E169">
            <v>459</v>
          </cell>
          <cell r="G169">
            <v>67014</v>
          </cell>
          <cell r="J169">
            <v>20</v>
          </cell>
          <cell r="L169">
            <v>7200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158609</v>
          </cell>
          <cell r="V169">
            <v>169924</v>
          </cell>
          <cell r="W169">
            <v>0</v>
          </cell>
        </row>
        <row r="170">
          <cell r="E170">
            <v>458</v>
          </cell>
          <cell r="G170">
            <v>66868</v>
          </cell>
          <cell r="J170">
            <v>12</v>
          </cell>
          <cell r="L170">
            <v>4320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155583</v>
          </cell>
          <cell r="V170">
            <v>166898</v>
          </cell>
          <cell r="W170">
            <v>0</v>
          </cell>
        </row>
        <row r="171">
          <cell r="E171">
            <v>470</v>
          </cell>
          <cell r="G171">
            <v>68620</v>
          </cell>
          <cell r="J171">
            <v>35</v>
          </cell>
          <cell r="L171">
            <v>12600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165615</v>
          </cell>
          <cell r="V171">
            <v>172615</v>
          </cell>
          <cell r="W171">
            <v>0</v>
          </cell>
        </row>
        <row r="172">
          <cell r="E172">
            <v>304</v>
          </cell>
          <cell r="G172">
            <v>44384</v>
          </cell>
          <cell r="J172">
            <v>41</v>
          </cell>
          <cell r="L172">
            <v>14760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143539</v>
          </cell>
          <cell r="V172">
            <v>0</v>
          </cell>
          <cell r="W172">
            <v>150539</v>
          </cell>
        </row>
        <row r="173">
          <cell r="E173">
            <v>412</v>
          </cell>
          <cell r="G173">
            <v>60152</v>
          </cell>
          <cell r="J173">
            <v>31</v>
          </cell>
          <cell r="L173">
            <v>11160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155707</v>
          </cell>
          <cell r="V173">
            <v>313246</v>
          </cell>
          <cell r="W173">
            <v>0</v>
          </cell>
        </row>
        <row r="174">
          <cell r="E174">
            <v>484</v>
          </cell>
          <cell r="G174">
            <v>70664</v>
          </cell>
          <cell r="J174">
            <v>48</v>
          </cell>
          <cell r="L174">
            <v>17280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172339</v>
          </cell>
          <cell r="V174">
            <v>179339</v>
          </cell>
          <cell r="W174">
            <v>0</v>
          </cell>
        </row>
      </sheetData>
      <sheetData sheetId="2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171</v>
          </cell>
          <cell r="G16">
            <v>10773</v>
          </cell>
          <cell r="J16">
            <v>90.731999999999999</v>
          </cell>
          <cell r="L16">
            <v>27219.599999999999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76992.600000000006</v>
          </cell>
          <cell r="V16">
            <v>0</v>
          </cell>
          <cell r="W16">
            <v>0</v>
          </cell>
        </row>
        <row r="17">
          <cell r="E17">
            <v>200</v>
          </cell>
          <cell r="G17">
            <v>12600</v>
          </cell>
          <cell r="J17">
            <v>28.977999999999994</v>
          </cell>
          <cell r="L17">
            <v>8693.3999999999978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60293.399999999994</v>
          </cell>
          <cell r="V17">
            <v>0</v>
          </cell>
          <cell r="W17">
            <v>0</v>
          </cell>
        </row>
        <row r="18">
          <cell r="E18">
            <v>251</v>
          </cell>
          <cell r="G18">
            <v>15813</v>
          </cell>
          <cell r="J18">
            <v>64.590000000000018</v>
          </cell>
          <cell r="L18">
            <v>19377.000000000004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74190</v>
          </cell>
          <cell r="V18">
            <v>0</v>
          </cell>
          <cell r="W18">
            <v>0</v>
          </cell>
        </row>
        <row r="19">
          <cell r="E19">
            <v>45</v>
          </cell>
          <cell r="G19">
            <v>2835</v>
          </cell>
          <cell r="J19">
            <v>53.399999999999977</v>
          </cell>
          <cell r="L19">
            <v>16019.999999999993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57854.999999999993</v>
          </cell>
          <cell r="V19">
            <v>0</v>
          </cell>
          <cell r="W19">
            <v>0</v>
          </cell>
        </row>
        <row r="20">
          <cell r="E20">
            <v>35</v>
          </cell>
          <cell r="G20">
            <v>2205</v>
          </cell>
          <cell r="J20">
            <v>36.400000000000034</v>
          </cell>
          <cell r="L20">
            <v>10920.000000000011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52125.000000000015</v>
          </cell>
          <cell r="V20">
            <v>0</v>
          </cell>
          <cell r="W20">
            <v>0</v>
          </cell>
        </row>
        <row r="21">
          <cell r="E21">
            <v>59</v>
          </cell>
          <cell r="G21">
            <v>3717</v>
          </cell>
          <cell r="J21">
            <v>31.099999999999966</v>
          </cell>
          <cell r="L21">
            <v>9329.9999999999891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52046.999999999985</v>
          </cell>
          <cell r="V21">
            <v>0</v>
          </cell>
          <cell r="W21">
            <v>0</v>
          </cell>
        </row>
        <row r="22">
          <cell r="E22">
            <v>58</v>
          </cell>
          <cell r="G22">
            <v>3654</v>
          </cell>
          <cell r="J22">
            <v>9.4000000000000341</v>
          </cell>
          <cell r="L22">
            <v>3384.0000000000123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46038.000000000015</v>
          </cell>
          <cell r="V22">
            <v>0</v>
          </cell>
          <cell r="W22">
            <v>0</v>
          </cell>
        </row>
        <row r="23">
          <cell r="E23">
            <v>84</v>
          </cell>
          <cell r="G23">
            <v>5292</v>
          </cell>
          <cell r="J23">
            <v>11.799999999999955</v>
          </cell>
          <cell r="L23">
            <v>4247.9999999999836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48539.999999999985</v>
          </cell>
          <cell r="V23">
            <v>0</v>
          </cell>
          <cell r="W23">
            <v>0</v>
          </cell>
        </row>
        <row r="24">
          <cell r="E24">
            <v>118</v>
          </cell>
          <cell r="G24">
            <v>7434</v>
          </cell>
          <cell r="J24">
            <v>7</v>
          </cell>
          <cell r="L24">
            <v>2520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48954</v>
          </cell>
          <cell r="V24">
            <v>0</v>
          </cell>
          <cell r="W24">
            <v>0</v>
          </cell>
        </row>
        <row r="25">
          <cell r="E25">
            <v>248</v>
          </cell>
          <cell r="G25">
            <v>15624</v>
          </cell>
          <cell r="J25">
            <v>14.100000000000023</v>
          </cell>
          <cell r="L25">
            <v>5076.0000000000082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59700.000000000007</v>
          </cell>
          <cell r="V25">
            <v>0</v>
          </cell>
          <cell r="W25">
            <v>0</v>
          </cell>
        </row>
        <row r="26">
          <cell r="E26">
            <v>305</v>
          </cell>
          <cell r="G26">
            <v>19215</v>
          </cell>
          <cell r="J26">
            <v>19.5</v>
          </cell>
          <cell r="L26">
            <v>7020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65235</v>
          </cell>
          <cell r="V26">
            <v>65235</v>
          </cell>
          <cell r="W26">
            <v>0</v>
          </cell>
        </row>
        <row r="27">
          <cell r="E27">
            <v>279</v>
          </cell>
          <cell r="G27">
            <v>17577</v>
          </cell>
          <cell r="J27">
            <v>97</v>
          </cell>
          <cell r="L27">
            <v>34920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91497</v>
          </cell>
          <cell r="V27">
            <v>0</v>
          </cell>
          <cell r="W27">
            <v>91497</v>
          </cell>
        </row>
        <row r="28">
          <cell r="E28">
            <v>180</v>
          </cell>
          <cell r="G28">
            <v>11340</v>
          </cell>
          <cell r="J28">
            <v>63.100000000000023</v>
          </cell>
          <cell r="L28">
            <v>22716.000000000007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73056</v>
          </cell>
          <cell r="V28">
            <v>91497</v>
          </cell>
          <cell r="W28">
            <v>73056</v>
          </cell>
        </row>
        <row r="29">
          <cell r="E29">
            <v>244</v>
          </cell>
          <cell r="G29">
            <v>15372</v>
          </cell>
          <cell r="J29">
            <v>97.299999999999955</v>
          </cell>
          <cell r="L29">
            <v>35027.999999999985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89399.999999999985</v>
          </cell>
          <cell r="V29">
            <v>0</v>
          </cell>
          <cell r="W29">
            <v>162456</v>
          </cell>
        </row>
        <row r="30">
          <cell r="E30">
            <v>168</v>
          </cell>
          <cell r="G30">
            <v>10584</v>
          </cell>
          <cell r="J30">
            <v>88.399999999999977</v>
          </cell>
          <cell r="L30">
            <v>31823.999999999993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81408</v>
          </cell>
          <cell r="V30">
            <v>0</v>
          </cell>
          <cell r="W30">
            <v>243864</v>
          </cell>
        </row>
        <row r="31">
          <cell r="E31">
            <v>229</v>
          </cell>
          <cell r="G31">
            <v>14427</v>
          </cell>
          <cell r="J31">
            <v>136.20000000000005</v>
          </cell>
          <cell r="L31">
            <v>49032.000000000015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102459.00000000001</v>
          </cell>
          <cell r="V31">
            <v>0</v>
          </cell>
          <cell r="W31">
            <v>389323</v>
          </cell>
        </row>
        <row r="32">
          <cell r="E32">
            <v>362</v>
          </cell>
          <cell r="G32">
            <v>22806</v>
          </cell>
          <cell r="J32">
            <v>158</v>
          </cell>
          <cell r="L32">
            <v>56880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122686</v>
          </cell>
          <cell r="V32">
            <v>0</v>
          </cell>
          <cell r="W32">
            <v>512009</v>
          </cell>
        </row>
        <row r="33">
          <cell r="E33">
            <v>262</v>
          </cell>
          <cell r="G33">
            <v>16506</v>
          </cell>
          <cell r="J33">
            <v>82</v>
          </cell>
          <cell r="L33">
            <v>29520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89026</v>
          </cell>
          <cell r="V33">
            <v>0</v>
          </cell>
          <cell r="W33">
            <v>601035</v>
          </cell>
        </row>
        <row r="34">
          <cell r="E34">
            <v>318</v>
          </cell>
          <cell r="G34">
            <v>20034</v>
          </cell>
          <cell r="J34">
            <v>67</v>
          </cell>
          <cell r="L34">
            <v>24120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87154</v>
          </cell>
          <cell r="V34">
            <v>601035</v>
          </cell>
          <cell r="W34">
            <v>87154</v>
          </cell>
        </row>
        <row r="35">
          <cell r="E35">
            <v>204</v>
          </cell>
          <cell r="G35">
            <v>12852</v>
          </cell>
          <cell r="J35">
            <v>15</v>
          </cell>
          <cell r="L35">
            <v>5400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61252</v>
          </cell>
          <cell r="V35">
            <v>87154</v>
          </cell>
          <cell r="W35">
            <v>57252</v>
          </cell>
        </row>
        <row r="36">
          <cell r="E36">
            <v>163</v>
          </cell>
          <cell r="G36">
            <v>10269</v>
          </cell>
          <cell r="J36">
            <v>1</v>
          </cell>
          <cell r="L36">
            <v>360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49629</v>
          </cell>
          <cell r="V36">
            <v>61252</v>
          </cell>
          <cell r="W36">
            <v>45629</v>
          </cell>
        </row>
        <row r="37">
          <cell r="E37">
            <v>201</v>
          </cell>
          <cell r="G37">
            <v>12663</v>
          </cell>
          <cell r="J37">
            <v>5.7000000000000455</v>
          </cell>
          <cell r="L37">
            <v>2052.0000000000164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53715.000000000015</v>
          </cell>
          <cell r="V37">
            <v>53629</v>
          </cell>
          <cell r="W37">
            <v>45715.000000000015</v>
          </cell>
        </row>
        <row r="38">
          <cell r="E38">
            <v>238</v>
          </cell>
          <cell r="G38">
            <v>14994</v>
          </cell>
          <cell r="J38">
            <v>5.2999999999999545</v>
          </cell>
          <cell r="L38">
            <v>1907.9999999999836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55901.999999999985</v>
          </cell>
          <cell r="V38">
            <v>57715</v>
          </cell>
          <cell r="W38">
            <v>43902</v>
          </cell>
        </row>
        <row r="39">
          <cell r="E39">
            <v>258</v>
          </cell>
          <cell r="G39">
            <v>16254</v>
          </cell>
          <cell r="J39">
            <v>21</v>
          </cell>
          <cell r="L39">
            <v>7560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62814</v>
          </cell>
          <cell r="V39">
            <v>59902</v>
          </cell>
          <cell r="W39">
            <v>46814</v>
          </cell>
        </row>
        <row r="40">
          <cell r="E40">
            <v>214</v>
          </cell>
          <cell r="G40">
            <v>13482</v>
          </cell>
          <cell r="J40">
            <v>44</v>
          </cell>
          <cell r="L40">
            <v>15840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68322</v>
          </cell>
          <cell r="V40">
            <v>0</v>
          </cell>
          <cell r="W40">
            <v>115136</v>
          </cell>
        </row>
        <row r="41">
          <cell r="E41">
            <v>186</v>
          </cell>
          <cell r="G41">
            <v>11718</v>
          </cell>
          <cell r="J41">
            <v>62</v>
          </cell>
          <cell r="L41">
            <v>22320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73038</v>
          </cell>
          <cell r="V41">
            <v>139136</v>
          </cell>
          <cell r="W41">
            <v>49038</v>
          </cell>
        </row>
        <row r="42">
          <cell r="E42">
            <v>161</v>
          </cell>
          <cell r="G42">
            <v>10143</v>
          </cell>
          <cell r="J42">
            <v>70</v>
          </cell>
          <cell r="L42">
            <v>25200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74343</v>
          </cell>
          <cell r="V42">
            <v>77038</v>
          </cell>
          <cell r="W42">
            <v>46343</v>
          </cell>
        </row>
        <row r="43">
          <cell r="E43">
            <v>508</v>
          </cell>
          <cell r="G43">
            <v>32004</v>
          </cell>
          <cell r="J43">
            <v>150</v>
          </cell>
          <cell r="L43">
            <v>54000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125004</v>
          </cell>
          <cell r="V43">
            <v>78343</v>
          </cell>
          <cell r="W43">
            <v>93004</v>
          </cell>
        </row>
        <row r="44">
          <cell r="E44">
            <v>464</v>
          </cell>
          <cell r="G44">
            <v>29232</v>
          </cell>
          <cell r="J44">
            <v>153</v>
          </cell>
          <cell r="L44">
            <v>55080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123312</v>
          </cell>
          <cell r="V44">
            <v>129004</v>
          </cell>
          <cell r="W44">
            <v>87312</v>
          </cell>
        </row>
        <row r="45">
          <cell r="E45">
            <v>201</v>
          </cell>
          <cell r="G45">
            <v>12663</v>
          </cell>
          <cell r="J45">
            <v>16</v>
          </cell>
          <cell r="L45">
            <v>5760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57423</v>
          </cell>
          <cell r="V45">
            <v>127312</v>
          </cell>
          <cell r="W45">
            <v>17423</v>
          </cell>
        </row>
        <row r="46">
          <cell r="E46">
            <v>210</v>
          </cell>
          <cell r="G46">
            <v>13230</v>
          </cell>
          <cell r="J46">
            <v>177</v>
          </cell>
          <cell r="L46">
            <v>63720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115950</v>
          </cell>
          <cell r="V46">
            <v>0</v>
          </cell>
          <cell r="W46">
            <v>133373</v>
          </cell>
        </row>
        <row r="47">
          <cell r="E47">
            <v>231</v>
          </cell>
          <cell r="G47">
            <v>14553</v>
          </cell>
          <cell r="J47">
            <v>38</v>
          </cell>
          <cell r="L47">
            <v>13680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67233</v>
          </cell>
          <cell r="V47">
            <v>61423</v>
          </cell>
          <cell r="W47">
            <v>139183</v>
          </cell>
        </row>
        <row r="48">
          <cell r="E48">
            <v>214</v>
          </cell>
          <cell r="G48">
            <v>13482</v>
          </cell>
          <cell r="J48">
            <v>3</v>
          </cell>
          <cell r="L48">
            <v>1080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53562</v>
          </cell>
          <cell r="V48">
            <v>43000</v>
          </cell>
          <cell r="W48">
            <v>149745</v>
          </cell>
        </row>
        <row r="49">
          <cell r="E49">
            <v>174</v>
          </cell>
          <cell r="G49">
            <v>10962</v>
          </cell>
          <cell r="J49">
            <v>2</v>
          </cell>
          <cell r="L49">
            <v>720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50682</v>
          </cell>
          <cell r="V49">
            <v>57562</v>
          </cell>
          <cell r="W49">
            <v>142865</v>
          </cell>
        </row>
        <row r="50">
          <cell r="E50">
            <v>266</v>
          </cell>
          <cell r="G50">
            <v>16758</v>
          </cell>
          <cell r="J50">
            <v>13</v>
          </cell>
          <cell r="L50">
            <v>4680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60438</v>
          </cell>
          <cell r="V50">
            <v>202865</v>
          </cell>
          <cell r="W50">
            <v>438</v>
          </cell>
        </row>
        <row r="51">
          <cell r="E51">
            <v>177</v>
          </cell>
          <cell r="G51">
            <v>11151</v>
          </cell>
          <cell r="J51">
            <v>11</v>
          </cell>
          <cell r="L51">
            <v>3960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54111</v>
          </cell>
          <cell r="V51">
            <v>64438</v>
          </cell>
          <cell r="W51">
            <v>-9889</v>
          </cell>
        </row>
        <row r="52">
          <cell r="E52">
            <v>253</v>
          </cell>
          <cell r="G52">
            <v>15939</v>
          </cell>
          <cell r="J52">
            <v>115</v>
          </cell>
          <cell r="L52">
            <v>41400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96339</v>
          </cell>
          <cell r="V52">
            <v>58111</v>
          </cell>
          <cell r="W52">
            <v>28339</v>
          </cell>
        </row>
        <row r="53">
          <cell r="E53">
            <v>214</v>
          </cell>
          <cell r="G53">
            <v>13482</v>
          </cell>
          <cell r="J53">
            <v>129</v>
          </cell>
          <cell r="L53">
            <v>46440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98922</v>
          </cell>
          <cell r="V53">
            <v>100339</v>
          </cell>
          <cell r="W53">
            <v>26922</v>
          </cell>
        </row>
        <row r="54">
          <cell r="E54">
            <v>155</v>
          </cell>
          <cell r="G54">
            <v>9765</v>
          </cell>
          <cell r="J54">
            <v>67</v>
          </cell>
          <cell r="L54">
            <v>24120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72885</v>
          </cell>
          <cell r="V54">
            <v>102922</v>
          </cell>
          <cell r="W54">
            <v>3885</v>
          </cell>
        </row>
        <row r="55">
          <cell r="E55">
            <v>376</v>
          </cell>
          <cell r="G55">
            <v>23688</v>
          </cell>
          <cell r="J55">
            <v>177</v>
          </cell>
          <cell r="L55">
            <v>63720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133408</v>
          </cell>
          <cell r="V55">
            <v>83885</v>
          </cell>
          <cell r="W55">
            <v>53408</v>
          </cell>
        </row>
        <row r="56">
          <cell r="E56">
            <v>256</v>
          </cell>
          <cell r="G56">
            <v>16128</v>
          </cell>
          <cell r="J56">
            <v>126</v>
          </cell>
          <cell r="L56">
            <v>45360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107488</v>
          </cell>
          <cell r="V56">
            <v>0</v>
          </cell>
          <cell r="W56">
            <v>160896</v>
          </cell>
        </row>
        <row r="57">
          <cell r="E57">
            <v>165</v>
          </cell>
          <cell r="G57">
            <v>10395</v>
          </cell>
          <cell r="J57">
            <v>88</v>
          </cell>
          <cell r="L57">
            <v>31680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88075</v>
          </cell>
          <cell r="V57">
            <v>0</v>
          </cell>
          <cell r="W57">
            <v>248971</v>
          </cell>
        </row>
        <row r="58">
          <cell r="E58">
            <v>234</v>
          </cell>
          <cell r="G58">
            <v>14742</v>
          </cell>
          <cell r="J58">
            <v>138</v>
          </cell>
          <cell r="L58">
            <v>49680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110422</v>
          </cell>
          <cell r="V58">
            <v>248896</v>
          </cell>
          <cell r="W58">
            <v>110497</v>
          </cell>
        </row>
        <row r="59">
          <cell r="E59">
            <v>168</v>
          </cell>
          <cell r="G59">
            <v>10584</v>
          </cell>
          <cell r="J59">
            <v>81</v>
          </cell>
          <cell r="L59">
            <v>29160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85744</v>
          </cell>
          <cell r="V59">
            <v>206497</v>
          </cell>
          <cell r="W59">
            <v>-10256</v>
          </cell>
        </row>
        <row r="60">
          <cell r="E60">
            <v>188</v>
          </cell>
          <cell r="G60">
            <v>11844</v>
          </cell>
          <cell r="J60">
            <v>7</v>
          </cell>
          <cell r="L60">
            <v>2520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60364</v>
          </cell>
          <cell r="V60">
            <v>89744</v>
          </cell>
          <cell r="W60">
            <v>-39636</v>
          </cell>
        </row>
        <row r="61">
          <cell r="E61">
            <v>175</v>
          </cell>
          <cell r="G61">
            <v>11025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57385</v>
          </cell>
          <cell r="V61">
            <v>64364</v>
          </cell>
          <cell r="W61">
            <v>-46615</v>
          </cell>
        </row>
        <row r="62">
          <cell r="E62">
            <v>173</v>
          </cell>
          <cell r="G62">
            <v>10899</v>
          </cell>
          <cell r="J62">
            <v>4</v>
          </cell>
          <cell r="L62">
            <v>1440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58339</v>
          </cell>
          <cell r="V62">
            <v>61385</v>
          </cell>
          <cell r="W62">
            <v>-49661</v>
          </cell>
        </row>
        <row r="63">
          <cell r="E63">
            <v>224</v>
          </cell>
          <cell r="G63">
            <v>14112</v>
          </cell>
          <cell r="J63">
            <v>29</v>
          </cell>
          <cell r="L63">
            <v>10440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70552</v>
          </cell>
          <cell r="V63">
            <v>62339</v>
          </cell>
          <cell r="W63">
            <v>-41448</v>
          </cell>
        </row>
        <row r="64">
          <cell r="E64">
            <v>169</v>
          </cell>
          <cell r="G64">
            <v>13351</v>
          </cell>
          <cell r="J64">
            <v>44</v>
          </cell>
          <cell r="L64">
            <v>15840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75191</v>
          </cell>
          <cell r="V64">
            <v>0</v>
          </cell>
          <cell r="W64">
            <v>33743</v>
          </cell>
        </row>
        <row r="65">
          <cell r="E65">
            <v>199</v>
          </cell>
          <cell r="G65">
            <v>15721</v>
          </cell>
          <cell r="J65">
            <v>169</v>
          </cell>
          <cell r="L65">
            <v>60840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122561</v>
          </cell>
          <cell r="V65">
            <v>0</v>
          </cell>
          <cell r="W65">
            <v>156304</v>
          </cell>
        </row>
        <row r="66">
          <cell r="E66">
            <v>160</v>
          </cell>
          <cell r="G66">
            <v>12640</v>
          </cell>
          <cell r="J66">
            <v>102</v>
          </cell>
          <cell r="L66">
            <v>36720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95360</v>
          </cell>
          <cell r="V66">
            <v>280304</v>
          </cell>
          <cell r="W66">
            <v>-28640</v>
          </cell>
        </row>
        <row r="67">
          <cell r="E67">
            <v>335</v>
          </cell>
          <cell r="G67">
            <v>29145</v>
          </cell>
          <cell r="J67">
            <v>216</v>
          </cell>
          <cell r="L67">
            <v>77760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152905</v>
          </cell>
          <cell r="V67">
            <v>99360</v>
          </cell>
          <cell r="W67">
            <v>24905</v>
          </cell>
        </row>
        <row r="68">
          <cell r="E68">
            <v>118</v>
          </cell>
          <cell r="G68">
            <v>10266</v>
          </cell>
          <cell r="J68">
            <v>79</v>
          </cell>
          <cell r="L68">
            <v>28440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84706</v>
          </cell>
          <cell r="V68">
            <v>156905</v>
          </cell>
          <cell r="W68">
            <v>-47294</v>
          </cell>
        </row>
        <row r="69">
          <cell r="E69">
            <v>187</v>
          </cell>
          <cell r="G69">
            <v>20757</v>
          </cell>
          <cell r="J69">
            <v>102</v>
          </cell>
          <cell r="L69">
            <v>36720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103477</v>
          </cell>
          <cell r="V69">
            <v>88706</v>
          </cell>
          <cell r="W69">
            <v>-32523</v>
          </cell>
        </row>
        <row r="70">
          <cell r="E70">
            <v>283</v>
          </cell>
          <cell r="G70">
            <v>35092</v>
          </cell>
          <cell r="J70">
            <v>134</v>
          </cell>
          <cell r="L70">
            <v>48240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129332</v>
          </cell>
          <cell r="V70">
            <v>0</v>
          </cell>
          <cell r="W70">
            <v>96809</v>
          </cell>
        </row>
        <row r="71">
          <cell r="E71">
            <v>165</v>
          </cell>
          <cell r="G71">
            <v>16170</v>
          </cell>
          <cell r="J71">
            <v>12</v>
          </cell>
          <cell r="L71">
            <v>4320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66490</v>
          </cell>
          <cell r="V71">
            <v>240809</v>
          </cell>
          <cell r="W71">
            <v>-77510</v>
          </cell>
        </row>
        <row r="72">
          <cell r="E72">
            <v>171</v>
          </cell>
          <cell r="G72">
            <v>17784</v>
          </cell>
          <cell r="J72">
            <v>1</v>
          </cell>
          <cell r="L72">
            <v>360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64144</v>
          </cell>
          <cell r="V72">
            <v>0</v>
          </cell>
          <cell r="W72">
            <v>-13366</v>
          </cell>
        </row>
        <row r="73">
          <cell r="E73">
            <v>177</v>
          </cell>
          <cell r="G73">
            <v>19824</v>
          </cell>
          <cell r="J73">
            <v>1</v>
          </cell>
          <cell r="L73">
            <v>360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66184</v>
          </cell>
          <cell r="V73">
            <v>138634</v>
          </cell>
          <cell r="W73">
            <v>-85816</v>
          </cell>
        </row>
        <row r="74">
          <cell r="E74">
            <v>185</v>
          </cell>
          <cell r="G74">
            <v>19795</v>
          </cell>
          <cell r="J74">
            <v>7</v>
          </cell>
          <cell r="L74">
            <v>2520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68315</v>
          </cell>
          <cell r="V74">
            <v>70184</v>
          </cell>
          <cell r="W74">
            <v>-87685</v>
          </cell>
        </row>
        <row r="75">
          <cell r="E75">
            <v>218</v>
          </cell>
          <cell r="G75">
            <v>23980</v>
          </cell>
          <cell r="J75">
            <v>25</v>
          </cell>
          <cell r="L75">
            <v>9000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78980</v>
          </cell>
          <cell r="V75">
            <v>72315</v>
          </cell>
          <cell r="W75">
            <v>-81020</v>
          </cell>
        </row>
        <row r="76">
          <cell r="E76">
            <v>231</v>
          </cell>
          <cell r="G76">
            <v>29106</v>
          </cell>
          <cell r="J76">
            <v>180</v>
          </cell>
          <cell r="L76">
            <v>64800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139906</v>
          </cell>
          <cell r="V76">
            <v>82980</v>
          </cell>
          <cell r="W76">
            <v>-24094</v>
          </cell>
        </row>
        <row r="77">
          <cell r="E77">
            <v>203</v>
          </cell>
          <cell r="G77">
            <v>24157</v>
          </cell>
          <cell r="J77">
            <v>51</v>
          </cell>
          <cell r="L77">
            <v>18360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88517</v>
          </cell>
          <cell r="V77">
            <v>143906</v>
          </cell>
          <cell r="W77">
            <v>-79483</v>
          </cell>
        </row>
        <row r="78">
          <cell r="E78">
            <v>451</v>
          </cell>
          <cell r="G78">
            <v>48708</v>
          </cell>
          <cell r="J78">
            <v>255</v>
          </cell>
          <cell r="L78">
            <v>91800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186508</v>
          </cell>
          <cell r="V78">
            <v>92517</v>
          </cell>
          <cell r="W78">
            <v>14508</v>
          </cell>
        </row>
        <row r="79">
          <cell r="E79">
            <v>211</v>
          </cell>
          <cell r="G79">
            <v>26164</v>
          </cell>
          <cell r="J79">
            <v>145</v>
          </cell>
          <cell r="L79">
            <v>52200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124364</v>
          </cell>
          <cell r="V79">
            <v>190508</v>
          </cell>
          <cell r="W79">
            <v>-51636</v>
          </cell>
        </row>
        <row r="80">
          <cell r="E80">
            <v>322</v>
          </cell>
          <cell r="G80">
            <v>41860</v>
          </cell>
          <cell r="J80">
            <v>154</v>
          </cell>
          <cell r="L80">
            <v>55440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143300</v>
          </cell>
          <cell r="V80">
            <v>128364</v>
          </cell>
          <cell r="W80">
            <v>-36700</v>
          </cell>
        </row>
        <row r="81">
          <cell r="E81">
            <v>248</v>
          </cell>
          <cell r="G81">
            <v>32240</v>
          </cell>
          <cell r="J81">
            <v>132</v>
          </cell>
          <cell r="L81">
            <v>47520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125760</v>
          </cell>
          <cell r="V81">
            <v>147300</v>
          </cell>
          <cell r="W81">
            <v>-58240</v>
          </cell>
        </row>
        <row r="82">
          <cell r="E82">
            <v>225</v>
          </cell>
          <cell r="G82">
            <v>31500</v>
          </cell>
          <cell r="J82">
            <v>75</v>
          </cell>
          <cell r="L82">
            <v>27000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104500</v>
          </cell>
          <cell r="V82">
            <v>46260</v>
          </cell>
          <cell r="W82">
            <v>0</v>
          </cell>
        </row>
        <row r="83">
          <cell r="E83">
            <v>146</v>
          </cell>
          <cell r="G83">
            <v>21316</v>
          </cell>
          <cell r="J83">
            <v>31</v>
          </cell>
          <cell r="L83">
            <v>11160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78476</v>
          </cell>
          <cell r="V83">
            <v>78476</v>
          </cell>
          <cell r="W83">
            <v>0</v>
          </cell>
        </row>
        <row r="84">
          <cell r="E84">
            <v>149</v>
          </cell>
          <cell r="G84">
            <v>21754</v>
          </cell>
          <cell r="J84">
            <v>12</v>
          </cell>
          <cell r="L84">
            <v>4320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72074</v>
          </cell>
          <cell r="V84">
            <v>72074</v>
          </cell>
          <cell r="W84">
            <v>0</v>
          </cell>
        </row>
        <row r="85">
          <cell r="E85">
            <v>120</v>
          </cell>
          <cell r="G85">
            <v>17520</v>
          </cell>
          <cell r="J85">
            <v>1</v>
          </cell>
          <cell r="L85">
            <v>360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63880</v>
          </cell>
          <cell r="V85">
            <v>73880</v>
          </cell>
          <cell r="W85">
            <v>0</v>
          </cell>
        </row>
        <row r="86">
          <cell r="E86">
            <v>150</v>
          </cell>
          <cell r="G86">
            <v>21900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77900</v>
          </cell>
          <cell r="V86">
            <v>67900</v>
          </cell>
          <cell r="W86">
            <v>0</v>
          </cell>
        </row>
        <row r="87">
          <cell r="E87">
            <v>186</v>
          </cell>
          <cell r="G87">
            <v>27156</v>
          </cell>
          <cell r="J87">
            <v>6</v>
          </cell>
          <cell r="L87">
            <v>2160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75316</v>
          </cell>
          <cell r="V87">
            <v>75316</v>
          </cell>
          <cell r="W87">
            <v>0</v>
          </cell>
        </row>
        <row r="88">
          <cell r="E88">
            <v>189</v>
          </cell>
          <cell r="G88">
            <v>27594</v>
          </cell>
          <cell r="J88">
            <v>74</v>
          </cell>
          <cell r="L88">
            <v>26640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100234</v>
          </cell>
          <cell r="V88">
            <v>100234</v>
          </cell>
          <cell r="W88">
            <v>0</v>
          </cell>
        </row>
        <row r="89">
          <cell r="E89">
            <v>183</v>
          </cell>
          <cell r="G89">
            <v>26718</v>
          </cell>
          <cell r="J89">
            <v>95</v>
          </cell>
          <cell r="L89">
            <v>34200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106918</v>
          </cell>
          <cell r="V89">
            <v>106918</v>
          </cell>
          <cell r="W89">
            <v>0</v>
          </cell>
        </row>
        <row r="90">
          <cell r="E90">
            <v>291</v>
          </cell>
          <cell r="G90">
            <v>42486</v>
          </cell>
          <cell r="J90">
            <v>83</v>
          </cell>
          <cell r="L90">
            <v>29880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118366</v>
          </cell>
          <cell r="V90">
            <v>118366</v>
          </cell>
          <cell r="W90">
            <v>0</v>
          </cell>
        </row>
        <row r="91">
          <cell r="E91">
            <v>386</v>
          </cell>
          <cell r="G91">
            <v>56356</v>
          </cell>
          <cell r="J91">
            <v>110</v>
          </cell>
          <cell r="L91">
            <v>39600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150956</v>
          </cell>
          <cell r="V91">
            <v>239000</v>
          </cell>
          <cell r="W91">
            <v>-78044</v>
          </cell>
        </row>
        <row r="92">
          <cell r="E92">
            <v>330</v>
          </cell>
          <cell r="G92">
            <v>48180</v>
          </cell>
          <cell r="J92">
            <v>110</v>
          </cell>
          <cell r="L92">
            <v>39600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142780</v>
          </cell>
          <cell r="V92">
            <v>74736</v>
          </cell>
          <cell r="W92">
            <v>0</v>
          </cell>
        </row>
        <row r="93">
          <cell r="E93">
            <v>197</v>
          </cell>
          <cell r="G93">
            <v>28762</v>
          </cell>
          <cell r="J93">
            <v>93</v>
          </cell>
          <cell r="L93">
            <v>33480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117242</v>
          </cell>
          <cell r="V93">
            <v>127242</v>
          </cell>
          <cell r="W93">
            <v>0</v>
          </cell>
        </row>
        <row r="94">
          <cell r="E94">
            <v>219</v>
          </cell>
          <cell r="G94">
            <v>31974</v>
          </cell>
          <cell r="J94">
            <v>118</v>
          </cell>
          <cell r="L94">
            <v>42480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129454</v>
          </cell>
          <cell r="V94">
            <v>139454</v>
          </cell>
          <cell r="W94">
            <v>0</v>
          </cell>
        </row>
        <row r="95">
          <cell r="E95">
            <v>170</v>
          </cell>
          <cell r="G95">
            <v>24820</v>
          </cell>
          <cell r="J95">
            <v>42</v>
          </cell>
          <cell r="L95">
            <v>15120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94940</v>
          </cell>
          <cell r="V95">
            <v>104940</v>
          </cell>
          <cell r="W95">
            <v>0</v>
          </cell>
        </row>
        <row r="96">
          <cell r="E96">
            <v>166</v>
          </cell>
          <cell r="G96">
            <v>24236</v>
          </cell>
          <cell r="J96">
            <v>1</v>
          </cell>
          <cell r="L96">
            <v>360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79596</v>
          </cell>
          <cell r="V96">
            <v>79596</v>
          </cell>
          <cell r="W96">
            <v>0</v>
          </cell>
        </row>
        <row r="97">
          <cell r="E97">
            <v>201</v>
          </cell>
          <cell r="G97">
            <v>29346</v>
          </cell>
          <cell r="J97">
            <v>3</v>
          </cell>
          <cell r="L97">
            <v>1080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85426</v>
          </cell>
          <cell r="V97">
            <v>85426</v>
          </cell>
          <cell r="W97">
            <v>0</v>
          </cell>
        </row>
        <row r="98">
          <cell r="E98">
            <v>172</v>
          </cell>
          <cell r="G98">
            <v>25112</v>
          </cell>
          <cell r="J98">
            <v>26</v>
          </cell>
          <cell r="L98">
            <v>9360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89472</v>
          </cell>
          <cell r="V98">
            <v>89472</v>
          </cell>
          <cell r="W98">
            <v>0</v>
          </cell>
        </row>
        <row r="99">
          <cell r="E99">
            <v>242</v>
          </cell>
          <cell r="G99">
            <v>35332</v>
          </cell>
          <cell r="J99">
            <v>58</v>
          </cell>
          <cell r="L99">
            <v>20880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111212</v>
          </cell>
          <cell r="V99">
            <v>111212</v>
          </cell>
          <cell r="W99">
            <v>0</v>
          </cell>
        </row>
        <row r="100">
          <cell r="E100">
            <v>204</v>
          </cell>
          <cell r="G100">
            <v>29784</v>
          </cell>
          <cell r="J100">
            <v>94</v>
          </cell>
          <cell r="L100">
            <v>33840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118624</v>
          </cell>
          <cell r="V100">
            <v>118624</v>
          </cell>
          <cell r="W100">
            <v>0</v>
          </cell>
        </row>
        <row r="101">
          <cell r="E101">
            <v>217</v>
          </cell>
          <cell r="G101">
            <v>31682</v>
          </cell>
          <cell r="J101">
            <v>97</v>
          </cell>
          <cell r="L101">
            <v>34920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121602</v>
          </cell>
          <cell r="V101">
            <v>121602</v>
          </cell>
          <cell r="W101">
            <v>0</v>
          </cell>
        </row>
        <row r="102">
          <cell r="E102">
            <v>192</v>
          </cell>
          <cell r="G102">
            <v>28032</v>
          </cell>
          <cell r="J102">
            <v>152</v>
          </cell>
          <cell r="L102">
            <v>55080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138112</v>
          </cell>
          <cell r="V102">
            <v>138112</v>
          </cell>
          <cell r="W102">
            <v>0</v>
          </cell>
        </row>
        <row r="103">
          <cell r="E103">
            <v>252</v>
          </cell>
          <cell r="G103">
            <v>36792</v>
          </cell>
          <cell r="J103">
            <v>127</v>
          </cell>
          <cell r="L103">
            <v>45720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139162</v>
          </cell>
          <cell r="V103">
            <v>0</v>
          </cell>
          <cell r="W103">
            <v>139162</v>
          </cell>
        </row>
        <row r="104">
          <cell r="E104">
            <v>259</v>
          </cell>
          <cell r="G104">
            <v>37814</v>
          </cell>
          <cell r="J104">
            <v>115</v>
          </cell>
          <cell r="L104">
            <v>41400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135864</v>
          </cell>
          <cell r="V104">
            <v>275026</v>
          </cell>
          <cell r="W104">
            <v>0</v>
          </cell>
        </row>
        <row r="105">
          <cell r="E105">
            <v>201</v>
          </cell>
          <cell r="G105">
            <v>29346</v>
          </cell>
          <cell r="J105">
            <v>91</v>
          </cell>
          <cell r="L105">
            <v>32760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118756</v>
          </cell>
          <cell r="V105">
            <v>118756</v>
          </cell>
          <cell r="W105">
            <v>0</v>
          </cell>
        </row>
        <row r="106">
          <cell r="E106">
            <v>298</v>
          </cell>
          <cell r="G106">
            <v>43508</v>
          </cell>
          <cell r="J106">
            <v>151</v>
          </cell>
          <cell r="L106">
            <v>54360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154518</v>
          </cell>
          <cell r="V106">
            <v>154518</v>
          </cell>
          <cell r="W106">
            <v>0</v>
          </cell>
        </row>
        <row r="107">
          <cell r="E107">
            <v>242</v>
          </cell>
          <cell r="G107">
            <v>35332</v>
          </cell>
          <cell r="J107">
            <v>94</v>
          </cell>
          <cell r="L107">
            <v>33840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125822</v>
          </cell>
          <cell r="V107">
            <v>125822</v>
          </cell>
          <cell r="W107">
            <v>0</v>
          </cell>
        </row>
        <row r="108">
          <cell r="E108">
            <v>251</v>
          </cell>
          <cell r="G108">
            <v>36646</v>
          </cell>
          <cell r="J108">
            <v>68</v>
          </cell>
          <cell r="L108">
            <v>24480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117776</v>
          </cell>
          <cell r="V108">
            <v>0</v>
          </cell>
          <cell r="W108">
            <v>117776</v>
          </cell>
        </row>
        <row r="109">
          <cell r="E109">
            <v>310</v>
          </cell>
          <cell r="G109">
            <v>45260</v>
          </cell>
          <cell r="J109">
            <v>39</v>
          </cell>
          <cell r="L109">
            <v>14040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115950</v>
          </cell>
          <cell r="V109">
            <v>233726</v>
          </cell>
          <cell r="W109">
            <v>0</v>
          </cell>
        </row>
        <row r="110">
          <cell r="E110">
            <v>205</v>
          </cell>
          <cell r="G110">
            <v>29930</v>
          </cell>
          <cell r="J110">
            <v>21</v>
          </cell>
          <cell r="L110">
            <v>7560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94140</v>
          </cell>
          <cell r="V110">
            <v>94140</v>
          </cell>
          <cell r="W110">
            <v>0</v>
          </cell>
        </row>
        <row r="111">
          <cell r="E111">
            <v>233</v>
          </cell>
          <cell r="G111">
            <v>34018</v>
          </cell>
          <cell r="J111">
            <v>55</v>
          </cell>
          <cell r="L111">
            <v>19800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110468</v>
          </cell>
          <cell r="V111">
            <v>0</v>
          </cell>
          <cell r="W111">
            <v>110468</v>
          </cell>
        </row>
        <row r="112">
          <cell r="E112">
            <v>239</v>
          </cell>
          <cell r="G112">
            <v>34894</v>
          </cell>
          <cell r="J112">
            <v>97</v>
          </cell>
          <cell r="L112">
            <v>34920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126464</v>
          </cell>
          <cell r="V112">
            <v>236932</v>
          </cell>
          <cell r="W112">
            <v>0</v>
          </cell>
        </row>
        <row r="113">
          <cell r="E113">
            <v>258</v>
          </cell>
          <cell r="G113">
            <v>37668</v>
          </cell>
          <cell r="J113">
            <v>138</v>
          </cell>
          <cell r="L113">
            <v>49680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143998</v>
          </cell>
          <cell r="V113">
            <v>0</v>
          </cell>
          <cell r="W113">
            <v>143998</v>
          </cell>
        </row>
        <row r="114">
          <cell r="E114">
            <v>378</v>
          </cell>
          <cell r="G114">
            <v>55188</v>
          </cell>
          <cell r="J114">
            <v>191</v>
          </cell>
          <cell r="L114">
            <v>76140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187978</v>
          </cell>
          <cell r="V114">
            <v>331976</v>
          </cell>
          <cell r="W114">
            <v>0</v>
          </cell>
        </row>
        <row r="115">
          <cell r="E115">
            <v>334</v>
          </cell>
          <cell r="G115">
            <v>48764</v>
          </cell>
          <cell r="J115">
            <v>246</v>
          </cell>
          <cell r="L115">
            <v>114120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221743</v>
          </cell>
          <cell r="V115">
            <v>0</v>
          </cell>
          <cell r="W115">
            <v>221743</v>
          </cell>
        </row>
        <row r="116">
          <cell r="E116">
            <v>326</v>
          </cell>
          <cell r="G116">
            <v>47596</v>
          </cell>
          <cell r="J116">
            <v>176</v>
          </cell>
          <cell r="L116">
            <v>68040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174495</v>
          </cell>
          <cell r="V116">
            <v>396238</v>
          </cell>
          <cell r="W116">
            <v>0</v>
          </cell>
        </row>
        <row r="117">
          <cell r="E117">
            <v>364</v>
          </cell>
          <cell r="G117">
            <v>53144</v>
          </cell>
          <cell r="J117">
            <v>187</v>
          </cell>
          <cell r="L117">
            <v>73980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185983</v>
          </cell>
          <cell r="V117">
            <v>0</v>
          </cell>
          <cell r="W117">
            <v>185983</v>
          </cell>
        </row>
        <row r="118">
          <cell r="E118">
            <v>249</v>
          </cell>
          <cell r="G118">
            <v>36354</v>
          </cell>
          <cell r="J118">
            <v>146</v>
          </cell>
          <cell r="L118">
            <v>52560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147773</v>
          </cell>
          <cell r="V118">
            <v>333756</v>
          </cell>
          <cell r="W118">
            <v>0</v>
          </cell>
        </row>
        <row r="119">
          <cell r="E119">
            <v>206</v>
          </cell>
          <cell r="G119">
            <v>30076</v>
          </cell>
          <cell r="J119">
            <v>51</v>
          </cell>
          <cell r="L119">
            <v>18360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107295</v>
          </cell>
          <cell r="V119">
            <v>0</v>
          </cell>
          <cell r="W119">
            <v>107295</v>
          </cell>
        </row>
        <row r="120">
          <cell r="E120">
            <v>166</v>
          </cell>
          <cell r="G120">
            <v>24236</v>
          </cell>
          <cell r="J120">
            <v>16</v>
          </cell>
          <cell r="L120">
            <v>5760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19615</v>
          </cell>
          <cell r="S120">
            <v>88855</v>
          </cell>
          <cell r="V120">
            <v>0</v>
          </cell>
          <cell r="W120">
            <v>215765</v>
          </cell>
        </row>
        <row r="121">
          <cell r="E121">
            <v>186</v>
          </cell>
          <cell r="G121">
            <v>27156</v>
          </cell>
          <cell r="J121">
            <v>15</v>
          </cell>
          <cell r="L121">
            <v>5400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91415</v>
          </cell>
          <cell r="V121">
            <v>307180</v>
          </cell>
          <cell r="W121">
            <v>0</v>
          </cell>
        </row>
        <row r="122">
          <cell r="E122">
            <v>194</v>
          </cell>
          <cell r="G122">
            <v>28324</v>
          </cell>
          <cell r="J122">
            <v>25</v>
          </cell>
          <cell r="L122">
            <v>9000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96183</v>
          </cell>
          <cell r="V122">
            <v>96183</v>
          </cell>
          <cell r="W122">
            <v>0</v>
          </cell>
        </row>
        <row r="123">
          <cell r="E123">
            <v>171</v>
          </cell>
          <cell r="G123">
            <v>24966</v>
          </cell>
          <cell r="J123">
            <v>63</v>
          </cell>
          <cell r="L123">
            <v>22680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106505</v>
          </cell>
          <cell r="V123">
            <v>106505</v>
          </cell>
          <cell r="W123">
            <v>0</v>
          </cell>
        </row>
        <row r="124">
          <cell r="E124">
            <v>184</v>
          </cell>
          <cell r="G124">
            <v>26864</v>
          </cell>
          <cell r="J124">
            <v>122</v>
          </cell>
          <cell r="L124">
            <v>43920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129643</v>
          </cell>
          <cell r="V124">
            <v>0</v>
          </cell>
          <cell r="W124">
            <v>129643</v>
          </cell>
        </row>
        <row r="125">
          <cell r="E125">
            <v>181</v>
          </cell>
          <cell r="G125">
            <v>26426</v>
          </cell>
          <cell r="J125">
            <v>90</v>
          </cell>
          <cell r="L125">
            <v>32400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117685</v>
          </cell>
          <cell r="V125">
            <v>247328</v>
          </cell>
          <cell r="W125">
            <v>0</v>
          </cell>
        </row>
        <row r="126">
          <cell r="E126">
            <v>151</v>
          </cell>
          <cell r="G126">
            <v>22046</v>
          </cell>
          <cell r="J126">
            <v>136</v>
          </cell>
          <cell r="L126">
            <v>48960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129865</v>
          </cell>
          <cell r="V126">
            <v>129865</v>
          </cell>
          <cell r="W126">
            <v>0</v>
          </cell>
        </row>
        <row r="127">
          <cell r="E127">
            <v>398</v>
          </cell>
          <cell r="G127">
            <v>58108</v>
          </cell>
          <cell r="J127">
            <v>213</v>
          </cell>
          <cell r="L127">
            <v>90360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208202</v>
          </cell>
          <cell r="V127">
            <v>0</v>
          </cell>
          <cell r="W127">
            <v>208202</v>
          </cell>
        </row>
        <row r="128">
          <cell r="E128">
            <v>485</v>
          </cell>
          <cell r="G128">
            <v>70810</v>
          </cell>
          <cell r="J128">
            <v>161</v>
          </cell>
          <cell r="L128">
            <v>59940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190484</v>
          </cell>
          <cell r="V128">
            <v>410974</v>
          </cell>
          <cell r="W128">
            <v>0</v>
          </cell>
        </row>
        <row r="129">
          <cell r="E129">
            <v>280</v>
          </cell>
          <cell r="G129">
            <v>40880</v>
          </cell>
          <cell r="J129">
            <v>169</v>
          </cell>
          <cell r="L129">
            <v>64260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164874</v>
          </cell>
          <cell r="V129">
            <v>0</v>
          </cell>
          <cell r="W129">
            <v>164874</v>
          </cell>
        </row>
        <row r="130">
          <cell r="E130">
            <v>266</v>
          </cell>
          <cell r="G130">
            <v>38836</v>
          </cell>
          <cell r="J130">
            <v>158</v>
          </cell>
          <cell r="L130">
            <v>58320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156890</v>
          </cell>
          <cell r="V130">
            <v>0</v>
          </cell>
          <cell r="W130">
            <v>321764</v>
          </cell>
        </row>
        <row r="131">
          <cell r="E131">
            <v>217</v>
          </cell>
          <cell r="G131">
            <v>31682</v>
          </cell>
          <cell r="J131">
            <v>51</v>
          </cell>
          <cell r="L131">
            <v>18360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109776</v>
          </cell>
          <cell r="V131">
            <v>431540</v>
          </cell>
          <cell r="W131">
            <v>0</v>
          </cell>
        </row>
        <row r="132">
          <cell r="E132">
            <v>182</v>
          </cell>
          <cell r="G132">
            <v>26572</v>
          </cell>
          <cell r="J132">
            <v>16</v>
          </cell>
          <cell r="L132">
            <v>5760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92066</v>
          </cell>
          <cell r="V132">
            <v>0</v>
          </cell>
          <cell r="W132">
            <v>92066</v>
          </cell>
        </row>
        <row r="133">
          <cell r="E133">
            <v>244</v>
          </cell>
          <cell r="G133">
            <v>35624</v>
          </cell>
          <cell r="J133">
            <v>18</v>
          </cell>
          <cell r="L133">
            <v>6480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101838</v>
          </cell>
          <cell r="V133">
            <v>0</v>
          </cell>
          <cell r="W133">
            <v>193904</v>
          </cell>
        </row>
        <row r="134">
          <cell r="E134">
            <v>193</v>
          </cell>
          <cell r="G134">
            <v>28178</v>
          </cell>
          <cell r="J134">
            <v>22</v>
          </cell>
          <cell r="L134">
            <v>7920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95832</v>
          </cell>
          <cell r="V134">
            <v>289736</v>
          </cell>
          <cell r="W134">
            <v>0</v>
          </cell>
        </row>
        <row r="135">
          <cell r="E135">
            <v>200</v>
          </cell>
          <cell r="G135">
            <v>29200</v>
          </cell>
          <cell r="J135">
            <v>49</v>
          </cell>
          <cell r="L135">
            <v>17640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106574</v>
          </cell>
          <cell r="V135">
            <v>106574</v>
          </cell>
          <cell r="W135">
            <v>0</v>
          </cell>
        </row>
        <row r="136">
          <cell r="E136">
            <v>189</v>
          </cell>
          <cell r="G136">
            <v>27594</v>
          </cell>
          <cell r="J136">
            <v>86</v>
          </cell>
          <cell r="L136">
            <v>30960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118288</v>
          </cell>
          <cell r="V136">
            <v>0</v>
          </cell>
          <cell r="W136">
            <v>118288</v>
          </cell>
        </row>
        <row r="137">
          <cell r="E137">
            <v>211</v>
          </cell>
          <cell r="G137">
            <v>30806</v>
          </cell>
          <cell r="J137">
            <v>144</v>
          </cell>
          <cell r="L137">
            <v>51840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142380</v>
          </cell>
          <cell r="V137">
            <v>260668</v>
          </cell>
          <cell r="W137">
            <v>0</v>
          </cell>
        </row>
        <row r="138">
          <cell r="E138">
            <v>250</v>
          </cell>
          <cell r="G138">
            <v>36500</v>
          </cell>
          <cell r="J138">
            <v>249</v>
          </cell>
          <cell r="L138">
            <v>116280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212514</v>
          </cell>
          <cell r="V138">
            <v>0</v>
          </cell>
          <cell r="W138">
            <v>232514</v>
          </cell>
        </row>
        <row r="139">
          <cell r="E139">
            <v>267</v>
          </cell>
          <cell r="G139">
            <v>38982</v>
          </cell>
          <cell r="J139">
            <v>141</v>
          </cell>
          <cell r="L139">
            <v>54540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155058</v>
          </cell>
          <cell r="V139">
            <v>392572</v>
          </cell>
          <cell r="W139">
            <v>0</v>
          </cell>
        </row>
        <row r="140">
          <cell r="E140">
            <v>263</v>
          </cell>
          <cell r="G140">
            <v>38398</v>
          </cell>
          <cell r="J140">
            <v>113</v>
          </cell>
          <cell r="L140">
            <v>40680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140614</v>
          </cell>
          <cell r="V140">
            <v>145614</v>
          </cell>
          <cell r="W140">
            <v>0</v>
          </cell>
        </row>
        <row r="141">
          <cell r="E141">
            <v>264</v>
          </cell>
          <cell r="G141">
            <v>38544</v>
          </cell>
          <cell r="J141">
            <v>163</v>
          </cell>
          <cell r="L141">
            <v>73440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173520</v>
          </cell>
          <cell r="V141">
            <v>0</v>
          </cell>
          <cell r="W141">
            <v>178520</v>
          </cell>
        </row>
        <row r="142">
          <cell r="E142">
            <v>199</v>
          </cell>
          <cell r="G142">
            <v>29054</v>
          </cell>
          <cell r="J142">
            <v>126</v>
          </cell>
          <cell r="L142">
            <v>46440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137030</v>
          </cell>
          <cell r="V142">
            <v>320550</v>
          </cell>
          <cell r="W142">
            <v>0</v>
          </cell>
        </row>
        <row r="143">
          <cell r="E143">
            <v>200</v>
          </cell>
          <cell r="G143">
            <v>29200</v>
          </cell>
          <cell r="J143">
            <v>54</v>
          </cell>
          <cell r="L143">
            <v>19440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110176</v>
          </cell>
          <cell r="V143">
            <v>0</v>
          </cell>
          <cell r="W143">
            <v>115176</v>
          </cell>
        </row>
        <row r="144">
          <cell r="E144">
            <v>174</v>
          </cell>
          <cell r="G144">
            <v>25404</v>
          </cell>
          <cell r="J144">
            <v>20</v>
          </cell>
          <cell r="L144">
            <v>7200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94140</v>
          </cell>
          <cell r="V144">
            <v>224316</v>
          </cell>
          <cell r="W144">
            <v>-10000</v>
          </cell>
        </row>
        <row r="145">
          <cell r="E145">
            <v>186</v>
          </cell>
          <cell r="G145">
            <v>27156</v>
          </cell>
          <cell r="J145">
            <v>17</v>
          </cell>
          <cell r="L145">
            <v>6120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94812</v>
          </cell>
          <cell r="V145">
            <v>0</v>
          </cell>
          <cell r="W145">
            <v>89812</v>
          </cell>
        </row>
        <row r="146">
          <cell r="E146">
            <v>131</v>
          </cell>
          <cell r="G146">
            <v>19126</v>
          </cell>
          <cell r="J146">
            <v>36</v>
          </cell>
          <cell r="L146">
            <v>12960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18843</v>
          </cell>
          <cell r="S146">
            <v>93622</v>
          </cell>
          <cell r="V146">
            <v>0</v>
          </cell>
          <cell r="W146">
            <v>207277</v>
          </cell>
        </row>
        <row r="147">
          <cell r="E147">
            <v>150</v>
          </cell>
          <cell r="G147">
            <v>21900</v>
          </cell>
          <cell r="J147">
            <v>19</v>
          </cell>
          <cell r="L147">
            <v>6840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90276</v>
          </cell>
          <cell r="V147">
            <v>302553</v>
          </cell>
          <cell r="W147">
            <v>0</v>
          </cell>
        </row>
        <row r="148">
          <cell r="E148">
            <v>159</v>
          </cell>
          <cell r="G148">
            <v>23214</v>
          </cell>
          <cell r="J148">
            <v>64</v>
          </cell>
          <cell r="L148">
            <v>23040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107790</v>
          </cell>
          <cell r="V148">
            <v>0</v>
          </cell>
          <cell r="W148">
            <v>161444</v>
          </cell>
        </row>
        <row r="149">
          <cell r="E149">
            <v>238</v>
          </cell>
          <cell r="G149">
            <v>34748</v>
          </cell>
          <cell r="J149">
            <v>108</v>
          </cell>
          <cell r="L149">
            <v>38880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135164</v>
          </cell>
          <cell r="V149">
            <v>350715</v>
          </cell>
          <cell r="W149">
            <v>0</v>
          </cell>
        </row>
        <row r="150">
          <cell r="E150">
            <v>282</v>
          </cell>
          <cell r="G150">
            <v>41172</v>
          </cell>
          <cell r="J150">
            <v>106</v>
          </cell>
          <cell r="L150">
            <v>38160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140868</v>
          </cell>
          <cell r="V150">
            <v>0</v>
          </cell>
          <cell r="W150">
            <v>147868</v>
          </cell>
        </row>
        <row r="151">
          <cell r="E151">
            <v>251</v>
          </cell>
          <cell r="G151">
            <v>36646</v>
          </cell>
          <cell r="J151">
            <v>136</v>
          </cell>
          <cell r="L151">
            <v>51840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152881</v>
          </cell>
          <cell r="V151">
            <v>307749</v>
          </cell>
          <cell r="W151">
            <v>0</v>
          </cell>
        </row>
        <row r="152">
          <cell r="E152">
            <v>260</v>
          </cell>
          <cell r="G152">
            <v>37960</v>
          </cell>
          <cell r="J152">
            <v>157</v>
          </cell>
          <cell r="L152">
            <v>66960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169315</v>
          </cell>
          <cell r="V152">
            <v>0</v>
          </cell>
          <cell r="W152">
            <v>225405</v>
          </cell>
        </row>
        <row r="153">
          <cell r="E153">
            <v>257</v>
          </cell>
          <cell r="G153">
            <v>37522</v>
          </cell>
          <cell r="J153">
            <v>137</v>
          </cell>
          <cell r="L153">
            <v>52380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154297</v>
          </cell>
          <cell r="V153">
            <v>0</v>
          </cell>
          <cell r="W153">
            <v>440907</v>
          </cell>
        </row>
        <row r="154">
          <cell r="E154">
            <v>241</v>
          </cell>
          <cell r="G154">
            <v>35186</v>
          </cell>
          <cell r="J154">
            <v>175</v>
          </cell>
          <cell r="L154">
            <v>86400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185981</v>
          </cell>
          <cell r="V154">
            <v>688356</v>
          </cell>
          <cell r="W154">
            <v>0</v>
          </cell>
        </row>
        <row r="155">
          <cell r="E155">
            <v>128</v>
          </cell>
          <cell r="G155">
            <v>18688</v>
          </cell>
          <cell r="J155">
            <v>43</v>
          </cell>
          <cell r="L155">
            <v>15480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98563</v>
          </cell>
          <cell r="V155">
            <v>0</v>
          </cell>
          <cell r="W155">
            <v>110522</v>
          </cell>
        </row>
        <row r="156">
          <cell r="E156">
            <v>136</v>
          </cell>
          <cell r="G156">
            <v>19856</v>
          </cell>
          <cell r="J156">
            <v>33</v>
          </cell>
          <cell r="L156">
            <v>11880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96131</v>
          </cell>
          <cell r="V156">
            <v>218612</v>
          </cell>
          <cell r="W156">
            <v>0</v>
          </cell>
        </row>
        <row r="157">
          <cell r="E157">
            <v>117</v>
          </cell>
          <cell r="G157">
            <v>17082</v>
          </cell>
          <cell r="J157">
            <v>0</v>
          </cell>
          <cell r="L157">
            <v>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81477</v>
          </cell>
          <cell r="V157">
            <v>0</v>
          </cell>
          <cell r="W157">
            <v>93436</v>
          </cell>
        </row>
        <row r="158">
          <cell r="E158">
            <v>137</v>
          </cell>
          <cell r="G158">
            <v>20002</v>
          </cell>
          <cell r="J158">
            <v>46</v>
          </cell>
          <cell r="L158">
            <v>16560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100957</v>
          </cell>
          <cell r="V158">
            <v>206352</v>
          </cell>
          <cell r="W158">
            <v>0</v>
          </cell>
        </row>
        <row r="159">
          <cell r="E159">
            <v>235</v>
          </cell>
          <cell r="G159">
            <v>34310</v>
          </cell>
          <cell r="J159">
            <v>27</v>
          </cell>
          <cell r="L159">
            <v>9720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108425</v>
          </cell>
          <cell r="V159">
            <v>0</v>
          </cell>
          <cell r="W159">
            <v>120384</v>
          </cell>
        </row>
        <row r="160">
          <cell r="E160">
            <v>174</v>
          </cell>
          <cell r="G160">
            <v>25404</v>
          </cell>
          <cell r="J160">
            <v>23</v>
          </cell>
          <cell r="L160">
            <v>8280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98079</v>
          </cell>
          <cell r="V160">
            <v>233422</v>
          </cell>
          <cell r="W160">
            <v>-3000</v>
          </cell>
        </row>
        <row r="161">
          <cell r="E161">
            <v>221</v>
          </cell>
          <cell r="G161">
            <v>32266</v>
          </cell>
          <cell r="J161">
            <v>98</v>
          </cell>
          <cell r="L161">
            <v>35280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131941</v>
          </cell>
          <cell r="V161">
            <v>0</v>
          </cell>
          <cell r="W161">
            <v>140900</v>
          </cell>
        </row>
        <row r="162">
          <cell r="E162">
            <v>354</v>
          </cell>
          <cell r="G162">
            <v>51684</v>
          </cell>
          <cell r="J162">
            <v>130</v>
          </cell>
          <cell r="L162">
            <v>48600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164679</v>
          </cell>
          <cell r="V162">
            <v>317466</v>
          </cell>
          <cell r="W162">
            <v>-222</v>
          </cell>
        </row>
        <row r="163">
          <cell r="E163">
            <v>19</v>
          </cell>
          <cell r="G163">
            <v>2774</v>
          </cell>
          <cell r="J163">
            <v>135</v>
          </cell>
          <cell r="L163">
            <v>51300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128469</v>
          </cell>
          <cell r="V163">
            <v>0</v>
          </cell>
          <cell r="W163">
            <v>191170</v>
          </cell>
        </row>
        <row r="164">
          <cell r="E164">
            <v>222</v>
          </cell>
          <cell r="G164">
            <v>32412</v>
          </cell>
          <cell r="J164">
            <v>125</v>
          </cell>
          <cell r="L164">
            <v>45900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152707</v>
          </cell>
          <cell r="V164">
            <v>406977</v>
          </cell>
          <cell r="W164">
            <v>0</v>
          </cell>
        </row>
        <row r="165">
          <cell r="E165">
            <v>322</v>
          </cell>
          <cell r="G165">
            <v>47012</v>
          </cell>
          <cell r="J165">
            <v>134</v>
          </cell>
          <cell r="L165">
            <v>50760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172167</v>
          </cell>
          <cell r="V165">
            <v>0</v>
          </cell>
          <cell r="W165">
            <v>183832</v>
          </cell>
        </row>
        <row r="166">
          <cell r="E166">
            <v>328</v>
          </cell>
          <cell r="G166">
            <v>47888</v>
          </cell>
          <cell r="J166">
            <v>90</v>
          </cell>
          <cell r="L166">
            <v>32400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154683</v>
          </cell>
          <cell r="V166">
            <v>350224</v>
          </cell>
          <cell r="W166">
            <v>0</v>
          </cell>
        </row>
        <row r="167">
          <cell r="E167">
            <v>325</v>
          </cell>
          <cell r="G167">
            <v>47450</v>
          </cell>
          <cell r="J167">
            <v>69</v>
          </cell>
          <cell r="L167">
            <v>24840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146685</v>
          </cell>
          <cell r="V167">
            <v>0</v>
          </cell>
          <cell r="W167">
            <v>158394</v>
          </cell>
        </row>
        <row r="168">
          <cell r="E168">
            <v>532</v>
          </cell>
          <cell r="G168">
            <v>77672</v>
          </cell>
          <cell r="J168">
            <v>41</v>
          </cell>
          <cell r="L168">
            <v>14760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166827</v>
          </cell>
          <cell r="V168">
            <v>336930</v>
          </cell>
          <cell r="W168">
            <v>0</v>
          </cell>
        </row>
        <row r="169">
          <cell r="E169">
            <v>358</v>
          </cell>
          <cell r="G169">
            <v>52268</v>
          </cell>
          <cell r="J169">
            <v>36</v>
          </cell>
          <cell r="L169">
            <v>12960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139623</v>
          </cell>
          <cell r="V169">
            <v>0</v>
          </cell>
          <cell r="W169">
            <v>150938</v>
          </cell>
        </row>
        <row r="170">
          <cell r="E170">
            <v>255</v>
          </cell>
          <cell r="G170">
            <v>37230</v>
          </cell>
          <cell r="J170">
            <v>39</v>
          </cell>
          <cell r="L170">
            <v>14040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125665</v>
          </cell>
          <cell r="V170">
            <v>287918</v>
          </cell>
          <cell r="W170">
            <v>0</v>
          </cell>
        </row>
        <row r="171">
          <cell r="E171">
            <v>369</v>
          </cell>
          <cell r="G171">
            <v>53874</v>
          </cell>
          <cell r="J171">
            <v>123</v>
          </cell>
          <cell r="L171">
            <v>44820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173089</v>
          </cell>
          <cell r="V171">
            <v>0</v>
          </cell>
          <cell r="W171">
            <v>180089</v>
          </cell>
        </row>
        <row r="172">
          <cell r="E172">
            <v>312</v>
          </cell>
          <cell r="G172">
            <v>45552</v>
          </cell>
          <cell r="J172">
            <v>99</v>
          </cell>
          <cell r="L172">
            <v>35640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155587</v>
          </cell>
          <cell r="V172">
            <v>342676</v>
          </cell>
          <cell r="W172">
            <v>0</v>
          </cell>
        </row>
        <row r="173">
          <cell r="E173">
            <v>314</v>
          </cell>
          <cell r="G173">
            <v>45844</v>
          </cell>
          <cell r="J173">
            <v>127</v>
          </cell>
          <cell r="L173">
            <v>46980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167219</v>
          </cell>
          <cell r="V173">
            <v>0</v>
          </cell>
          <cell r="W173">
            <v>174219</v>
          </cell>
        </row>
        <row r="174">
          <cell r="E174">
            <v>386</v>
          </cell>
          <cell r="G174">
            <v>56356</v>
          </cell>
          <cell r="J174">
            <v>141</v>
          </cell>
          <cell r="L174">
            <v>54540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185291</v>
          </cell>
          <cell r="V174">
            <v>366510</v>
          </cell>
          <cell r="W174">
            <v>0</v>
          </cell>
        </row>
      </sheetData>
      <sheetData sheetId="3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7314.5</v>
          </cell>
          <cell r="G16">
            <v>460813.5</v>
          </cell>
          <cell r="J16">
            <v>1130.42</v>
          </cell>
          <cell r="L16">
            <v>339126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838939.5</v>
          </cell>
          <cell r="V16">
            <v>0</v>
          </cell>
          <cell r="W16">
            <v>0</v>
          </cell>
        </row>
        <row r="17">
          <cell r="E17">
            <v>360.60000000000036</v>
          </cell>
          <cell r="G17">
            <v>22717.800000000025</v>
          </cell>
          <cell r="J17">
            <v>249.23699999999985</v>
          </cell>
          <cell r="L17">
            <v>74771.099999999962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136488.9</v>
          </cell>
          <cell r="V17">
            <v>0</v>
          </cell>
          <cell r="W17">
            <v>0</v>
          </cell>
        </row>
        <row r="18">
          <cell r="E18">
            <v>797</v>
          </cell>
          <cell r="G18">
            <v>50211</v>
          </cell>
          <cell r="J18">
            <v>444.34300000000007</v>
          </cell>
          <cell r="L18">
            <v>133302.90000000002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222513.90000000002</v>
          </cell>
          <cell r="V18">
            <v>0</v>
          </cell>
          <cell r="W18">
            <v>0</v>
          </cell>
        </row>
        <row r="19">
          <cell r="E19">
            <v>271.10000000000036</v>
          </cell>
          <cell r="G19">
            <v>17079.300000000025</v>
          </cell>
          <cell r="J19">
            <v>204.70000000000005</v>
          </cell>
          <cell r="L19">
            <v>61410.000000000015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117489.30000000005</v>
          </cell>
          <cell r="V19">
            <v>0</v>
          </cell>
          <cell r="W19">
            <v>0</v>
          </cell>
        </row>
        <row r="20">
          <cell r="E20">
            <v>342</v>
          </cell>
          <cell r="G20">
            <v>21546</v>
          </cell>
          <cell r="J20">
            <v>279.70000000000005</v>
          </cell>
          <cell r="L20">
            <v>83910.000000000015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144456</v>
          </cell>
          <cell r="V20">
            <v>0</v>
          </cell>
          <cell r="W20">
            <v>0</v>
          </cell>
        </row>
        <row r="21">
          <cell r="E21">
            <v>407.09999999999854</v>
          </cell>
          <cell r="G21">
            <v>25647.299999999908</v>
          </cell>
          <cell r="J21">
            <v>280.69999999999982</v>
          </cell>
          <cell r="L21">
            <v>84209.999999999942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148857.29999999984</v>
          </cell>
          <cell r="V21">
            <v>0</v>
          </cell>
          <cell r="W21">
            <v>0</v>
          </cell>
        </row>
        <row r="22">
          <cell r="E22">
            <v>279.90000000000146</v>
          </cell>
          <cell r="G22">
            <v>17633.700000000092</v>
          </cell>
          <cell r="J22">
            <v>102</v>
          </cell>
          <cell r="L22">
            <v>36720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93353.700000000099</v>
          </cell>
          <cell r="V22">
            <v>0</v>
          </cell>
          <cell r="W22">
            <v>0</v>
          </cell>
        </row>
        <row r="23">
          <cell r="E23">
            <v>230.59999999999854</v>
          </cell>
          <cell r="G23">
            <v>14527.799999999908</v>
          </cell>
          <cell r="J23">
            <v>66.800000000000182</v>
          </cell>
          <cell r="L23">
            <v>24048.000000000065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77575.799999999974</v>
          </cell>
          <cell r="V23">
            <v>0</v>
          </cell>
          <cell r="W23">
            <v>0</v>
          </cell>
        </row>
        <row r="24">
          <cell r="E24">
            <v>307.20000000000073</v>
          </cell>
          <cell r="G24">
            <v>19353.600000000046</v>
          </cell>
          <cell r="J24">
            <v>67.699999999999818</v>
          </cell>
          <cell r="L24">
            <v>24371.999999999935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82725.599999999977</v>
          </cell>
          <cell r="V24">
            <v>0</v>
          </cell>
          <cell r="W24">
            <v>0</v>
          </cell>
        </row>
        <row r="25">
          <cell r="E25">
            <v>328</v>
          </cell>
          <cell r="G25">
            <v>20664</v>
          </cell>
          <cell r="J25">
            <v>26.900000000000091</v>
          </cell>
          <cell r="L25">
            <v>9684.0000000000327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69348.000000000029</v>
          </cell>
          <cell r="V25">
            <v>0</v>
          </cell>
          <cell r="W25">
            <v>69348.000000000029</v>
          </cell>
        </row>
        <row r="26">
          <cell r="E26">
            <v>376</v>
          </cell>
          <cell r="G26">
            <v>23688</v>
          </cell>
          <cell r="J26">
            <v>25.599999999999909</v>
          </cell>
          <cell r="L26">
            <v>9215.9999999999673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71903.999999999971</v>
          </cell>
          <cell r="V26">
            <v>69348</v>
          </cell>
          <cell r="W26">
            <v>71904</v>
          </cell>
        </row>
        <row r="27">
          <cell r="E27">
            <v>428.39999999999964</v>
          </cell>
          <cell r="G27">
            <v>26989.199999999975</v>
          </cell>
          <cell r="J27">
            <v>32.300000000000182</v>
          </cell>
          <cell r="L27">
            <v>11628.000000000065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77617.200000000041</v>
          </cell>
          <cell r="V27">
            <v>71904</v>
          </cell>
          <cell r="W27">
            <v>77617.200000000041</v>
          </cell>
        </row>
        <row r="28">
          <cell r="E28">
            <v>327.60000000000036</v>
          </cell>
          <cell r="G28">
            <v>20638.800000000025</v>
          </cell>
          <cell r="J28">
            <v>36</v>
          </cell>
          <cell r="L28">
            <v>12960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72598.800000000017</v>
          </cell>
          <cell r="V28">
            <v>77617</v>
          </cell>
          <cell r="W28">
            <v>72599.000000000058</v>
          </cell>
        </row>
        <row r="29">
          <cell r="E29">
            <v>344</v>
          </cell>
          <cell r="G29">
            <v>21672</v>
          </cell>
          <cell r="J29">
            <v>58.599999999999909</v>
          </cell>
          <cell r="L29">
            <v>21095.999999999967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81767.999999999971</v>
          </cell>
          <cell r="V29">
            <v>72599</v>
          </cell>
          <cell r="W29">
            <v>81768.000000000029</v>
          </cell>
        </row>
        <row r="30">
          <cell r="E30">
            <v>276</v>
          </cell>
          <cell r="G30">
            <v>17388</v>
          </cell>
          <cell r="J30">
            <v>48</v>
          </cell>
          <cell r="L30">
            <v>17280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73668</v>
          </cell>
          <cell r="V30">
            <v>81768</v>
          </cell>
          <cell r="W30">
            <v>73668.000000000029</v>
          </cell>
        </row>
        <row r="31">
          <cell r="E31">
            <v>399</v>
          </cell>
          <cell r="G31">
            <v>25137</v>
          </cell>
          <cell r="J31">
            <v>68</v>
          </cell>
          <cell r="L31">
            <v>24480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88617</v>
          </cell>
          <cell r="V31">
            <v>73668</v>
          </cell>
          <cell r="W31">
            <v>131617.00000000003</v>
          </cell>
        </row>
        <row r="32">
          <cell r="E32">
            <v>373</v>
          </cell>
          <cell r="G32">
            <v>23499</v>
          </cell>
          <cell r="J32">
            <v>59</v>
          </cell>
          <cell r="L32">
            <v>21240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83739</v>
          </cell>
          <cell r="V32">
            <v>131617</v>
          </cell>
          <cell r="W32">
            <v>87739.000000000029</v>
          </cell>
        </row>
        <row r="33">
          <cell r="E33">
            <v>339</v>
          </cell>
          <cell r="G33">
            <v>21357</v>
          </cell>
          <cell r="J33">
            <v>50</v>
          </cell>
          <cell r="L33">
            <v>18000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78357</v>
          </cell>
          <cell r="V33">
            <v>87739</v>
          </cell>
          <cell r="W33">
            <v>82357.000000000029</v>
          </cell>
        </row>
        <row r="34">
          <cell r="E34">
            <v>372</v>
          </cell>
          <cell r="G34">
            <v>23436</v>
          </cell>
          <cell r="J34">
            <v>55</v>
          </cell>
          <cell r="L34">
            <v>19800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82236</v>
          </cell>
          <cell r="V34">
            <v>82357</v>
          </cell>
          <cell r="W34">
            <v>86236.000000000029</v>
          </cell>
        </row>
        <row r="35">
          <cell r="E35">
            <v>368</v>
          </cell>
          <cell r="G35">
            <v>23184</v>
          </cell>
          <cell r="J35">
            <v>13</v>
          </cell>
          <cell r="L35">
            <v>4680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66864</v>
          </cell>
          <cell r="V35">
            <v>86236</v>
          </cell>
          <cell r="W35">
            <v>70864.000000000029</v>
          </cell>
        </row>
        <row r="36">
          <cell r="E36">
            <v>354</v>
          </cell>
          <cell r="G36">
            <v>22302</v>
          </cell>
          <cell r="J36">
            <v>20.599999999999909</v>
          </cell>
          <cell r="L36">
            <v>7415.9999999999673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68717.999999999971</v>
          </cell>
          <cell r="V36">
            <v>70864</v>
          </cell>
          <cell r="W36">
            <v>72718</v>
          </cell>
        </row>
        <row r="37">
          <cell r="E37">
            <v>373</v>
          </cell>
          <cell r="G37">
            <v>23499</v>
          </cell>
          <cell r="J37">
            <v>20</v>
          </cell>
          <cell r="L37">
            <v>7200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69699</v>
          </cell>
          <cell r="V37">
            <v>72718</v>
          </cell>
          <cell r="W37">
            <v>73699</v>
          </cell>
        </row>
        <row r="38">
          <cell r="E38">
            <v>459</v>
          </cell>
          <cell r="G38">
            <v>28917</v>
          </cell>
          <cell r="J38">
            <v>17.400000000000091</v>
          </cell>
          <cell r="L38">
            <v>6264.0000000000327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74181.000000000029</v>
          </cell>
          <cell r="V38">
            <v>73699</v>
          </cell>
          <cell r="W38">
            <v>78181.000000000029</v>
          </cell>
        </row>
        <row r="39">
          <cell r="E39">
            <v>359</v>
          </cell>
          <cell r="G39">
            <v>22617</v>
          </cell>
          <cell r="J39">
            <v>20</v>
          </cell>
          <cell r="L39">
            <v>7200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68817</v>
          </cell>
          <cell r="V39">
            <v>78181</v>
          </cell>
          <cell r="W39">
            <v>72817.000000000029</v>
          </cell>
        </row>
        <row r="40">
          <cell r="E40">
            <v>230</v>
          </cell>
          <cell r="G40">
            <v>14490</v>
          </cell>
          <cell r="J40">
            <v>24</v>
          </cell>
          <cell r="L40">
            <v>8640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62130</v>
          </cell>
          <cell r="V40">
            <v>72817</v>
          </cell>
          <cell r="W40">
            <v>66130.000000000029</v>
          </cell>
        </row>
        <row r="41">
          <cell r="E41">
            <v>313</v>
          </cell>
          <cell r="G41">
            <v>19719</v>
          </cell>
          <cell r="J41">
            <v>39</v>
          </cell>
          <cell r="L41">
            <v>14040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72759</v>
          </cell>
          <cell r="V41">
            <v>66130</v>
          </cell>
          <cell r="W41">
            <v>76759.000000000029</v>
          </cell>
        </row>
        <row r="42">
          <cell r="E42">
            <v>315</v>
          </cell>
          <cell r="G42">
            <v>19845</v>
          </cell>
          <cell r="J42">
            <v>54</v>
          </cell>
          <cell r="L42">
            <v>19440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78285</v>
          </cell>
          <cell r="V42">
            <v>76759</v>
          </cell>
          <cell r="W42">
            <v>82285.000000000029</v>
          </cell>
        </row>
        <row r="43">
          <cell r="E43">
            <v>450</v>
          </cell>
          <cell r="G43">
            <v>28350</v>
          </cell>
          <cell r="J43">
            <v>47</v>
          </cell>
          <cell r="L43">
            <v>16920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84270</v>
          </cell>
          <cell r="V43">
            <v>82285</v>
          </cell>
          <cell r="W43">
            <v>88270.000000000029</v>
          </cell>
        </row>
        <row r="44">
          <cell r="E44">
            <v>336</v>
          </cell>
          <cell r="G44">
            <v>21168</v>
          </cell>
          <cell r="J44">
            <v>62</v>
          </cell>
          <cell r="L44">
            <v>22320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82488</v>
          </cell>
          <cell r="V44">
            <v>88270</v>
          </cell>
          <cell r="W44">
            <v>86488.000000000029</v>
          </cell>
        </row>
        <row r="45">
          <cell r="E45">
            <v>354</v>
          </cell>
          <cell r="G45">
            <v>22302</v>
          </cell>
          <cell r="J45">
            <v>45</v>
          </cell>
          <cell r="L45">
            <v>16200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77502</v>
          </cell>
          <cell r="V45">
            <v>86488</v>
          </cell>
          <cell r="W45">
            <v>81502.000000000029</v>
          </cell>
        </row>
        <row r="46">
          <cell r="E46">
            <v>391</v>
          </cell>
          <cell r="G46">
            <v>24633</v>
          </cell>
          <cell r="J46">
            <v>40</v>
          </cell>
          <cell r="L46">
            <v>14400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78033</v>
          </cell>
          <cell r="V46">
            <v>81502</v>
          </cell>
          <cell r="W46">
            <v>82033.000000000029</v>
          </cell>
        </row>
        <row r="47">
          <cell r="E47">
            <v>486</v>
          </cell>
          <cell r="G47">
            <v>30618</v>
          </cell>
          <cell r="J47">
            <v>36</v>
          </cell>
          <cell r="L47">
            <v>12960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82578</v>
          </cell>
          <cell r="V47">
            <v>82033</v>
          </cell>
          <cell r="W47">
            <v>86578.000000000029</v>
          </cell>
        </row>
        <row r="48">
          <cell r="E48">
            <v>395</v>
          </cell>
          <cell r="G48">
            <v>24885</v>
          </cell>
          <cell r="J48">
            <v>16</v>
          </cell>
          <cell r="L48">
            <v>5760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69645</v>
          </cell>
          <cell r="V48">
            <v>86578</v>
          </cell>
          <cell r="W48">
            <v>73645.000000000029</v>
          </cell>
        </row>
        <row r="49">
          <cell r="E49">
            <v>273</v>
          </cell>
          <cell r="G49">
            <v>17199</v>
          </cell>
          <cell r="J49">
            <v>15</v>
          </cell>
          <cell r="L49">
            <v>5400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61599</v>
          </cell>
          <cell r="V49">
            <v>73645</v>
          </cell>
          <cell r="W49">
            <v>65599.000000000029</v>
          </cell>
        </row>
        <row r="50">
          <cell r="E50">
            <v>456</v>
          </cell>
          <cell r="G50">
            <v>28728</v>
          </cell>
          <cell r="J50">
            <v>30</v>
          </cell>
          <cell r="L50">
            <v>10800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78528</v>
          </cell>
          <cell r="V50">
            <v>0</v>
          </cell>
          <cell r="W50">
            <v>148127.00000000003</v>
          </cell>
        </row>
        <row r="51">
          <cell r="E51">
            <v>223</v>
          </cell>
          <cell r="G51">
            <v>14049</v>
          </cell>
          <cell r="J51">
            <v>21</v>
          </cell>
          <cell r="L51">
            <v>7560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60609</v>
          </cell>
          <cell r="V51">
            <v>148127</v>
          </cell>
          <cell r="W51">
            <v>64609.000000000029</v>
          </cell>
        </row>
        <row r="52">
          <cell r="E52">
            <v>391</v>
          </cell>
          <cell r="G52">
            <v>24633</v>
          </cell>
          <cell r="J52">
            <v>22</v>
          </cell>
          <cell r="L52">
            <v>7920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71553</v>
          </cell>
          <cell r="V52">
            <v>0</v>
          </cell>
          <cell r="W52">
            <v>140162.00000000003</v>
          </cell>
        </row>
        <row r="53">
          <cell r="E53">
            <v>332</v>
          </cell>
          <cell r="G53">
            <v>20916</v>
          </cell>
          <cell r="J53">
            <v>30</v>
          </cell>
          <cell r="L53">
            <v>10800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70716</v>
          </cell>
          <cell r="V53">
            <v>140162</v>
          </cell>
          <cell r="W53">
            <v>74716.000000000029</v>
          </cell>
        </row>
        <row r="54">
          <cell r="E54">
            <v>232</v>
          </cell>
          <cell r="G54">
            <v>14616</v>
          </cell>
          <cell r="J54">
            <v>46</v>
          </cell>
          <cell r="L54">
            <v>16560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70176</v>
          </cell>
          <cell r="V54">
            <v>74716</v>
          </cell>
          <cell r="W54">
            <v>81176.000000000029</v>
          </cell>
        </row>
        <row r="55">
          <cell r="E55">
            <v>506</v>
          </cell>
          <cell r="G55">
            <v>31878</v>
          </cell>
          <cell r="J55">
            <v>49</v>
          </cell>
          <cell r="L55">
            <v>17640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95518</v>
          </cell>
          <cell r="V55">
            <v>81176</v>
          </cell>
          <cell r="W55">
            <v>99518.000000000029</v>
          </cell>
        </row>
        <row r="56">
          <cell r="E56">
            <v>527</v>
          </cell>
          <cell r="G56">
            <v>33201</v>
          </cell>
          <cell r="J56">
            <v>71</v>
          </cell>
          <cell r="L56">
            <v>25560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104761</v>
          </cell>
          <cell r="V56">
            <v>0</v>
          </cell>
          <cell r="W56">
            <v>208279.00000000003</v>
          </cell>
        </row>
        <row r="57">
          <cell r="E57">
            <v>202</v>
          </cell>
          <cell r="G57">
            <v>12726</v>
          </cell>
          <cell r="J57">
            <v>52</v>
          </cell>
          <cell r="L57">
            <v>18720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77446</v>
          </cell>
          <cell r="V57">
            <v>99518</v>
          </cell>
          <cell r="W57">
            <v>190207</v>
          </cell>
        </row>
        <row r="58">
          <cell r="E58">
            <v>419</v>
          </cell>
          <cell r="G58">
            <v>26397</v>
          </cell>
          <cell r="J58">
            <v>44</v>
          </cell>
          <cell r="L58">
            <v>15840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88237</v>
          </cell>
          <cell r="V58">
            <v>108761</v>
          </cell>
          <cell r="W58">
            <v>173683</v>
          </cell>
        </row>
        <row r="59">
          <cell r="E59">
            <v>394</v>
          </cell>
          <cell r="G59">
            <v>24822</v>
          </cell>
          <cell r="J59">
            <v>40</v>
          </cell>
          <cell r="L59">
            <v>14400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85222</v>
          </cell>
          <cell r="V59">
            <v>173683</v>
          </cell>
          <cell r="W59">
            <v>89222</v>
          </cell>
        </row>
        <row r="60">
          <cell r="E60">
            <v>353</v>
          </cell>
          <cell r="G60">
            <v>22239</v>
          </cell>
          <cell r="J60">
            <v>11</v>
          </cell>
          <cell r="L60">
            <v>3960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72199</v>
          </cell>
          <cell r="V60">
            <v>0</v>
          </cell>
          <cell r="W60">
            <v>165421</v>
          </cell>
        </row>
        <row r="61">
          <cell r="E61">
            <v>537</v>
          </cell>
          <cell r="G61">
            <v>33831</v>
          </cell>
          <cell r="J61">
            <v>29</v>
          </cell>
          <cell r="L61">
            <v>10440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90271</v>
          </cell>
          <cell r="V61">
            <v>0</v>
          </cell>
          <cell r="W61">
            <v>259692</v>
          </cell>
        </row>
        <row r="62">
          <cell r="E62">
            <v>429</v>
          </cell>
          <cell r="G62">
            <v>27027</v>
          </cell>
          <cell r="J62">
            <v>35</v>
          </cell>
          <cell r="L62">
            <v>12600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85627</v>
          </cell>
          <cell r="V62">
            <v>0</v>
          </cell>
          <cell r="W62">
            <v>349319</v>
          </cell>
        </row>
        <row r="63">
          <cell r="E63">
            <v>220</v>
          </cell>
          <cell r="G63">
            <v>13860</v>
          </cell>
          <cell r="J63">
            <v>84</v>
          </cell>
          <cell r="L63">
            <v>30240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90100</v>
          </cell>
          <cell r="V63">
            <v>259692</v>
          </cell>
          <cell r="W63">
            <v>183727</v>
          </cell>
        </row>
        <row r="64">
          <cell r="E64">
            <v>214</v>
          </cell>
          <cell r="G64">
            <v>16906</v>
          </cell>
          <cell r="J64">
            <v>29</v>
          </cell>
          <cell r="L64">
            <v>10440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73346</v>
          </cell>
          <cell r="V64">
            <v>0</v>
          </cell>
          <cell r="W64">
            <v>261073</v>
          </cell>
        </row>
        <row r="65">
          <cell r="E65">
            <v>238</v>
          </cell>
          <cell r="G65">
            <v>18802</v>
          </cell>
          <cell r="J65">
            <v>29</v>
          </cell>
          <cell r="L65">
            <v>10440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75242</v>
          </cell>
          <cell r="V65">
            <v>0</v>
          </cell>
          <cell r="W65">
            <v>340315</v>
          </cell>
        </row>
        <row r="66">
          <cell r="E66">
            <v>145</v>
          </cell>
          <cell r="G66">
            <v>11455</v>
          </cell>
          <cell r="J66">
            <v>43</v>
          </cell>
          <cell r="L66">
            <v>15480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72935</v>
          </cell>
          <cell r="V66">
            <v>340715</v>
          </cell>
          <cell r="W66">
            <v>76535</v>
          </cell>
        </row>
        <row r="67">
          <cell r="E67">
            <v>397</v>
          </cell>
          <cell r="G67">
            <v>34539</v>
          </cell>
          <cell r="J67">
            <v>49</v>
          </cell>
          <cell r="L67">
            <v>17640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98179</v>
          </cell>
          <cell r="V67">
            <v>0</v>
          </cell>
          <cell r="W67">
            <v>178714</v>
          </cell>
        </row>
        <row r="68">
          <cell r="E68">
            <v>144</v>
          </cell>
          <cell r="G68">
            <v>12528</v>
          </cell>
          <cell r="J68">
            <v>49</v>
          </cell>
          <cell r="L68">
            <v>17640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76168</v>
          </cell>
          <cell r="V68">
            <v>0</v>
          </cell>
          <cell r="W68">
            <v>258882</v>
          </cell>
        </row>
        <row r="69">
          <cell r="E69">
            <v>222</v>
          </cell>
          <cell r="G69">
            <v>24642</v>
          </cell>
          <cell r="J69">
            <v>11</v>
          </cell>
          <cell r="L69">
            <v>3960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74602</v>
          </cell>
          <cell r="V69">
            <v>0</v>
          </cell>
          <cell r="W69">
            <v>337484</v>
          </cell>
        </row>
        <row r="70">
          <cell r="E70">
            <v>310</v>
          </cell>
          <cell r="G70">
            <v>38440</v>
          </cell>
          <cell r="J70">
            <v>27</v>
          </cell>
          <cell r="L70">
            <v>9720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94160</v>
          </cell>
          <cell r="V70">
            <v>0</v>
          </cell>
          <cell r="W70">
            <v>435644</v>
          </cell>
        </row>
        <row r="71">
          <cell r="E71">
            <v>168</v>
          </cell>
          <cell r="G71">
            <v>16464</v>
          </cell>
          <cell r="J71">
            <v>13</v>
          </cell>
          <cell r="L71">
            <v>4680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67144</v>
          </cell>
          <cell r="V71">
            <v>0</v>
          </cell>
          <cell r="W71">
            <v>506788</v>
          </cell>
        </row>
        <row r="72">
          <cell r="E72">
            <v>190</v>
          </cell>
          <cell r="G72">
            <v>19760</v>
          </cell>
          <cell r="J72">
            <v>1</v>
          </cell>
          <cell r="L72">
            <v>360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66120</v>
          </cell>
          <cell r="V72">
            <v>100000</v>
          </cell>
          <cell r="W72">
            <v>476908</v>
          </cell>
        </row>
        <row r="73">
          <cell r="E73">
            <v>188</v>
          </cell>
          <cell r="G73">
            <v>21056</v>
          </cell>
          <cell r="J73">
            <v>6</v>
          </cell>
          <cell r="L73">
            <v>2160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69216</v>
          </cell>
          <cell r="V73">
            <v>50000</v>
          </cell>
          <cell r="W73">
            <v>500124</v>
          </cell>
        </row>
        <row r="74">
          <cell r="E74">
            <v>166</v>
          </cell>
          <cell r="G74">
            <v>17762</v>
          </cell>
          <cell r="J74">
            <v>11</v>
          </cell>
          <cell r="L74">
            <v>3960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67722</v>
          </cell>
          <cell r="V74">
            <v>100000</v>
          </cell>
          <cell r="W74">
            <v>471846</v>
          </cell>
        </row>
        <row r="75">
          <cell r="E75">
            <v>212</v>
          </cell>
          <cell r="G75">
            <v>23320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69320</v>
          </cell>
          <cell r="V75">
            <v>100000</v>
          </cell>
          <cell r="W75">
            <v>445166</v>
          </cell>
        </row>
        <row r="76">
          <cell r="E76">
            <v>165</v>
          </cell>
          <cell r="G76">
            <v>20790</v>
          </cell>
          <cell r="J76">
            <v>33</v>
          </cell>
          <cell r="L76">
            <v>11880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78670</v>
          </cell>
          <cell r="V76">
            <v>250000</v>
          </cell>
          <cell r="W76">
            <v>277836</v>
          </cell>
        </row>
        <row r="77">
          <cell r="E77">
            <v>203</v>
          </cell>
          <cell r="G77">
            <v>24157</v>
          </cell>
          <cell r="J77">
            <v>41</v>
          </cell>
          <cell r="L77">
            <v>14760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84917</v>
          </cell>
          <cell r="V77">
            <v>277836</v>
          </cell>
          <cell r="W77">
            <v>88917</v>
          </cell>
        </row>
        <row r="78">
          <cell r="E78">
            <v>332</v>
          </cell>
          <cell r="G78">
            <v>35856</v>
          </cell>
          <cell r="J78">
            <v>44</v>
          </cell>
          <cell r="L78">
            <v>15840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97696</v>
          </cell>
          <cell r="V78">
            <v>88917</v>
          </cell>
          <cell r="W78">
            <v>101696</v>
          </cell>
        </row>
        <row r="79">
          <cell r="E79">
            <v>156</v>
          </cell>
          <cell r="G79">
            <v>19344</v>
          </cell>
          <cell r="J79">
            <v>53</v>
          </cell>
          <cell r="L79">
            <v>19080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84424</v>
          </cell>
          <cell r="V79">
            <v>101696</v>
          </cell>
          <cell r="W79">
            <v>94424</v>
          </cell>
        </row>
        <row r="80">
          <cell r="E80">
            <v>313</v>
          </cell>
          <cell r="G80">
            <v>40690</v>
          </cell>
          <cell r="J80">
            <v>48</v>
          </cell>
          <cell r="L80">
            <v>17280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103970</v>
          </cell>
          <cell r="V80">
            <v>94424</v>
          </cell>
          <cell r="W80">
            <v>152970</v>
          </cell>
        </row>
        <row r="81">
          <cell r="E81">
            <v>264</v>
          </cell>
          <cell r="G81">
            <v>34320</v>
          </cell>
          <cell r="J81">
            <v>55</v>
          </cell>
          <cell r="L81">
            <v>19800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100120</v>
          </cell>
          <cell r="V81">
            <v>0</v>
          </cell>
          <cell r="W81">
            <v>257090</v>
          </cell>
        </row>
        <row r="82">
          <cell r="E82">
            <v>248</v>
          </cell>
          <cell r="G82">
            <v>34720</v>
          </cell>
          <cell r="J82">
            <v>50</v>
          </cell>
          <cell r="L82">
            <v>18000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98720</v>
          </cell>
          <cell r="V82">
            <v>257090</v>
          </cell>
          <cell r="W82">
            <v>102720</v>
          </cell>
        </row>
        <row r="83">
          <cell r="E83">
            <v>222</v>
          </cell>
          <cell r="G83">
            <v>32412</v>
          </cell>
          <cell r="J83">
            <v>32</v>
          </cell>
          <cell r="L83">
            <v>11520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89932</v>
          </cell>
          <cell r="V83">
            <v>150000</v>
          </cell>
          <cell r="W83">
            <v>46652</v>
          </cell>
        </row>
        <row r="84">
          <cell r="E84">
            <v>241</v>
          </cell>
          <cell r="G84">
            <v>35186</v>
          </cell>
          <cell r="J84">
            <v>12</v>
          </cell>
          <cell r="L84">
            <v>4320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85506</v>
          </cell>
          <cell r="V84">
            <v>0</v>
          </cell>
          <cell r="W84">
            <v>136158</v>
          </cell>
        </row>
        <row r="85">
          <cell r="E85">
            <v>178</v>
          </cell>
          <cell r="G85">
            <v>25988</v>
          </cell>
          <cell r="J85">
            <v>8</v>
          </cell>
          <cell r="L85">
            <v>2880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74868</v>
          </cell>
          <cell r="V85">
            <v>0</v>
          </cell>
          <cell r="W85">
            <v>225026</v>
          </cell>
        </row>
        <row r="86">
          <cell r="E86">
            <v>203</v>
          </cell>
          <cell r="G86">
            <v>29638</v>
          </cell>
          <cell r="J86">
            <v>8</v>
          </cell>
          <cell r="L86">
            <v>2880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88518</v>
          </cell>
          <cell r="V86">
            <v>200000</v>
          </cell>
          <cell r="W86">
            <v>107544</v>
          </cell>
        </row>
        <row r="87">
          <cell r="E87">
            <v>202</v>
          </cell>
          <cell r="G87">
            <v>29492</v>
          </cell>
          <cell r="J87">
            <v>11</v>
          </cell>
          <cell r="L87">
            <v>3960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79452</v>
          </cell>
          <cell r="V87">
            <v>0</v>
          </cell>
          <cell r="W87">
            <v>190996</v>
          </cell>
        </row>
        <row r="88">
          <cell r="E88">
            <v>166</v>
          </cell>
          <cell r="G88">
            <v>24236</v>
          </cell>
          <cell r="J88">
            <v>38</v>
          </cell>
          <cell r="L88">
            <v>13680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83916</v>
          </cell>
          <cell r="V88">
            <v>190996</v>
          </cell>
          <cell r="W88">
            <v>87916</v>
          </cell>
        </row>
        <row r="89">
          <cell r="E89">
            <v>157</v>
          </cell>
          <cell r="G89">
            <v>22922</v>
          </cell>
          <cell r="J89">
            <v>47</v>
          </cell>
          <cell r="L89">
            <v>16920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85842</v>
          </cell>
          <cell r="V89">
            <v>200000</v>
          </cell>
          <cell r="W89">
            <v>-22242</v>
          </cell>
        </row>
        <row r="90">
          <cell r="E90">
            <v>240</v>
          </cell>
          <cell r="G90">
            <v>35040</v>
          </cell>
          <cell r="J90">
            <v>95</v>
          </cell>
          <cell r="L90">
            <v>34200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115240</v>
          </cell>
          <cell r="V90">
            <v>0</v>
          </cell>
          <cell r="W90">
            <v>96998</v>
          </cell>
        </row>
        <row r="91">
          <cell r="E91">
            <v>377</v>
          </cell>
          <cell r="G91">
            <v>55042</v>
          </cell>
          <cell r="J91">
            <v>59</v>
          </cell>
          <cell r="L91">
            <v>21240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131282</v>
          </cell>
          <cell r="V91">
            <v>200000</v>
          </cell>
          <cell r="W91">
            <v>42280</v>
          </cell>
        </row>
        <row r="92">
          <cell r="E92">
            <v>186</v>
          </cell>
          <cell r="G92">
            <v>27156</v>
          </cell>
          <cell r="J92">
            <v>75</v>
          </cell>
          <cell r="L92">
            <v>27000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109156</v>
          </cell>
          <cell r="V92">
            <v>165436</v>
          </cell>
          <cell r="W92">
            <v>0</v>
          </cell>
        </row>
        <row r="93">
          <cell r="E93">
            <v>32</v>
          </cell>
          <cell r="G93">
            <v>4672</v>
          </cell>
          <cell r="J93">
            <v>2</v>
          </cell>
          <cell r="L93">
            <v>720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60392</v>
          </cell>
          <cell r="V93">
            <v>74392</v>
          </cell>
          <cell r="W93">
            <v>0</v>
          </cell>
        </row>
        <row r="94">
          <cell r="E94">
            <v>112</v>
          </cell>
          <cell r="G94">
            <v>16352</v>
          </cell>
          <cell r="J94">
            <v>22</v>
          </cell>
          <cell r="L94">
            <v>7920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79272</v>
          </cell>
          <cell r="V94">
            <v>93272</v>
          </cell>
          <cell r="W94">
            <v>0</v>
          </cell>
        </row>
        <row r="95">
          <cell r="E95">
            <v>164</v>
          </cell>
          <cell r="G95">
            <v>23944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78944</v>
          </cell>
          <cell r="V95">
            <v>92944</v>
          </cell>
          <cell r="W95">
            <v>0</v>
          </cell>
        </row>
        <row r="96">
          <cell r="E96">
            <v>74</v>
          </cell>
          <cell r="G96">
            <v>10804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65804</v>
          </cell>
          <cell r="V96">
            <v>69804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59000</v>
          </cell>
          <cell r="W97">
            <v>0</v>
          </cell>
        </row>
        <row r="98">
          <cell r="E98">
            <v>206</v>
          </cell>
          <cell r="G98">
            <v>30076</v>
          </cell>
          <cell r="J98">
            <v>8</v>
          </cell>
          <cell r="L98">
            <v>2880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87956</v>
          </cell>
          <cell r="V98">
            <v>91956</v>
          </cell>
          <cell r="W98">
            <v>0</v>
          </cell>
        </row>
        <row r="99">
          <cell r="E99">
            <v>144</v>
          </cell>
          <cell r="G99">
            <v>21024</v>
          </cell>
          <cell r="J99">
            <v>5</v>
          </cell>
          <cell r="L99">
            <v>1800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77824</v>
          </cell>
          <cell r="V99">
            <v>81824</v>
          </cell>
          <cell r="W99">
            <v>0</v>
          </cell>
        </row>
        <row r="100">
          <cell r="E100">
            <v>99</v>
          </cell>
          <cell r="G100">
            <v>14454</v>
          </cell>
          <cell r="J100">
            <v>3</v>
          </cell>
          <cell r="L100">
            <v>1080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70534</v>
          </cell>
          <cell r="V100">
            <v>0</v>
          </cell>
          <cell r="W100">
            <v>74534</v>
          </cell>
        </row>
        <row r="101">
          <cell r="E101">
            <v>71</v>
          </cell>
          <cell r="G101">
            <v>10366</v>
          </cell>
          <cell r="J101">
            <v>42</v>
          </cell>
          <cell r="L101">
            <v>15120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84486</v>
          </cell>
          <cell r="V101">
            <v>159020</v>
          </cell>
          <cell r="W101">
            <v>0</v>
          </cell>
        </row>
        <row r="102">
          <cell r="E102">
            <v>18</v>
          </cell>
          <cell r="G102">
            <v>2628</v>
          </cell>
          <cell r="J102">
            <v>54</v>
          </cell>
          <cell r="L102">
            <v>19440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81068</v>
          </cell>
          <cell r="V102">
            <v>81068</v>
          </cell>
          <cell r="W102">
            <v>0</v>
          </cell>
        </row>
        <row r="103">
          <cell r="E103">
            <v>264</v>
          </cell>
          <cell r="G103">
            <v>38544</v>
          </cell>
          <cell r="J103">
            <v>48</v>
          </cell>
          <cell r="L103">
            <v>17280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116474</v>
          </cell>
          <cell r="V103">
            <v>116474</v>
          </cell>
          <cell r="W103">
            <v>0</v>
          </cell>
        </row>
        <row r="104">
          <cell r="E104">
            <v>254</v>
          </cell>
          <cell r="G104">
            <v>37084</v>
          </cell>
          <cell r="J104">
            <v>73</v>
          </cell>
          <cell r="L104">
            <v>26280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124014</v>
          </cell>
          <cell r="V104">
            <v>124014</v>
          </cell>
          <cell r="W104">
            <v>0</v>
          </cell>
        </row>
        <row r="105">
          <cell r="E105">
            <v>189</v>
          </cell>
          <cell r="G105">
            <v>27594</v>
          </cell>
          <cell r="J105">
            <v>33</v>
          </cell>
          <cell r="L105">
            <v>11880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100124</v>
          </cell>
          <cell r="V105">
            <v>100124</v>
          </cell>
          <cell r="W105">
            <v>0</v>
          </cell>
        </row>
        <row r="106">
          <cell r="E106">
            <v>113</v>
          </cell>
          <cell r="G106">
            <v>16498</v>
          </cell>
          <cell r="J106">
            <v>15</v>
          </cell>
          <cell r="L106">
            <v>5400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82548</v>
          </cell>
          <cell r="V106">
            <v>82548</v>
          </cell>
          <cell r="W106">
            <v>0</v>
          </cell>
        </row>
        <row r="107">
          <cell r="E107">
            <v>42</v>
          </cell>
          <cell r="G107">
            <v>6132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67142</v>
          </cell>
          <cell r="V107">
            <v>67142</v>
          </cell>
          <cell r="W107">
            <v>0</v>
          </cell>
        </row>
        <row r="108">
          <cell r="E108">
            <v>64</v>
          </cell>
          <cell r="G108">
            <v>9344</v>
          </cell>
          <cell r="J108">
            <v>4</v>
          </cell>
          <cell r="L108">
            <v>1440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71434</v>
          </cell>
          <cell r="V108">
            <v>0</v>
          </cell>
          <cell r="W108">
            <v>71434</v>
          </cell>
        </row>
        <row r="109">
          <cell r="E109">
            <v>66</v>
          </cell>
          <cell r="G109">
            <v>9636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70286</v>
          </cell>
          <cell r="V109">
            <v>141720</v>
          </cell>
          <cell r="W109">
            <v>0</v>
          </cell>
        </row>
        <row r="110">
          <cell r="E110">
            <v>70</v>
          </cell>
          <cell r="G110">
            <v>10220</v>
          </cell>
          <cell r="J110">
            <v>2</v>
          </cell>
          <cell r="L110">
            <v>720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71590</v>
          </cell>
          <cell r="V110">
            <v>0</v>
          </cell>
          <cell r="W110">
            <v>71590</v>
          </cell>
        </row>
        <row r="111">
          <cell r="E111">
            <v>97</v>
          </cell>
          <cell r="G111">
            <v>14162</v>
          </cell>
          <cell r="J111">
            <v>159</v>
          </cell>
          <cell r="L111">
            <v>57240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132052</v>
          </cell>
          <cell r="V111">
            <v>203642</v>
          </cell>
          <cell r="W111">
            <v>0</v>
          </cell>
        </row>
        <row r="112">
          <cell r="E112">
            <v>51</v>
          </cell>
          <cell r="G112">
            <v>7446</v>
          </cell>
          <cell r="J112">
            <v>77</v>
          </cell>
          <cell r="L112">
            <v>27720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95816</v>
          </cell>
          <cell r="V112">
            <v>95816</v>
          </cell>
          <cell r="W112">
            <v>0</v>
          </cell>
        </row>
        <row r="113">
          <cell r="E113">
            <v>191</v>
          </cell>
          <cell r="G113">
            <v>27886</v>
          </cell>
          <cell r="J113">
            <v>72</v>
          </cell>
          <cell r="L113">
            <v>25920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114456</v>
          </cell>
          <cell r="V113">
            <v>114456</v>
          </cell>
          <cell r="W113">
            <v>0</v>
          </cell>
        </row>
        <row r="114">
          <cell r="E114">
            <v>281</v>
          </cell>
          <cell r="G114">
            <v>41026</v>
          </cell>
          <cell r="J114">
            <v>80</v>
          </cell>
          <cell r="L114">
            <v>28800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130476</v>
          </cell>
          <cell r="V114">
            <v>0</v>
          </cell>
          <cell r="W114">
            <v>130476</v>
          </cell>
        </row>
        <row r="115">
          <cell r="E115">
            <v>192</v>
          </cell>
          <cell r="G115">
            <v>28032</v>
          </cell>
          <cell r="J115">
            <v>45</v>
          </cell>
          <cell r="L115">
            <v>16200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107091</v>
          </cell>
          <cell r="V115">
            <v>237567</v>
          </cell>
          <cell r="W115">
            <v>0</v>
          </cell>
        </row>
        <row r="116">
          <cell r="E116">
            <v>201</v>
          </cell>
          <cell r="G116">
            <v>29346</v>
          </cell>
          <cell r="J116">
            <v>73</v>
          </cell>
          <cell r="L116">
            <v>26280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118485</v>
          </cell>
          <cell r="V116">
            <v>118485</v>
          </cell>
          <cell r="W116">
            <v>0</v>
          </cell>
        </row>
        <row r="117">
          <cell r="E117">
            <v>142</v>
          </cell>
          <cell r="G117">
            <v>20732</v>
          </cell>
          <cell r="J117">
            <v>30</v>
          </cell>
          <cell r="L117">
            <v>10800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94391</v>
          </cell>
          <cell r="V117">
            <v>94391</v>
          </cell>
          <cell r="W117">
            <v>0</v>
          </cell>
        </row>
        <row r="118">
          <cell r="E118">
            <v>49</v>
          </cell>
          <cell r="G118">
            <v>7154</v>
          </cell>
          <cell r="J118">
            <v>12</v>
          </cell>
          <cell r="L118">
            <v>4320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74333</v>
          </cell>
          <cell r="V118">
            <v>74333</v>
          </cell>
          <cell r="W118">
            <v>0</v>
          </cell>
        </row>
        <row r="119">
          <cell r="E119">
            <v>58</v>
          </cell>
          <cell r="G119">
            <v>8468</v>
          </cell>
          <cell r="J119">
            <v>4</v>
          </cell>
          <cell r="L119">
            <v>1440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72767</v>
          </cell>
          <cell r="V119">
            <v>72767</v>
          </cell>
          <cell r="W119">
            <v>0</v>
          </cell>
        </row>
        <row r="120">
          <cell r="E120">
            <v>38</v>
          </cell>
          <cell r="G120">
            <v>5548</v>
          </cell>
          <cell r="J120">
            <v>3</v>
          </cell>
          <cell r="L120">
            <v>1080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69487</v>
          </cell>
          <cell r="V120">
            <v>0</v>
          </cell>
          <cell r="W120">
            <v>69487</v>
          </cell>
        </row>
        <row r="121">
          <cell r="E121">
            <v>33</v>
          </cell>
          <cell r="G121">
            <v>4818</v>
          </cell>
          <cell r="J121">
            <v>1</v>
          </cell>
          <cell r="L121">
            <v>360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68037</v>
          </cell>
          <cell r="V121">
            <v>137524</v>
          </cell>
          <cell r="W121">
            <v>0</v>
          </cell>
        </row>
        <row r="122">
          <cell r="E122">
            <v>49</v>
          </cell>
          <cell r="G122">
            <v>7154</v>
          </cell>
          <cell r="J122">
            <v>3</v>
          </cell>
          <cell r="L122">
            <v>1080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67093</v>
          </cell>
          <cell r="V122">
            <v>67093</v>
          </cell>
          <cell r="W122">
            <v>0</v>
          </cell>
        </row>
        <row r="123">
          <cell r="E123">
            <v>117</v>
          </cell>
          <cell r="G123">
            <v>17082</v>
          </cell>
          <cell r="J123">
            <v>11</v>
          </cell>
          <cell r="L123">
            <v>3960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79901</v>
          </cell>
          <cell r="V123">
            <v>0</v>
          </cell>
          <cell r="W123">
            <v>79901</v>
          </cell>
        </row>
        <row r="124">
          <cell r="E124">
            <v>52</v>
          </cell>
          <cell r="G124">
            <v>7592</v>
          </cell>
          <cell r="J124">
            <v>1</v>
          </cell>
          <cell r="L124">
            <v>360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66811</v>
          </cell>
          <cell r="V124">
            <v>146712</v>
          </cell>
          <cell r="W124">
            <v>0</v>
          </cell>
        </row>
        <row r="125">
          <cell r="E125">
            <v>72</v>
          </cell>
          <cell r="G125">
            <v>10512</v>
          </cell>
          <cell r="J125">
            <v>2</v>
          </cell>
          <cell r="L125">
            <v>720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70091</v>
          </cell>
          <cell r="V125">
            <v>70091</v>
          </cell>
          <cell r="W125">
            <v>0</v>
          </cell>
        </row>
        <row r="126">
          <cell r="E126">
            <v>147</v>
          </cell>
          <cell r="G126">
            <v>21462</v>
          </cell>
          <cell r="J126">
            <v>54</v>
          </cell>
          <cell r="L126">
            <v>19440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99761</v>
          </cell>
          <cell r="V126">
            <v>99761</v>
          </cell>
          <cell r="W126">
            <v>0</v>
          </cell>
        </row>
        <row r="127">
          <cell r="E127">
            <v>279</v>
          </cell>
          <cell r="G127">
            <v>40734</v>
          </cell>
          <cell r="J127">
            <v>32</v>
          </cell>
          <cell r="L127">
            <v>11520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111988</v>
          </cell>
          <cell r="V127">
            <v>111988</v>
          </cell>
          <cell r="W127">
            <v>0</v>
          </cell>
        </row>
        <row r="128">
          <cell r="E128">
            <v>208</v>
          </cell>
          <cell r="G128">
            <v>30368</v>
          </cell>
          <cell r="J128">
            <v>54</v>
          </cell>
          <cell r="L128">
            <v>19440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109542</v>
          </cell>
          <cell r="V128">
            <v>121830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0</v>
          </cell>
          <cell r="W132">
            <v>59734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119468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0</v>
          </cell>
          <cell r="W134">
            <v>59734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119468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79734</v>
          </cell>
          <cell r="W138">
            <v>0</v>
          </cell>
        </row>
        <row r="139">
          <cell r="E139">
            <v>15</v>
          </cell>
          <cell r="G139">
            <v>2190</v>
          </cell>
          <cell r="J139">
            <v>14</v>
          </cell>
          <cell r="L139">
            <v>5040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68766</v>
          </cell>
          <cell r="V139">
            <v>73766</v>
          </cell>
          <cell r="W139">
            <v>0</v>
          </cell>
        </row>
        <row r="140">
          <cell r="E140">
            <v>105</v>
          </cell>
          <cell r="G140">
            <v>15330</v>
          </cell>
          <cell r="J140">
            <v>15</v>
          </cell>
          <cell r="L140">
            <v>5400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82266</v>
          </cell>
          <cell r="V140">
            <v>87266</v>
          </cell>
          <cell r="W140">
            <v>0</v>
          </cell>
        </row>
        <row r="141">
          <cell r="E141">
            <v>38</v>
          </cell>
          <cell r="G141">
            <v>5548</v>
          </cell>
          <cell r="J141">
            <v>23</v>
          </cell>
          <cell r="L141">
            <v>8280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75364</v>
          </cell>
          <cell r="V141">
            <v>80364</v>
          </cell>
          <cell r="W141">
            <v>0</v>
          </cell>
        </row>
        <row r="142">
          <cell r="E142">
            <v>55</v>
          </cell>
          <cell r="G142">
            <v>8030</v>
          </cell>
          <cell r="J142">
            <v>42</v>
          </cell>
          <cell r="L142">
            <v>15120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84686</v>
          </cell>
          <cell r="V142">
            <v>89686</v>
          </cell>
          <cell r="W142">
            <v>0</v>
          </cell>
        </row>
        <row r="143">
          <cell r="E143">
            <v>177</v>
          </cell>
          <cell r="G143">
            <v>25842</v>
          </cell>
          <cell r="J143">
            <v>7</v>
          </cell>
          <cell r="L143">
            <v>2520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89898</v>
          </cell>
          <cell r="V143">
            <v>94898</v>
          </cell>
          <cell r="W143">
            <v>0</v>
          </cell>
        </row>
        <row r="144">
          <cell r="E144">
            <v>3</v>
          </cell>
          <cell r="G144">
            <v>438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62694</v>
          </cell>
          <cell r="V144">
            <v>67694</v>
          </cell>
          <cell r="W144">
            <v>0</v>
          </cell>
        </row>
        <row r="145">
          <cell r="E145">
            <v>129</v>
          </cell>
          <cell r="G145">
            <v>18834</v>
          </cell>
          <cell r="J145">
            <v>15</v>
          </cell>
          <cell r="L145">
            <v>5400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85770</v>
          </cell>
          <cell r="V145">
            <v>90770</v>
          </cell>
          <cell r="W145">
            <v>0</v>
          </cell>
        </row>
        <row r="146">
          <cell r="E146">
            <v>78</v>
          </cell>
          <cell r="G146">
            <v>11388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73644</v>
          </cell>
          <cell r="V146">
            <v>78644</v>
          </cell>
          <cell r="W146">
            <v>0</v>
          </cell>
        </row>
        <row r="147">
          <cell r="E147">
            <v>166</v>
          </cell>
          <cell r="G147">
            <v>24236</v>
          </cell>
          <cell r="J147">
            <v>9</v>
          </cell>
          <cell r="L147">
            <v>3240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89012</v>
          </cell>
          <cell r="V147">
            <v>94012</v>
          </cell>
          <cell r="W147">
            <v>0</v>
          </cell>
        </row>
        <row r="148">
          <cell r="E148">
            <v>107</v>
          </cell>
          <cell r="G148">
            <v>15622</v>
          </cell>
          <cell r="J148">
            <v>102</v>
          </cell>
          <cell r="L148">
            <v>36720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113878</v>
          </cell>
          <cell r="V148">
            <v>118878</v>
          </cell>
          <cell r="W148">
            <v>0</v>
          </cell>
        </row>
        <row r="149">
          <cell r="E149">
            <v>221</v>
          </cell>
          <cell r="G149">
            <v>32266</v>
          </cell>
          <cell r="J149">
            <v>183</v>
          </cell>
          <cell r="L149">
            <v>95040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188842</v>
          </cell>
          <cell r="V149">
            <v>193842</v>
          </cell>
          <cell r="W149">
            <v>0</v>
          </cell>
        </row>
        <row r="150">
          <cell r="E150">
            <v>316</v>
          </cell>
          <cell r="G150">
            <v>46136</v>
          </cell>
          <cell r="J150">
            <v>89</v>
          </cell>
          <cell r="L150">
            <v>32040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139712</v>
          </cell>
          <cell r="V150">
            <v>146712</v>
          </cell>
          <cell r="W150">
            <v>0</v>
          </cell>
        </row>
        <row r="151">
          <cell r="E151">
            <v>320</v>
          </cell>
          <cell r="G151">
            <v>46720</v>
          </cell>
          <cell r="J151">
            <v>85</v>
          </cell>
          <cell r="L151">
            <v>30600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141715</v>
          </cell>
          <cell r="V151">
            <v>148715</v>
          </cell>
          <cell r="W151">
            <v>0</v>
          </cell>
        </row>
        <row r="152">
          <cell r="E152">
            <v>319</v>
          </cell>
          <cell r="G152">
            <v>46574</v>
          </cell>
          <cell r="J152">
            <v>72</v>
          </cell>
          <cell r="L152">
            <v>25920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136889</v>
          </cell>
          <cell r="V152">
            <v>143889</v>
          </cell>
          <cell r="W152">
            <v>0</v>
          </cell>
        </row>
        <row r="153">
          <cell r="E153">
            <v>173</v>
          </cell>
          <cell r="G153">
            <v>25258</v>
          </cell>
          <cell r="J153">
            <v>33</v>
          </cell>
          <cell r="L153">
            <v>11880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101533</v>
          </cell>
          <cell r="V153">
            <v>113492</v>
          </cell>
          <cell r="W153">
            <v>0</v>
          </cell>
        </row>
        <row r="154">
          <cell r="E154">
            <v>425</v>
          </cell>
          <cell r="G154">
            <v>62050</v>
          </cell>
          <cell r="J154">
            <v>77</v>
          </cell>
          <cell r="L154">
            <v>27720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154165</v>
          </cell>
          <cell r="V154">
            <v>166124</v>
          </cell>
          <cell r="W154">
            <v>0</v>
          </cell>
        </row>
        <row r="155">
          <cell r="E155">
            <v>264</v>
          </cell>
          <cell r="G155">
            <v>38544</v>
          </cell>
          <cell r="J155">
            <v>30</v>
          </cell>
          <cell r="L155">
            <v>10800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113739</v>
          </cell>
          <cell r="V155">
            <v>125698</v>
          </cell>
          <cell r="W155">
            <v>0</v>
          </cell>
        </row>
        <row r="156">
          <cell r="E156">
            <v>251</v>
          </cell>
          <cell r="G156">
            <v>36646</v>
          </cell>
          <cell r="J156">
            <v>49</v>
          </cell>
          <cell r="L156">
            <v>17640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118681</v>
          </cell>
          <cell r="V156">
            <v>130640</v>
          </cell>
          <cell r="W156">
            <v>0</v>
          </cell>
        </row>
        <row r="157">
          <cell r="E157">
            <v>243</v>
          </cell>
          <cell r="G157">
            <v>35478</v>
          </cell>
          <cell r="J157">
            <v>14</v>
          </cell>
          <cell r="L157">
            <v>5040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104913</v>
          </cell>
          <cell r="V157">
            <v>0</v>
          </cell>
          <cell r="W157">
            <v>116872</v>
          </cell>
        </row>
        <row r="158">
          <cell r="E158">
            <v>159</v>
          </cell>
          <cell r="G158">
            <v>23214</v>
          </cell>
          <cell r="J158">
            <v>4</v>
          </cell>
          <cell r="L158">
            <v>1440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89049</v>
          </cell>
          <cell r="V158">
            <v>217880</v>
          </cell>
          <cell r="W158">
            <v>0</v>
          </cell>
        </row>
        <row r="159">
          <cell r="E159">
            <v>179</v>
          </cell>
          <cell r="G159">
            <v>26134</v>
          </cell>
          <cell r="J159">
            <v>11</v>
          </cell>
          <cell r="L159">
            <v>3960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94489</v>
          </cell>
          <cell r="V159">
            <v>106448</v>
          </cell>
          <cell r="W159">
            <v>0</v>
          </cell>
        </row>
        <row r="160">
          <cell r="E160">
            <v>274</v>
          </cell>
          <cell r="G160">
            <v>40004</v>
          </cell>
          <cell r="J160">
            <v>8</v>
          </cell>
          <cell r="L160">
            <v>2880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107279</v>
          </cell>
          <cell r="V160">
            <v>119238</v>
          </cell>
          <cell r="W160">
            <v>0</v>
          </cell>
        </row>
        <row r="161">
          <cell r="E161">
            <v>251</v>
          </cell>
          <cell r="G161">
            <v>36646</v>
          </cell>
          <cell r="J161">
            <v>16</v>
          </cell>
          <cell r="L161">
            <v>5760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106801</v>
          </cell>
          <cell r="V161">
            <v>118760</v>
          </cell>
          <cell r="W161">
            <v>0</v>
          </cell>
        </row>
        <row r="162">
          <cell r="E162">
            <v>465</v>
          </cell>
          <cell r="G162">
            <v>67890</v>
          </cell>
          <cell r="J162">
            <v>61</v>
          </cell>
          <cell r="L162">
            <v>21960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154245</v>
          </cell>
          <cell r="V162">
            <v>165910</v>
          </cell>
          <cell r="W162">
            <v>0</v>
          </cell>
        </row>
        <row r="163">
          <cell r="E163">
            <v>354</v>
          </cell>
          <cell r="G163">
            <v>51684</v>
          </cell>
          <cell r="J163">
            <v>145</v>
          </cell>
          <cell r="L163">
            <v>56700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182779</v>
          </cell>
          <cell r="V163">
            <v>194444</v>
          </cell>
          <cell r="W163">
            <v>0</v>
          </cell>
        </row>
        <row r="164">
          <cell r="E164">
            <v>475</v>
          </cell>
          <cell r="G164">
            <v>69350</v>
          </cell>
          <cell r="J164">
            <v>153</v>
          </cell>
          <cell r="L164">
            <v>62640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206385</v>
          </cell>
          <cell r="V164">
            <v>218050</v>
          </cell>
          <cell r="W164">
            <v>0</v>
          </cell>
        </row>
        <row r="165">
          <cell r="E165">
            <v>342</v>
          </cell>
          <cell r="G165">
            <v>49932</v>
          </cell>
          <cell r="J165">
            <v>66</v>
          </cell>
          <cell r="L165">
            <v>23760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148087</v>
          </cell>
          <cell r="V165">
            <v>159752</v>
          </cell>
          <cell r="W165">
            <v>0</v>
          </cell>
        </row>
        <row r="166">
          <cell r="E166">
            <v>332</v>
          </cell>
          <cell r="G166">
            <v>48472</v>
          </cell>
          <cell r="J166">
            <v>26</v>
          </cell>
          <cell r="L166">
            <v>9360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132227</v>
          </cell>
          <cell r="V166">
            <v>0</v>
          </cell>
          <cell r="W166">
            <v>143936</v>
          </cell>
        </row>
        <row r="167">
          <cell r="E167">
            <v>369</v>
          </cell>
          <cell r="G167">
            <v>53874</v>
          </cell>
          <cell r="J167">
            <v>8</v>
          </cell>
          <cell r="L167">
            <v>2880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131149</v>
          </cell>
          <cell r="V167">
            <v>286794</v>
          </cell>
          <cell r="W167">
            <v>0</v>
          </cell>
        </row>
        <row r="168">
          <cell r="E168">
            <v>364</v>
          </cell>
          <cell r="G168">
            <v>53144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128259</v>
          </cell>
          <cell r="V168">
            <v>139968</v>
          </cell>
          <cell r="W168">
            <v>0</v>
          </cell>
        </row>
        <row r="169">
          <cell r="E169">
            <v>304</v>
          </cell>
          <cell r="G169">
            <v>44384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119499</v>
          </cell>
          <cell r="V169">
            <v>130814</v>
          </cell>
          <cell r="W169">
            <v>0</v>
          </cell>
        </row>
        <row r="170">
          <cell r="E170">
            <v>351</v>
          </cell>
          <cell r="G170">
            <v>51246</v>
          </cell>
          <cell r="J170">
            <v>6</v>
          </cell>
          <cell r="L170">
            <v>2160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127801</v>
          </cell>
          <cell r="V170">
            <v>139116</v>
          </cell>
          <cell r="W170">
            <v>0</v>
          </cell>
        </row>
        <row r="171">
          <cell r="E171">
            <v>350</v>
          </cell>
          <cell r="G171">
            <v>51100</v>
          </cell>
          <cell r="J171">
            <v>123</v>
          </cell>
          <cell r="L171">
            <v>44820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170315</v>
          </cell>
          <cell r="V171">
            <v>177315</v>
          </cell>
          <cell r="W171">
            <v>0</v>
          </cell>
        </row>
        <row r="172">
          <cell r="E172">
            <v>390</v>
          </cell>
          <cell r="G172">
            <v>56940</v>
          </cell>
          <cell r="J172">
            <v>139</v>
          </cell>
          <cell r="L172">
            <v>53460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184795</v>
          </cell>
          <cell r="V172">
            <v>191795</v>
          </cell>
          <cell r="W172">
            <v>0</v>
          </cell>
        </row>
        <row r="173">
          <cell r="E173">
            <v>287</v>
          </cell>
          <cell r="G173">
            <v>41902</v>
          </cell>
          <cell r="J173">
            <v>135</v>
          </cell>
          <cell r="L173">
            <v>51300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167597</v>
          </cell>
          <cell r="V173">
            <v>174597</v>
          </cell>
          <cell r="W173">
            <v>0</v>
          </cell>
        </row>
        <row r="174">
          <cell r="E174">
            <v>453</v>
          </cell>
          <cell r="G174">
            <v>66138</v>
          </cell>
          <cell r="J174">
            <v>154</v>
          </cell>
          <cell r="L174">
            <v>63720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204253</v>
          </cell>
          <cell r="V174">
            <v>0</v>
          </cell>
          <cell r="W174">
            <v>211253</v>
          </cell>
        </row>
      </sheetData>
      <sheetData sheetId="3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195000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234000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195000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234000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273000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312000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358000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404000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450000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496000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74000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120000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212000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258000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304000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350000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396000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442000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488000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534000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580000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626000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672000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718000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764000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810000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856000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902000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948000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994000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1040000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1086000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1132000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1178000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1224000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1280000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1326000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1372000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1418000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1464000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1510000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1575000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1640000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1705000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1770000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1835000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1890000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1945000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2000000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165000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56650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113300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59734</v>
          </cell>
          <cell r="W138">
            <v>20000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20000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85536</v>
          </cell>
          <cell r="W140">
            <v>1000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67536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83410</v>
          </cell>
          <cell r="W174">
            <v>-2015</v>
          </cell>
        </row>
      </sheetData>
      <sheetData sheetId="3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78000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117000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156000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195000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117000</v>
          </cell>
          <cell r="W29">
            <v>117000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195000</v>
          </cell>
          <cell r="W30">
            <v>-39000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78000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78000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117000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156000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195000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234000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273000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78000</v>
          </cell>
          <cell r="W40">
            <v>234000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78000</v>
          </cell>
          <cell r="W41">
            <v>195000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156000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78000</v>
          </cell>
          <cell r="W43">
            <v>117000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156000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195000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234000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117000</v>
          </cell>
          <cell r="W48">
            <v>156000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195000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234000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156000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195000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195000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78000</v>
          </cell>
          <cell r="W55">
            <v>14000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152000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198000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244000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290000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336000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382000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428000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290000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230000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92000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138000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184000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230000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276000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322000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368000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414000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460000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506000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552000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552000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134148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222068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310056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398035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485901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4000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583818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671653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759322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847236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935271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1023157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1129893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1236734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1343731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1450794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1558019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1655423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1752878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1850514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1948194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2045982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2143850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2241761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2298411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2355061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2411711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2468361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56650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11330</v>
          </cell>
          <cell r="S108">
            <v>67980</v>
          </cell>
          <cell r="V108">
            <v>0</v>
          </cell>
          <cell r="W108">
            <v>124630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181280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237930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29458</v>
          </cell>
          <cell r="S111">
            <v>86108</v>
          </cell>
          <cell r="V111">
            <v>0</v>
          </cell>
          <cell r="W111">
            <v>324038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380688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56650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11330</v>
          </cell>
          <cell r="S114">
            <v>67980</v>
          </cell>
          <cell r="V114">
            <v>0</v>
          </cell>
          <cell r="W114">
            <v>124630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183489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242348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30120</v>
          </cell>
          <cell r="S117">
            <v>88979</v>
          </cell>
          <cell r="V117">
            <v>0</v>
          </cell>
          <cell r="W117">
            <v>331327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390186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44905</v>
          </cell>
          <cell r="S119">
            <v>103764</v>
          </cell>
          <cell r="V119">
            <v>0</v>
          </cell>
          <cell r="W119">
            <v>493950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552809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61166</v>
          </cell>
          <cell r="S121">
            <v>120025</v>
          </cell>
          <cell r="V121">
            <v>0</v>
          </cell>
          <cell r="W121">
            <v>672834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731693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350000</v>
          </cell>
          <cell r="W123">
            <v>440552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499411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55827</v>
          </cell>
          <cell r="S125">
            <v>114686</v>
          </cell>
          <cell r="V125">
            <v>0</v>
          </cell>
          <cell r="W125">
            <v>614097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672956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73269</v>
          </cell>
          <cell r="S127">
            <v>133003</v>
          </cell>
          <cell r="V127">
            <v>0</v>
          </cell>
          <cell r="W127">
            <v>805959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877981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93771</v>
          </cell>
          <cell r="S129">
            <v>153505</v>
          </cell>
          <cell r="V129">
            <v>0</v>
          </cell>
          <cell r="W129">
            <v>1031486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1091220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115095</v>
          </cell>
          <cell r="S131">
            <v>174829</v>
          </cell>
          <cell r="V131">
            <v>0</v>
          </cell>
          <cell r="W131">
            <v>1266049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1325783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250882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59734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11947</v>
          </cell>
          <cell r="S138">
            <v>91681</v>
          </cell>
          <cell r="V138">
            <v>0</v>
          </cell>
          <cell r="W138">
            <v>151415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217951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28449</v>
          </cell>
          <cell r="S140">
            <v>94985</v>
          </cell>
          <cell r="V140">
            <v>0</v>
          </cell>
          <cell r="W140">
            <v>312936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0</v>
          </cell>
          <cell r="W141">
            <v>379472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44600</v>
          </cell>
          <cell r="S142">
            <v>111136</v>
          </cell>
          <cell r="V142">
            <v>0</v>
          </cell>
          <cell r="W142">
            <v>490608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0</v>
          </cell>
          <cell r="W143">
            <v>557144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62368</v>
          </cell>
          <cell r="S144">
            <v>128904</v>
          </cell>
          <cell r="V144">
            <v>0</v>
          </cell>
          <cell r="W144">
            <v>686048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0</v>
          </cell>
          <cell r="W145">
            <v>752584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81912</v>
          </cell>
          <cell r="S146">
            <v>148448</v>
          </cell>
          <cell r="V146">
            <v>819120</v>
          </cell>
          <cell r="W146">
            <v>81912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114872</v>
          </cell>
          <cell r="V147">
            <v>0</v>
          </cell>
          <cell r="W147">
            <v>196784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115190</v>
          </cell>
          <cell r="V148">
            <v>0</v>
          </cell>
          <cell r="W148">
            <v>311974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378510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117790</v>
          </cell>
          <cell r="V150">
            <v>0</v>
          </cell>
          <cell r="W150">
            <v>117790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120509</v>
          </cell>
          <cell r="V151">
            <v>0</v>
          </cell>
          <cell r="W151">
            <v>238299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120485</v>
          </cell>
          <cell r="V152">
            <v>0</v>
          </cell>
          <cell r="W152">
            <v>358784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120641</v>
          </cell>
          <cell r="V153">
            <v>0</v>
          </cell>
          <cell r="W153">
            <v>479425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120904</v>
          </cell>
          <cell r="V154">
            <v>0</v>
          </cell>
          <cell r="W154">
            <v>600329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671724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121568</v>
          </cell>
          <cell r="V157">
            <v>0</v>
          </cell>
          <cell r="W157">
            <v>121568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121783</v>
          </cell>
          <cell r="V158">
            <v>0</v>
          </cell>
          <cell r="W158">
            <v>243351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365440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122375</v>
          </cell>
          <cell r="V160">
            <v>0</v>
          </cell>
          <cell r="W160">
            <v>487815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559210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81395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162790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0</v>
          </cell>
          <cell r="W166">
            <v>81395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162790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0</v>
          </cell>
          <cell r="W168">
            <v>81395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162790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0</v>
          </cell>
          <cell r="W170">
            <v>81395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162790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133918</v>
          </cell>
          <cell r="V172">
            <v>0</v>
          </cell>
          <cell r="W172">
            <v>133918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0</v>
          </cell>
          <cell r="W173">
            <v>215313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296708</v>
          </cell>
          <cell r="W174">
            <v>0</v>
          </cell>
        </row>
      </sheetData>
      <sheetData sheetId="3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78046</v>
          </cell>
          <cell r="W26">
            <v>-46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39023</v>
          </cell>
          <cell r="W27">
            <v>-69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38931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77931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117069</v>
          </cell>
          <cell r="W30">
            <v>-138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77862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39023</v>
          </cell>
          <cell r="W32">
            <v>77839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39023</v>
          </cell>
          <cell r="W33">
            <v>77816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78046</v>
          </cell>
          <cell r="W34">
            <v>38770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38770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39000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78000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117000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78000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78000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78000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117000</v>
          </cell>
          <cell r="W53">
            <v>78000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124000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170000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78000</v>
          </cell>
          <cell r="W56">
            <v>138000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184000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138000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92000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46000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92000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138000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92000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138000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46000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138000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184000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230000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92000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92000</v>
          </cell>
          <cell r="W74">
            <v>46000</v>
          </cell>
        </row>
        <row r="75">
          <cell r="E75">
            <v>41</v>
          </cell>
          <cell r="G75">
            <v>4510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5051</v>
          </cell>
          <cell r="S75">
            <v>50510</v>
          </cell>
          <cell r="V75">
            <v>46000</v>
          </cell>
          <cell r="W75">
            <v>55561</v>
          </cell>
        </row>
        <row r="76">
          <cell r="E76">
            <v>491</v>
          </cell>
          <cell r="G76">
            <v>61866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107866</v>
          </cell>
          <cell r="V76">
            <v>0</v>
          </cell>
          <cell r="W76">
            <v>163427</v>
          </cell>
        </row>
        <row r="77">
          <cell r="E77">
            <v>65</v>
          </cell>
          <cell r="G77">
            <v>7735</v>
          </cell>
          <cell r="J77">
            <v>30</v>
          </cell>
          <cell r="L77">
            <v>10800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64535</v>
          </cell>
          <cell r="V77">
            <v>163427</v>
          </cell>
          <cell r="W77">
            <v>64535</v>
          </cell>
        </row>
        <row r="78">
          <cell r="E78">
            <v>-597</v>
          </cell>
          <cell r="G78">
            <v>0</v>
          </cell>
          <cell r="J78">
            <v>-30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64535</v>
          </cell>
          <cell r="W78">
            <v>46000</v>
          </cell>
        </row>
        <row r="79">
          <cell r="E79">
            <v>123</v>
          </cell>
          <cell r="G79">
            <v>15252</v>
          </cell>
          <cell r="J79">
            <v>135</v>
          </cell>
          <cell r="L79">
            <v>48600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109852</v>
          </cell>
          <cell r="V79">
            <v>46000</v>
          </cell>
          <cell r="W79">
            <v>109852</v>
          </cell>
        </row>
        <row r="80">
          <cell r="E80">
            <v>3</v>
          </cell>
          <cell r="G80">
            <v>390</v>
          </cell>
          <cell r="J80">
            <v>3</v>
          </cell>
          <cell r="L80">
            <v>1080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47470</v>
          </cell>
          <cell r="V80">
            <v>109852</v>
          </cell>
          <cell r="W80">
            <v>47470</v>
          </cell>
        </row>
        <row r="81">
          <cell r="E81">
            <v>1</v>
          </cell>
          <cell r="G81">
            <v>130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46130</v>
          </cell>
          <cell r="V81">
            <v>0</v>
          </cell>
          <cell r="W81">
            <v>93600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93600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92000</v>
          </cell>
        </row>
        <row r="84">
          <cell r="E84">
            <v>5</v>
          </cell>
          <cell r="G84">
            <v>730</v>
          </cell>
          <cell r="J84">
            <v>29</v>
          </cell>
          <cell r="L84">
            <v>10440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57170</v>
          </cell>
          <cell r="V84">
            <v>92000</v>
          </cell>
          <cell r="W84">
            <v>57170</v>
          </cell>
        </row>
        <row r="85">
          <cell r="E85">
            <v>5</v>
          </cell>
          <cell r="G85">
            <v>730</v>
          </cell>
          <cell r="J85">
            <v>3</v>
          </cell>
          <cell r="L85">
            <v>1080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47810</v>
          </cell>
          <cell r="V85">
            <v>57170</v>
          </cell>
          <cell r="W85">
            <v>57810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56000</v>
          </cell>
          <cell r="V86">
            <v>57810</v>
          </cell>
          <cell r="W86">
            <v>46000</v>
          </cell>
        </row>
        <row r="87">
          <cell r="E87">
            <v>9</v>
          </cell>
          <cell r="G87">
            <v>1314</v>
          </cell>
          <cell r="J87">
            <v>1</v>
          </cell>
          <cell r="L87">
            <v>360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47674</v>
          </cell>
          <cell r="V87">
            <v>46000</v>
          </cell>
          <cell r="W87">
            <v>47674</v>
          </cell>
        </row>
        <row r="88">
          <cell r="E88">
            <v>4</v>
          </cell>
          <cell r="G88">
            <v>584</v>
          </cell>
          <cell r="J88">
            <v>8</v>
          </cell>
          <cell r="L88">
            <v>2880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49464</v>
          </cell>
          <cell r="V88">
            <v>47674</v>
          </cell>
          <cell r="W88">
            <v>49464</v>
          </cell>
        </row>
        <row r="89">
          <cell r="E89">
            <v>15</v>
          </cell>
          <cell r="G89">
            <v>2190</v>
          </cell>
          <cell r="J89">
            <v>7</v>
          </cell>
          <cell r="L89">
            <v>2520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50710</v>
          </cell>
          <cell r="V89">
            <v>49464</v>
          </cell>
          <cell r="W89">
            <v>50710</v>
          </cell>
        </row>
        <row r="90">
          <cell r="E90">
            <v>68</v>
          </cell>
          <cell r="G90">
            <v>9928</v>
          </cell>
          <cell r="J90">
            <v>23</v>
          </cell>
          <cell r="L90">
            <v>8280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64208</v>
          </cell>
          <cell r="V90">
            <v>50710</v>
          </cell>
          <cell r="W90">
            <v>64208</v>
          </cell>
        </row>
        <row r="91">
          <cell r="E91">
            <v>62</v>
          </cell>
          <cell r="G91">
            <v>9052</v>
          </cell>
          <cell r="J91">
            <v>21</v>
          </cell>
          <cell r="L91">
            <v>7560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71612</v>
          </cell>
          <cell r="V91">
            <v>64208</v>
          </cell>
          <cell r="W91">
            <v>81612</v>
          </cell>
        </row>
        <row r="92">
          <cell r="E92">
            <v>107</v>
          </cell>
          <cell r="G92">
            <v>15622</v>
          </cell>
          <cell r="J92">
            <v>27</v>
          </cell>
          <cell r="L92">
            <v>9720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80342</v>
          </cell>
          <cell r="V92">
            <v>171954</v>
          </cell>
          <cell r="W92">
            <v>0</v>
          </cell>
        </row>
        <row r="93">
          <cell r="E93">
            <v>22</v>
          </cell>
          <cell r="G93">
            <v>3212</v>
          </cell>
          <cell r="J93">
            <v>12</v>
          </cell>
          <cell r="L93">
            <v>4320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62532</v>
          </cell>
          <cell r="V93">
            <v>72532</v>
          </cell>
          <cell r="W93">
            <v>0</v>
          </cell>
        </row>
        <row r="94">
          <cell r="E94">
            <v>7</v>
          </cell>
          <cell r="G94">
            <v>1022</v>
          </cell>
          <cell r="J94">
            <v>8</v>
          </cell>
          <cell r="L94">
            <v>2880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58902</v>
          </cell>
          <cell r="V94">
            <v>68902</v>
          </cell>
          <cell r="W94">
            <v>0</v>
          </cell>
        </row>
        <row r="95">
          <cell r="E95">
            <v>18</v>
          </cell>
          <cell r="G95">
            <v>2628</v>
          </cell>
          <cell r="J95">
            <v>6</v>
          </cell>
          <cell r="L95">
            <v>2160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59788</v>
          </cell>
          <cell r="V95">
            <v>69788</v>
          </cell>
          <cell r="W95">
            <v>0</v>
          </cell>
        </row>
        <row r="96">
          <cell r="E96">
            <v>7</v>
          </cell>
          <cell r="G96">
            <v>1022</v>
          </cell>
          <cell r="J96">
            <v>1</v>
          </cell>
          <cell r="L96">
            <v>360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56382</v>
          </cell>
          <cell r="V96">
            <v>56382</v>
          </cell>
          <cell r="W96">
            <v>0</v>
          </cell>
        </row>
        <row r="97">
          <cell r="E97">
            <v>36</v>
          </cell>
          <cell r="G97">
            <v>5256</v>
          </cell>
          <cell r="J97">
            <v>4</v>
          </cell>
          <cell r="L97">
            <v>1440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61696</v>
          </cell>
          <cell r="V97">
            <v>61696</v>
          </cell>
          <cell r="W97">
            <v>0</v>
          </cell>
        </row>
        <row r="98">
          <cell r="E98">
            <v>12</v>
          </cell>
          <cell r="G98">
            <v>1752</v>
          </cell>
          <cell r="J98">
            <v>3</v>
          </cell>
          <cell r="L98">
            <v>1080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57832</v>
          </cell>
          <cell r="V98">
            <v>57832</v>
          </cell>
          <cell r="W98">
            <v>0</v>
          </cell>
        </row>
        <row r="99">
          <cell r="E99">
            <v>24</v>
          </cell>
          <cell r="G99">
            <v>3504</v>
          </cell>
          <cell r="J99">
            <v>3</v>
          </cell>
          <cell r="L99">
            <v>1080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59584</v>
          </cell>
          <cell r="V99">
            <v>0</v>
          </cell>
          <cell r="W99">
            <v>59584</v>
          </cell>
        </row>
        <row r="100">
          <cell r="E100">
            <v>27</v>
          </cell>
          <cell r="G100">
            <v>3942</v>
          </cell>
          <cell r="J100">
            <v>6</v>
          </cell>
          <cell r="L100">
            <v>2160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61102</v>
          </cell>
          <cell r="V100">
            <v>120686</v>
          </cell>
          <cell r="W100">
            <v>0</v>
          </cell>
        </row>
        <row r="101">
          <cell r="E101">
            <v>16</v>
          </cell>
          <cell r="G101">
            <v>2336</v>
          </cell>
          <cell r="J101">
            <v>3</v>
          </cell>
          <cell r="L101">
            <v>1080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58416</v>
          </cell>
          <cell r="V101">
            <v>0</v>
          </cell>
          <cell r="W101">
            <v>58416</v>
          </cell>
        </row>
        <row r="102">
          <cell r="E102">
            <v>40</v>
          </cell>
          <cell r="G102">
            <v>5840</v>
          </cell>
          <cell r="J102">
            <v>8</v>
          </cell>
          <cell r="L102">
            <v>2880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63720</v>
          </cell>
          <cell r="V102">
            <v>122136</v>
          </cell>
          <cell r="W102">
            <v>0</v>
          </cell>
        </row>
        <row r="103">
          <cell r="E103">
            <v>39</v>
          </cell>
          <cell r="G103">
            <v>5694</v>
          </cell>
          <cell r="J103">
            <v>2</v>
          </cell>
          <cell r="L103">
            <v>720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63064</v>
          </cell>
          <cell r="V103">
            <v>63064</v>
          </cell>
          <cell r="W103">
            <v>0</v>
          </cell>
        </row>
        <row r="104">
          <cell r="E104">
            <v>59</v>
          </cell>
          <cell r="G104">
            <v>8614</v>
          </cell>
          <cell r="J104">
            <v>13</v>
          </cell>
          <cell r="L104">
            <v>4680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69944</v>
          </cell>
          <cell r="V104">
            <v>69944</v>
          </cell>
          <cell r="W104">
            <v>0</v>
          </cell>
        </row>
        <row r="105">
          <cell r="E105">
            <v>45</v>
          </cell>
          <cell r="G105">
            <v>6570</v>
          </cell>
          <cell r="J105">
            <v>5</v>
          </cell>
          <cell r="L105">
            <v>1800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65020</v>
          </cell>
          <cell r="V105">
            <v>0</v>
          </cell>
          <cell r="W105">
            <v>65020</v>
          </cell>
        </row>
        <row r="106">
          <cell r="E106">
            <v>31</v>
          </cell>
          <cell r="G106">
            <v>4526</v>
          </cell>
          <cell r="J106">
            <v>2</v>
          </cell>
          <cell r="L106">
            <v>720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61896</v>
          </cell>
          <cell r="V106">
            <v>126916</v>
          </cell>
          <cell r="W106">
            <v>0</v>
          </cell>
        </row>
        <row r="107">
          <cell r="E107">
            <v>12</v>
          </cell>
          <cell r="G107">
            <v>1752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58762</v>
          </cell>
          <cell r="V107">
            <v>58762</v>
          </cell>
          <cell r="W107">
            <v>0</v>
          </cell>
        </row>
        <row r="108">
          <cell r="E108">
            <v>18</v>
          </cell>
          <cell r="G108">
            <v>2628</v>
          </cell>
          <cell r="J108">
            <v>5</v>
          </cell>
          <cell r="L108">
            <v>1800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61078</v>
          </cell>
          <cell r="V108">
            <v>61078</v>
          </cell>
          <cell r="W108">
            <v>0</v>
          </cell>
        </row>
        <row r="109">
          <cell r="E109">
            <v>40</v>
          </cell>
          <cell r="G109">
            <v>5840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63210</v>
          </cell>
          <cell r="V109">
            <v>63210</v>
          </cell>
          <cell r="W109">
            <v>0</v>
          </cell>
        </row>
        <row r="110">
          <cell r="E110">
            <v>15</v>
          </cell>
          <cell r="G110">
            <v>2190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59200</v>
          </cell>
          <cell r="V110">
            <v>0</v>
          </cell>
          <cell r="W110">
            <v>63200</v>
          </cell>
        </row>
        <row r="111">
          <cell r="E111">
            <v>34</v>
          </cell>
          <cell r="G111">
            <v>4964</v>
          </cell>
          <cell r="J111">
            <v>1</v>
          </cell>
          <cell r="L111">
            <v>360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61974</v>
          </cell>
          <cell r="V111">
            <v>129174</v>
          </cell>
          <cell r="W111">
            <v>0</v>
          </cell>
        </row>
        <row r="112">
          <cell r="E112">
            <v>22</v>
          </cell>
          <cell r="G112">
            <v>3212</v>
          </cell>
          <cell r="J112">
            <v>2</v>
          </cell>
          <cell r="L112">
            <v>720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60582</v>
          </cell>
          <cell r="V112">
            <v>0</v>
          </cell>
          <cell r="W112">
            <v>64582</v>
          </cell>
        </row>
        <row r="113">
          <cell r="E113">
            <v>44</v>
          </cell>
          <cell r="G113">
            <v>6424</v>
          </cell>
          <cell r="J113">
            <v>7</v>
          </cell>
          <cell r="L113">
            <v>2520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13417</v>
          </cell>
          <cell r="S113">
            <v>65594</v>
          </cell>
          <cell r="V113">
            <v>0</v>
          </cell>
          <cell r="W113">
            <v>147593</v>
          </cell>
        </row>
        <row r="114">
          <cell r="E114">
            <v>2</v>
          </cell>
          <cell r="G114">
            <v>292</v>
          </cell>
          <cell r="J114">
            <v>5</v>
          </cell>
          <cell r="L114">
            <v>1800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58742</v>
          </cell>
          <cell r="V114">
            <v>210335</v>
          </cell>
          <cell r="W114">
            <v>0</v>
          </cell>
        </row>
        <row r="115">
          <cell r="E115">
            <v>59</v>
          </cell>
          <cell r="G115">
            <v>8614</v>
          </cell>
          <cell r="J115">
            <v>20</v>
          </cell>
          <cell r="L115">
            <v>7200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74673</v>
          </cell>
          <cell r="V115">
            <v>78673</v>
          </cell>
          <cell r="W115">
            <v>0</v>
          </cell>
        </row>
        <row r="116">
          <cell r="E116">
            <v>57</v>
          </cell>
          <cell r="G116">
            <v>8322</v>
          </cell>
          <cell r="J116">
            <v>20</v>
          </cell>
          <cell r="L116">
            <v>7200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74381</v>
          </cell>
          <cell r="V116">
            <v>0</v>
          </cell>
          <cell r="W116">
            <v>78381</v>
          </cell>
        </row>
        <row r="117">
          <cell r="E117">
            <v>45</v>
          </cell>
          <cell r="G117">
            <v>6570</v>
          </cell>
          <cell r="J117">
            <v>3</v>
          </cell>
          <cell r="L117">
            <v>1080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66509</v>
          </cell>
          <cell r="V117">
            <v>148890</v>
          </cell>
          <cell r="W117">
            <v>0</v>
          </cell>
        </row>
        <row r="118">
          <cell r="E118">
            <v>26</v>
          </cell>
          <cell r="G118">
            <v>3796</v>
          </cell>
          <cell r="J118">
            <v>5</v>
          </cell>
          <cell r="L118">
            <v>1800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64455</v>
          </cell>
          <cell r="V118">
            <v>0</v>
          </cell>
          <cell r="W118">
            <v>68455</v>
          </cell>
        </row>
        <row r="119">
          <cell r="E119">
            <v>42</v>
          </cell>
          <cell r="G119">
            <v>6132</v>
          </cell>
          <cell r="J119">
            <v>6</v>
          </cell>
          <cell r="L119">
            <v>2160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67151</v>
          </cell>
          <cell r="V119">
            <v>139606</v>
          </cell>
          <cell r="W119">
            <v>0</v>
          </cell>
        </row>
        <row r="120">
          <cell r="E120">
            <v>10</v>
          </cell>
          <cell r="G120">
            <v>1460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60319</v>
          </cell>
          <cell r="V120">
            <v>0</v>
          </cell>
          <cell r="W120">
            <v>64319</v>
          </cell>
        </row>
        <row r="121">
          <cell r="E121">
            <v>8</v>
          </cell>
          <cell r="G121">
            <v>1168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60027</v>
          </cell>
          <cell r="V121">
            <v>128346</v>
          </cell>
          <cell r="W121">
            <v>0</v>
          </cell>
        </row>
        <row r="122">
          <cell r="E122">
            <v>20</v>
          </cell>
          <cell r="G122">
            <v>2920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61779</v>
          </cell>
          <cell r="V122">
            <v>61779</v>
          </cell>
          <cell r="W122">
            <v>0</v>
          </cell>
        </row>
        <row r="123">
          <cell r="E123">
            <v>38</v>
          </cell>
          <cell r="G123">
            <v>5548</v>
          </cell>
          <cell r="J123">
            <v>5</v>
          </cell>
          <cell r="L123">
            <v>1800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66207</v>
          </cell>
          <cell r="V123">
            <v>0</v>
          </cell>
          <cell r="W123">
            <v>66207</v>
          </cell>
        </row>
        <row r="124">
          <cell r="E124">
            <v>32</v>
          </cell>
          <cell r="G124">
            <v>4672</v>
          </cell>
          <cell r="J124">
            <v>3</v>
          </cell>
          <cell r="L124">
            <v>1080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64611</v>
          </cell>
          <cell r="V124">
            <v>130818</v>
          </cell>
          <cell r="W124">
            <v>0</v>
          </cell>
        </row>
        <row r="125">
          <cell r="E125">
            <v>39</v>
          </cell>
          <cell r="G125">
            <v>5694</v>
          </cell>
          <cell r="J125">
            <v>4</v>
          </cell>
          <cell r="L125">
            <v>1440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65993</v>
          </cell>
          <cell r="V125">
            <v>65993</v>
          </cell>
          <cell r="W125">
            <v>0</v>
          </cell>
        </row>
        <row r="126">
          <cell r="E126">
            <v>31</v>
          </cell>
          <cell r="G126">
            <v>4526</v>
          </cell>
          <cell r="J126">
            <v>4</v>
          </cell>
          <cell r="L126">
            <v>1440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64825</v>
          </cell>
          <cell r="V126">
            <v>64825</v>
          </cell>
          <cell r="W126">
            <v>0</v>
          </cell>
        </row>
        <row r="127">
          <cell r="E127">
            <v>58</v>
          </cell>
          <cell r="G127">
            <v>8468</v>
          </cell>
          <cell r="J127">
            <v>13</v>
          </cell>
          <cell r="L127">
            <v>4680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72882</v>
          </cell>
          <cell r="V127">
            <v>0</v>
          </cell>
          <cell r="W127">
            <v>72882</v>
          </cell>
        </row>
        <row r="128">
          <cell r="E128">
            <v>47</v>
          </cell>
          <cell r="G128">
            <v>6862</v>
          </cell>
          <cell r="J128">
            <v>7</v>
          </cell>
          <cell r="L128">
            <v>2520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69116</v>
          </cell>
          <cell r="V128">
            <v>154286</v>
          </cell>
          <cell r="W128">
            <v>0</v>
          </cell>
        </row>
        <row r="129">
          <cell r="E129">
            <v>25</v>
          </cell>
          <cell r="G129">
            <v>3650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63384</v>
          </cell>
          <cell r="V129">
            <v>63384</v>
          </cell>
          <cell r="W129">
            <v>0</v>
          </cell>
        </row>
        <row r="130">
          <cell r="E130">
            <v>34</v>
          </cell>
          <cell r="G130">
            <v>4964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64698</v>
          </cell>
          <cell r="V130">
            <v>64698</v>
          </cell>
          <cell r="W130">
            <v>0</v>
          </cell>
        </row>
        <row r="131">
          <cell r="E131">
            <v>47</v>
          </cell>
          <cell r="G131">
            <v>6862</v>
          </cell>
          <cell r="J131">
            <v>1</v>
          </cell>
          <cell r="L131">
            <v>360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66956</v>
          </cell>
          <cell r="V131">
            <v>66956</v>
          </cell>
          <cell r="W131">
            <v>0</v>
          </cell>
        </row>
        <row r="132">
          <cell r="E132">
            <v>6</v>
          </cell>
          <cell r="G132">
            <v>876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60610</v>
          </cell>
          <cell r="V132">
            <v>60610</v>
          </cell>
          <cell r="W132">
            <v>0</v>
          </cell>
        </row>
        <row r="133">
          <cell r="E133">
            <v>45</v>
          </cell>
          <cell r="G133">
            <v>6570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66304</v>
          </cell>
          <cell r="V133">
            <v>66304</v>
          </cell>
          <cell r="W133">
            <v>0</v>
          </cell>
        </row>
        <row r="134">
          <cell r="E134">
            <v>17</v>
          </cell>
          <cell r="G134">
            <v>2482</v>
          </cell>
          <cell r="J134">
            <v>1</v>
          </cell>
          <cell r="L134">
            <v>360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62576</v>
          </cell>
          <cell r="V134">
            <v>62576</v>
          </cell>
          <cell r="W134">
            <v>0</v>
          </cell>
        </row>
        <row r="135">
          <cell r="E135">
            <v>86</v>
          </cell>
          <cell r="G135">
            <v>12556</v>
          </cell>
          <cell r="J135">
            <v>18</v>
          </cell>
          <cell r="L135">
            <v>6480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78770</v>
          </cell>
          <cell r="V135">
            <v>0</v>
          </cell>
          <cell r="W135">
            <v>78770</v>
          </cell>
        </row>
        <row r="136">
          <cell r="E136">
            <v>22</v>
          </cell>
          <cell r="G136">
            <v>3212</v>
          </cell>
          <cell r="J136">
            <v>1</v>
          </cell>
          <cell r="L136">
            <v>360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63306</v>
          </cell>
          <cell r="V136">
            <v>142076</v>
          </cell>
          <cell r="W136">
            <v>0</v>
          </cell>
        </row>
        <row r="137">
          <cell r="E137">
            <v>39</v>
          </cell>
          <cell r="G137">
            <v>5694</v>
          </cell>
          <cell r="J137">
            <v>7</v>
          </cell>
          <cell r="L137">
            <v>2520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67948</v>
          </cell>
          <cell r="V137">
            <v>0</v>
          </cell>
          <cell r="W137">
            <v>67948</v>
          </cell>
        </row>
        <row r="138">
          <cell r="E138">
            <v>33</v>
          </cell>
          <cell r="G138">
            <v>4818</v>
          </cell>
          <cell r="J138">
            <v>3</v>
          </cell>
          <cell r="L138">
            <v>1080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65632</v>
          </cell>
          <cell r="V138">
            <v>153580</v>
          </cell>
          <cell r="W138">
            <v>0</v>
          </cell>
        </row>
        <row r="139">
          <cell r="E139">
            <v>39</v>
          </cell>
          <cell r="G139">
            <v>5694</v>
          </cell>
          <cell r="J139">
            <v>1</v>
          </cell>
          <cell r="L139">
            <v>360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67590</v>
          </cell>
          <cell r="V139">
            <v>89131</v>
          </cell>
          <cell r="W139">
            <v>0</v>
          </cell>
        </row>
        <row r="140">
          <cell r="E140">
            <v>53</v>
          </cell>
          <cell r="G140">
            <v>7738</v>
          </cell>
          <cell r="J140">
            <v>5</v>
          </cell>
          <cell r="L140">
            <v>1800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71074</v>
          </cell>
          <cell r="V140">
            <v>76074</v>
          </cell>
          <cell r="W140">
            <v>0</v>
          </cell>
        </row>
        <row r="141">
          <cell r="E141">
            <v>42</v>
          </cell>
          <cell r="G141">
            <v>6132</v>
          </cell>
          <cell r="J141">
            <v>6</v>
          </cell>
          <cell r="L141">
            <v>2160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69828</v>
          </cell>
          <cell r="V141">
            <v>0</v>
          </cell>
          <cell r="W141">
            <v>74828</v>
          </cell>
        </row>
        <row r="142">
          <cell r="E142">
            <v>39</v>
          </cell>
          <cell r="G142">
            <v>5694</v>
          </cell>
          <cell r="J142">
            <v>20</v>
          </cell>
          <cell r="L142">
            <v>7200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74430</v>
          </cell>
          <cell r="V142">
            <v>154258</v>
          </cell>
          <cell r="W142">
            <v>0</v>
          </cell>
        </row>
        <row r="143">
          <cell r="E143">
            <v>29</v>
          </cell>
          <cell r="G143">
            <v>4234</v>
          </cell>
          <cell r="J143">
            <v>1</v>
          </cell>
          <cell r="L143">
            <v>360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66130</v>
          </cell>
          <cell r="V143">
            <v>71130</v>
          </cell>
          <cell r="W143">
            <v>0</v>
          </cell>
        </row>
        <row r="144">
          <cell r="E144">
            <v>30</v>
          </cell>
          <cell r="G144">
            <v>4380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66636</v>
          </cell>
          <cell r="V144">
            <v>0</v>
          </cell>
          <cell r="W144">
            <v>71636</v>
          </cell>
        </row>
        <row r="145">
          <cell r="E145">
            <v>9</v>
          </cell>
          <cell r="G145">
            <v>1314</v>
          </cell>
          <cell r="J145">
            <v>2</v>
          </cell>
          <cell r="L145">
            <v>720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63570</v>
          </cell>
          <cell r="V145">
            <v>140206</v>
          </cell>
          <cell r="W145">
            <v>0</v>
          </cell>
        </row>
        <row r="146">
          <cell r="E146">
            <v>46</v>
          </cell>
          <cell r="G146">
            <v>6716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68972</v>
          </cell>
          <cell r="V146">
            <v>0</v>
          </cell>
          <cell r="W146">
            <v>73972</v>
          </cell>
        </row>
        <row r="147">
          <cell r="E147">
            <v>37</v>
          </cell>
          <cell r="G147">
            <v>5402</v>
          </cell>
          <cell r="J147">
            <v>2</v>
          </cell>
          <cell r="L147">
            <v>720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67658</v>
          </cell>
          <cell r="V147">
            <v>146630</v>
          </cell>
          <cell r="W147">
            <v>0</v>
          </cell>
        </row>
        <row r="148">
          <cell r="E148">
            <v>22</v>
          </cell>
          <cell r="G148">
            <v>3212</v>
          </cell>
          <cell r="J148">
            <v>2</v>
          </cell>
          <cell r="L148">
            <v>720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65468</v>
          </cell>
          <cell r="V148">
            <v>0</v>
          </cell>
          <cell r="W148">
            <v>70468</v>
          </cell>
        </row>
        <row r="149">
          <cell r="E149">
            <v>37</v>
          </cell>
          <cell r="G149">
            <v>5402</v>
          </cell>
          <cell r="J149">
            <v>3</v>
          </cell>
          <cell r="L149">
            <v>1080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68018</v>
          </cell>
          <cell r="V149">
            <v>143486</v>
          </cell>
          <cell r="W149">
            <v>0</v>
          </cell>
        </row>
        <row r="150">
          <cell r="E150">
            <v>33</v>
          </cell>
          <cell r="G150">
            <v>4818</v>
          </cell>
          <cell r="J150">
            <v>11</v>
          </cell>
          <cell r="L150">
            <v>3960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70314</v>
          </cell>
          <cell r="V150">
            <v>0</v>
          </cell>
          <cell r="W150">
            <v>77314</v>
          </cell>
        </row>
        <row r="151">
          <cell r="E151">
            <v>55</v>
          </cell>
          <cell r="G151">
            <v>8030</v>
          </cell>
          <cell r="J151">
            <v>1</v>
          </cell>
          <cell r="L151">
            <v>360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72785</v>
          </cell>
          <cell r="V151">
            <v>157099</v>
          </cell>
          <cell r="W151">
            <v>0</v>
          </cell>
        </row>
        <row r="152">
          <cell r="E152">
            <v>36</v>
          </cell>
          <cell r="G152">
            <v>5256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69651</v>
          </cell>
          <cell r="V152">
            <v>76641</v>
          </cell>
          <cell r="W152">
            <v>10</v>
          </cell>
        </row>
        <row r="153">
          <cell r="E153">
            <v>36</v>
          </cell>
          <cell r="G153">
            <v>5256</v>
          </cell>
          <cell r="J153">
            <v>0</v>
          </cell>
          <cell r="L153">
            <v>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69651</v>
          </cell>
          <cell r="V153">
            <v>0</v>
          </cell>
          <cell r="W153">
            <v>81620</v>
          </cell>
        </row>
        <row r="154">
          <cell r="E154">
            <v>28</v>
          </cell>
          <cell r="G154">
            <v>4088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68483</v>
          </cell>
          <cell r="V154">
            <v>162062</v>
          </cell>
          <cell r="W154">
            <v>0</v>
          </cell>
        </row>
        <row r="155">
          <cell r="E155">
            <v>72</v>
          </cell>
          <cell r="G155">
            <v>10512</v>
          </cell>
          <cell r="J155">
            <v>1</v>
          </cell>
          <cell r="L155">
            <v>360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75267</v>
          </cell>
          <cell r="V155">
            <v>0</v>
          </cell>
          <cell r="W155">
            <v>87226</v>
          </cell>
        </row>
        <row r="156">
          <cell r="E156">
            <v>7</v>
          </cell>
          <cell r="G156">
            <v>1022</v>
          </cell>
          <cell r="J156">
            <v>0</v>
          </cell>
          <cell r="L156">
            <v>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65417</v>
          </cell>
          <cell r="V156">
            <v>164602</v>
          </cell>
          <cell r="W156">
            <v>0</v>
          </cell>
        </row>
        <row r="157">
          <cell r="E157">
            <v>33</v>
          </cell>
          <cell r="G157">
            <v>4818</v>
          </cell>
          <cell r="J157">
            <v>19</v>
          </cell>
          <cell r="L157">
            <v>6840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76053</v>
          </cell>
          <cell r="V157">
            <v>0</v>
          </cell>
          <cell r="W157">
            <v>88012</v>
          </cell>
        </row>
        <row r="158">
          <cell r="E158">
            <v>7</v>
          </cell>
          <cell r="G158">
            <v>1022</v>
          </cell>
          <cell r="J158">
            <v>2</v>
          </cell>
          <cell r="L158">
            <v>720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66137</v>
          </cell>
          <cell r="V158">
            <v>166108</v>
          </cell>
          <cell r="W158">
            <v>0</v>
          </cell>
        </row>
        <row r="159">
          <cell r="E159">
            <v>96</v>
          </cell>
          <cell r="G159">
            <v>14016</v>
          </cell>
          <cell r="J159">
            <v>2</v>
          </cell>
          <cell r="L159">
            <v>720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79131</v>
          </cell>
          <cell r="V159">
            <v>0</v>
          </cell>
          <cell r="W159">
            <v>91090</v>
          </cell>
        </row>
        <row r="160">
          <cell r="E160">
            <v>14</v>
          </cell>
          <cell r="G160">
            <v>2044</v>
          </cell>
          <cell r="J160">
            <v>1</v>
          </cell>
          <cell r="L160">
            <v>360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66799</v>
          </cell>
          <cell r="V160">
            <v>169848</v>
          </cell>
          <cell r="W160">
            <v>0</v>
          </cell>
        </row>
        <row r="161">
          <cell r="E161">
            <v>18</v>
          </cell>
          <cell r="G161">
            <v>2628</v>
          </cell>
          <cell r="J161">
            <v>0</v>
          </cell>
          <cell r="L161">
            <v>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67023</v>
          </cell>
          <cell r="V161">
            <v>78982</v>
          </cell>
          <cell r="W161">
            <v>0</v>
          </cell>
        </row>
        <row r="162">
          <cell r="E162">
            <v>38</v>
          </cell>
          <cell r="G162">
            <v>5548</v>
          </cell>
          <cell r="J162">
            <v>3</v>
          </cell>
          <cell r="L162">
            <v>1080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71023</v>
          </cell>
          <cell r="V162">
            <v>82688</v>
          </cell>
          <cell r="W162">
            <v>0</v>
          </cell>
        </row>
        <row r="163">
          <cell r="E163">
            <v>43</v>
          </cell>
          <cell r="G163">
            <v>6278</v>
          </cell>
          <cell r="J163">
            <v>0</v>
          </cell>
          <cell r="L163">
            <v>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80673</v>
          </cell>
          <cell r="V163">
            <v>0</v>
          </cell>
          <cell r="W163">
            <v>92338</v>
          </cell>
        </row>
        <row r="164">
          <cell r="E164">
            <v>34</v>
          </cell>
          <cell r="G164">
            <v>4964</v>
          </cell>
          <cell r="J164">
            <v>0</v>
          </cell>
          <cell r="L164">
            <v>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79359</v>
          </cell>
          <cell r="V164">
            <v>183362</v>
          </cell>
          <cell r="W164">
            <v>0</v>
          </cell>
        </row>
        <row r="165">
          <cell r="E165">
            <v>38</v>
          </cell>
          <cell r="G165">
            <v>5548</v>
          </cell>
          <cell r="J165">
            <v>15</v>
          </cell>
          <cell r="L165">
            <v>5400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85343</v>
          </cell>
          <cell r="V165">
            <v>0</v>
          </cell>
          <cell r="W165">
            <v>97008</v>
          </cell>
        </row>
        <row r="166">
          <cell r="E166">
            <v>15</v>
          </cell>
          <cell r="G166">
            <v>2190</v>
          </cell>
          <cell r="J166">
            <v>0</v>
          </cell>
          <cell r="L166">
            <v>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76585</v>
          </cell>
          <cell r="V166">
            <v>185302</v>
          </cell>
          <cell r="W166">
            <v>0</v>
          </cell>
        </row>
        <row r="167">
          <cell r="E167">
            <v>12</v>
          </cell>
          <cell r="G167">
            <v>1752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76147</v>
          </cell>
          <cell r="V167">
            <v>87856</v>
          </cell>
          <cell r="W167">
            <v>0</v>
          </cell>
        </row>
        <row r="168">
          <cell r="E168">
            <v>10</v>
          </cell>
          <cell r="G168">
            <v>1460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75855</v>
          </cell>
          <cell r="V168">
            <v>87564</v>
          </cell>
          <cell r="W168">
            <v>0</v>
          </cell>
        </row>
        <row r="169">
          <cell r="E169">
            <v>77</v>
          </cell>
          <cell r="G169">
            <v>11242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85997</v>
          </cell>
          <cell r="V169">
            <v>97312</v>
          </cell>
          <cell r="W169">
            <v>0</v>
          </cell>
        </row>
        <row r="170">
          <cell r="E170">
            <v>41</v>
          </cell>
          <cell r="G170">
            <v>5986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80381</v>
          </cell>
          <cell r="V170">
            <v>91696</v>
          </cell>
          <cell r="W170">
            <v>0</v>
          </cell>
        </row>
        <row r="171">
          <cell r="E171">
            <v>25</v>
          </cell>
          <cell r="G171">
            <v>3650</v>
          </cell>
          <cell r="J171">
            <v>1</v>
          </cell>
          <cell r="L171">
            <v>360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78405</v>
          </cell>
          <cell r="V171">
            <v>85405</v>
          </cell>
          <cell r="W171">
            <v>0</v>
          </cell>
        </row>
        <row r="172">
          <cell r="E172">
            <v>24</v>
          </cell>
          <cell r="G172">
            <v>3504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77899</v>
          </cell>
          <cell r="V172">
            <v>84899</v>
          </cell>
          <cell r="W172">
            <v>0</v>
          </cell>
        </row>
        <row r="173">
          <cell r="E173">
            <v>31</v>
          </cell>
          <cell r="G173">
            <v>4526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78921</v>
          </cell>
          <cell r="V173">
            <v>85921</v>
          </cell>
          <cell r="W173">
            <v>0</v>
          </cell>
        </row>
        <row r="174">
          <cell r="E174">
            <v>48</v>
          </cell>
          <cell r="G174">
            <v>7008</v>
          </cell>
          <cell r="J174">
            <v>2</v>
          </cell>
          <cell r="L174">
            <v>720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82123</v>
          </cell>
          <cell r="V174">
            <v>89123</v>
          </cell>
          <cell r="W174">
            <v>0</v>
          </cell>
        </row>
      </sheetData>
      <sheetData sheetId="3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10.6</v>
          </cell>
          <cell r="G17">
            <v>667.8</v>
          </cell>
          <cell r="J17">
            <v>7.2489999999999997</v>
          </cell>
          <cell r="L17">
            <v>2174.6999999999998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41842.5</v>
          </cell>
          <cell r="V17">
            <v>0</v>
          </cell>
          <cell r="W17">
            <v>0</v>
          </cell>
        </row>
        <row r="18">
          <cell r="E18">
            <v>58.199999999999996</v>
          </cell>
          <cell r="G18">
            <v>3666.6</v>
          </cell>
          <cell r="J18">
            <v>24.051000000000002</v>
          </cell>
          <cell r="L18">
            <v>7215.3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49881.9</v>
          </cell>
          <cell r="V18">
            <v>0</v>
          </cell>
          <cell r="W18">
            <v>0</v>
          </cell>
        </row>
        <row r="19">
          <cell r="E19">
            <v>114.00000000000001</v>
          </cell>
          <cell r="G19">
            <v>7182.0000000000009</v>
          </cell>
          <cell r="J19">
            <v>35.600000000000009</v>
          </cell>
          <cell r="L19">
            <v>10680.000000000002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56862</v>
          </cell>
          <cell r="V19">
            <v>0</v>
          </cell>
          <cell r="W19">
            <v>0</v>
          </cell>
        </row>
        <row r="20">
          <cell r="E20">
            <v>161.80000000000001</v>
          </cell>
          <cell r="G20">
            <v>10193.400000000001</v>
          </cell>
          <cell r="J20">
            <v>10.299999999999997</v>
          </cell>
          <cell r="L20">
            <v>3089.9999999999991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52283.4</v>
          </cell>
          <cell r="V20">
            <v>0</v>
          </cell>
          <cell r="W20">
            <v>0</v>
          </cell>
        </row>
        <row r="21">
          <cell r="E21">
            <v>137.09999999999997</v>
          </cell>
          <cell r="G21">
            <v>8637.2999999999975</v>
          </cell>
          <cell r="J21">
            <v>3.8400000000000034</v>
          </cell>
          <cell r="L21">
            <v>1152.0000000000009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48789.3</v>
          </cell>
          <cell r="V21">
            <v>0</v>
          </cell>
          <cell r="W21">
            <v>0</v>
          </cell>
        </row>
        <row r="22">
          <cell r="E22">
            <v>85.000000000000057</v>
          </cell>
          <cell r="G22">
            <v>5355.0000000000036</v>
          </cell>
          <cell r="J22">
            <v>1.5599999999999881</v>
          </cell>
          <cell r="L22">
            <v>561.5999999999957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44916.6</v>
          </cell>
          <cell r="V22">
            <v>0</v>
          </cell>
          <cell r="W22">
            <v>0</v>
          </cell>
        </row>
        <row r="23">
          <cell r="E23">
            <v>131</v>
          </cell>
          <cell r="G23">
            <v>8253</v>
          </cell>
          <cell r="J23">
            <v>5.6000000000000085</v>
          </cell>
          <cell r="L23">
            <v>2016.0000000000032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49269</v>
          </cell>
          <cell r="V23">
            <v>0</v>
          </cell>
          <cell r="W23">
            <v>0</v>
          </cell>
        </row>
        <row r="24">
          <cell r="E24">
            <v>82.599999999999909</v>
          </cell>
          <cell r="G24">
            <v>5203.7999999999938</v>
          </cell>
          <cell r="J24">
            <v>1.2000000000000028</v>
          </cell>
          <cell r="L24">
            <v>432.00000000000102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44635.799999999996</v>
          </cell>
          <cell r="V24">
            <v>0</v>
          </cell>
          <cell r="W24">
            <v>0</v>
          </cell>
        </row>
        <row r="25">
          <cell r="E25">
            <v>128.40000000000009</v>
          </cell>
          <cell r="G25">
            <v>8089.2000000000062</v>
          </cell>
          <cell r="J25">
            <v>2.7999999999999972</v>
          </cell>
          <cell r="L25">
            <v>1007.999999999999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48097.200000000004</v>
          </cell>
          <cell r="V25">
            <v>0</v>
          </cell>
          <cell r="W25">
            <v>48097.200000000004</v>
          </cell>
        </row>
        <row r="26">
          <cell r="E26">
            <v>124.89999999999986</v>
          </cell>
          <cell r="G26">
            <v>7868.6999999999916</v>
          </cell>
          <cell r="J26">
            <v>3.5999999999999943</v>
          </cell>
          <cell r="L26">
            <v>1295.999999999998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48164.69999999999</v>
          </cell>
          <cell r="V26">
            <v>48097</v>
          </cell>
          <cell r="W26">
            <v>48164.899999999994</v>
          </cell>
        </row>
        <row r="27">
          <cell r="E27">
            <v>104.30000000000018</v>
          </cell>
          <cell r="G27">
            <v>6570.9000000000115</v>
          </cell>
          <cell r="J27">
            <v>3.2</v>
          </cell>
          <cell r="L27">
            <v>1152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46722.900000000009</v>
          </cell>
          <cell r="V27">
            <v>48165</v>
          </cell>
          <cell r="W27">
            <v>46722.8</v>
          </cell>
        </row>
        <row r="28">
          <cell r="E28">
            <v>93.599999999999909</v>
          </cell>
          <cell r="G28">
            <v>5896.7999999999938</v>
          </cell>
          <cell r="J28">
            <v>0.19999999999998863</v>
          </cell>
          <cell r="L28">
            <v>71.999999999995907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44968.799999999988</v>
          </cell>
          <cell r="V28">
            <v>60735</v>
          </cell>
          <cell r="W28">
            <v>30956.599999999991</v>
          </cell>
        </row>
        <row r="29">
          <cell r="E29">
            <v>101.5</v>
          </cell>
          <cell r="G29">
            <v>6394.5</v>
          </cell>
          <cell r="J29">
            <v>2.4000000000000341</v>
          </cell>
          <cell r="L29">
            <v>864.00000000001228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46258.500000000015</v>
          </cell>
          <cell r="V29">
            <v>45000</v>
          </cell>
          <cell r="W29">
            <v>32215.100000000006</v>
          </cell>
        </row>
        <row r="30">
          <cell r="E30">
            <v>79.200000000000045</v>
          </cell>
          <cell r="G30">
            <v>4989.6000000000031</v>
          </cell>
          <cell r="J30">
            <v>1.3999999999999773</v>
          </cell>
          <cell r="L30">
            <v>503.99999999999181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44493.599999999991</v>
          </cell>
          <cell r="V30">
            <v>50000</v>
          </cell>
          <cell r="W30">
            <v>26708.700000000012</v>
          </cell>
        </row>
        <row r="31">
          <cell r="E31">
            <v>151.79999999999995</v>
          </cell>
          <cell r="G31">
            <v>9563.3999999999978</v>
          </cell>
          <cell r="J31">
            <v>10.300000000000011</v>
          </cell>
          <cell r="L31">
            <v>3708.0000000000041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52271.4</v>
          </cell>
          <cell r="V31">
            <v>50000</v>
          </cell>
          <cell r="W31">
            <v>71980.100000000006</v>
          </cell>
        </row>
        <row r="32">
          <cell r="E32">
            <v>185</v>
          </cell>
          <cell r="G32">
            <v>11655</v>
          </cell>
          <cell r="J32">
            <v>12</v>
          </cell>
          <cell r="L32">
            <v>4320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58975</v>
          </cell>
          <cell r="V32">
            <v>0</v>
          </cell>
          <cell r="W32">
            <v>130955.1</v>
          </cell>
        </row>
        <row r="33">
          <cell r="E33">
            <v>168</v>
          </cell>
          <cell r="G33">
            <v>10584</v>
          </cell>
          <cell r="J33">
            <v>28</v>
          </cell>
          <cell r="L33">
            <v>10080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63664</v>
          </cell>
          <cell r="V33">
            <v>130068</v>
          </cell>
          <cell r="W33">
            <v>64551.100000000006</v>
          </cell>
        </row>
        <row r="34">
          <cell r="E34">
            <v>133</v>
          </cell>
          <cell r="G34">
            <v>8379</v>
          </cell>
          <cell r="J34">
            <v>6</v>
          </cell>
          <cell r="L34">
            <v>2160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53539</v>
          </cell>
          <cell r="V34">
            <v>64034</v>
          </cell>
          <cell r="W34">
            <v>54056.100000000006</v>
          </cell>
        </row>
        <row r="35">
          <cell r="E35">
            <v>107</v>
          </cell>
          <cell r="G35">
            <v>6741</v>
          </cell>
          <cell r="J35">
            <v>4.6999999999999886</v>
          </cell>
          <cell r="L35">
            <v>1691.9999999999959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51433</v>
          </cell>
          <cell r="V35">
            <v>54034</v>
          </cell>
          <cell r="W35">
            <v>51455.100000000006</v>
          </cell>
        </row>
        <row r="36">
          <cell r="E36">
            <v>130</v>
          </cell>
          <cell r="G36">
            <v>8190</v>
          </cell>
          <cell r="J36">
            <v>3.5</v>
          </cell>
          <cell r="L36">
            <v>1260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52450</v>
          </cell>
          <cell r="V36">
            <v>52034</v>
          </cell>
          <cell r="W36">
            <v>51871.100000000006</v>
          </cell>
        </row>
        <row r="37">
          <cell r="E37">
            <v>78.900000000000091</v>
          </cell>
          <cell r="G37">
            <v>4970.7000000000062</v>
          </cell>
          <cell r="J37">
            <v>3.6999999999999886</v>
          </cell>
          <cell r="L37">
            <v>1331.9999999999959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49302.700000000004</v>
          </cell>
          <cell r="V37">
            <v>51034</v>
          </cell>
          <cell r="W37">
            <v>50139.8</v>
          </cell>
        </row>
        <row r="38">
          <cell r="E38">
            <v>86.099999999999909</v>
          </cell>
          <cell r="G38">
            <v>5424.2999999999938</v>
          </cell>
          <cell r="J38">
            <v>1.1000000000000227</v>
          </cell>
          <cell r="L38">
            <v>396.00000000000819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48820.3</v>
          </cell>
          <cell r="V38">
            <v>0</v>
          </cell>
          <cell r="W38">
            <v>98960.1</v>
          </cell>
        </row>
        <row r="39">
          <cell r="E39">
            <v>86</v>
          </cell>
          <cell r="G39">
            <v>5418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49858</v>
          </cell>
          <cell r="V39">
            <v>78034</v>
          </cell>
          <cell r="W39">
            <v>70784.100000000006</v>
          </cell>
        </row>
        <row r="40">
          <cell r="E40">
            <v>82</v>
          </cell>
          <cell r="G40">
            <v>5166</v>
          </cell>
          <cell r="J40">
            <v>4</v>
          </cell>
          <cell r="L40">
            <v>1440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49606</v>
          </cell>
          <cell r="V40">
            <v>70034</v>
          </cell>
          <cell r="W40">
            <v>50356.100000000006</v>
          </cell>
        </row>
        <row r="41">
          <cell r="E41">
            <v>109</v>
          </cell>
          <cell r="G41">
            <v>6867</v>
          </cell>
          <cell r="J41">
            <v>9</v>
          </cell>
          <cell r="L41">
            <v>3240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53107</v>
          </cell>
          <cell r="V41">
            <v>50034</v>
          </cell>
          <cell r="W41">
            <v>53429.100000000006</v>
          </cell>
        </row>
        <row r="42">
          <cell r="E42">
            <v>99</v>
          </cell>
          <cell r="G42">
            <v>6237</v>
          </cell>
          <cell r="J42">
            <v>4</v>
          </cell>
          <cell r="L42">
            <v>1440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50677</v>
          </cell>
          <cell r="V42">
            <v>52034</v>
          </cell>
          <cell r="W42">
            <v>52072.100000000006</v>
          </cell>
        </row>
        <row r="43">
          <cell r="E43">
            <v>151</v>
          </cell>
          <cell r="G43">
            <v>9513</v>
          </cell>
          <cell r="J43">
            <v>6</v>
          </cell>
          <cell r="L43">
            <v>2160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54673</v>
          </cell>
          <cell r="V43">
            <v>52034</v>
          </cell>
          <cell r="W43">
            <v>54711.100000000006</v>
          </cell>
        </row>
        <row r="44">
          <cell r="E44">
            <v>171</v>
          </cell>
          <cell r="G44">
            <v>10773</v>
          </cell>
          <cell r="J44">
            <v>9</v>
          </cell>
          <cell r="L44">
            <v>3240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57013</v>
          </cell>
          <cell r="V44">
            <v>54034</v>
          </cell>
          <cell r="W44">
            <v>57690.100000000006</v>
          </cell>
        </row>
        <row r="45">
          <cell r="E45">
            <v>130</v>
          </cell>
          <cell r="G45">
            <v>8190</v>
          </cell>
          <cell r="J45">
            <v>86</v>
          </cell>
          <cell r="L45">
            <v>30960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82150</v>
          </cell>
          <cell r="V45">
            <v>88034</v>
          </cell>
          <cell r="W45">
            <v>51806.100000000006</v>
          </cell>
        </row>
        <row r="46">
          <cell r="E46">
            <v>102</v>
          </cell>
          <cell r="G46">
            <v>6426</v>
          </cell>
          <cell r="J46">
            <v>22</v>
          </cell>
          <cell r="L46">
            <v>7920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57346</v>
          </cell>
          <cell r="V46">
            <v>57034</v>
          </cell>
          <cell r="W46">
            <v>52118.100000000006</v>
          </cell>
        </row>
        <row r="47">
          <cell r="E47">
            <v>108</v>
          </cell>
          <cell r="G47">
            <v>6804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49804</v>
          </cell>
          <cell r="V47">
            <v>0</v>
          </cell>
          <cell r="W47">
            <v>101922.1</v>
          </cell>
        </row>
        <row r="48">
          <cell r="E48">
            <v>80</v>
          </cell>
          <cell r="G48">
            <v>5040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48400</v>
          </cell>
          <cell r="V48">
            <v>103068</v>
          </cell>
          <cell r="W48">
            <v>47254.100000000006</v>
          </cell>
        </row>
        <row r="49">
          <cell r="E49">
            <v>94</v>
          </cell>
          <cell r="G49">
            <v>5922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49282</v>
          </cell>
          <cell r="V49">
            <v>47034</v>
          </cell>
          <cell r="W49">
            <v>49502.100000000006</v>
          </cell>
        </row>
        <row r="50">
          <cell r="E50">
            <v>113</v>
          </cell>
          <cell r="G50">
            <v>7119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50119</v>
          </cell>
          <cell r="V50">
            <v>0</v>
          </cell>
          <cell r="W50">
            <v>99621.1</v>
          </cell>
        </row>
        <row r="51">
          <cell r="E51">
            <v>106</v>
          </cell>
          <cell r="G51">
            <v>6678</v>
          </cell>
          <cell r="J51">
            <v>3</v>
          </cell>
          <cell r="L51">
            <v>1080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50758</v>
          </cell>
          <cell r="V51">
            <v>102068</v>
          </cell>
          <cell r="W51">
            <v>48311.100000000006</v>
          </cell>
        </row>
        <row r="52">
          <cell r="E52">
            <v>142</v>
          </cell>
          <cell r="G52">
            <v>8946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51946</v>
          </cell>
          <cell r="V52">
            <v>50034</v>
          </cell>
          <cell r="W52">
            <v>50223.100000000006</v>
          </cell>
        </row>
        <row r="53">
          <cell r="E53">
            <v>138</v>
          </cell>
          <cell r="G53">
            <v>8694</v>
          </cell>
          <cell r="J53">
            <v>6</v>
          </cell>
          <cell r="L53">
            <v>2160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53854</v>
          </cell>
          <cell r="V53">
            <v>52034</v>
          </cell>
          <cell r="W53">
            <v>52043.100000000006</v>
          </cell>
        </row>
        <row r="54">
          <cell r="E54">
            <v>102</v>
          </cell>
          <cell r="G54">
            <v>6426</v>
          </cell>
          <cell r="J54">
            <v>3</v>
          </cell>
          <cell r="L54">
            <v>1080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50506</v>
          </cell>
          <cell r="V54">
            <v>57034</v>
          </cell>
          <cell r="W54">
            <v>52515.100000000006</v>
          </cell>
        </row>
        <row r="55">
          <cell r="E55">
            <v>243</v>
          </cell>
          <cell r="G55">
            <v>15309</v>
          </cell>
          <cell r="J55">
            <v>24</v>
          </cell>
          <cell r="L55">
            <v>8640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73949</v>
          </cell>
          <cell r="V55">
            <v>0</v>
          </cell>
          <cell r="W55">
            <v>126464.1</v>
          </cell>
        </row>
        <row r="56">
          <cell r="E56">
            <v>145</v>
          </cell>
          <cell r="G56">
            <v>9135</v>
          </cell>
          <cell r="J56">
            <v>10</v>
          </cell>
          <cell r="L56">
            <v>3600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62735</v>
          </cell>
          <cell r="V56">
            <v>127068</v>
          </cell>
          <cell r="W56">
            <v>62131.100000000006</v>
          </cell>
        </row>
        <row r="57">
          <cell r="E57">
            <v>80</v>
          </cell>
          <cell r="G57">
            <v>5040</v>
          </cell>
          <cell r="J57">
            <v>1</v>
          </cell>
          <cell r="L57">
            <v>360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55400</v>
          </cell>
          <cell r="V57">
            <v>63034</v>
          </cell>
          <cell r="W57">
            <v>54497.100000000006</v>
          </cell>
        </row>
        <row r="58">
          <cell r="E58">
            <v>172</v>
          </cell>
          <cell r="G58">
            <v>10836</v>
          </cell>
          <cell r="J58">
            <v>7</v>
          </cell>
          <cell r="L58">
            <v>2520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63356</v>
          </cell>
          <cell r="V58">
            <v>0</v>
          </cell>
          <cell r="W58">
            <v>117853.1</v>
          </cell>
        </row>
        <row r="59">
          <cell r="E59">
            <v>140</v>
          </cell>
          <cell r="G59">
            <v>8820</v>
          </cell>
          <cell r="J59">
            <v>1</v>
          </cell>
          <cell r="L59">
            <v>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59180</v>
          </cell>
          <cell r="V59">
            <v>118068</v>
          </cell>
          <cell r="W59">
            <v>58965.100000000006</v>
          </cell>
        </row>
        <row r="60">
          <cell r="E60">
            <v>91</v>
          </cell>
          <cell r="G60">
            <v>5733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55733</v>
          </cell>
          <cell r="V60">
            <v>59034</v>
          </cell>
          <cell r="W60">
            <v>55664.100000000006</v>
          </cell>
        </row>
        <row r="61">
          <cell r="E61">
            <v>106</v>
          </cell>
          <cell r="G61">
            <v>6678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57038</v>
          </cell>
          <cell r="V61">
            <v>0</v>
          </cell>
          <cell r="W61">
            <v>112702.1</v>
          </cell>
        </row>
        <row r="62">
          <cell r="E62">
            <v>84</v>
          </cell>
          <cell r="G62">
            <v>5292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55292</v>
          </cell>
          <cell r="V62">
            <v>56034</v>
          </cell>
          <cell r="W62">
            <v>111960.1</v>
          </cell>
        </row>
        <row r="63">
          <cell r="E63">
            <v>134</v>
          </cell>
          <cell r="G63">
            <v>8442</v>
          </cell>
          <cell r="J63">
            <v>8</v>
          </cell>
          <cell r="L63">
            <v>2880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61322</v>
          </cell>
          <cell r="V63">
            <v>112068</v>
          </cell>
          <cell r="W63">
            <v>61214.100000000006</v>
          </cell>
        </row>
        <row r="64">
          <cell r="E64">
            <v>105</v>
          </cell>
          <cell r="G64">
            <v>8295</v>
          </cell>
          <cell r="J64">
            <v>1</v>
          </cell>
          <cell r="L64">
            <v>360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58655</v>
          </cell>
          <cell r="V64">
            <v>0</v>
          </cell>
          <cell r="W64">
            <v>119869.1</v>
          </cell>
        </row>
        <row r="65">
          <cell r="E65">
            <v>177</v>
          </cell>
          <cell r="G65">
            <v>13983</v>
          </cell>
          <cell r="J65">
            <v>4</v>
          </cell>
          <cell r="L65">
            <v>1440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65423</v>
          </cell>
          <cell r="V65">
            <v>61034</v>
          </cell>
          <cell r="W65">
            <v>124258.1</v>
          </cell>
        </row>
        <row r="66">
          <cell r="E66">
            <v>114</v>
          </cell>
          <cell r="G66">
            <v>9006</v>
          </cell>
          <cell r="J66">
            <v>6</v>
          </cell>
          <cell r="L66">
            <v>2160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61166</v>
          </cell>
          <cell r="V66">
            <v>59034</v>
          </cell>
          <cell r="W66">
            <v>126390.1</v>
          </cell>
        </row>
        <row r="67">
          <cell r="E67">
            <v>340</v>
          </cell>
          <cell r="G67">
            <v>29580</v>
          </cell>
          <cell r="J67">
            <v>6</v>
          </cell>
          <cell r="L67">
            <v>2160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81740</v>
          </cell>
          <cell r="V67">
            <v>127068</v>
          </cell>
          <cell r="W67">
            <v>81062.100000000006</v>
          </cell>
        </row>
        <row r="68">
          <cell r="E68">
            <v>79</v>
          </cell>
          <cell r="G68">
            <v>6873</v>
          </cell>
          <cell r="J68">
            <v>3</v>
          </cell>
          <cell r="L68">
            <v>1080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57953</v>
          </cell>
          <cell r="V68">
            <v>0</v>
          </cell>
          <cell r="W68">
            <v>139015.1</v>
          </cell>
        </row>
        <row r="69">
          <cell r="E69">
            <v>97</v>
          </cell>
          <cell r="G69">
            <v>10767</v>
          </cell>
          <cell r="J69">
            <v>5</v>
          </cell>
          <cell r="L69">
            <v>1800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62567</v>
          </cell>
          <cell r="V69">
            <v>139183</v>
          </cell>
          <cell r="W69">
            <v>62399.100000000006</v>
          </cell>
        </row>
        <row r="70">
          <cell r="E70">
            <v>86</v>
          </cell>
          <cell r="G70">
            <v>10664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60664</v>
          </cell>
          <cell r="V70">
            <v>62034</v>
          </cell>
          <cell r="W70">
            <v>61029.100000000006</v>
          </cell>
        </row>
        <row r="71">
          <cell r="E71">
            <v>68</v>
          </cell>
          <cell r="G71">
            <v>6664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56664</v>
          </cell>
          <cell r="V71">
            <v>61034</v>
          </cell>
          <cell r="W71">
            <v>56659.100000000006</v>
          </cell>
        </row>
        <row r="72">
          <cell r="E72">
            <v>61</v>
          </cell>
          <cell r="G72">
            <v>6344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56344</v>
          </cell>
          <cell r="V72">
            <v>50634</v>
          </cell>
          <cell r="W72">
            <v>62369.100000000006</v>
          </cell>
        </row>
        <row r="73">
          <cell r="E73">
            <v>83</v>
          </cell>
          <cell r="G73">
            <v>9296</v>
          </cell>
          <cell r="J73">
            <v>1</v>
          </cell>
          <cell r="L73">
            <v>360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59656</v>
          </cell>
          <cell r="V73">
            <v>62034</v>
          </cell>
          <cell r="W73">
            <v>59991.100000000006</v>
          </cell>
        </row>
        <row r="74">
          <cell r="E74">
            <v>53</v>
          </cell>
          <cell r="G74">
            <v>5671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55671</v>
          </cell>
          <cell r="V74">
            <v>59034</v>
          </cell>
          <cell r="W74">
            <v>56628.100000000006</v>
          </cell>
        </row>
        <row r="75">
          <cell r="E75">
            <v>79</v>
          </cell>
          <cell r="G75">
            <v>8690</v>
          </cell>
          <cell r="J75">
            <v>1</v>
          </cell>
          <cell r="L75">
            <v>360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59050</v>
          </cell>
          <cell r="V75">
            <v>56034</v>
          </cell>
          <cell r="W75">
            <v>59644.100000000006</v>
          </cell>
        </row>
        <row r="76">
          <cell r="E76">
            <v>59</v>
          </cell>
          <cell r="G76">
            <v>7434</v>
          </cell>
          <cell r="J76">
            <v>1</v>
          </cell>
          <cell r="L76">
            <v>360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57794</v>
          </cell>
          <cell r="V76">
            <v>59034</v>
          </cell>
          <cell r="W76">
            <v>58404.100000000006</v>
          </cell>
        </row>
        <row r="77">
          <cell r="E77">
            <v>76</v>
          </cell>
          <cell r="G77">
            <v>9044</v>
          </cell>
          <cell r="J77">
            <v>2</v>
          </cell>
          <cell r="L77">
            <v>720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59764</v>
          </cell>
          <cell r="V77">
            <v>59034</v>
          </cell>
          <cell r="W77">
            <v>59134.100000000006</v>
          </cell>
        </row>
        <row r="78">
          <cell r="E78">
            <v>123</v>
          </cell>
          <cell r="G78">
            <v>13284</v>
          </cell>
          <cell r="J78">
            <v>3</v>
          </cell>
          <cell r="L78">
            <v>1080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64364</v>
          </cell>
          <cell r="V78">
            <v>59034</v>
          </cell>
          <cell r="W78">
            <v>64464.100000000006</v>
          </cell>
        </row>
        <row r="79">
          <cell r="E79">
            <v>108</v>
          </cell>
          <cell r="G79">
            <v>13392</v>
          </cell>
          <cell r="J79">
            <v>4</v>
          </cell>
          <cell r="L79">
            <v>1440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64832</v>
          </cell>
          <cell r="V79">
            <v>59034</v>
          </cell>
          <cell r="W79">
            <v>74262.100000000006</v>
          </cell>
        </row>
        <row r="80">
          <cell r="E80">
            <v>118</v>
          </cell>
          <cell r="G80">
            <v>15340</v>
          </cell>
          <cell r="J80">
            <v>7</v>
          </cell>
          <cell r="L80">
            <v>2520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67860</v>
          </cell>
          <cell r="V80">
            <v>64034</v>
          </cell>
          <cell r="W80">
            <v>78088.100000000006</v>
          </cell>
        </row>
        <row r="81">
          <cell r="E81">
            <v>107</v>
          </cell>
          <cell r="G81">
            <v>13910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63910</v>
          </cell>
          <cell r="V81">
            <v>78068</v>
          </cell>
          <cell r="W81">
            <v>63930.100000000006</v>
          </cell>
        </row>
        <row r="82">
          <cell r="E82">
            <v>67</v>
          </cell>
          <cell r="G82">
            <v>9380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59380</v>
          </cell>
          <cell r="V82">
            <v>63034</v>
          </cell>
          <cell r="W82">
            <v>60276.100000000006</v>
          </cell>
        </row>
        <row r="83">
          <cell r="E83">
            <v>60</v>
          </cell>
          <cell r="G83">
            <v>8760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58760</v>
          </cell>
          <cell r="V83">
            <v>61034</v>
          </cell>
          <cell r="W83">
            <v>58002.100000000006</v>
          </cell>
        </row>
        <row r="84">
          <cell r="E84">
            <v>77</v>
          </cell>
          <cell r="G84">
            <v>11242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61602</v>
          </cell>
          <cell r="V84">
            <v>57034</v>
          </cell>
          <cell r="W84">
            <v>62570.100000000006</v>
          </cell>
        </row>
        <row r="85">
          <cell r="E85">
            <v>84</v>
          </cell>
          <cell r="G85">
            <v>12264</v>
          </cell>
          <cell r="J85">
            <v>2</v>
          </cell>
          <cell r="L85">
            <v>720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62984</v>
          </cell>
          <cell r="V85">
            <v>62034</v>
          </cell>
          <cell r="W85">
            <v>73520.100000000006</v>
          </cell>
        </row>
        <row r="86">
          <cell r="E86">
            <v>60</v>
          </cell>
          <cell r="G86">
            <v>8760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68760</v>
          </cell>
          <cell r="V86">
            <v>73034</v>
          </cell>
          <cell r="W86">
            <v>59246.100000000006</v>
          </cell>
        </row>
        <row r="87">
          <cell r="E87">
            <v>99</v>
          </cell>
          <cell r="G87">
            <v>14454</v>
          </cell>
          <cell r="J87">
            <v>1</v>
          </cell>
          <cell r="L87">
            <v>360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64814</v>
          </cell>
          <cell r="V87">
            <v>59034</v>
          </cell>
          <cell r="W87">
            <v>65026.100000000006</v>
          </cell>
        </row>
        <row r="88">
          <cell r="E88">
            <v>89</v>
          </cell>
          <cell r="G88">
            <v>12994</v>
          </cell>
          <cell r="J88">
            <v>2</v>
          </cell>
          <cell r="L88">
            <v>720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63714</v>
          </cell>
          <cell r="V88">
            <v>65034</v>
          </cell>
          <cell r="W88">
            <v>63706.100000000006</v>
          </cell>
        </row>
        <row r="89">
          <cell r="E89">
            <v>81</v>
          </cell>
          <cell r="G89">
            <v>11826</v>
          </cell>
          <cell r="J89">
            <v>3</v>
          </cell>
          <cell r="L89">
            <v>1080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62906</v>
          </cell>
          <cell r="V89">
            <v>63034</v>
          </cell>
          <cell r="W89">
            <v>63578.100000000006</v>
          </cell>
        </row>
        <row r="90">
          <cell r="E90">
            <v>100</v>
          </cell>
          <cell r="G90">
            <v>14600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64600</v>
          </cell>
          <cell r="V90">
            <v>63034</v>
          </cell>
          <cell r="W90">
            <v>65144.100000000006</v>
          </cell>
        </row>
        <row r="91">
          <cell r="E91">
            <v>136</v>
          </cell>
          <cell r="G91">
            <v>19856</v>
          </cell>
          <cell r="J91">
            <v>5</v>
          </cell>
          <cell r="L91">
            <v>1800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80656</v>
          </cell>
          <cell r="V91">
            <v>65034</v>
          </cell>
          <cell r="W91">
            <v>90766.1</v>
          </cell>
        </row>
        <row r="92">
          <cell r="E92">
            <v>139</v>
          </cell>
          <cell r="G92">
            <v>20294</v>
          </cell>
          <cell r="J92">
            <v>5</v>
          </cell>
          <cell r="L92">
            <v>1800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81094</v>
          </cell>
          <cell r="V92">
            <v>90766</v>
          </cell>
          <cell r="W92">
            <v>91094.1</v>
          </cell>
        </row>
        <row r="93">
          <cell r="E93">
            <v>125</v>
          </cell>
          <cell r="G93">
            <v>18250</v>
          </cell>
          <cell r="J93">
            <v>3</v>
          </cell>
          <cell r="L93">
            <v>1080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78330</v>
          </cell>
          <cell r="V93">
            <v>91034</v>
          </cell>
          <cell r="W93">
            <v>88390.1</v>
          </cell>
        </row>
        <row r="94">
          <cell r="E94">
            <v>62</v>
          </cell>
          <cell r="G94">
            <v>9052</v>
          </cell>
          <cell r="J94">
            <v>1</v>
          </cell>
          <cell r="L94">
            <v>360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68412</v>
          </cell>
          <cell r="V94">
            <v>88034</v>
          </cell>
          <cell r="W94">
            <v>78768.100000000006</v>
          </cell>
        </row>
        <row r="95">
          <cell r="E95">
            <v>70</v>
          </cell>
          <cell r="G95">
            <v>10220</v>
          </cell>
          <cell r="J95">
            <v>1</v>
          </cell>
          <cell r="L95">
            <v>360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69580</v>
          </cell>
          <cell r="V95">
            <v>78034</v>
          </cell>
          <cell r="W95">
            <v>80314.100000000006</v>
          </cell>
        </row>
        <row r="96">
          <cell r="E96">
            <v>73</v>
          </cell>
          <cell r="G96">
            <v>10658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69658</v>
          </cell>
          <cell r="V96">
            <v>80034</v>
          </cell>
          <cell r="W96">
            <v>69938.100000000006</v>
          </cell>
        </row>
        <row r="97">
          <cell r="E97">
            <v>97</v>
          </cell>
          <cell r="G97">
            <v>14162</v>
          </cell>
          <cell r="J97">
            <v>2</v>
          </cell>
          <cell r="L97">
            <v>720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73882</v>
          </cell>
          <cell r="V97">
            <v>70034</v>
          </cell>
          <cell r="W97">
            <v>73786.100000000006</v>
          </cell>
        </row>
        <row r="98">
          <cell r="E98">
            <v>71</v>
          </cell>
          <cell r="G98">
            <v>10366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69366</v>
          </cell>
          <cell r="V98">
            <v>73034</v>
          </cell>
          <cell r="W98">
            <v>70118.100000000006</v>
          </cell>
        </row>
        <row r="99">
          <cell r="E99">
            <v>110</v>
          </cell>
          <cell r="G99">
            <v>16060</v>
          </cell>
          <cell r="J99">
            <v>3</v>
          </cell>
          <cell r="L99">
            <v>1080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76140</v>
          </cell>
          <cell r="V99">
            <v>70034</v>
          </cell>
          <cell r="W99">
            <v>76224.100000000006</v>
          </cell>
        </row>
        <row r="100">
          <cell r="E100">
            <v>72</v>
          </cell>
          <cell r="G100">
            <v>10512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69512</v>
          </cell>
          <cell r="V100">
            <v>76034</v>
          </cell>
          <cell r="W100">
            <v>69702.100000000006</v>
          </cell>
        </row>
        <row r="101">
          <cell r="E101">
            <v>47</v>
          </cell>
          <cell r="G101">
            <v>6862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65862</v>
          </cell>
          <cell r="V101">
            <v>70034</v>
          </cell>
          <cell r="W101">
            <v>65530.100000000006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59000</v>
          </cell>
          <cell r="V102">
            <v>65034</v>
          </cell>
          <cell r="W102">
            <v>59496.100000000006</v>
          </cell>
        </row>
        <row r="103">
          <cell r="E103">
            <v>213</v>
          </cell>
          <cell r="G103">
            <v>31098</v>
          </cell>
          <cell r="J103">
            <v>16</v>
          </cell>
          <cell r="L103">
            <v>5760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97508</v>
          </cell>
          <cell r="V103">
            <v>59034</v>
          </cell>
          <cell r="W103">
            <v>97970.1</v>
          </cell>
        </row>
        <row r="104">
          <cell r="E104">
            <v>143</v>
          </cell>
          <cell r="G104">
            <v>20878</v>
          </cell>
          <cell r="J104">
            <v>8</v>
          </cell>
          <cell r="L104">
            <v>2880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84408</v>
          </cell>
          <cell r="V104">
            <v>97034</v>
          </cell>
          <cell r="W104">
            <v>85344.1</v>
          </cell>
        </row>
        <row r="105">
          <cell r="E105">
            <v>81</v>
          </cell>
          <cell r="G105">
            <v>11826</v>
          </cell>
          <cell r="J105">
            <v>2</v>
          </cell>
          <cell r="L105">
            <v>720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73196</v>
          </cell>
          <cell r="V105">
            <v>86034</v>
          </cell>
          <cell r="W105">
            <v>72506.100000000006</v>
          </cell>
        </row>
        <row r="106">
          <cell r="E106">
            <v>102</v>
          </cell>
          <cell r="G106">
            <v>14892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75542</v>
          </cell>
          <cell r="V106">
            <v>72034</v>
          </cell>
          <cell r="W106">
            <v>76014.100000000006</v>
          </cell>
        </row>
        <row r="107">
          <cell r="E107">
            <v>78</v>
          </cell>
          <cell r="G107">
            <v>11388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72038</v>
          </cell>
          <cell r="V107">
            <v>75034</v>
          </cell>
          <cell r="W107">
            <v>73018.100000000006</v>
          </cell>
        </row>
        <row r="108">
          <cell r="E108">
            <v>81</v>
          </cell>
          <cell r="G108">
            <v>11826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72476</v>
          </cell>
          <cell r="V108">
            <v>73034</v>
          </cell>
          <cell r="W108">
            <v>72460.100000000006</v>
          </cell>
        </row>
        <row r="109">
          <cell r="E109">
            <v>80</v>
          </cell>
          <cell r="G109">
            <v>11680</v>
          </cell>
          <cell r="J109">
            <v>1</v>
          </cell>
          <cell r="L109">
            <v>360</v>
          </cell>
          <cell r="M109">
            <v>0</v>
          </cell>
          <cell r="N109">
            <v>0</v>
          </cell>
          <cell r="O109">
            <v>0</v>
          </cell>
          <cell r="P109">
            <v>8000</v>
          </cell>
          <cell r="Q109">
            <v>56650</v>
          </cell>
          <cell r="R109">
            <v>0</v>
          </cell>
          <cell r="S109">
            <v>76690</v>
          </cell>
          <cell r="V109">
            <v>73034</v>
          </cell>
          <cell r="W109">
            <v>76116.100000000006</v>
          </cell>
        </row>
        <row r="110">
          <cell r="E110">
            <v>88</v>
          </cell>
          <cell r="G110">
            <v>12848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8000</v>
          </cell>
          <cell r="Q110">
            <v>56650</v>
          </cell>
          <cell r="R110">
            <v>0</v>
          </cell>
          <cell r="S110">
            <v>77498</v>
          </cell>
          <cell r="V110">
            <v>77034</v>
          </cell>
          <cell r="W110">
            <v>76580.100000000006</v>
          </cell>
        </row>
        <row r="111">
          <cell r="E111">
            <v>106</v>
          </cell>
          <cell r="G111">
            <v>15476</v>
          </cell>
          <cell r="J111">
            <v>4</v>
          </cell>
          <cell r="L111">
            <v>1440</v>
          </cell>
          <cell r="M111">
            <v>0</v>
          </cell>
          <cell r="N111">
            <v>0</v>
          </cell>
          <cell r="O111">
            <v>0</v>
          </cell>
          <cell r="P111">
            <v>8000</v>
          </cell>
          <cell r="Q111">
            <v>56650</v>
          </cell>
          <cell r="R111">
            <v>0</v>
          </cell>
          <cell r="S111">
            <v>81566</v>
          </cell>
          <cell r="V111">
            <v>77034</v>
          </cell>
          <cell r="W111">
            <v>81112.100000000006</v>
          </cell>
        </row>
        <row r="112">
          <cell r="E112">
            <v>82</v>
          </cell>
          <cell r="G112">
            <v>11972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8000</v>
          </cell>
          <cell r="Q112">
            <v>56650</v>
          </cell>
          <cell r="R112">
            <v>0</v>
          </cell>
          <cell r="S112">
            <v>76622</v>
          </cell>
          <cell r="V112">
            <v>81034</v>
          </cell>
          <cell r="W112">
            <v>76700.100000000006</v>
          </cell>
        </row>
        <row r="113">
          <cell r="E113">
            <v>64</v>
          </cell>
          <cell r="G113">
            <v>9344</v>
          </cell>
          <cell r="J113">
            <v>3</v>
          </cell>
          <cell r="L113">
            <v>1080</v>
          </cell>
          <cell r="M113">
            <v>0</v>
          </cell>
          <cell r="N113">
            <v>0</v>
          </cell>
          <cell r="O113">
            <v>0</v>
          </cell>
          <cell r="P113">
            <v>8000</v>
          </cell>
          <cell r="Q113">
            <v>56650</v>
          </cell>
          <cell r="R113">
            <v>0</v>
          </cell>
          <cell r="S113">
            <v>75074</v>
          </cell>
          <cell r="V113">
            <v>77034</v>
          </cell>
          <cell r="W113">
            <v>74740.100000000006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8000</v>
          </cell>
          <cell r="Q114">
            <v>56650</v>
          </cell>
          <cell r="R114">
            <v>0</v>
          </cell>
          <cell r="S114">
            <v>64650</v>
          </cell>
          <cell r="V114">
            <v>75034</v>
          </cell>
          <cell r="W114">
            <v>64356.100000000006</v>
          </cell>
        </row>
        <row r="115">
          <cell r="E115">
            <v>67</v>
          </cell>
          <cell r="G115">
            <v>9782</v>
          </cell>
          <cell r="J115">
            <v>2</v>
          </cell>
          <cell r="L115">
            <v>720</v>
          </cell>
          <cell r="M115">
            <v>0</v>
          </cell>
          <cell r="N115">
            <v>0</v>
          </cell>
          <cell r="O115">
            <v>0</v>
          </cell>
          <cell r="P115">
            <v>8000</v>
          </cell>
          <cell r="Q115">
            <v>58859</v>
          </cell>
          <cell r="R115">
            <v>0</v>
          </cell>
          <cell r="S115">
            <v>77361</v>
          </cell>
          <cell r="V115">
            <v>64034</v>
          </cell>
          <cell r="W115">
            <v>77683.100000000006</v>
          </cell>
        </row>
        <row r="116">
          <cell r="E116">
            <v>145</v>
          </cell>
          <cell r="G116">
            <v>21170</v>
          </cell>
          <cell r="J116">
            <v>13</v>
          </cell>
          <cell r="L116">
            <v>4680</v>
          </cell>
          <cell r="M116">
            <v>0</v>
          </cell>
          <cell r="N116">
            <v>0</v>
          </cell>
          <cell r="O116">
            <v>0</v>
          </cell>
          <cell r="P116">
            <v>8000</v>
          </cell>
          <cell r="Q116">
            <v>58859</v>
          </cell>
          <cell r="R116">
            <v>0</v>
          </cell>
          <cell r="S116">
            <v>92709</v>
          </cell>
          <cell r="V116">
            <v>183068</v>
          </cell>
          <cell r="W116">
            <v>57.100000000005821</v>
          </cell>
        </row>
        <row r="117">
          <cell r="E117">
            <v>110</v>
          </cell>
          <cell r="G117">
            <v>16060</v>
          </cell>
          <cell r="J117">
            <v>10</v>
          </cell>
          <cell r="L117">
            <v>3600</v>
          </cell>
          <cell r="M117">
            <v>0</v>
          </cell>
          <cell r="N117">
            <v>0</v>
          </cell>
          <cell r="O117">
            <v>0</v>
          </cell>
          <cell r="P117">
            <v>8000</v>
          </cell>
          <cell r="Q117">
            <v>58859</v>
          </cell>
          <cell r="R117">
            <v>0</v>
          </cell>
          <cell r="S117">
            <v>86519</v>
          </cell>
          <cell r="V117">
            <v>86034</v>
          </cell>
          <cell r="W117">
            <v>542.10000000000582</v>
          </cell>
        </row>
        <row r="118">
          <cell r="E118">
            <v>69</v>
          </cell>
          <cell r="G118">
            <v>10074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8000</v>
          </cell>
          <cell r="Q118">
            <v>58859</v>
          </cell>
          <cell r="R118">
            <v>0</v>
          </cell>
          <cell r="S118">
            <v>76933</v>
          </cell>
          <cell r="V118">
            <v>77034</v>
          </cell>
          <cell r="W118">
            <v>441.10000000000582</v>
          </cell>
        </row>
        <row r="119">
          <cell r="E119">
            <v>81</v>
          </cell>
          <cell r="G119">
            <v>11826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8000</v>
          </cell>
          <cell r="Q119">
            <v>58859</v>
          </cell>
          <cell r="R119">
            <v>0</v>
          </cell>
          <cell r="S119">
            <v>78685</v>
          </cell>
          <cell r="V119">
            <v>79034</v>
          </cell>
          <cell r="W119">
            <v>92.100000000005821</v>
          </cell>
        </row>
        <row r="120">
          <cell r="E120">
            <v>64</v>
          </cell>
          <cell r="G120">
            <v>9344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8000</v>
          </cell>
          <cell r="Q120">
            <v>58859</v>
          </cell>
          <cell r="R120">
            <v>0</v>
          </cell>
          <cell r="S120">
            <v>76203</v>
          </cell>
          <cell r="V120">
            <v>76034</v>
          </cell>
          <cell r="W120">
            <v>261.10000000000582</v>
          </cell>
        </row>
        <row r="121">
          <cell r="E121">
            <v>70</v>
          </cell>
          <cell r="G121">
            <v>10220</v>
          </cell>
          <cell r="J121">
            <v>1</v>
          </cell>
          <cell r="L121">
            <v>360</v>
          </cell>
          <cell r="M121">
            <v>0</v>
          </cell>
          <cell r="N121">
            <v>0</v>
          </cell>
          <cell r="O121">
            <v>0</v>
          </cell>
          <cell r="P121">
            <v>8000</v>
          </cell>
          <cell r="Q121">
            <v>58859</v>
          </cell>
          <cell r="R121">
            <v>0</v>
          </cell>
          <cell r="S121">
            <v>77439</v>
          </cell>
          <cell r="V121">
            <v>77034</v>
          </cell>
          <cell r="W121">
            <v>666.10000000000582</v>
          </cell>
        </row>
        <row r="122">
          <cell r="E122">
            <v>91</v>
          </cell>
          <cell r="G122">
            <v>13286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25000</v>
          </cell>
          <cell r="Q122">
            <v>58859</v>
          </cell>
          <cell r="R122">
            <v>0</v>
          </cell>
          <cell r="S122">
            <v>97145</v>
          </cell>
          <cell r="V122">
            <v>97034</v>
          </cell>
          <cell r="W122">
            <v>777.10000000000582</v>
          </cell>
        </row>
        <row r="123">
          <cell r="E123">
            <v>84</v>
          </cell>
          <cell r="G123">
            <v>12264</v>
          </cell>
          <cell r="J123">
            <v>1</v>
          </cell>
          <cell r="L123">
            <v>360</v>
          </cell>
          <cell r="M123">
            <v>0</v>
          </cell>
          <cell r="N123">
            <v>0</v>
          </cell>
          <cell r="O123">
            <v>0</v>
          </cell>
          <cell r="P123">
            <v>25000</v>
          </cell>
          <cell r="Q123">
            <v>58859</v>
          </cell>
          <cell r="R123">
            <v>0</v>
          </cell>
          <cell r="S123">
            <v>96483</v>
          </cell>
          <cell r="V123">
            <v>97034</v>
          </cell>
          <cell r="W123">
            <v>226.10000000000582</v>
          </cell>
        </row>
        <row r="124">
          <cell r="E124">
            <v>88</v>
          </cell>
          <cell r="G124">
            <v>12848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25000</v>
          </cell>
          <cell r="Q124">
            <v>58859</v>
          </cell>
          <cell r="R124">
            <v>0</v>
          </cell>
          <cell r="S124">
            <v>96707</v>
          </cell>
          <cell r="V124">
            <v>97034</v>
          </cell>
          <cell r="W124">
            <v>-100.89999999999418</v>
          </cell>
        </row>
        <row r="125">
          <cell r="E125">
            <v>87</v>
          </cell>
          <cell r="G125">
            <v>12702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25000</v>
          </cell>
          <cell r="Q125">
            <v>58859</v>
          </cell>
          <cell r="R125">
            <v>0</v>
          </cell>
          <cell r="S125">
            <v>96561</v>
          </cell>
          <cell r="V125">
            <v>96034</v>
          </cell>
          <cell r="W125">
            <v>426.10000000000582</v>
          </cell>
        </row>
        <row r="126">
          <cell r="E126">
            <v>93</v>
          </cell>
          <cell r="G126">
            <v>13578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25000</v>
          </cell>
          <cell r="Q126">
            <v>58859</v>
          </cell>
          <cell r="R126">
            <v>0</v>
          </cell>
          <cell r="S126">
            <v>97437</v>
          </cell>
          <cell r="V126">
            <v>97034</v>
          </cell>
          <cell r="W126">
            <v>829.10000000000582</v>
          </cell>
        </row>
        <row r="127">
          <cell r="E127">
            <v>148</v>
          </cell>
          <cell r="G127">
            <v>21608</v>
          </cell>
          <cell r="J127">
            <v>6</v>
          </cell>
          <cell r="L127">
            <v>2160</v>
          </cell>
          <cell r="M127">
            <v>0</v>
          </cell>
          <cell r="N127">
            <v>0</v>
          </cell>
          <cell r="O127">
            <v>0</v>
          </cell>
          <cell r="P127">
            <v>25000</v>
          </cell>
          <cell r="Q127">
            <v>59734</v>
          </cell>
          <cell r="R127">
            <v>0</v>
          </cell>
          <cell r="S127">
            <v>108502</v>
          </cell>
          <cell r="V127">
            <v>109034</v>
          </cell>
          <cell r="W127">
            <v>297.10000000000582</v>
          </cell>
        </row>
        <row r="128">
          <cell r="E128">
            <v>97</v>
          </cell>
          <cell r="G128">
            <v>14162</v>
          </cell>
          <cell r="J128">
            <v>1</v>
          </cell>
          <cell r="L128">
            <v>360</v>
          </cell>
          <cell r="M128">
            <v>0</v>
          </cell>
          <cell r="N128">
            <v>0</v>
          </cell>
          <cell r="O128">
            <v>0</v>
          </cell>
          <cell r="P128">
            <v>25000</v>
          </cell>
          <cell r="Q128">
            <v>59734</v>
          </cell>
          <cell r="R128">
            <v>0</v>
          </cell>
          <cell r="S128">
            <v>99256</v>
          </cell>
          <cell r="V128">
            <v>112034</v>
          </cell>
          <cell r="W128">
            <v>-192.89999999999418</v>
          </cell>
        </row>
        <row r="129">
          <cell r="E129">
            <v>81</v>
          </cell>
          <cell r="G129">
            <v>11826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25000</v>
          </cell>
          <cell r="Q129">
            <v>59734</v>
          </cell>
          <cell r="R129">
            <v>0</v>
          </cell>
          <cell r="S129">
            <v>96560</v>
          </cell>
          <cell r="V129">
            <v>96034</v>
          </cell>
          <cell r="W129">
            <v>333.10000000000582</v>
          </cell>
        </row>
        <row r="130">
          <cell r="E130">
            <v>91</v>
          </cell>
          <cell r="G130">
            <v>13286</v>
          </cell>
          <cell r="J130">
            <v>1</v>
          </cell>
          <cell r="L130">
            <v>360</v>
          </cell>
          <cell r="M130">
            <v>0</v>
          </cell>
          <cell r="N130">
            <v>0</v>
          </cell>
          <cell r="O130">
            <v>0</v>
          </cell>
          <cell r="P130">
            <v>25000</v>
          </cell>
          <cell r="Q130">
            <v>59734</v>
          </cell>
          <cell r="R130">
            <v>0</v>
          </cell>
          <cell r="S130">
            <v>98380</v>
          </cell>
          <cell r="V130">
            <v>98034</v>
          </cell>
          <cell r="W130">
            <v>679.10000000000582</v>
          </cell>
        </row>
        <row r="131">
          <cell r="E131">
            <v>96</v>
          </cell>
          <cell r="G131">
            <v>14016</v>
          </cell>
          <cell r="J131">
            <v>1</v>
          </cell>
          <cell r="L131">
            <v>360</v>
          </cell>
          <cell r="M131">
            <v>0</v>
          </cell>
          <cell r="N131">
            <v>0</v>
          </cell>
          <cell r="O131">
            <v>0</v>
          </cell>
          <cell r="P131">
            <v>25000</v>
          </cell>
          <cell r="Q131">
            <v>59734</v>
          </cell>
          <cell r="R131">
            <v>0</v>
          </cell>
          <cell r="S131">
            <v>99110</v>
          </cell>
          <cell r="V131">
            <v>99034</v>
          </cell>
          <cell r="W131">
            <v>755.10000000000582</v>
          </cell>
        </row>
        <row r="132">
          <cell r="E132">
            <v>68</v>
          </cell>
          <cell r="G132">
            <v>9928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25000</v>
          </cell>
          <cell r="Q132">
            <v>59734</v>
          </cell>
          <cell r="R132">
            <v>0</v>
          </cell>
          <cell r="S132">
            <v>94662</v>
          </cell>
          <cell r="V132">
            <v>95034</v>
          </cell>
          <cell r="W132">
            <v>383.10000000000582</v>
          </cell>
        </row>
        <row r="133">
          <cell r="E133">
            <v>80</v>
          </cell>
          <cell r="G133">
            <v>11680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25000</v>
          </cell>
          <cell r="Q133">
            <v>59734</v>
          </cell>
          <cell r="R133">
            <v>0</v>
          </cell>
          <cell r="S133">
            <v>96414</v>
          </cell>
          <cell r="V133">
            <v>96034</v>
          </cell>
          <cell r="W133">
            <v>763.10000000000582</v>
          </cell>
        </row>
        <row r="134">
          <cell r="E134">
            <v>102</v>
          </cell>
          <cell r="G134">
            <v>14892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25000</v>
          </cell>
          <cell r="Q134">
            <v>59734</v>
          </cell>
          <cell r="R134">
            <v>0</v>
          </cell>
          <cell r="S134">
            <v>99626</v>
          </cell>
          <cell r="V134">
            <v>100034</v>
          </cell>
          <cell r="W134">
            <v>355.10000000000582</v>
          </cell>
        </row>
        <row r="135">
          <cell r="E135">
            <v>104</v>
          </cell>
          <cell r="G135">
            <v>15184</v>
          </cell>
          <cell r="J135">
            <v>3</v>
          </cell>
          <cell r="L135">
            <v>1080</v>
          </cell>
          <cell r="M135">
            <v>0</v>
          </cell>
          <cell r="N135">
            <v>0</v>
          </cell>
          <cell r="O135">
            <v>0</v>
          </cell>
          <cell r="P135">
            <v>25000</v>
          </cell>
          <cell r="Q135">
            <v>59734</v>
          </cell>
          <cell r="R135">
            <v>0</v>
          </cell>
          <cell r="S135">
            <v>100998</v>
          </cell>
          <cell r="V135">
            <v>101034</v>
          </cell>
          <cell r="W135">
            <v>319.10000000000582</v>
          </cell>
        </row>
        <row r="136">
          <cell r="E136">
            <v>109</v>
          </cell>
          <cell r="G136">
            <v>15914</v>
          </cell>
          <cell r="J136">
            <v>2</v>
          </cell>
          <cell r="L136">
            <v>720</v>
          </cell>
          <cell r="M136">
            <v>0</v>
          </cell>
          <cell r="N136">
            <v>0</v>
          </cell>
          <cell r="O136">
            <v>0</v>
          </cell>
          <cell r="P136">
            <v>25000</v>
          </cell>
          <cell r="Q136">
            <v>59734</v>
          </cell>
          <cell r="R136">
            <v>0</v>
          </cell>
          <cell r="S136">
            <v>101368</v>
          </cell>
          <cell r="V136">
            <v>101034</v>
          </cell>
          <cell r="W136">
            <v>653.10000000000582</v>
          </cell>
        </row>
        <row r="137">
          <cell r="E137">
            <v>90</v>
          </cell>
          <cell r="G137">
            <v>13140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25000</v>
          </cell>
          <cell r="Q137">
            <v>59734</v>
          </cell>
          <cell r="R137">
            <v>0</v>
          </cell>
          <cell r="S137">
            <v>97874</v>
          </cell>
          <cell r="V137">
            <v>98034</v>
          </cell>
          <cell r="W137">
            <v>493.10000000000582</v>
          </cell>
        </row>
        <row r="138">
          <cell r="E138">
            <v>100</v>
          </cell>
          <cell r="G138">
            <v>14600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25000</v>
          </cell>
          <cell r="Q138">
            <v>59734</v>
          </cell>
          <cell r="R138">
            <v>0</v>
          </cell>
          <cell r="S138">
            <v>99334</v>
          </cell>
          <cell r="V138">
            <v>119034</v>
          </cell>
          <cell r="W138">
            <v>793.10000000000582</v>
          </cell>
        </row>
        <row r="139">
          <cell r="E139">
            <v>110</v>
          </cell>
          <cell r="G139">
            <v>16060</v>
          </cell>
          <cell r="J139">
            <v>12</v>
          </cell>
          <cell r="L139">
            <v>4320</v>
          </cell>
          <cell r="M139">
            <v>0</v>
          </cell>
          <cell r="N139">
            <v>5000</v>
          </cell>
          <cell r="O139">
            <v>0</v>
          </cell>
          <cell r="P139">
            <v>25000</v>
          </cell>
          <cell r="Q139">
            <v>61536</v>
          </cell>
          <cell r="R139">
            <v>0</v>
          </cell>
          <cell r="S139">
            <v>106916</v>
          </cell>
          <cell r="V139">
            <v>112034</v>
          </cell>
          <cell r="W139">
            <v>675.10000000000582</v>
          </cell>
        </row>
        <row r="140">
          <cell r="E140">
            <v>163</v>
          </cell>
          <cell r="G140">
            <v>23798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25000</v>
          </cell>
          <cell r="Q140">
            <v>61536</v>
          </cell>
          <cell r="R140">
            <v>0</v>
          </cell>
          <cell r="S140">
            <v>110334</v>
          </cell>
          <cell r="V140">
            <v>116034</v>
          </cell>
          <cell r="W140">
            <v>-24.899999999994179</v>
          </cell>
        </row>
        <row r="141">
          <cell r="E141">
            <v>108</v>
          </cell>
          <cell r="G141">
            <v>15768</v>
          </cell>
          <cell r="J141">
            <v>1</v>
          </cell>
          <cell r="L141">
            <v>360</v>
          </cell>
          <cell r="M141">
            <v>0</v>
          </cell>
          <cell r="N141">
            <v>5000</v>
          </cell>
          <cell r="O141">
            <v>0</v>
          </cell>
          <cell r="P141">
            <v>25000</v>
          </cell>
          <cell r="Q141">
            <v>61536</v>
          </cell>
          <cell r="R141">
            <v>0</v>
          </cell>
          <cell r="S141">
            <v>102664</v>
          </cell>
          <cell r="V141">
            <v>107034</v>
          </cell>
          <cell r="W141">
            <v>605.10000000000582</v>
          </cell>
        </row>
        <row r="142">
          <cell r="E142">
            <v>90</v>
          </cell>
          <cell r="G142">
            <v>13140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25000</v>
          </cell>
          <cell r="Q142">
            <v>61536</v>
          </cell>
          <cell r="R142">
            <v>0</v>
          </cell>
          <cell r="S142">
            <v>99676</v>
          </cell>
          <cell r="V142">
            <v>106034</v>
          </cell>
          <cell r="W142">
            <v>-752.89999999999418</v>
          </cell>
        </row>
        <row r="143">
          <cell r="E143">
            <v>94</v>
          </cell>
          <cell r="G143">
            <v>13724</v>
          </cell>
          <cell r="J143">
            <v>0</v>
          </cell>
          <cell r="L143">
            <v>0</v>
          </cell>
          <cell r="M143">
            <v>0</v>
          </cell>
          <cell r="N143">
            <v>10000</v>
          </cell>
          <cell r="O143">
            <v>0</v>
          </cell>
          <cell r="P143">
            <v>25000</v>
          </cell>
          <cell r="Q143">
            <v>61536</v>
          </cell>
          <cell r="R143">
            <v>0</v>
          </cell>
          <cell r="S143">
            <v>100260</v>
          </cell>
          <cell r="V143">
            <v>109034</v>
          </cell>
          <cell r="W143">
            <v>473.10000000000582</v>
          </cell>
        </row>
        <row r="144">
          <cell r="E144">
            <v>88</v>
          </cell>
          <cell r="G144">
            <v>12848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25000</v>
          </cell>
          <cell r="Q144">
            <v>61536</v>
          </cell>
          <cell r="R144">
            <v>0</v>
          </cell>
          <cell r="S144">
            <v>100104</v>
          </cell>
          <cell r="V144">
            <v>105034</v>
          </cell>
          <cell r="W144">
            <v>543.10000000000582</v>
          </cell>
        </row>
        <row r="145">
          <cell r="E145">
            <v>86</v>
          </cell>
          <cell r="G145">
            <v>12556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25000</v>
          </cell>
          <cell r="Q145">
            <v>61536</v>
          </cell>
          <cell r="R145">
            <v>0</v>
          </cell>
          <cell r="S145">
            <v>99092</v>
          </cell>
          <cell r="V145">
            <v>104034</v>
          </cell>
          <cell r="W145">
            <v>601.10000000000582</v>
          </cell>
        </row>
        <row r="146">
          <cell r="E146">
            <v>89</v>
          </cell>
          <cell r="G146">
            <v>12994</v>
          </cell>
          <cell r="J146">
            <v>4</v>
          </cell>
          <cell r="L146">
            <v>1440</v>
          </cell>
          <cell r="M146">
            <v>0</v>
          </cell>
          <cell r="N146">
            <v>5000</v>
          </cell>
          <cell r="O146">
            <v>0</v>
          </cell>
          <cell r="P146">
            <v>25000</v>
          </cell>
          <cell r="Q146">
            <v>61536</v>
          </cell>
          <cell r="R146">
            <v>0</v>
          </cell>
          <cell r="S146">
            <v>100970</v>
          </cell>
          <cell r="V146">
            <v>106034</v>
          </cell>
          <cell r="W146">
            <v>537.10000000000582</v>
          </cell>
        </row>
        <row r="147">
          <cell r="E147">
            <v>93</v>
          </cell>
          <cell r="G147">
            <v>13578</v>
          </cell>
          <cell r="J147">
            <v>6</v>
          </cell>
          <cell r="L147">
            <v>2160</v>
          </cell>
          <cell r="M147">
            <v>0</v>
          </cell>
          <cell r="N147">
            <v>5000</v>
          </cell>
          <cell r="O147">
            <v>0</v>
          </cell>
          <cell r="P147">
            <v>25000</v>
          </cell>
          <cell r="Q147">
            <v>61536</v>
          </cell>
          <cell r="R147">
            <v>0</v>
          </cell>
          <cell r="S147">
            <v>102274</v>
          </cell>
          <cell r="V147">
            <v>107034</v>
          </cell>
          <cell r="W147">
            <v>777.10000000000582</v>
          </cell>
        </row>
        <row r="148">
          <cell r="E148">
            <v>106</v>
          </cell>
          <cell r="G148">
            <v>15476</v>
          </cell>
          <cell r="J148">
            <v>1</v>
          </cell>
          <cell r="L148">
            <v>360</v>
          </cell>
          <cell r="M148">
            <v>0</v>
          </cell>
          <cell r="N148">
            <v>5000</v>
          </cell>
          <cell r="O148">
            <v>0</v>
          </cell>
          <cell r="P148">
            <v>25000</v>
          </cell>
          <cell r="Q148">
            <v>61536</v>
          </cell>
          <cell r="R148">
            <v>0</v>
          </cell>
          <cell r="S148">
            <v>102372</v>
          </cell>
          <cell r="V148">
            <v>108034</v>
          </cell>
          <cell r="W148">
            <v>115.10000000000582</v>
          </cell>
        </row>
        <row r="149">
          <cell r="E149">
            <v>124</v>
          </cell>
          <cell r="G149">
            <v>18104</v>
          </cell>
          <cell r="J149">
            <v>1</v>
          </cell>
          <cell r="L149">
            <v>360</v>
          </cell>
          <cell r="M149">
            <v>0</v>
          </cell>
          <cell r="N149">
            <v>5000</v>
          </cell>
          <cell r="O149">
            <v>0</v>
          </cell>
          <cell r="P149">
            <v>25000</v>
          </cell>
          <cell r="Q149">
            <v>61536</v>
          </cell>
          <cell r="R149">
            <v>0</v>
          </cell>
          <cell r="S149">
            <v>105000</v>
          </cell>
          <cell r="V149">
            <v>110034</v>
          </cell>
          <cell r="W149">
            <v>81.100000000005821</v>
          </cell>
        </row>
        <row r="150">
          <cell r="E150">
            <v>105</v>
          </cell>
          <cell r="G150">
            <v>15330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25000</v>
          </cell>
          <cell r="Q150">
            <v>61536</v>
          </cell>
          <cell r="R150">
            <v>0</v>
          </cell>
          <cell r="S150">
            <v>101866</v>
          </cell>
          <cell r="V150">
            <v>108034</v>
          </cell>
          <cell r="W150">
            <v>913.10000000000582</v>
          </cell>
        </row>
        <row r="151">
          <cell r="E151">
            <v>119</v>
          </cell>
          <cell r="G151">
            <v>17374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25000</v>
          </cell>
          <cell r="Q151">
            <v>64395</v>
          </cell>
          <cell r="R151">
            <v>0</v>
          </cell>
          <cell r="S151">
            <v>106769</v>
          </cell>
          <cell r="V151">
            <v>114034</v>
          </cell>
          <cell r="W151">
            <v>648.10000000000582</v>
          </cell>
        </row>
        <row r="152">
          <cell r="E152">
            <v>139</v>
          </cell>
          <cell r="G152">
            <v>20294</v>
          </cell>
          <cell r="J152">
            <v>13</v>
          </cell>
          <cell r="L152">
            <v>4680</v>
          </cell>
          <cell r="M152">
            <v>0</v>
          </cell>
          <cell r="N152">
            <v>7000</v>
          </cell>
          <cell r="O152">
            <v>0</v>
          </cell>
          <cell r="P152">
            <v>25000</v>
          </cell>
          <cell r="Q152">
            <v>64395</v>
          </cell>
          <cell r="R152">
            <v>0</v>
          </cell>
          <cell r="S152">
            <v>114369</v>
          </cell>
          <cell r="V152">
            <v>122034</v>
          </cell>
          <cell r="W152">
            <v>-16.899999999994179</v>
          </cell>
        </row>
        <row r="153">
          <cell r="E153">
            <v>92</v>
          </cell>
          <cell r="G153">
            <v>13432</v>
          </cell>
          <cell r="J153">
            <v>0</v>
          </cell>
          <cell r="L153">
            <v>0</v>
          </cell>
          <cell r="M153">
            <v>0</v>
          </cell>
          <cell r="N153">
            <v>9479</v>
          </cell>
          <cell r="O153">
            <v>0</v>
          </cell>
          <cell r="P153">
            <v>25000</v>
          </cell>
          <cell r="Q153">
            <v>64395</v>
          </cell>
          <cell r="R153">
            <v>0</v>
          </cell>
          <cell r="S153">
            <v>102827</v>
          </cell>
          <cell r="V153">
            <v>112034</v>
          </cell>
          <cell r="W153">
            <v>255.10000000000582</v>
          </cell>
        </row>
        <row r="154">
          <cell r="E154">
            <v>89</v>
          </cell>
          <cell r="G154">
            <v>12994</v>
          </cell>
          <cell r="J154">
            <v>0</v>
          </cell>
          <cell r="L154">
            <v>0</v>
          </cell>
          <cell r="M154">
            <v>0</v>
          </cell>
          <cell r="N154">
            <v>9479</v>
          </cell>
          <cell r="O154">
            <v>0</v>
          </cell>
          <cell r="P154">
            <v>25000</v>
          </cell>
          <cell r="Q154">
            <v>64395</v>
          </cell>
          <cell r="R154">
            <v>0</v>
          </cell>
          <cell r="S154">
            <v>102389</v>
          </cell>
          <cell r="V154">
            <v>112034</v>
          </cell>
          <cell r="W154">
            <v>89.100000000005821</v>
          </cell>
        </row>
        <row r="155">
          <cell r="E155">
            <v>72</v>
          </cell>
          <cell r="G155">
            <v>10512</v>
          </cell>
          <cell r="J155">
            <v>0</v>
          </cell>
          <cell r="L155">
            <v>0</v>
          </cell>
          <cell r="M155">
            <v>0</v>
          </cell>
          <cell r="N155">
            <v>9479</v>
          </cell>
          <cell r="O155">
            <v>0</v>
          </cell>
          <cell r="P155">
            <v>25000</v>
          </cell>
          <cell r="Q155">
            <v>64395</v>
          </cell>
          <cell r="R155">
            <v>0</v>
          </cell>
          <cell r="S155">
            <v>99907</v>
          </cell>
          <cell r="V155">
            <v>109034</v>
          </cell>
          <cell r="W155">
            <v>441.10000000000582</v>
          </cell>
        </row>
        <row r="156">
          <cell r="E156">
            <v>95</v>
          </cell>
          <cell r="G156">
            <v>13870</v>
          </cell>
          <cell r="J156">
            <v>0</v>
          </cell>
          <cell r="L156">
            <v>0</v>
          </cell>
          <cell r="M156">
            <v>0</v>
          </cell>
          <cell r="N156">
            <v>9479</v>
          </cell>
          <cell r="O156">
            <v>0</v>
          </cell>
          <cell r="P156">
            <v>25000</v>
          </cell>
          <cell r="Q156">
            <v>64395</v>
          </cell>
          <cell r="R156">
            <v>0</v>
          </cell>
          <cell r="S156">
            <v>103265</v>
          </cell>
          <cell r="V156">
            <v>113034</v>
          </cell>
          <cell r="W156">
            <v>151.10000000000582</v>
          </cell>
        </row>
        <row r="157">
          <cell r="E157">
            <v>78</v>
          </cell>
          <cell r="G157">
            <v>11388</v>
          </cell>
          <cell r="J157">
            <v>0</v>
          </cell>
          <cell r="L157">
            <v>0</v>
          </cell>
          <cell r="M157">
            <v>0</v>
          </cell>
          <cell r="N157">
            <v>9479</v>
          </cell>
          <cell r="O157">
            <v>0</v>
          </cell>
          <cell r="P157">
            <v>25000</v>
          </cell>
          <cell r="Q157">
            <v>64395</v>
          </cell>
          <cell r="R157">
            <v>0</v>
          </cell>
          <cell r="S157">
            <v>100783</v>
          </cell>
          <cell r="V157">
            <v>111034</v>
          </cell>
          <cell r="W157">
            <v>-620.89999999999418</v>
          </cell>
        </row>
        <row r="158">
          <cell r="E158">
            <v>103</v>
          </cell>
          <cell r="G158">
            <v>15038</v>
          </cell>
          <cell r="J158">
            <v>3</v>
          </cell>
          <cell r="L158">
            <v>1080</v>
          </cell>
          <cell r="M158">
            <v>0</v>
          </cell>
          <cell r="N158">
            <v>9479</v>
          </cell>
          <cell r="O158">
            <v>0</v>
          </cell>
          <cell r="P158">
            <v>25000</v>
          </cell>
          <cell r="Q158">
            <v>64395</v>
          </cell>
          <cell r="R158">
            <v>0</v>
          </cell>
          <cell r="S158">
            <v>105513</v>
          </cell>
          <cell r="V158">
            <v>114034</v>
          </cell>
          <cell r="W158">
            <v>337.10000000000582</v>
          </cell>
        </row>
        <row r="159">
          <cell r="E159">
            <v>107</v>
          </cell>
          <cell r="G159">
            <v>15622</v>
          </cell>
          <cell r="J159">
            <v>4</v>
          </cell>
          <cell r="L159">
            <v>1440</v>
          </cell>
          <cell r="M159">
            <v>0</v>
          </cell>
          <cell r="N159">
            <v>9479</v>
          </cell>
          <cell r="O159">
            <v>0</v>
          </cell>
          <cell r="P159">
            <v>25000</v>
          </cell>
          <cell r="Q159">
            <v>64395</v>
          </cell>
          <cell r="R159">
            <v>0</v>
          </cell>
          <cell r="S159">
            <v>106457</v>
          </cell>
          <cell r="V159">
            <v>116034</v>
          </cell>
          <cell r="W159">
            <v>239.10000000000582</v>
          </cell>
        </row>
        <row r="160">
          <cell r="E160">
            <v>75</v>
          </cell>
          <cell r="G160">
            <v>10950</v>
          </cell>
          <cell r="J160">
            <v>0</v>
          </cell>
          <cell r="L160">
            <v>0</v>
          </cell>
          <cell r="M160">
            <v>0</v>
          </cell>
          <cell r="N160">
            <v>9479</v>
          </cell>
          <cell r="O160">
            <v>0</v>
          </cell>
          <cell r="P160">
            <v>25000</v>
          </cell>
          <cell r="Q160">
            <v>64395</v>
          </cell>
          <cell r="R160">
            <v>0</v>
          </cell>
          <cell r="S160">
            <v>100345</v>
          </cell>
          <cell r="V160">
            <v>116034</v>
          </cell>
          <cell r="W160">
            <v>-5970.8999999999942</v>
          </cell>
        </row>
        <row r="161">
          <cell r="E161">
            <v>98</v>
          </cell>
          <cell r="G161">
            <v>14308</v>
          </cell>
          <cell r="J161">
            <v>5</v>
          </cell>
          <cell r="L161">
            <v>1800</v>
          </cell>
          <cell r="M161">
            <v>0</v>
          </cell>
          <cell r="N161">
            <v>9479</v>
          </cell>
          <cell r="O161">
            <v>0</v>
          </cell>
          <cell r="P161">
            <v>25000</v>
          </cell>
          <cell r="Q161">
            <v>64395</v>
          </cell>
          <cell r="R161">
            <v>0</v>
          </cell>
          <cell r="S161">
            <v>105503</v>
          </cell>
          <cell r="V161">
            <v>109034</v>
          </cell>
          <cell r="W161">
            <v>-22.899999999994179</v>
          </cell>
        </row>
        <row r="162">
          <cell r="E162">
            <v>132</v>
          </cell>
          <cell r="G162">
            <v>19272</v>
          </cell>
          <cell r="J162">
            <v>8</v>
          </cell>
          <cell r="L162">
            <v>2880</v>
          </cell>
          <cell r="M162">
            <v>0</v>
          </cell>
          <cell r="N162">
            <v>11665</v>
          </cell>
          <cell r="O162">
            <v>0</v>
          </cell>
          <cell r="P162">
            <v>25000</v>
          </cell>
          <cell r="Q162">
            <v>64395</v>
          </cell>
          <cell r="R162">
            <v>0</v>
          </cell>
          <cell r="S162">
            <v>111547</v>
          </cell>
          <cell r="V162">
            <v>123034</v>
          </cell>
          <cell r="W162">
            <v>155.10000000000582</v>
          </cell>
        </row>
        <row r="163">
          <cell r="E163">
            <v>143</v>
          </cell>
          <cell r="G163">
            <v>20878</v>
          </cell>
          <cell r="J163">
            <v>7</v>
          </cell>
          <cell r="L163">
            <v>2520</v>
          </cell>
          <cell r="M163">
            <v>0</v>
          </cell>
          <cell r="N163">
            <v>11665</v>
          </cell>
          <cell r="O163">
            <v>0</v>
          </cell>
          <cell r="P163">
            <v>25000</v>
          </cell>
          <cell r="Q163">
            <v>74395</v>
          </cell>
          <cell r="R163">
            <v>0</v>
          </cell>
          <cell r="S163">
            <v>122793</v>
          </cell>
          <cell r="V163">
            <v>134034</v>
          </cell>
          <cell r="W163">
            <v>579.10000000000582</v>
          </cell>
        </row>
        <row r="164">
          <cell r="E164">
            <v>93</v>
          </cell>
          <cell r="G164">
            <v>13578</v>
          </cell>
          <cell r="J164">
            <v>6</v>
          </cell>
          <cell r="L164">
            <v>2160</v>
          </cell>
          <cell r="M164">
            <v>0</v>
          </cell>
          <cell r="N164">
            <v>11665</v>
          </cell>
          <cell r="O164">
            <v>0</v>
          </cell>
          <cell r="P164">
            <v>25000</v>
          </cell>
          <cell r="Q164">
            <v>74395</v>
          </cell>
          <cell r="R164">
            <v>0</v>
          </cell>
          <cell r="S164">
            <v>115133</v>
          </cell>
          <cell r="V164">
            <v>127034</v>
          </cell>
          <cell r="W164">
            <v>343.10000000000582</v>
          </cell>
        </row>
        <row r="165">
          <cell r="E165">
            <v>85</v>
          </cell>
          <cell r="G165">
            <v>12410</v>
          </cell>
          <cell r="J165">
            <v>4</v>
          </cell>
          <cell r="L165">
            <v>1440</v>
          </cell>
          <cell r="M165">
            <v>0</v>
          </cell>
          <cell r="N165">
            <v>11665</v>
          </cell>
          <cell r="O165">
            <v>0</v>
          </cell>
          <cell r="P165">
            <v>25000</v>
          </cell>
          <cell r="Q165">
            <v>74395</v>
          </cell>
          <cell r="R165">
            <v>0</v>
          </cell>
          <cell r="S165">
            <v>113245</v>
          </cell>
          <cell r="V165">
            <v>125034</v>
          </cell>
          <cell r="W165">
            <v>219.10000000000582</v>
          </cell>
        </row>
        <row r="166">
          <cell r="E166">
            <v>68</v>
          </cell>
          <cell r="G166">
            <v>9928</v>
          </cell>
          <cell r="J166">
            <v>1</v>
          </cell>
          <cell r="L166">
            <v>360</v>
          </cell>
          <cell r="M166">
            <v>0</v>
          </cell>
          <cell r="N166">
            <v>11709</v>
          </cell>
          <cell r="O166">
            <v>0</v>
          </cell>
          <cell r="P166">
            <v>25000</v>
          </cell>
          <cell r="Q166">
            <v>74395</v>
          </cell>
          <cell r="R166">
            <v>0</v>
          </cell>
          <cell r="S166">
            <v>109683</v>
          </cell>
          <cell r="V166">
            <v>121034</v>
          </cell>
          <cell r="W166">
            <v>577.10000000000582</v>
          </cell>
        </row>
        <row r="167">
          <cell r="E167">
            <v>71</v>
          </cell>
          <cell r="G167">
            <v>10366</v>
          </cell>
          <cell r="J167">
            <v>9</v>
          </cell>
          <cell r="L167">
            <v>3240</v>
          </cell>
          <cell r="M167">
            <v>0</v>
          </cell>
          <cell r="N167">
            <v>11709</v>
          </cell>
          <cell r="O167">
            <v>0</v>
          </cell>
          <cell r="P167">
            <v>25000</v>
          </cell>
          <cell r="Q167">
            <v>74395</v>
          </cell>
          <cell r="R167">
            <v>0</v>
          </cell>
          <cell r="S167">
            <v>113001</v>
          </cell>
          <cell r="V167">
            <v>125034</v>
          </cell>
          <cell r="W167">
            <v>253.10000000000582</v>
          </cell>
        </row>
        <row r="168">
          <cell r="E168">
            <v>84</v>
          </cell>
          <cell r="G168">
            <v>12264</v>
          </cell>
          <cell r="J168">
            <v>1</v>
          </cell>
          <cell r="L168">
            <v>360</v>
          </cell>
          <cell r="M168">
            <v>0</v>
          </cell>
          <cell r="N168">
            <v>11709</v>
          </cell>
          <cell r="O168">
            <v>0</v>
          </cell>
          <cell r="P168">
            <v>25000</v>
          </cell>
          <cell r="Q168">
            <v>74395</v>
          </cell>
          <cell r="R168">
            <v>0</v>
          </cell>
          <cell r="S168">
            <v>112019</v>
          </cell>
          <cell r="V168">
            <v>124034</v>
          </cell>
          <cell r="W168">
            <v>-52.899999999994179</v>
          </cell>
        </row>
        <row r="169">
          <cell r="E169">
            <v>91</v>
          </cell>
          <cell r="G169">
            <v>13286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25000</v>
          </cell>
          <cell r="Q169">
            <v>74395</v>
          </cell>
          <cell r="R169">
            <v>0</v>
          </cell>
          <cell r="S169">
            <v>113041</v>
          </cell>
          <cell r="V169">
            <v>124034</v>
          </cell>
          <cell r="W169">
            <v>269.10000000000582</v>
          </cell>
        </row>
        <row r="170">
          <cell r="E170">
            <v>86</v>
          </cell>
          <cell r="G170">
            <v>12556</v>
          </cell>
          <cell r="J170">
            <v>2</v>
          </cell>
          <cell r="L170">
            <v>720</v>
          </cell>
          <cell r="M170">
            <v>0</v>
          </cell>
          <cell r="N170">
            <v>11315</v>
          </cell>
          <cell r="O170">
            <v>0</v>
          </cell>
          <cell r="P170">
            <v>25000</v>
          </cell>
          <cell r="Q170">
            <v>74395</v>
          </cell>
          <cell r="R170">
            <v>0</v>
          </cell>
          <cell r="S170">
            <v>112671</v>
          </cell>
          <cell r="V170">
            <v>124034</v>
          </cell>
          <cell r="W170">
            <v>221.10000000000582</v>
          </cell>
        </row>
        <row r="171">
          <cell r="E171">
            <v>80</v>
          </cell>
          <cell r="G171">
            <v>11680</v>
          </cell>
          <cell r="J171">
            <v>3</v>
          </cell>
          <cell r="L171">
            <v>1080</v>
          </cell>
          <cell r="M171">
            <v>0</v>
          </cell>
          <cell r="N171">
            <v>7000</v>
          </cell>
          <cell r="O171">
            <v>0</v>
          </cell>
          <cell r="P171">
            <v>25000</v>
          </cell>
          <cell r="Q171">
            <v>74395</v>
          </cell>
          <cell r="R171">
            <v>0</v>
          </cell>
          <cell r="S171">
            <v>112155</v>
          </cell>
          <cell r="V171">
            <v>119034</v>
          </cell>
          <cell r="W171">
            <v>342.10000000000582</v>
          </cell>
        </row>
        <row r="172">
          <cell r="E172">
            <v>66</v>
          </cell>
          <cell r="G172">
            <v>9636</v>
          </cell>
          <cell r="J172">
            <v>1</v>
          </cell>
          <cell r="L172">
            <v>360</v>
          </cell>
          <cell r="M172">
            <v>0</v>
          </cell>
          <cell r="N172">
            <v>7000</v>
          </cell>
          <cell r="O172">
            <v>0</v>
          </cell>
          <cell r="P172">
            <v>25000</v>
          </cell>
          <cell r="Q172">
            <v>74395</v>
          </cell>
          <cell r="R172">
            <v>0</v>
          </cell>
          <cell r="S172">
            <v>109391</v>
          </cell>
          <cell r="V172">
            <v>116034</v>
          </cell>
          <cell r="W172">
            <v>699.10000000000582</v>
          </cell>
        </row>
        <row r="173">
          <cell r="E173">
            <v>79</v>
          </cell>
          <cell r="G173">
            <v>11534</v>
          </cell>
          <cell r="J173">
            <v>2</v>
          </cell>
          <cell r="L173">
            <v>720</v>
          </cell>
          <cell r="M173">
            <v>0</v>
          </cell>
          <cell r="N173">
            <v>7000</v>
          </cell>
          <cell r="O173">
            <v>0</v>
          </cell>
          <cell r="P173">
            <v>25000</v>
          </cell>
          <cell r="Q173">
            <v>74395</v>
          </cell>
          <cell r="R173">
            <v>0</v>
          </cell>
          <cell r="S173">
            <v>111649</v>
          </cell>
          <cell r="V173">
            <v>119034</v>
          </cell>
          <cell r="W173">
            <v>314.10000000000582</v>
          </cell>
        </row>
        <row r="174">
          <cell r="E174">
            <v>76</v>
          </cell>
          <cell r="G174">
            <v>11096</v>
          </cell>
          <cell r="J174">
            <v>1</v>
          </cell>
          <cell r="L174">
            <v>360</v>
          </cell>
          <cell r="M174">
            <v>0</v>
          </cell>
          <cell r="N174">
            <v>7000</v>
          </cell>
          <cell r="O174">
            <v>0</v>
          </cell>
          <cell r="P174">
            <v>25000</v>
          </cell>
          <cell r="Q174">
            <v>74395</v>
          </cell>
          <cell r="R174">
            <v>0</v>
          </cell>
          <cell r="S174">
            <v>110851</v>
          </cell>
          <cell r="V174">
            <v>118034</v>
          </cell>
          <cell r="W174">
            <v>131.10000000000582</v>
          </cell>
        </row>
      </sheetData>
      <sheetData sheetId="3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117000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99000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145000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145000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138000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184000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184000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138000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184000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230000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230000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92000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138000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138000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92000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46000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55720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55720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92000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138000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102000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148000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101200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166200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253400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130000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132000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187000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55000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110000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55000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110000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16500</v>
          </cell>
          <cell r="S102">
            <v>71500</v>
          </cell>
          <cell r="V102">
            <v>181500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113300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16995</v>
          </cell>
          <cell r="S105">
            <v>73645</v>
          </cell>
          <cell r="V105">
            <v>186945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56650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113300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16995</v>
          </cell>
          <cell r="S108">
            <v>73645</v>
          </cell>
          <cell r="V108">
            <v>186945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86580</v>
          </cell>
          <cell r="W111">
            <v>-29930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26720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11771</v>
          </cell>
          <cell r="S116">
            <v>70630</v>
          </cell>
          <cell r="V116">
            <v>0</v>
          </cell>
          <cell r="W116">
            <v>129489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188348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24720</v>
          </cell>
          <cell r="S118">
            <v>83579</v>
          </cell>
          <cell r="V118">
            <v>0</v>
          </cell>
          <cell r="W118">
            <v>271927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330786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58859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11771</v>
          </cell>
          <cell r="S121">
            <v>70630</v>
          </cell>
          <cell r="V121">
            <v>0</v>
          </cell>
          <cell r="W121">
            <v>129489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188348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58859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117718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58859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117718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13175</v>
          </cell>
          <cell r="S128">
            <v>85197</v>
          </cell>
          <cell r="V128">
            <v>0</v>
          </cell>
          <cell r="W128">
            <v>144931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204665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59734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11946</v>
          </cell>
          <cell r="S131">
            <v>71680</v>
          </cell>
          <cell r="V131">
            <v>0</v>
          </cell>
          <cell r="W131">
            <v>131414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191148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250882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59734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11947</v>
          </cell>
          <cell r="S138">
            <v>91681</v>
          </cell>
          <cell r="V138">
            <v>0</v>
          </cell>
          <cell r="W138">
            <v>151415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219950</v>
          </cell>
          <cell r="W139">
            <v>-1999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0</v>
          </cell>
          <cell r="W140">
            <v>64537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131073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66536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133072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0</v>
          </cell>
          <cell r="W146">
            <v>66536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13307</v>
          </cell>
          <cell r="S147">
            <v>79843</v>
          </cell>
          <cell r="V147">
            <v>0</v>
          </cell>
          <cell r="W147">
            <v>146379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115190</v>
          </cell>
          <cell r="V148">
            <v>0</v>
          </cell>
          <cell r="W148">
            <v>261569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115643</v>
          </cell>
          <cell r="V149">
            <v>0</v>
          </cell>
          <cell r="W149">
            <v>377212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445748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71395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142790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0</v>
          </cell>
          <cell r="W155">
            <v>71395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142790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122089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122375</v>
          </cell>
          <cell r="V160">
            <v>0</v>
          </cell>
          <cell r="W160">
            <v>244464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315859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122653</v>
          </cell>
          <cell r="V162">
            <v>0</v>
          </cell>
          <cell r="W162">
            <v>122653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132653</v>
          </cell>
          <cell r="V163">
            <v>152790</v>
          </cell>
          <cell r="W163">
            <v>102516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183911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265306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0</v>
          </cell>
          <cell r="W169">
            <v>81395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162790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0</v>
          </cell>
          <cell r="W171">
            <v>81395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162790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0</v>
          </cell>
          <cell r="W174">
            <v>81395</v>
          </cell>
        </row>
      </sheetData>
      <sheetData sheetId="3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-39000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50000</v>
          </cell>
          <cell r="W27">
            <v>-89000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-89000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168000</v>
          </cell>
          <cell r="W29">
            <v>-257000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297384</v>
          </cell>
          <cell r="W30">
            <v>-554384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-593384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-593384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-593384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-593384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-593384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-593384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-593384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-593384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-593384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-593384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-593384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-593384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-593384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-593384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156000</v>
          </cell>
          <cell r="W45">
            <v>-749384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-749384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-749384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-749384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-749384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-749384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-749384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-749384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-749384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-703384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-657384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-611384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-565384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-519384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-473384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-427384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-381384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-335384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-289384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14026</v>
          </cell>
          <cell r="S64">
            <v>46000</v>
          </cell>
          <cell r="V64">
            <v>0</v>
          </cell>
          <cell r="W64">
            <v>-229358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38989</v>
          </cell>
          <cell r="S65">
            <v>46000</v>
          </cell>
          <cell r="V65">
            <v>0</v>
          </cell>
          <cell r="W65">
            <v>-144369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39245</v>
          </cell>
          <cell r="S66">
            <v>46000</v>
          </cell>
          <cell r="V66">
            <v>0</v>
          </cell>
          <cell r="W66">
            <v>-59124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39476</v>
          </cell>
          <cell r="S67">
            <v>46000</v>
          </cell>
          <cell r="V67">
            <v>0</v>
          </cell>
          <cell r="W67">
            <v>26352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39533</v>
          </cell>
          <cell r="S68">
            <v>46000</v>
          </cell>
          <cell r="V68">
            <v>0</v>
          </cell>
          <cell r="W68">
            <v>111885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39645</v>
          </cell>
          <cell r="S69">
            <v>46000</v>
          </cell>
          <cell r="V69">
            <v>0</v>
          </cell>
          <cell r="W69">
            <v>197530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39913</v>
          </cell>
          <cell r="S70">
            <v>46000</v>
          </cell>
          <cell r="V70">
            <v>0</v>
          </cell>
          <cell r="W70">
            <v>283443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40122</v>
          </cell>
          <cell r="S71">
            <v>46000</v>
          </cell>
          <cell r="V71">
            <v>0</v>
          </cell>
          <cell r="W71">
            <v>369565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40505</v>
          </cell>
          <cell r="S72">
            <v>46000</v>
          </cell>
          <cell r="V72">
            <v>0</v>
          </cell>
          <cell r="W72">
            <v>456070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41082</v>
          </cell>
          <cell r="S73">
            <v>46000</v>
          </cell>
          <cell r="V73">
            <v>0</v>
          </cell>
          <cell r="W73">
            <v>543152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41582</v>
          </cell>
          <cell r="S74">
            <v>46000</v>
          </cell>
          <cell r="V74">
            <v>0</v>
          </cell>
          <cell r="W74">
            <v>630734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41977</v>
          </cell>
          <cell r="S75">
            <v>46000</v>
          </cell>
          <cell r="V75">
            <v>0</v>
          </cell>
          <cell r="W75">
            <v>718711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42418</v>
          </cell>
          <cell r="S76">
            <v>46000</v>
          </cell>
          <cell r="V76">
            <v>0</v>
          </cell>
          <cell r="W76">
            <v>807129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910319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999224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1087751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1175899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1263819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1351807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1439786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1527652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1625569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1713404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1801073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1888987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1977022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2064908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2171644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2278485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2385482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2492545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2599770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2697174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2794629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2892265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2989945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3087733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3185601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3283512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3383116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3482820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3582627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3682700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3782970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3883400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3983944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4084545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4185220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4286078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4387155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4488393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4592069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4695854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4799780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4903821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5007922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5112036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5216053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5320031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5424072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5528397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5633018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5737559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5842908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5960607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6066080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6171694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6277200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6382639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6488273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6594084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6700000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11946</v>
          </cell>
          <cell r="S137">
            <v>71680</v>
          </cell>
          <cell r="V137">
            <v>0</v>
          </cell>
          <cell r="W137">
            <v>131414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211148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61536</v>
          </cell>
          <cell r="W139">
            <v>5000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71536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66536</v>
          </cell>
          <cell r="W150">
            <v>2000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73395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120485</v>
          </cell>
          <cell r="V152">
            <v>0</v>
          </cell>
          <cell r="W152">
            <v>120485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120641</v>
          </cell>
          <cell r="V153">
            <v>0</v>
          </cell>
          <cell r="W153">
            <v>241126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120904</v>
          </cell>
          <cell r="V154">
            <v>0</v>
          </cell>
          <cell r="W154">
            <v>362030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121205</v>
          </cell>
          <cell r="V155">
            <v>0</v>
          </cell>
          <cell r="W155">
            <v>483235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121361</v>
          </cell>
          <cell r="V156">
            <v>0</v>
          </cell>
          <cell r="W156">
            <v>604596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121568</v>
          </cell>
          <cell r="V157">
            <v>0</v>
          </cell>
          <cell r="W157">
            <v>726164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121783</v>
          </cell>
          <cell r="V158">
            <v>0</v>
          </cell>
          <cell r="W158">
            <v>847947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970036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122375</v>
          </cell>
          <cell r="V160">
            <v>0</v>
          </cell>
          <cell r="W160">
            <v>1092411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122592</v>
          </cell>
          <cell r="V161">
            <v>0</v>
          </cell>
          <cell r="W161">
            <v>1215003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1286398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0</v>
          </cell>
          <cell r="W174">
            <v>81395</v>
          </cell>
        </row>
      </sheetData>
      <sheetData sheetId="3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195000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234000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195000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234000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273000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312000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358000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404000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450000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496000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28000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74000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120000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166000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212000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258000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304000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350000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396000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442000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488000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534000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580000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626000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672000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718000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764000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810000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856000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902000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948000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994000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1040000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1086000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1132000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1178000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1224000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1280000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1326000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1372000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1418000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1464000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1510000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1575000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1640000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1705000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1770000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1835000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1890000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1945000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2000000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165000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56650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113300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72022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66536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66536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3</v>
          </cell>
          <cell r="L141">
            <v>1080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67616</v>
          </cell>
          <cell r="V141">
            <v>67616</v>
          </cell>
          <cell r="W141">
            <v>0</v>
          </cell>
        </row>
        <row r="142">
          <cell r="E142">
            <v>4</v>
          </cell>
          <cell r="G142">
            <v>584</v>
          </cell>
          <cell r="J142">
            <v>6</v>
          </cell>
          <cell r="L142">
            <v>2160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69280</v>
          </cell>
          <cell r="V142">
            <v>69280</v>
          </cell>
          <cell r="W142">
            <v>0</v>
          </cell>
        </row>
        <row r="143">
          <cell r="E143">
            <v>3</v>
          </cell>
          <cell r="G143">
            <v>438</v>
          </cell>
          <cell r="J143">
            <v>4</v>
          </cell>
          <cell r="L143">
            <v>1440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68414</v>
          </cell>
          <cell r="V143">
            <v>68414</v>
          </cell>
          <cell r="W143">
            <v>0</v>
          </cell>
        </row>
        <row r="144">
          <cell r="E144">
            <v>1</v>
          </cell>
          <cell r="G144">
            <v>146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67042</v>
          </cell>
          <cell r="V144">
            <v>67042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-8</v>
          </cell>
          <cell r="G156">
            <v>0</v>
          </cell>
          <cell r="J156">
            <v>-14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3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39000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39000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39000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39000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39000</v>
          </cell>
          <cell r="W58">
            <v>113000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159000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205000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251000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297000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343000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343000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92000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92000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96600</v>
          </cell>
          <cell r="W76">
            <v>41400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41400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92000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102000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92000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130000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19500</v>
          </cell>
          <cell r="S93">
            <v>65000</v>
          </cell>
          <cell r="V93">
            <v>0</v>
          </cell>
          <cell r="W93">
            <v>214500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279500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279500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31500</v>
          </cell>
          <cell r="S96">
            <v>55000</v>
          </cell>
          <cell r="V96">
            <v>0</v>
          </cell>
          <cell r="W96">
            <v>366000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421000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425000</v>
          </cell>
          <cell r="W98">
            <v>51000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51000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106000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55000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110000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56688</v>
          </cell>
          <cell r="W111">
            <v>-38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56688</v>
          </cell>
          <cell r="W112">
            <v>-76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56888</v>
          </cell>
          <cell r="W113">
            <v>-314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53336</v>
          </cell>
          <cell r="W114">
            <v>3000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120718</v>
          </cell>
          <cell r="W115">
            <v>-58859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58859</v>
          </cell>
          <cell r="W127">
            <v>875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72897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60609</v>
          </cell>
          <cell r="W129">
            <v>-875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58859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59734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119468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0</v>
          </cell>
          <cell r="W134">
            <v>59734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119468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119468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0</v>
          </cell>
          <cell r="W149">
            <v>66536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135072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0</v>
          </cell>
          <cell r="W151">
            <v>71395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142790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0</v>
          </cell>
          <cell r="W165">
            <v>81395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162790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3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39000</v>
          </cell>
          <cell r="W20">
            <v>-39000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-39000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-39000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-39000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-39000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-39000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-39000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273000</v>
          </cell>
          <cell r="W27">
            <v>-312000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-351000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-429000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-429000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78000</v>
          </cell>
          <cell r="W31">
            <v>-507000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-507000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-507000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117000</v>
          </cell>
          <cell r="W34">
            <v>-624000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-624000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-663000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-663000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-780000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-780000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-780000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117000</v>
          </cell>
          <cell r="W41">
            <v>-897000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-936000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-936000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-936000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117000</v>
          </cell>
          <cell r="W45">
            <v>-1053000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-1053000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-1053000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78000</v>
          </cell>
          <cell r="W48">
            <v>-1131000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-1131000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-1209000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78000</v>
          </cell>
          <cell r="W51">
            <v>-1287000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-1326000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-1326000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-1404000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46000</v>
          </cell>
          <cell r="W55">
            <v>-1450000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46000</v>
          </cell>
          <cell r="W56">
            <v>-1496000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-1496000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-1496000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92000</v>
          </cell>
          <cell r="W59">
            <v>-1588000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-1680000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-1726000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-1726000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92000</v>
          </cell>
          <cell r="W63">
            <v>-1818000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-1864000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-1910000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-1956000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-1956000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92000</v>
          </cell>
          <cell r="W68">
            <v>-2048000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-2094000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-2140000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-2186000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-2232000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-2278000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-2324000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-2324000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96600</v>
          </cell>
          <cell r="W76">
            <v>-2420600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-2466600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87400</v>
          </cell>
          <cell r="W78">
            <v>-2554000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46000</v>
          </cell>
          <cell r="W79">
            <v>-2600000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-2646000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-2692000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-2738000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-2784000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-2830000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4000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46000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-46000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-92000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-138000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-184000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65000</v>
          </cell>
          <cell r="W91">
            <v>-249000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65000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65000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65000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56650</v>
          </cell>
          <cell r="W102">
            <v>-1650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-1650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-1650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-1650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-1650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-1650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-1650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-1650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-1650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-1650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-1650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55000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11165</v>
          </cell>
          <cell r="S114">
            <v>67815</v>
          </cell>
          <cell r="V114">
            <v>0</v>
          </cell>
          <cell r="W114">
            <v>122815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181674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240533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29939</v>
          </cell>
          <cell r="S117">
            <v>88798</v>
          </cell>
          <cell r="V117">
            <v>0</v>
          </cell>
          <cell r="W117">
            <v>329331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388190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447049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505908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58859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117718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17658</v>
          </cell>
          <cell r="S123">
            <v>76517</v>
          </cell>
          <cell r="V123">
            <v>0</v>
          </cell>
          <cell r="W123">
            <v>194235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253094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370812</v>
          </cell>
          <cell r="W125">
            <v>-58859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59734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13175</v>
          </cell>
          <cell r="S128">
            <v>85197</v>
          </cell>
          <cell r="V128">
            <v>0</v>
          </cell>
          <cell r="W128">
            <v>144931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204665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26439</v>
          </cell>
          <cell r="S130">
            <v>86173</v>
          </cell>
          <cell r="V130">
            <v>0</v>
          </cell>
          <cell r="W130">
            <v>290838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350572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0</v>
          </cell>
          <cell r="W142">
            <v>66536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133072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0</v>
          </cell>
          <cell r="W147">
            <v>66536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133072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0</v>
          </cell>
          <cell r="W153">
            <v>71395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142790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0</v>
          </cell>
          <cell r="W158">
            <v>71395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142790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0</v>
          </cell>
          <cell r="W160">
            <v>71395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142790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132830</v>
          </cell>
          <cell r="V164">
            <v>0</v>
          </cell>
          <cell r="W164">
            <v>132830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133019</v>
          </cell>
          <cell r="V165">
            <v>0</v>
          </cell>
          <cell r="W165">
            <v>265849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347244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0</v>
          </cell>
          <cell r="W170">
            <v>81395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162790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4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39000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78000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78000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39000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117000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156000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195000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195000</v>
          </cell>
          <cell r="W34">
            <v>39000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117000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156000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195000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195000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117000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156000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195000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234000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195000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234000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273000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312000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351000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390000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312000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156000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195000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195000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106000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152000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106000</v>
          </cell>
          <cell r="W59">
            <v>92000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184000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230000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184000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230000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184000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92000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138000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184000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230000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184000</v>
          </cell>
          <cell r="W71">
            <v>92000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138000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184000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230000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276000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322000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299000</v>
          </cell>
          <cell r="W77">
            <v>69000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157905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246432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334580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422500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510488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598467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686333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784250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872085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959754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1047668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1135703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1223589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1330325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1437166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1544163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1651226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1758451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1855855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1953310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2050946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2148626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2246414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2344282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2442193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2498843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2555493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2612143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2612143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512184</v>
          </cell>
          <cell r="W107">
            <v>2156609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2213259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2269909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2326559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2383209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2439859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2496509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2553159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2612018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2670877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2729736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2788595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2847454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2906313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2965172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3024031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3082890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3141749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3200608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3259467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3319201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3391223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3450957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3510691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3570425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3630159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59734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61536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0</v>
          </cell>
          <cell r="W140">
            <v>61536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123072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61536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61536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61536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61536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61536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61536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0</v>
          </cell>
          <cell r="W148">
            <v>61536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123072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61536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0</v>
          </cell>
          <cell r="W154">
            <v>64395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128790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64395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0</v>
          </cell>
          <cell r="W157">
            <v>64395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142790</v>
          </cell>
          <cell r="W158">
            <v>-14000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0</v>
          </cell>
          <cell r="W159">
            <v>50395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165770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243000</v>
          </cell>
          <cell r="W161">
            <v>38362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0</v>
          </cell>
          <cell r="W162">
            <v>102757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0</v>
          </cell>
          <cell r="W163">
            <v>177152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251547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0</v>
          </cell>
          <cell r="W166">
            <v>74395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148790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126499</v>
          </cell>
          <cell r="V168">
            <v>148790</v>
          </cell>
          <cell r="W168">
            <v>-22291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74395</v>
          </cell>
          <cell r="W169">
            <v>29992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0</v>
          </cell>
          <cell r="W170">
            <v>104387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178782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0</v>
          </cell>
          <cell r="W172">
            <v>74395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148790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4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39000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39000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78000</v>
          </cell>
          <cell r="W29">
            <v>-39000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78000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39000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39000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78000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78000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46000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46000</v>
          </cell>
          <cell r="W56">
            <v>46000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46000</v>
          </cell>
          <cell r="W57">
            <v>46000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46000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46000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46000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46000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46000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46000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46000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46000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55000</v>
          </cell>
          <cell r="W93">
            <v>75000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75000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120000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58859</v>
          </cell>
          <cell r="W127">
            <v>875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59734</v>
          </cell>
          <cell r="W128">
            <v>13163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72022</v>
          </cell>
          <cell r="W129">
            <v>875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875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875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875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875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875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875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875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875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59734</v>
          </cell>
          <cell r="W138">
            <v>875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59734</v>
          </cell>
          <cell r="W139">
            <v>2677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59734</v>
          </cell>
          <cell r="W140">
            <v>4479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59734</v>
          </cell>
          <cell r="W141">
            <v>6281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67817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61536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71536</v>
          </cell>
          <cell r="V144">
            <v>71536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10000</v>
          </cell>
          <cell r="Q145">
            <v>61536</v>
          </cell>
          <cell r="R145">
            <v>14307</v>
          </cell>
          <cell r="S145">
            <v>85843</v>
          </cell>
          <cell r="V145">
            <v>0</v>
          </cell>
          <cell r="W145">
            <v>85843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0</v>
          </cell>
          <cell r="W146">
            <v>147379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20891</v>
          </cell>
          <cell r="S147">
            <v>82427</v>
          </cell>
          <cell r="V147">
            <v>0</v>
          </cell>
          <cell r="W147">
            <v>229806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339996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450639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0</v>
          </cell>
          <cell r="W150">
            <v>561429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674938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788423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902064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1015968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1130173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1244534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1359102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1473885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1588974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1704349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0</v>
          </cell>
          <cell r="W161">
            <v>1819941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1935594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0</v>
          </cell>
          <cell r="W163">
            <v>2009989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0</v>
          </cell>
          <cell r="W164">
            <v>2084384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0</v>
          </cell>
          <cell r="W165">
            <v>2158779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0</v>
          </cell>
          <cell r="W166">
            <v>2233174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0</v>
          </cell>
          <cell r="W167">
            <v>2307569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0</v>
          </cell>
          <cell r="W168">
            <v>2381964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0</v>
          </cell>
          <cell r="W169">
            <v>2456359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0</v>
          </cell>
          <cell r="W170">
            <v>2530754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0</v>
          </cell>
          <cell r="W171">
            <v>2605149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0</v>
          </cell>
          <cell r="W172">
            <v>2679544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0</v>
          </cell>
          <cell r="W173">
            <v>2753939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828334</v>
          </cell>
          <cell r="W174">
            <v>2000000</v>
          </cell>
        </row>
      </sheetData>
      <sheetData sheetId="4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195000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195000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34205</v>
          </cell>
          <cell r="S76">
            <v>46000</v>
          </cell>
          <cell r="V76">
            <v>0</v>
          </cell>
          <cell r="W76">
            <v>218205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307025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395930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484457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572605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660525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748513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836492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924358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1022275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1110110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1197779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1285693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1373728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1461614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1568350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1675191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1782188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1889251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1996476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2093880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2191335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2288971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2386651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2484439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2582307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2680218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2779822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2879526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2979333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3079406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3179676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3280106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3380650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3481251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3581926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3682784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3783861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3885099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3988775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4092560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4196486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4300527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4404628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4508742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4612759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4716737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4820778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4925103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5029724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5134265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5239614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5357313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5462786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5568400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5673906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5779345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25088</v>
          </cell>
          <cell r="S136">
            <v>84822</v>
          </cell>
          <cell r="V136">
            <v>0</v>
          </cell>
          <cell r="W136">
            <v>275970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335704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4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78000</v>
          </cell>
          <cell r="W36">
            <v>39000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78000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78000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78000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78000</v>
          </cell>
          <cell r="W45">
            <v>156000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78000</v>
          </cell>
          <cell r="W46">
            <v>117000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156000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156000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34172</v>
          </cell>
          <cell r="S76">
            <v>46000</v>
          </cell>
          <cell r="V76">
            <v>0</v>
          </cell>
          <cell r="W76">
            <v>218172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306992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395897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484424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572572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660492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748480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836459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924325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1022242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1110077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1197746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1285660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1373695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1461581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1568317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1675158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1782155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1889218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1996443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2093847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2191302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2288938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2386618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2484406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2582274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2680185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2779789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2879493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2979300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3079373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3179643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3280073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3380617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3481218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3581893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3682751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3783828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3885066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3988742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4092527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4196453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4300494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4404595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4508709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4612726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4716704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4820745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4925070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5029691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5134232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5239581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5357280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5462753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5568367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5673873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5779312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11946</v>
          </cell>
          <cell r="S134">
            <v>71680</v>
          </cell>
          <cell r="V134">
            <v>0</v>
          </cell>
          <cell r="W134">
            <v>131414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191148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25088</v>
          </cell>
          <cell r="S136">
            <v>84822</v>
          </cell>
          <cell r="V136">
            <v>0</v>
          </cell>
          <cell r="W136">
            <v>275970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335704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0</v>
          </cell>
          <cell r="W145">
            <v>66536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133072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114872</v>
          </cell>
          <cell r="V147">
            <v>0</v>
          </cell>
          <cell r="W147">
            <v>114872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115190</v>
          </cell>
          <cell r="V148">
            <v>0</v>
          </cell>
          <cell r="W148">
            <v>230062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296598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133843</v>
          </cell>
          <cell r="V171">
            <v>0</v>
          </cell>
          <cell r="W171">
            <v>133843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133918</v>
          </cell>
          <cell r="V172">
            <v>267761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4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1162.5</v>
          </cell>
          <cell r="G16">
            <v>73237.5</v>
          </cell>
          <cell r="J16">
            <v>279.32900000000001</v>
          </cell>
          <cell r="L16">
            <v>83798.7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196036.2</v>
          </cell>
          <cell r="V16">
            <v>0</v>
          </cell>
          <cell r="W16">
            <v>0</v>
          </cell>
        </row>
        <row r="17">
          <cell r="E17">
            <v>155.79999999999995</v>
          </cell>
          <cell r="G17">
            <v>9815.3999999999978</v>
          </cell>
          <cell r="J17">
            <v>50.250999999999976</v>
          </cell>
          <cell r="L17">
            <v>15075.299999999992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63890.69999999999</v>
          </cell>
          <cell r="V17">
            <v>0</v>
          </cell>
          <cell r="W17">
            <v>0</v>
          </cell>
        </row>
        <row r="18">
          <cell r="E18">
            <v>374.5</v>
          </cell>
          <cell r="G18">
            <v>23593.5</v>
          </cell>
          <cell r="J18">
            <v>292.82</v>
          </cell>
          <cell r="L18">
            <v>87846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150439.5</v>
          </cell>
          <cell r="V18">
            <v>0</v>
          </cell>
          <cell r="W18">
            <v>0</v>
          </cell>
        </row>
        <row r="19">
          <cell r="E19">
            <v>310.79999999999995</v>
          </cell>
          <cell r="G19">
            <v>19580.399999999998</v>
          </cell>
          <cell r="J19">
            <v>82.300000000000068</v>
          </cell>
          <cell r="L19">
            <v>24690.000000000022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83270.400000000023</v>
          </cell>
          <cell r="V19">
            <v>0</v>
          </cell>
          <cell r="W19">
            <v>0</v>
          </cell>
        </row>
        <row r="20">
          <cell r="E20">
            <v>293.90000000000009</v>
          </cell>
          <cell r="G20">
            <v>18515.700000000004</v>
          </cell>
          <cell r="J20">
            <v>85.799999999999955</v>
          </cell>
          <cell r="L20">
            <v>25739.999999999985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83255.699999999983</v>
          </cell>
          <cell r="V20">
            <v>0</v>
          </cell>
          <cell r="W20">
            <v>0</v>
          </cell>
        </row>
        <row r="21">
          <cell r="E21">
            <v>368.59999999999991</v>
          </cell>
          <cell r="G21">
            <v>23221.799999999996</v>
          </cell>
          <cell r="J21">
            <v>147.79999999999995</v>
          </cell>
          <cell r="L21">
            <v>44339.999999999985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106561.79999999999</v>
          </cell>
          <cell r="V21">
            <v>0</v>
          </cell>
          <cell r="W21">
            <v>0</v>
          </cell>
        </row>
        <row r="22">
          <cell r="E22">
            <v>277.30000000000018</v>
          </cell>
          <cell r="G22">
            <v>17469.900000000012</v>
          </cell>
          <cell r="J22">
            <v>78</v>
          </cell>
          <cell r="L22">
            <v>28080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84549.900000000009</v>
          </cell>
          <cell r="V22">
            <v>0</v>
          </cell>
          <cell r="W22">
            <v>0</v>
          </cell>
        </row>
        <row r="23">
          <cell r="E23">
            <v>352.09999999999991</v>
          </cell>
          <cell r="G23">
            <v>22182.299999999996</v>
          </cell>
          <cell r="J23">
            <v>30.200000000000045</v>
          </cell>
          <cell r="L23">
            <v>10872.000000000016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72054.300000000017</v>
          </cell>
          <cell r="V23">
            <v>0</v>
          </cell>
          <cell r="W23">
            <v>0</v>
          </cell>
        </row>
        <row r="24">
          <cell r="E24">
            <v>221.59999999999991</v>
          </cell>
          <cell r="G24">
            <v>13960.799999999994</v>
          </cell>
          <cell r="J24">
            <v>32.200000000000045</v>
          </cell>
          <cell r="L24">
            <v>11592.000000000016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64552.80000000001</v>
          </cell>
          <cell r="V24">
            <v>0</v>
          </cell>
          <cell r="W24">
            <v>0</v>
          </cell>
        </row>
        <row r="25">
          <cell r="E25">
            <v>268.59999999999991</v>
          </cell>
          <cell r="G25">
            <v>16921.799999999996</v>
          </cell>
          <cell r="J25">
            <v>7.3999999999998636</v>
          </cell>
          <cell r="L25">
            <v>2663.9999999999509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58585.799999999945</v>
          </cell>
          <cell r="V25">
            <v>0</v>
          </cell>
          <cell r="W25">
            <v>58585.799999999945</v>
          </cell>
        </row>
        <row r="26">
          <cell r="E26">
            <v>171.10000000000036</v>
          </cell>
          <cell r="G26">
            <v>10779.300000000023</v>
          </cell>
          <cell r="J26">
            <v>3.9000000000000909</v>
          </cell>
          <cell r="L26">
            <v>1404.0000000000327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51183.300000000054</v>
          </cell>
          <cell r="V26">
            <v>58586</v>
          </cell>
          <cell r="W26">
            <v>51183.100000000006</v>
          </cell>
        </row>
        <row r="27">
          <cell r="E27">
            <v>232.5</v>
          </cell>
          <cell r="G27">
            <v>14647.5</v>
          </cell>
          <cell r="J27">
            <v>33.900000000000091</v>
          </cell>
          <cell r="L27">
            <v>12204.000000000033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65851.500000000029</v>
          </cell>
          <cell r="V27">
            <v>51183</v>
          </cell>
          <cell r="W27">
            <v>65851.600000000035</v>
          </cell>
        </row>
        <row r="28">
          <cell r="E28">
            <v>267</v>
          </cell>
          <cell r="G28">
            <v>16821</v>
          </cell>
          <cell r="J28">
            <v>84.799999999999955</v>
          </cell>
          <cell r="L28">
            <v>30527.999999999985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86348.999999999985</v>
          </cell>
          <cell r="V28">
            <v>65852</v>
          </cell>
          <cell r="W28">
            <v>86348.600000000035</v>
          </cell>
        </row>
        <row r="29">
          <cell r="E29">
            <v>365.69999999999982</v>
          </cell>
          <cell r="G29">
            <v>23039.099999999988</v>
          </cell>
          <cell r="J29">
            <v>79.299999999999955</v>
          </cell>
          <cell r="L29">
            <v>28547.999999999985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90587.099999999977</v>
          </cell>
          <cell r="V29">
            <v>86348</v>
          </cell>
          <cell r="W29">
            <v>90587.700000000012</v>
          </cell>
        </row>
        <row r="30">
          <cell r="E30">
            <v>256</v>
          </cell>
          <cell r="G30">
            <v>16128</v>
          </cell>
          <cell r="J30">
            <v>71</v>
          </cell>
          <cell r="L30">
            <v>25560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80688</v>
          </cell>
          <cell r="V30">
            <v>0</v>
          </cell>
          <cell r="W30">
            <v>171275.7</v>
          </cell>
        </row>
        <row r="31">
          <cell r="E31">
            <v>299</v>
          </cell>
          <cell r="G31">
            <v>18837</v>
          </cell>
          <cell r="J31">
            <v>139</v>
          </cell>
          <cell r="L31">
            <v>50040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107877</v>
          </cell>
          <cell r="V31">
            <v>0</v>
          </cell>
          <cell r="W31">
            <v>322152.7</v>
          </cell>
        </row>
        <row r="32">
          <cell r="E32">
            <v>436</v>
          </cell>
          <cell r="G32">
            <v>27468</v>
          </cell>
          <cell r="J32">
            <v>325</v>
          </cell>
          <cell r="L32">
            <v>117000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187468</v>
          </cell>
          <cell r="V32">
            <v>0</v>
          </cell>
          <cell r="W32">
            <v>509620.7</v>
          </cell>
        </row>
        <row r="33">
          <cell r="E33">
            <v>324</v>
          </cell>
          <cell r="G33">
            <v>20412</v>
          </cell>
          <cell r="J33">
            <v>201</v>
          </cell>
          <cell r="L33">
            <v>72360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135772</v>
          </cell>
          <cell r="V33">
            <v>509621</v>
          </cell>
          <cell r="W33">
            <v>135771.69999999995</v>
          </cell>
        </row>
        <row r="34">
          <cell r="E34">
            <v>461</v>
          </cell>
          <cell r="G34">
            <v>29043</v>
          </cell>
          <cell r="J34">
            <v>118</v>
          </cell>
          <cell r="L34">
            <v>42480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114523</v>
          </cell>
          <cell r="V34">
            <v>135771</v>
          </cell>
          <cell r="W34">
            <v>114523.69999999995</v>
          </cell>
        </row>
        <row r="35">
          <cell r="E35">
            <v>306</v>
          </cell>
          <cell r="G35">
            <v>19278</v>
          </cell>
          <cell r="J35">
            <v>52</v>
          </cell>
          <cell r="L35">
            <v>18720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80998</v>
          </cell>
          <cell r="V35">
            <v>114524</v>
          </cell>
          <cell r="W35">
            <v>80997.699999999953</v>
          </cell>
        </row>
        <row r="36">
          <cell r="E36">
            <v>456.30000000000018</v>
          </cell>
          <cell r="G36">
            <v>28746.900000000012</v>
          </cell>
          <cell r="J36">
            <v>1</v>
          </cell>
          <cell r="L36">
            <v>360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72106.900000000009</v>
          </cell>
          <cell r="V36">
            <v>80998</v>
          </cell>
          <cell r="W36">
            <v>72106.599999999977</v>
          </cell>
        </row>
        <row r="37">
          <cell r="E37">
            <v>292.89999999999964</v>
          </cell>
          <cell r="G37">
            <v>18452.699999999975</v>
          </cell>
          <cell r="J37">
            <v>5</v>
          </cell>
          <cell r="L37">
            <v>1800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63252.699999999975</v>
          </cell>
          <cell r="V37">
            <v>72106</v>
          </cell>
          <cell r="W37">
            <v>63253.299999999959</v>
          </cell>
        </row>
        <row r="38">
          <cell r="E38">
            <v>156.80000000000018</v>
          </cell>
          <cell r="G38">
            <v>9878.4000000000124</v>
          </cell>
          <cell r="J38">
            <v>15</v>
          </cell>
          <cell r="L38">
            <v>5400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58278.400000000009</v>
          </cell>
          <cell r="V38">
            <v>63253</v>
          </cell>
          <cell r="W38">
            <v>58278.699999999968</v>
          </cell>
        </row>
        <row r="39">
          <cell r="E39">
            <v>91</v>
          </cell>
          <cell r="G39">
            <v>5733</v>
          </cell>
          <cell r="J39">
            <v>16</v>
          </cell>
          <cell r="L39">
            <v>5760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54493</v>
          </cell>
          <cell r="V39">
            <v>58279</v>
          </cell>
          <cell r="W39">
            <v>54492.699999999968</v>
          </cell>
        </row>
        <row r="40">
          <cell r="E40">
            <v>99</v>
          </cell>
          <cell r="G40">
            <v>6237</v>
          </cell>
          <cell r="J40">
            <v>35</v>
          </cell>
          <cell r="L40">
            <v>12600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61837</v>
          </cell>
          <cell r="V40">
            <v>54493</v>
          </cell>
          <cell r="W40">
            <v>61836.699999999968</v>
          </cell>
        </row>
        <row r="41">
          <cell r="E41">
            <v>142</v>
          </cell>
          <cell r="G41">
            <v>8946</v>
          </cell>
          <cell r="J41">
            <v>124</v>
          </cell>
          <cell r="L41">
            <v>44640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96586</v>
          </cell>
          <cell r="V41">
            <v>61837</v>
          </cell>
          <cell r="W41">
            <v>96585.699999999953</v>
          </cell>
        </row>
        <row r="42">
          <cell r="E42">
            <v>66</v>
          </cell>
          <cell r="G42">
            <v>4158</v>
          </cell>
          <cell r="J42">
            <v>80</v>
          </cell>
          <cell r="L42">
            <v>28800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75958</v>
          </cell>
          <cell r="V42">
            <v>96586</v>
          </cell>
          <cell r="W42">
            <v>75957.699999999953</v>
          </cell>
        </row>
        <row r="43">
          <cell r="E43">
            <v>1926</v>
          </cell>
          <cell r="G43">
            <v>121338</v>
          </cell>
          <cell r="J43">
            <v>39</v>
          </cell>
          <cell r="L43">
            <v>14040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178378</v>
          </cell>
          <cell r="V43">
            <v>75958</v>
          </cell>
          <cell r="W43">
            <v>178377.69999999995</v>
          </cell>
        </row>
        <row r="44">
          <cell r="E44">
            <v>826</v>
          </cell>
          <cell r="G44">
            <v>52038</v>
          </cell>
          <cell r="J44">
            <v>51</v>
          </cell>
          <cell r="L44">
            <v>18360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113398</v>
          </cell>
          <cell r="V44">
            <v>178378</v>
          </cell>
          <cell r="W44">
            <v>113397.69999999995</v>
          </cell>
        </row>
        <row r="45">
          <cell r="E45">
            <v>41</v>
          </cell>
          <cell r="G45">
            <v>2583</v>
          </cell>
          <cell r="J45">
            <v>50</v>
          </cell>
          <cell r="L45">
            <v>18000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63583</v>
          </cell>
          <cell r="V45">
            <v>113398</v>
          </cell>
          <cell r="W45">
            <v>63582.699999999953</v>
          </cell>
        </row>
        <row r="46">
          <cell r="E46">
            <v>224</v>
          </cell>
          <cell r="G46">
            <v>14112</v>
          </cell>
          <cell r="J46">
            <v>90</v>
          </cell>
          <cell r="L46">
            <v>32400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89512</v>
          </cell>
          <cell r="V46">
            <v>63583</v>
          </cell>
          <cell r="W46">
            <v>89511.699999999953</v>
          </cell>
        </row>
        <row r="47">
          <cell r="E47">
            <v>385</v>
          </cell>
          <cell r="G47">
            <v>24255</v>
          </cell>
          <cell r="J47">
            <v>24</v>
          </cell>
          <cell r="L47">
            <v>8640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75895</v>
          </cell>
          <cell r="V47">
            <v>89512</v>
          </cell>
          <cell r="W47">
            <v>75894.699999999953</v>
          </cell>
        </row>
        <row r="48">
          <cell r="E48">
            <v>236</v>
          </cell>
          <cell r="G48">
            <v>14868</v>
          </cell>
          <cell r="J48">
            <v>34</v>
          </cell>
          <cell r="L48">
            <v>12240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70108</v>
          </cell>
          <cell r="V48">
            <v>75895</v>
          </cell>
          <cell r="W48">
            <v>70107.699999999953</v>
          </cell>
        </row>
        <row r="49">
          <cell r="E49">
            <v>206</v>
          </cell>
          <cell r="G49">
            <v>12978</v>
          </cell>
          <cell r="J49">
            <v>16</v>
          </cell>
          <cell r="L49">
            <v>5760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61738</v>
          </cell>
          <cell r="V49">
            <v>70108</v>
          </cell>
          <cell r="W49">
            <v>61737.699999999953</v>
          </cell>
        </row>
        <row r="50">
          <cell r="E50">
            <v>162</v>
          </cell>
          <cell r="G50">
            <v>10206</v>
          </cell>
          <cell r="J50">
            <v>12</v>
          </cell>
          <cell r="L50">
            <v>4320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57526</v>
          </cell>
          <cell r="V50">
            <v>61738</v>
          </cell>
          <cell r="W50">
            <v>57525.699999999953</v>
          </cell>
        </row>
        <row r="51">
          <cell r="E51">
            <v>196</v>
          </cell>
          <cell r="G51">
            <v>12348</v>
          </cell>
          <cell r="J51">
            <v>11</v>
          </cell>
          <cell r="L51">
            <v>3960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59308</v>
          </cell>
          <cell r="V51">
            <v>57526</v>
          </cell>
          <cell r="W51">
            <v>59307.699999999953</v>
          </cell>
        </row>
        <row r="52">
          <cell r="E52">
            <v>612</v>
          </cell>
          <cell r="G52">
            <v>38556</v>
          </cell>
          <cell r="J52">
            <v>22</v>
          </cell>
          <cell r="L52">
            <v>7920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89476</v>
          </cell>
          <cell r="V52">
            <v>59308</v>
          </cell>
          <cell r="W52">
            <v>89475.699999999953</v>
          </cell>
        </row>
        <row r="53">
          <cell r="E53">
            <v>363</v>
          </cell>
          <cell r="G53">
            <v>22869</v>
          </cell>
          <cell r="J53">
            <v>36</v>
          </cell>
          <cell r="L53">
            <v>12960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78829</v>
          </cell>
          <cell r="V53">
            <v>89476</v>
          </cell>
          <cell r="W53">
            <v>78828.699999999953</v>
          </cell>
        </row>
        <row r="54">
          <cell r="E54">
            <v>168</v>
          </cell>
          <cell r="G54">
            <v>10584</v>
          </cell>
          <cell r="J54">
            <v>72</v>
          </cell>
          <cell r="L54">
            <v>25920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79504</v>
          </cell>
          <cell r="V54">
            <v>78829</v>
          </cell>
          <cell r="W54">
            <v>86503.699999999953</v>
          </cell>
        </row>
        <row r="55">
          <cell r="E55">
            <v>540</v>
          </cell>
          <cell r="G55">
            <v>34020</v>
          </cell>
          <cell r="J55">
            <v>54</v>
          </cell>
          <cell r="L55">
            <v>19440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103460</v>
          </cell>
          <cell r="V55">
            <v>86504</v>
          </cell>
          <cell r="W55">
            <v>103459.69999999995</v>
          </cell>
        </row>
        <row r="56">
          <cell r="E56">
            <v>287</v>
          </cell>
          <cell r="G56">
            <v>18081</v>
          </cell>
          <cell r="J56">
            <v>86</v>
          </cell>
          <cell r="L56">
            <v>30960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99041</v>
          </cell>
          <cell r="V56">
            <v>103460</v>
          </cell>
          <cell r="W56">
            <v>99040.699999999953</v>
          </cell>
        </row>
        <row r="57">
          <cell r="E57">
            <v>347</v>
          </cell>
          <cell r="G57">
            <v>21861</v>
          </cell>
          <cell r="J57">
            <v>56</v>
          </cell>
          <cell r="L57">
            <v>20160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92021</v>
          </cell>
          <cell r="V57">
            <v>99041</v>
          </cell>
          <cell r="W57">
            <v>92020.699999999953</v>
          </cell>
        </row>
        <row r="58">
          <cell r="E58">
            <v>361</v>
          </cell>
          <cell r="G58">
            <v>22743</v>
          </cell>
          <cell r="J58">
            <v>108</v>
          </cell>
          <cell r="L58">
            <v>38880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111623</v>
          </cell>
          <cell r="V58">
            <v>92021</v>
          </cell>
          <cell r="W58">
            <v>111622.69999999995</v>
          </cell>
        </row>
        <row r="59">
          <cell r="E59">
            <v>291</v>
          </cell>
          <cell r="G59">
            <v>18333</v>
          </cell>
          <cell r="J59">
            <v>24</v>
          </cell>
          <cell r="L59">
            <v>8640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76973</v>
          </cell>
          <cell r="V59">
            <v>111623</v>
          </cell>
          <cell r="W59">
            <v>76972.699999999953</v>
          </cell>
        </row>
        <row r="60">
          <cell r="E60">
            <v>346</v>
          </cell>
          <cell r="G60">
            <v>21798</v>
          </cell>
          <cell r="J60">
            <v>32</v>
          </cell>
          <cell r="L60">
            <v>11520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83318</v>
          </cell>
          <cell r="V60">
            <v>76973</v>
          </cell>
          <cell r="W60">
            <v>83317.699999999953</v>
          </cell>
        </row>
        <row r="61">
          <cell r="E61">
            <v>195</v>
          </cell>
          <cell r="G61">
            <v>12285</v>
          </cell>
          <cell r="J61">
            <v>23</v>
          </cell>
          <cell r="L61">
            <v>8280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70565</v>
          </cell>
          <cell r="V61">
            <v>83318</v>
          </cell>
          <cell r="W61">
            <v>70564.699999999953</v>
          </cell>
        </row>
        <row r="62">
          <cell r="E62">
            <v>318</v>
          </cell>
          <cell r="G62">
            <v>20034</v>
          </cell>
          <cell r="J62">
            <v>10</v>
          </cell>
          <cell r="L62">
            <v>3600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73634</v>
          </cell>
          <cell r="V62">
            <v>70565</v>
          </cell>
          <cell r="W62">
            <v>73633.699999999953</v>
          </cell>
        </row>
        <row r="63">
          <cell r="E63">
            <v>334</v>
          </cell>
          <cell r="G63">
            <v>21042</v>
          </cell>
          <cell r="J63">
            <v>31</v>
          </cell>
          <cell r="L63">
            <v>11160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82202</v>
          </cell>
          <cell r="V63">
            <v>73634</v>
          </cell>
          <cell r="W63">
            <v>82201.699999999953</v>
          </cell>
        </row>
        <row r="64">
          <cell r="E64">
            <v>228</v>
          </cell>
          <cell r="G64">
            <v>18012</v>
          </cell>
          <cell r="J64">
            <v>50</v>
          </cell>
          <cell r="L64">
            <v>18000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86012</v>
          </cell>
          <cell r="V64">
            <v>82202</v>
          </cell>
          <cell r="W64">
            <v>86011.699999999953</v>
          </cell>
        </row>
        <row r="65">
          <cell r="E65">
            <v>708</v>
          </cell>
          <cell r="G65">
            <v>55932</v>
          </cell>
          <cell r="J65">
            <v>76</v>
          </cell>
          <cell r="L65">
            <v>27360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133292</v>
          </cell>
          <cell r="V65">
            <v>86012</v>
          </cell>
          <cell r="W65">
            <v>133291.69999999995</v>
          </cell>
        </row>
        <row r="66">
          <cell r="E66">
            <v>399</v>
          </cell>
          <cell r="G66">
            <v>31521</v>
          </cell>
          <cell r="J66">
            <v>43</v>
          </cell>
          <cell r="L66">
            <v>15480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97001</v>
          </cell>
          <cell r="V66">
            <v>0</v>
          </cell>
          <cell r="W66">
            <v>230292.69999999995</v>
          </cell>
        </row>
        <row r="67">
          <cell r="E67">
            <v>682</v>
          </cell>
          <cell r="G67">
            <v>59334</v>
          </cell>
          <cell r="J67">
            <v>97</v>
          </cell>
          <cell r="L67">
            <v>34920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144254</v>
          </cell>
          <cell r="V67">
            <v>87292</v>
          </cell>
          <cell r="W67">
            <v>287254.69999999995</v>
          </cell>
        </row>
        <row r="68">
          <cell r="E68">
            <v>297</v>
          </cell>
          <cell r="G68">
            <v>25839</v>
          </cell>
          <cell r="J68">
            <v>68</v>
          </cell>
          <cell r="L68">
            <v>24480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100319</v>
          </cell>
          <cell r="V68">
            <v>144254</v>
          </cell>
          <cell r="W68">
            <v>243319.69999999995</v>
          </cell>
        </row>
        <row r="69">
          <cell r="E69">
            <v>231</v>
          </cell>
          <cell r="G69">
            <v>25641</v>
          </cell>
          <cell r="J69">
            <v>36</v>
          </cell>
          <cell r="L69">
            <v>12960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88601</v>
          </cell>
          <cell r="V69">
            <v>243320</v>
          </cell>
          <cell r="W69">
            <v>88600.699999999953</v>
          </cell>
        </row>
        <row r="70">
          <cell r="E70">
            <v>378</v>
          </cell>
          <cell r="G70">
            <v>46872</v>
          </cell>
          <cell r="J70">
            <v>40</v>
          </cell>
          <cell r="L70">
            <v>14400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111272</v>
          </cell>
          <cell r="V70">
            <v>88601</v>
          </cell>
          <cell r="W70">
            <v>111271.69999999995</v>
          </cell>
        </row>
        <row r="71">
          <cell r="E71">
            <v>176</v>
          </cell>
          <cell r="G71">
            <v>17248</v>
          </cell>
          <cell r="J71">
            <v>10</v>
          </cell>
          <cell r="L71">
            <v>3600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70848</v>
          </cell>
          <cell r="V71">
            <v>111272</v>
          </cell>
          <cell r="W71">
            <v>70847.699999999953</v>
          </cell>
        </row>
        <row r="72">
          <cell r="E72">
            <v>340</v>
          </cell>
          <cell r="G72">
            <v>35360</v>
          </cell>
          <cell r="J72">
            <v>6</v>
          </cell>
          <cell r="L72">
            <v>2160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87520</v>
          </cell>
          <cell r="V72">
            <v>70848</v>
          </cell>
          <cell r="W72">
            <v>87519.699999999953</v>
          </cell>
        </row>
        <row r="73">
          <cell r="E73">
            <v>295</v>
          </cell>
          <cell r="G73">
            <v>33040</v>
          </cell>
          <cell r="J73">
            <v>14</v>
          </cell>
          <cell r="L73">
            <v>5040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88080</v>
          </cell>
          <cell r="V73">
            <v>87520</v>
          </cell>
          <cell r="W73">
            <v>88079.699999999953</v>
          </cell>
        </row>
        <row r="74">
          <cell r="E74">
            <v>308</v>
          </cell>
          <cell r="G74">
            <v>32956</v>
          </cell>
          <cell r="J74">
            <v>10</v>
          </cell>
          <cell r="L74">
            <v>3600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86556</v>
          </cell>
          <cell r="V74">
            <v>88079</v>
          </cell>
          <cell r="W74">
            <v>86556.699999999953</v>
          </cell>
        </row>
        <row r="75">
          <cell r="E75">
            <v>294</v>
          </cell>
          <cell r="G75">
            <v>32340</v>
          </cell>
          <cell r="J75">
            <v>10</v>
          </cell>
          <cell r="L75">
            <v>3600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85940</v>
          </cell>
          <cell r="V75">
            <v>86556</v>
          </cell>
          <cell r="W75">
            <v>85940.699999999953</v>
          </cell>
        </row>
        <row r="76">
          <cell r="E76">
            <v>519</v>
          </cell>
          <cell r="G76">
            <v>65394</v>
          </cell>
          <cell r="J76">
            <v>52</v>
          </cell>
          <cell r="L76">
            <v>18720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134114</v>
          </cell>
          <cell r="V76">
            <v>85941</v>
          </cell>
          <cell r="W76">
            <v>134113.69999999995</v>
          </cell>
        </row>
        <row r="77">
          <cell r="E77">
            <v>335</v>
          </cell>
          <cell r="G77">
            <v>39865</v>
          </cell>
          <cell r="J77">
            <v>48</v>
          </cell>
          <cell r="L77">
            <v>17280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107145</v>
          </cell>
          <cell r="V77">
            <v>134114</v>
          </cell>
          <cell r="W77">
            <v>107144.69999999995</v>
          </cell>
        </row>
        <row r="78">
          <cell r="E78">
            <v>539</v>
          </cell>
          <cell r="G78">
            <v>58212</v>
          </cell>
          <cell r="J78">
            <v>50</v>
          </cell>
          <cell r="L78">
            <v>18000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126212</v>
          </cell>
          <cell r="V78">
            <v>107145</v>
          </cell>
          <cell r="W78">
            <v>126211.69999999995</v>
          </cell>
        </row>
        <row r="79">
          <cell r="E79">
            <v>299</v>
          </cell>
          <cell r="G79">
            <v>37076</v>
          </cell>
          <cell r="J79">
            <v>51</v>
          </cell>
          <cell r="L79">
            <v>18360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10543.570000000002</v>
          </cell>
          <cell r="S79">
            <v>105436</v>
          </cell>
          <cell r="V79">
            <v>126212</v>
          </cell>
          <cell r="W79">
            <v>115979.26999999996</v>
          </cell>
        </row>
        <row r="80">
          <cell r="E80">
            <v>361</v>
          </cell>
          <cell r="G80">
            <v>46930</v>
          </cell>
          <cell r="J80">
            <v>108</v>
          </cell>
          <cell r="L80">
            <v>38880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135810</v>
          </cell>
          <cell r="V80">
            <v>251790</v>
          </cell>
          <cell r="W80">
            <v>-0.73000000003958121</v>
          </cell>
        </row>
        <row r="81">
          <cell r="E81">
            <v>609</v>
          </cell>
          <cell r="G81">
            <v>79170</v>
          </cell>
          <cell r="J81">
            <v>17</v>
          </cell>
          <cell r="L81">
            <v>6120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135290</v>
          </cell>
          <cell r="V81">
            <v>0</v>
          </cell>
          <cell r="W81">
            <v>135289.26999999996</v>
          </cell>
        </row>
        <row r="82">
          <cell r="E82">
            <v>374</v>
          </cell>
          <cell r="G82">
            <v>52360</v>
          </cell>
          <cell r="J82">
            <v>114</v>
          </cell>
          <cell r="L82">
            <v>41040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143400</v>
          </cell>
          <cell r="V82">
            <v>223130</v>
          </cell>
          <cell r="W82">
            <v>55559.26999999996</v>
          </cell>
        </row>
        <row r="83">
          <cell r="E83">
            <v>150</v>
          </cell>
          <cell r="G83">
            <v>21900</v>
          </cell>
          <cell r="J83">
            <v>29</v>
          </cell>
          <cell r="L83">
            <v>10440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82340</v>
          </cell>
          <cell r="V83">
            <v>55560</v>
          </cell>
          <cell r="W83">
            <v>82339.26999999996</v>
          </cell>
        </row>
        <row r="84">
          <cell r="E84">
            <v>79</v>
          </cell>
          <cell r="G84">
            <v>11534</v>
          </cell>
          <cell r="J84">
            <v>61</v>
          </cell>
          <cell r="L84">
            <v>21960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83494</v>
          </cell>
          <cell r="V84">
            <v>82340</v>
          </cell>
          <cell r="W84">
            <v>83493.26999999996</v>
          </cell>
        </row>
        <row r="85">
          <cell r="E85">
            <v>214</v>
          </cell>
          <cell r="G85">
            <v>31244</v>
          </cell>
          <cell r="J85">
            <v>18</v>
          </cell>
          <cell r="L85">
            <v>6480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87724</v>
          </cell>
          <cell r="V85">
            <v>83493</v>
          </cell>
          <cell r="W85">
            <v>97724.26999999996</v>
          </cell>
        </row>
        <row r="86">
          <cell r="E86">
            <v>319</v>
          </cell>
          <cell r="G86">
            <v>46574</v>
          </cell>
          <cell r="J86">
            <v>4</v>
          </cell>
          <cell r="L86">
            <v>1440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108014</v>
          </cell>
          <cell r="V86">
            <v>97724</v>
          </cell>
          <cell r="W86">
            <v>98014.26999999996</v>
          </cell>
        </row>
        <row r="87">
          <cell r="E87">
            <v>421</v>
          </cell>
          <cell r="G87">
            <v>61466</v>
          </cell>
          <cell r="J87">
            <v>151</v>
          </cell>
          <cell r="L87">
            <v>81540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193006</v>
          </cell>
          <cell r="V87">
            <v>98014</v>
          </cell>
          <cell r="W87">
            <v>193006.26999999996</v>
          </cell>
        </row>
        <row r="88">
          <cell r="E88">
            <v>197</v>
          </cell>
          <cell r="G88">
            <v>28762</v>
          </cell>
          <cell r="J88">
            <v>99</v>
          </cell>
          <cell r="L88">
            <v>35640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114402</v>
          </cell>
          <cell r="V88">
            <v>193006</v>
          </cell>
          <cell r="W88">
            <v>114402.26999999996</v>
          </cell>
        </row>
        <row r="89">
          <cell r="E89">
            <v>314</v>
          </cell>
          <cell r="G89">
            <v>45844</v>
          </cell>
          <cell r="J89">
            <v>143</v>
          </cell>
          <cell r="L89">
            <v>51480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147324</v>
          </cell>
          <cell r="V89">
            <v>114402</v>
          </cell>
          <cell r="W89">
            <v>147324.26999999996</v>
          </cell>
        </row>
        <row r="90">
          <cell r="E90">
            <v>287</v>
          </cell>
          <cell r="G90">
            <v>41902</v>
          </cell>
          <cell r="J90">
            <v>421</v>
          </cell>
          <cell r="L90">
            <v>283680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375582</v>
          </cell>
          <cell r="V90">
            <v>147324</v>
          </cell>
          <cell r="W90">
            <v>375582.26999999996</v>
          </cell>
        </row>
        <row r="91">
          <cell r="E91">
            <v>223</v>
          </cell>
          <cell r="G91">
            <v>32558</v>
          </cell>
          <cell r="J91">
            <v>223</v>
          </cell>
          <cell r="L91">
            <v>97560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189118</v>
          </cell>
          <cell r="V91">
            <v>375582</v>
          </cell>
          <cell r="W91">
            <v>199118.27000000002</v>
          </cell>
        </row>
        <row r="92">
          <cell r="E92">
            <v>167</v>
          </cell>
          <cell r="G92">
            <v>24382</v>
          </cell>
          <cell r="J92">
            <v>190</v>
          </cell>
          <cell r="L92">
            <v>75600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158982</v>
          </cell>
          <cell r="V92">
            <v>199118</v>
          </cell>
          <cell r="W92">
            <v>168982.27000000002</v>
          </cell>
        </row>
        <row r="93">
          <cell r="E93">
            <v>398</v>
          </cell>
          <cell r="G93">
            <v>58108</v>
          </cell>
          <cell r="J93">
            <v>194</v>
          </cell>
          <cell r="L93">
            <v>77760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194868</v>
          </cell>
          <cell r="V93">
            <v>373850</v>
          </cell>
          <cell r="W93">
            <v>0.27000000001862645</v>
          </cell>
        </row>
        <row r="94">
          <cell r="E94">
            <v>237</v>
          </cell>
          <cell r="G94">
            <v>34602</v>
          </cell>
          <cell r="J94">
            <v>69</v>
          </cell>
          <cell r="L94">
            <v>24840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118442</v>
          </cell>
          <cell r="V94">
            <v>128442</v>
          </cell>
          <cell r="W94">
            <v>0</v>
          </cell>
        </row>
        <row r="95">
          <cell r="E95">
            <v>212</v>
          </cell>
          <cell r="G95">
            <v>30952</v>
          </cell>
          <cell r="J95">
            <v>54</v>
          </cell>
          <cell r="L95">
            <v>19440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109392</v>
          </cell>
          <cell r="V95">
            <v>119392</v>
          </cell>
          <cell r="W95">
            <v>0</v>
          </cell>
        </row>
        <row r="96">
          <cell r="E96">
            <v>134</v>
          </cell>
          <cell r="G96">
            <v>19564</v>
          </cell>
          <cell r="J96">
            <v>18</v>
          </cell>
          <cell r="L96">
            <v>6480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85044</v>
          </cell>
          <cell r="V96">
            <v>85044</v>
          </cell>
          <cell r="W96">
            <v>0</v>
          </cell>
        </row>
        <row r="97">
          <cell r="E97">
            <v>266</v>
          </cell>
          <cell r="G97">
            <v>38836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97836</v>
          </cell>
          <cell r="V97">
            <v>97836</v>
          </cell>
          <cell r="W97">
            <v>0</v>
          </cell>
        </row>
        <row r="98">
          <cell r="E98">
            <v>70</v>
          </cell>
          <cell r="G98">
            <v>10220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69220</v>
          </cell>
          <cell r="V98">
            <v>69220</v>
          </cell>
          <cell r="W98">
            <v>0</v>
          </cell>
        </row>
        <row r="99">
          <cell r="E99">
            <v>190</v>
          </cell>
          <cell r="G99">
            <v>27740</v>
          </cell>
          <cell r="J99">
            <v>44</v>
          </cell>
          <cell r="L99">
            <v>15840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102580</v>
          </cell>
          <cell r="V99">
            <v>102580</v>
          </cell>
          <cell r="W99">
            <v>0</v>
          </cell>
        </row>
        <row r="100">
          <cell r="E100">
            <v>273</v>
          </cell>
          <cell r="G100">
            <v>39858</v>
          </cell>
          <cell r="J100">
            <v>267</v>
          </cell>
          <cell r="L100">
            <v>129240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228098</v>
          </cell>
          <cell r="V100">
            <v>228098</v>
          </cell>
          <cell r="W100">
            <v>0</v>
          </cell>
        </row>
        <row r="101">
          <cell r="E101">
            <v>344</v>
          </cell>
          <cell r="G101">
            <v>50224</v>
          </cell>
          <cell r="J101">
            <v>131</v>
          </cell>
          <cell r="L101">
            <v>47160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156384</v>
          </cell>
          <cell r="V101">
            <v>156384</v>
          </cell>
          <cell r="W101">
            <v>0</v>
          </cell>
        </row>
        <row r="102">
          <cell r="E102">
            <v>271</v>
          </cell>
          <cell r="G102">
            <v>39566</v>
          </cell>
          <cell r="J102">
            <v>263</v>
          </cell>
          <cell r="L102">
            <v>126360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224926</v>
          </cell>
          <cell r="V102">
            <v>224926</v>
          </cell>
          <cell r="W102">
            <v>0</v>
          </cell>
        </row>
        <row r="103">
          <cell r="E103">
            <v>328</v>
          </cell>
          <cell r="G103">
            <v>47888</v>
          </cell>
          <cell r="J103">
            <v>171</v>
          </cell>
          <cell r="L103">
            <v>65340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173878</v>
          </cell>
          <cell r="V103">
            <v>173878</v>
          </cell>
          <cell r="W103">
            <v>0</v>
          </cell>
        </row>
        <row r="104">
          <cell r="E104">
            <v>406</v>
          </cell>
          <cell r="G104">
            <v>59276</v>
          </cell>
          <cell r="J104">
            <v>207</v>
          </cell>
          <cell r="L104">
            <v>88560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208486</v>
          </cell>
          <cell r="V104">
            <v>208486</v>
          </cell>
          <cell r="W104">
            <v>0</v>
          </cell>
        </row>
        <row r="105">
          <cell r="E105">
            <v>315</v>
          </cell>
          <cell r="G105">
            <v>45990</v>
          </cell>
          <cell r="J105">
            <v>157</v>
          </cell>
          <cell r="L105">
            <v>57780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164420</v>
          </cell>
          <cell r="V105">
            <v>164420</v>
          </cell>
          <cell r="W105">
            <v>0</v>
          </cell>
        </row>
        <row r="106">
          <cell r="E106">
            <v>237</v>
          </cell>
          <cell r="G106">
            <v>34602</v>
          </cell>
          <cell r="J106">
            <v>141</v>
          </cell>
          <cell r="L106">
            <v>50760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146012</v>
          </cell>
          <cell r="V106">
            <v>146012</v>
          </cell>
          <cell r="W106">
            <v>0</v>
          </cell>
        </row>
        <row r="107">
          <cell r="E107">
            <v>300</v>
          </cell>
          <cell r="G107">
            <v>43800</v>
          </cell>
          <cell r="J107">
            <v>87</v>
          </cell>
          <cell r="L107">
            <v>31320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135770</v>
          </cell>
          <cell r="V107">
            <v>135770</v>
          </cell>
          <cell r="W107">
            <v>0</v>
          </cell>
        </row>
        <row r="108">
          <cell r="E108">
            <v>255</v>
          </cell>
          <cell r="G108">
            <v>37230</v>
          </cell>
          <cell r="J108">
            <v>67</v>
          </cell>
          <cell r="L108">
            <v>24120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122000</v>
          </cell>
          <cell r="V108">
            <v>122000</v>
          </cell>
          <cell r="W108">
            <v>0</v>
          </cell>
        </row>
        <row r="109">
          <cell r="E109">
            <v>214</v>
          </cell>
          <cell r="G109">
            <v>31244</v>
          </cell>
          <cell r="J109">
            <v>83</v>
          </cell>
          <cell r="L109">
            <v>29880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121774</v>
          </cell>
          <cell r="V109">
            <v>121774</v>
          </cell>
          <cell r="W109">
            <v>0</v>
          </cell>
        </row>
        <row r="110">
          <cell r="E110">
            <v>154</v>
          </cell>
          <cell r="G110">
            <v>22484</v>
          </cell>
          <cell r="J110">
            <v>83</v>
          </cell>
          <cell r="L110">
            <v>29880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113014</v>
          </cell>
          <cell r="V110">
            <v>113014</v>
          </cell>
          <cell r="W110">
            <v>0</v>
          </cell>
        </row>
        <row r="111">
          <cell r="E111">
            <v>447</v>
          </cell>
          <cell r="G111">
            <v>65262</v>
          </cell>
          <cell r="J111">
            <v>70</v>
          </cell>
          <cell r="L111">
            <v>25200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151112</v>
          </cell>
          <cell r="V111">
            <v>151112</v>
          </cell>
          <cell r="W111">
            <v>0</v>
          </cell>
        </row>
        <row r="112">
          <cell r="E112">
            <v>130</v>
          </cell>
          <cell r="G112">
            <v>18980</v>
          </cell>
          <cell r="J112">
            <v>146</v>
          </cell>
          <cell r="L112">
            <v>52560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132190</v>
          </cell>
          <cell r="V112">
            <v>132190</v>
          </cell>
          <cell r="W112">
            <v>0</v>
          </cell>
        </row>
        <row r="113">
          <cell r="E113">
            <v>214</v>
          </cell>
          <cell r="G113">
            <v>31244</v>
          </cell>
          <cell r="J113">
            <v>117</v>
          </cell>
          <cell r="L113">
            <v>42120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134014</v>
          </cell>
          <cell r="V113">
            <v>134014</v>
          </cell>
          <cell r="W113">
            <v>0</v>
          </cell>
        </row>
        <row r="114">
          <cell r="E114">
            <v>323</v>
          </cell>
          <cell r="G114">
            <v>47158</v>
          </cell>
          <cell r="J114">
            <v>159</v>
          </cell>
          <cell r="L114">
            <v>58860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166668</v>
          </cell>
          <cell r="V114">
            <v>166668</v>
          </cell>
          <cell r="W114">
            <v>0</v>
          </cell>
        </row>
        <row r="115">
          <cell r="E115">
            <v>348</v>
          </cell>
          <cell r="G115">
            <v>50808</v>
          </cell>
          <cell r="J115">
            <v>323</v>
          </cell>
          <cell r="L115">
            <v>177840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291507</v>
          </cell>
          <cell r="V115">
            <v>291507</v>
          </cell>
          <cell r="W115">
            <v>0</v>
          </cell>
        </row>
        <row r="116">
          <cell r="E116">
            <v>257</v>
          </cell>
          <cell r="G116">
            <v>37522</v>
          </cell>
          <cell r="J116">
            <v>111</v>
          </cell>
          <cell r="L116">
            <v>39960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140341</v>
          </cell>
          <cell r="V116">
            <v>140341</v>
          </cell>
          <cell r="W116">
            <v>0</v>
          </cell>
        </row>
        <row r="117">
          <cell r="E117">
            <v>347</v>
          </cell>
          <cell r="G117">
            <v>50662</v>
          </cell>
          <cell r="J117">
            <v>196</v>
          </cell>
          <cell r="L117">
            <v>78840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192361</v>
          </cell>
          <cell r="V117">
            <v>192361</v>
          </cell>
          <cell r="W117">
            <v>0</v>
          </cell>
        </row>
        <row r="118">
          <cell r="E118">
            <v>243</v>
          </cell>
          <cell r="G118">
            <v>35478</v>
          </cell>
          <cell r="J118">
            <v>93</v>
          </cell>
          <cell r="L118">
            <v>33480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131817</v>
          </cell>
          <cell r="V118">
            <v>131817</v>
          </cell>
          <cell r="W118">
            <v>0</v>
          </cell>
        </row>
        <row r="119">
          <cell r="E119">
            <v>215</v>
          </cell>
          <cell r="G119">
            <v>31390</v>
          </cell>
          <cell r="J119">
            <v>84</v>
          </cell>
          <cell r="L119">
            <v>30240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124489</v>
          </cell>
          <cell r="V119">
            <v>124489</v>
          </cell>
          <cell r="W119">
            <v>0</v>
          </cell>
        </row>
        <row r="120">
          <cell r="E120">
            <v>260</v>
          </cell>
          <cell r="G120">
            <v>37960</v>
          </cell>
          <cell r="J120">
            <v>51</v>
          </cell>
          <cell r="L120">
            <v>18360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119179</v>
          </cell>
          <cell r="V120">
            <v>119179</v>
          </cell>
          <cell r="W120">
            <v>0</v>
          </cell>
        </row>
        <row r="121">
          <cell r="E121">
            <v>242</v>
          </cell>
          <cell r="G121">
            <v>35332</v>
          </cell>
          <cell r="J121">
            <v>48</v>
          </cell>
          <cell r="L121">
            <v>17280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115471</v>
          </cell>
          <cell r="V121">
            <v>115471</v>
          </cell>
          <cell r="W121">
            <v>0</v>
          </cell>
        </row>
        <row r="122">
          <cell r="E122">
            <v>310</v>
          </cell>
          <cell r="G122">
            <v>45260</v>
          </cell>
          <cell r="J122">
            <v>62</v>
          </cell>
          <cell r="L122">
            <v>22320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136439</v>
          </cell>
          <cell r="V122">
            <v>136439</v>
          </cell>
          <cell r="W122">
            <v>0</v>
          </cell>
        </row>
        <row r="123">
          <cell r="E123">
            <v>336</v>
          </cell>
          <cell r="G123">
            <v>49056</v>
          </cell>
          <cell r="J123">
            <v>76</v>
          </cell>
          <cell r="L123">
            <v>27360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145275</v>
          </cell>
          <cell r="V123">
            <v>0</v>
          </cell>
          <cell r="W123">
            <v>145275</v>
          </cell>
        </row>
        <row r="124">
          <cell r="E124">
            <v>190</v>
          </cell>
          <cell r="G124">
            <v>27740</v>
          </cell>
          <cell r="J124">
            <v>80</v>
          </cell>
          <cell r="L124">
            <v>28800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125399</v>
          </cell>
          <cell r="V124">
            <v>270674</v>
          </cell>
          <cell r="W124">
            <v>0</v>
          </cell>
        </row>
        <row r="125">
          <cell r="E125">
            <v>282</v>
          </cell>
          <cell r="G125">
            <v>41172</v>
          </cell>
          <cell r="J125">
            <v>305</v>
          </cell>
          <cell r="L125">
            <v>156600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266631</v>
          </cell>
          <cell r="V125">
            <v>266631</v>
          </cell>
          <cell r="W125">
            <v>0</v>
          </cell>
        </row>
        <row r="126">
          <cell r="E126">
            <v>190</v>
          </cell>
          <cell r="G126">
            <v>27740</v>
          </cell>
          <cell r="J126">
            <v>157</v>
          </cell>
          <cell r="L126">
            <v>57780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154379</v>
          </cell>
          <cell r="V126">
            <v>154379</v>
          </cell>
          <cell r="W126">
            <v>0</v>
          </cell>
        </row>
        <row r="127">
          <cell r="E127">
            <v>296</v>
          </cell>
          <cell r="G127">
            <v>43216</v>
          </cell>
          <cell r="J127">
            <v>136</v>
          </cell>
          <cell r="L127">
            <v>48960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161910</v>
          </cell>
          <cell r="V127">
            <v>161910</v>
          </cell>
          <cell r="W127">
            <v>0</v>
          </cell>
        </row>
        <row r="128">
          <cell r="E128">
            <v>198</v>
          </cell>
          <cell r="G128">
            <v>28908</v>
          </cell>
          <cell r="J128">
            <v>156</v>
          </cell>
          <cell r="L128">
            <v>57240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155882</v>
          </cell>
          <cell r="V128">
            <v>168170</v>
          </cell>
          <cell r="W128">
            <v>0</v>
          </cell>
        </row>
        <row r="129">
          <cell r="E129">
            <v>242</v>
          </cell>
          <cell r="G129">
            <v>35332</v>
          </cell>
          <cell r="J129">
            <v>193</v>
          </cell>
          <cell r="L129">
            <v>77220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182286</v>
          </cell>
          <cell r="V129">
            <v>182286</v>
          </cell>
          <cell r="W129">
            <v>0</v>
          </cell>
        </row>
        <row r="130">
          <cell r="E130">
            <v>257</v>
          </cell>
          <cell r="G130">
            <v>37522</v>
          </cell>
          <cell r="J130">
            <v>48</v>
          </cell>
          <cell r="L130">
            <v>17280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124536</v>
          </cell>
          <cell r="V130">
            <v>124536</v>
          </cell>
          <cell r="W130">
            <v>0</v>
          </cell>
        </row>
        <row r="131">
          <cell r="E131">
            <v>387</v>
          </cell>
          <cell r="G131">
            <v>56502</v>
          </cell>
          <cell r="J131">
            <v>81</v>
          </cell>
          <cell r="L131">
            <v>29160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155396</v>
          </cell>
          <cell r="V131">
            <v>155396</v>
          </cell>
          <cell r="W131">
            <v>0</v>
          </cell>
        </row>
        <row r="132">
          <cell r="E132">
            <v>113</v>
          </cell>
          <cell r="G132">
            <v>16498</v>
          </cell>
          <cell r="J132">
            <v>46</v>
          </cell>
          <cell r="L132">
            <v>16560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102792</v>
          </cell>
          <cell r="V132">
            <v>102792</v>
          </cell>
          <cell r="W132">
            <v>0</v>
          </cell>
        </row>
        <row r="133">
          <cell r="E133">
            <v>396</v>
          </cell>
          <cell r="G133">
            <v>57816</v>
          </cell>
          <cell r="J133">
            <v>89</v>
          </cell>
          <cell r="L133">
            <v>32040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159590</v>
          </cell>
          <cell r="V133">
            <v>159590</v>
          </cell>
          <cell r="W133">
            <v>0</v>
          </cell>
        </row>
        <row r="134">
          <cell r="E134">
            <v>162</v>
          </cell>
          <cell r="G134">
            <v>23652</v>
          </cell>
          <cell r="J134">
            <v>264</v>
          </cell>
          <cell r="L134">
            <v>95040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188426</v>
          </cell>
          <cell r="V134">
            <v>188426</v>
          </cell>
          <cell r="W134">
            <v>0</v>
          </cell>
        </row>
        <row r="135">
          <cell r="E135">
            <v>232</v>
          </cell>
          <cell r="G135">
            <v>33872</v>
          </cell>
          <cell r="J135">
            <v>98</v>
          </cell>
          <cell r="L135">
            <v>35280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138886</v>
          </cell>
          <cell r="V135">
            <v>138886</v>
          </cell>
          <cell r="W135">
            <v>0</v>
          </cell>
        </row>
        <row r="136">
          <cell r="E136">
            <v>152</v>
          </cell>
          <cell r="G136">
            <v>22192</v>
          </cell>
          <cell r="J136">
            <v>135</v>
          </cell>
          <cell r="L136">
            <v>48600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140526</v>
          </cell>
          <cell r="V136">
            <v>140526</v>
          </cell>
          <cell r="W136">
            <v>0</v>
          </cell>
        </row>
        <row r="137">
          <cell r="E137">
            <v>364</v>
          </cell>
          <cell r="G137">
            <v>53144</v>
          </cell>
          <cell r="J137">
            <v>126</v>
          </cell>
          <cell r="L137">
            <v>45360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168238</v>
          </cell>
          <cell r="V137">
            <v>168238</v>
          </cell>
          <cell r="W137">
            <v>0</v>
          </cell>
        </row>
        <row r="138">
          <cell r="E138">
            <v>282</v>
          </cell>
          <cell r="G138">
            <v>41172</v>
          </cell>
          <cell r="J138">
            <v>674</v>
          </cell>
          <cell r="L138">
            <v>556920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667826</v>
          </cell>
          <cell r="V138">
            <v>687826</v>
          </cell>
          <cell r="W138">
            <v>0</v>
          </cell>
        </row>
        <row r="139">
          <cell r="E139">
            <v>228</v>
          </cell>
          <cell r="G139">
            <v>33288</v>
          </cell>
          <cell r="J139">
            <v>157</v>
          </cell>
          <cell r="L139">
            <v>66960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171784</v>
          </cell>
          <cell r="V139">
            <v>176784</v>
          </cell>
          <cell r="W139">
            <v>0</v>
          </cell>
        </row>
        <row r="140">
          <cell r="E140">
            <v>277</v>
          </cell>
          <cell r="G140">
            <v>40442</v>
          </cell>
          <cell r="J140">
            <v>116</v>
          </cell>
          <cell r="L140">
            <v>41760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153738</v>
          </cell>
          <cell r="V140">
            <v>158738</v>
          </cell>
          <cell r="W140">
            <v>0</v>
          </cell>
        </row>
        <row r="141">
          <cell r="E141">
            <v>114</v>
          </cell>
          <cell r="G141">
            <v>16644</v>
          </cell>
          <cell r="J141">
            <v>96</v>
          </cell>
          <cell r="L141">
            <v>34560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122740</v>
          </cell>
          <cell r="V141">
            <v>127740</v>
          </cell>
          <cell r="W141">
            <v>0</v>
          </cell>
        </row>
        <row r="142">
          <cell r="E142">
            <v>240</v>
          </cell>
          <cell r="G142">
            <v>35040</v>
          </cell>
          <cell r="J142">
            <v>146</v>
          </cell>
          <cell r="L142">
            <v>57240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163816</v>
          </cell>
          <cell r="V142">
            <v>168816</v>
          </cell>
          <cell r="W142">
            <v>0</v>
          </cell>
        </row>
        <row r="143">
          <cell r="E143">
            <v>236</v>
          </cell>
          <cell r="G143">
            <v>34456</v>
          </cell>
          <cell r="J143">
            <v>97</v>
          </cell>
          <cell r="L143">
            <v>34920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140912</v>
          </cell>
          <cell r="V143">
            <v>145912</v>
          </cell>
          <cell r="W143">
            <v>0</v>
          </cell>
        </row>
        <row r="144">
          <cell r="E144">
            <v>178</v>
          </cell>
          <cell r="G144">
            <v>25988</v>
          </cell>
          <cell r="J144">
            <v>72</v>
          </cell>
          <cell r="L144">
            <v>25920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123444</v>
          </cell>
          <cell r="V144">
            <v>128444</v>
          </cell>
          <cell r="W144">
            <v>0</v>
          </cell>
        </row>
        <row r="145">
          <cell r="E145">
            <v>222</v>
          </cell>
          <cell r="G145">
            <v>32412</v>
          </cell>
          <cell r="J145">
            <v>74</v>
          </cell>
          <cell r="L145">
            <v>26640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130588</v>
          </cell>
          <cell r="V145">
            <v>135588</v>
          </cell>
          <cell r="W145">
            <v>0</v>
          </cell>
        </row>
        <row r="146">
          <cell r="E146">
            <v>191</v>
          </cell>
          <cell r="G146">
            <v>27886</v>
          </cell>
          <cell r="J146">
            <v>58</v>
          </cell>
          <cell r="L146">
            <v>20880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120302</v>
          </cell>
          <cell r="V146">
            <v>125302</v>
          </cell>
          <cell r="W146">
            <v>0</v>
          </cell>
        </row>
        <row r="147">
          <cell r="E147">
            <v>39</v>
          </cell>
          <cell r="G147">
            <v>5694</v>
          </cell>
          <cell r="J147">
            <v>116</v>
          </cell>
          <cell r="L147">
            <v>41760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118990</v>
          </cell>
          <cell r="V147">
            <v>123990</v>
          </cell>
          <cell r="W147">
            <v>0</v>
          </cell>
        </row>
        <row r="148">
          <cell r="E148">
            <v>33</v>
          </cell>
          <cell r="G148">
            <v>4818</v>
          </cell>
          <cell r="J148">
            <v>42</v>
          </cell>
          <cell r="L148">
            <v>15120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91474</v>
          </cell>
          <cell r="V148">
            <v>0</v>
          </cell>
          <cell r="W148">
            <v>96474</v>
          </cell>
        </row>
        <row r="149">
          <cell r="E149">
            <v>139</v>
          </cell>
          <cell r="G149">
            <v>20294</v>
          </cell>
          <cell r="J149">
            <v>134</v>
          </cell>
          <cell r="L149">
            <v>50760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142590</v>
          </cell>
          <cell r="V149">
            <v>244064</v>
          </cell>
          <cell r="W149">
            <v>0</v>
          </cell>
        </row>
        <row r="150">
          <cell r="E150">
            <v>210</v>
          </cell>
          <cell r="G150">
            <v>30660</v>
          </cell>
          <cell r="J150">
            <v>172</v>
          </cell>
          <cell r="L150">
            <v>83160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185356</v>
          </cell>
          <cell r="V150">
            <v>192356</v>
          </cell>
          <cell r="W150">
            <v>0</v>
          </cell>
        </row>
        <row r="151">
          <cell r="E151">
            <v>213</v>
          </cell>
          <cell r="G151">
            <v>31098</v>
          </cell>
          <cell r="J151">
            <v>167</v>
          </cell>
          <cell r="L151">
            <v>77760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183253</v>
          </cell>
          <cell r="V151">
            <v>190253</v>
          </cell>
          <cell r="W151">
            <v>0</v>
          </cell>
        </row>
        <row r="152">
          <cell r="E152">
            <v>132</v>
          </cell>
          <cell r="G152">
            <v>19272</v>
          </cell>
          <cell r="J152">
            <v>206</v>
          </cell>
          <cell r="L152">
            <v>126360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220027</v>
          </cell>
          <cell r="V152">
            <v>227027</v>
          </cell>
          <cell r="W152">
            <v>0</v>
          </cell>
        </row>
        <row r="153">
          <cell r="E153">
            <v>133</v>
          </cell>
          <cell r="G153">
            <v>19418</v>
          </cell>
          <cell r="J153">
            <v>129</v>
          </cell>
          <cell r="L153">
            <v>48060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141873</v>
          </cell>
          <cell r="V153">
            <v>153832</v>
          </cell>
          <cell r="W153">
            <v>0</v>
          </cell>
        </row>
        <row r="154">
          <cell r="E154">
            <v>197</v>
          </cell>
          <cell r="G154">
            <v>28762</v>
          </cell>
          <cell r="J154">
            <v>156</v>
          </cell>
          <cell r="L154">
            <v>65880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169037</v>
          </cell>
          <cell r="V154">
            <v>180996</v>
          </cell>
          <cell r="W154">
            <v>0</v>
          </cell>
        </row>
        <row r="155">
          <cell r="E155">
            <v>107</v>
          </cell>
          <cell r="G155">
            <v>15622</v>
          </cell>
          <cell r="J155">
            <v>134</v>
          </cell>
          <cell r="L155">
            <v>50760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140777</v>
          </cell>
          <cell r="V155">
            <v>152736</v>
          </cell>
          <cell r="W155">
            <v>0</v>
          </cell>
        </row>
        <row r="156">
          <cell r="E156">
            <v>97</v>
          </cell>
          <cell r="G156">
            <v>14162</v>
          </cell>
          <cell r="J156">
            <v>31</v>
          </cell>
          <cell r="L156">
            <v>11160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99717</v>
          </cell>
          <cell r="V156">
            <v>111676</v>
          </cell>
          <cell r="W156">
            <v>0</v>
          </cell>
        </row>
        <row r="157">
          <cell r="E157">
            <v>110</v>
          </cell>
          <cell r="G157">
            <v>16060</v>
          </cell>
          <cell r="J157">
            <v>58</v>
          </cell>
          <cell r="L157">
            <v>20880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111335</v>
          </cell>
          <cell r="V157">
            <v>123294</v>
          </cell>
          <cell r="W157">
            <v>0</v>
          </cell>
        </row>
        <row r="158">
          <cell r="E158">
            <v>88</v>
          </cell>
          <cell r="G158">
            <v>12848</v>
          </cell>
          <cell r="J158">
            <v>77</v>
          </cell>
          <cell r="L158">
            <v>27720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114963</v>
          </cell>
          <cell r="V158">
            <v>126922</v>
          </cell>
          <cell r="W158">
            <v>0</v>
          </cell>
        </row>
        <row r="159">
          <cell r="E159">
            <v>211</v>
          </cell>
          <cell r="G159">
            <v>30806</v>
          </cell>
          <cell r="J159">
            <v>101</v>
          </cell>
          <cell r="L159">
            <v>36360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141561</v>
          </cell>
          <cell r="V159">
            <v>153520</v>
          </cell>
          <cell r="W159">
            <v>0</v>
          </cell>
        </row>
        <row r="160">
          <cell r="E160">
            <v>406</v>
          </cell>
          <cell r="G160">
            <v>59276</v>
          </cell>
          <cell r="J160">
            <v>57</v>
          </cell>
          <cell r="L160">
            <v>20520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154191</v>
          </cell>
          <cell r="V160">
            <v>166150</v>
          </cell>
          <cell r="W160">
            <v>0</v>
          </cell>
        </row>
        <row r="161">
          <cell r="E161">
            <v>310</v>
          </cell>
          <cell r="G161">
            <v>45260</v>
          </cell>
          <cell r="J161">
            <v>163</v>
          </cell>
          <cell r="L161">
            <v>73440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193095</v>
          </cell>
          <cell r="V161">
            <v>205054</v>
          </cell>
          <cell r="W161">
            <v>0</v>
          </cell>
        </row>
        <row r="162">
          <cell r="E162">
            <v>694</v>
          </cell>
          <cell r="G162">
            <v>101324</v>
          </cell>
          <cell r="J162">
            <v>201</v>
          </cell>
          <cell r="L162">
            <v>115560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291279</v>
          </cell>
          <cell r="V162">
            <v>302944</v>
          </cell>
          <cell r="W162">
            <v>0</v>
          </cell>
        </row>
        <row r="163">
          <cell r="E163">
            <v>451</v>
          </cell>
          <cell r="G163">
            <v>65846</v>
          </cell>
          <cell r="J163">
            <v>50</v>
          </cell>
          <cell r="L163">
            <v>18000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168241</v>
          </cell>
          <cell r="V163">
            <v>179906</v>
          </cell>
          <cell r="W163">
            <v>0</v>
          </cell>
        </row>
        <row r="164">
          <cell r="E164">
            <v>370</v>
          </cell>
          <cell r="G164">
            <v>54020</v>
          </cell>
          <cell r="J164">
            <v>44</v>
          </cell>
          <cell r="L164">
            <v>15840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154255</v>
          </cell>
          <cell r="V164">
            <v>165920</v>
          </cell>
          <cell r="W164">
            <v>0</v>
          </cell>
        </row>
        <row r="165">
          <cell r="E165">
            <v>291</v>
          </cell>
          <cell r="G165">
            <v>42486</v>
          </cell>
          <cell r="J165">
            <v>60</v>
          </cell>
          <cell r="L165">
            <v>21600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148481</v>
          </cell>
          <cell r="V165">
            <v>160146</v>
          </cell>
          <cell r="W165">
            <v>0</v>
          </cell>
        </row>
        <row r="166">
          <cell r="E166">
            <v>126</v>
          </cell>
          <cell r="G166">
            <v>18396</v>
          </cell>
          <cell r="J166">
            <v>60</v>
          </cell>
          <cell r="L166">
            <v>21600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124391</v>
          </cell>
          <cell r="V166">
            <v>136100</v>
          </cell>
          <cell r="W166">
            <v>0</v>
          </cell>
        </row>
        <row r="167">
          <cell r="E167">
            <v>107</v>
          </cell>
          <cell r="G167">
            <v>15622</v>
          </cell>
          <cell r="J167">
            <v>3</v>
          </cell>
          <cell r="L167">
            <v>1080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101097</v>
          </cell>
          <cell r="V167">
            <v>112806</v>
          </cell>
          <cell r="W167">
            <v>0</v>
          </cell>
        </row>
        <row r="168">
          <cell r="E168">
            <v>104</v>
          </cell>
          <cell r="G168">
            <v>15184</v>
          </cell>
          <cell r="J168">
            <v>3</v>
          </cell>
          <cell r="L168">
            <v>1080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100659</v>
          </cell>
          <cell r="V168">
            <v>112368</v>
          </cell>
          <cell r="W168">
            <v>0</v>
          </cell>
        </row>
        <row r="169">
          <cell r="E169">
            <v>78</v>
          </cell>
          <cell r="G169">
            <v>11388</v>
          </cell>
          <cell r="J169">
            <v>1</v>
          </cell>
          <cell r="L169">
            <v>360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96143</v>
          </cell>
          <cell r="V169">
            <v>107458</v>
          </cell>
          <cell r="W169">
            <v>0</v>
          </cell>
        </row>
        <row r="170">
          <cell r="E170">
            <v>79</v>
          </cell>
          <cell r="G170">
            <v>11534</v>
          </cell>
          <cell r="J170">
            <v>21</v>
          </cell>
          <cell r="L170">
            <v>7560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103489</v>
          </cell>
          <cell r="V170">
            <v>114804</v>
          </cell>
          <cell r="W170">
            <v>0</v>
          </cell>
        </row>
        <row r="171">
          <cell r="E171">
            <v>84</v>
          </cell>
          <cell r="G171">
            <v>12264</v>
          </cell>
          <cell r="J171">
            <v>13</v>
          </cell>
          <cell r="L171">
            <v>4680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101339</v>
          </cell>
          <cell r="V171">
            <v>108339</v>
          </cell>
          <cell r="W171">
            <v>0</v>
          </cell>
        </row>
        <row r="172">
          <cell r="E172">
            <v>75</v>
          </cell>
          <cell r="G172">
            <v>10950</v>
          </cell>
          <cell r="J172">
            <v>50</v>
          </cell>
          <cell r="L172">
            <v>18000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113345</v>
          </cell>
          <cell r="V172">
            <v>120345</v>
          </cell>
          <cell r="W172">
            <v>0</v>
          </cell>
        </row>
        <row r="173">
          <cell r="E173">
            <v>321</v>
          </cell>
          <cell r="G173">
            <v>46866</v>
          </cell>
          <cell r="J173">
            <v>53</v>
          </cell>
          <cell r="L173">
            <v>19080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150341</v>
          </cell>
          <cell r="V173">
            <v>157341</v>
          </cell>
          <cell r="W173">
            <v>0</v>
          </cell>
        </row>
        <row r="174">
          <cell r="E174">
            <v>183</v>
          </cell>
          <cell r="G174">
            <v>26718</v>
          </cell>
          <cell r="J174">
            <v>74</v>
          </cell>
          <cell r="L174">
            <v>26640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137753</v>
          </cell>
          <cell r="V174">
            <v>144753</v>
          </cell>
          <cell r="W174">
            <v>0</v>
          </cell>
        </row>
      </sheetData>
      <sheetData sheetId="4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36.5</v>
          </cell>
          <cell r="G16">
            <v>2299.5</v>
          </cell>
          <cell r="J16">
            <v>11.489000000000001</v>
          </cell>
          <cell r="L16">
            <v>3446.7000000000003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44746.2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108.6</v>
          </cell>
          <cell r="G18">
            <v>6841.7999999999993</v>
          </cell>
          <cell r="J18">
            <v>27.810999999999996</v>
          </cell>
          <cell r="L18">
            <v>8343.2999999999993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54185.1</v>
          </cell>
          <cell r="V18">
            <v>0</v>
          </cell>
          <cell r="W18">
            <v>0</v>
          </cell>
        </row>
        <row r="19">
          <cell r="E19">
            <v>88.5</v>
          </cell>
          <cell r="G19">
            <v>5575.5</v>
          </cell>
          <cell r="J19">
            <v>23.200000000000003</v>
          </cell>
          <cell r="L19">
            <v>6960.0000000000009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51535.5</v>
          </cell>
          <cell r="V19">
            <v>0</v>
          </cell>
          <cell r="W19">
            <v>0</v>
          </cell>
        </row>
        <row r="20">
          <cell r="E20">
            <v>113.6</v>
          </cell>
          <cell r="G20">
            <v>7156.7999999999993</v>
          </cell>
          <cell r="J20">
            <v>10.700000000000003</v>
          </cell>
          <cell r="L20">
            <v>3210.0000000000009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49366.8</v>
          </cell>
          <cell r="V20">
            <v>0</v>
          </cell>
          <cell r="W20">
            <v>0</v>
          </cell>
        </row>
        <row r="21">
          <cell r="E21">
            <v>133.90000000000003</v>
          </cell>
          <cell r="G21">
            <v>8435.7000000000025</v>
          </cell>
          <cell r="J21">
            <v>14.399999999999991</v>
          </cell>
          <cell r="L21">
            <v>4319.9999999999973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51755.7</v>
          </cell>
          <cell r="V21">
            <v>0</v>
          </cell>
          <cell r="W21">
            <v>0</v>
          </cell>
        </row>
        <row r="22">
          <cell r="E22">
            <v>84.899999999999977</v>
          </cell>
          <cell r="G22">
            <v>5348.6999999999989</v>
          </cell>
          <cell r="J22">
            <v>2</v>
          </cell>
          <cell r="L22">
            <v>720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45068.7</v>
          </cell>
          <cell r="V22">
            <v>0</v>
          </cell>
          <cell r="W22">
            <v>0</v>
          </cell>
        </row>
        <row r="23">
          <cell r="E23">
            <v>71</v>
          </cell>
          <cell r="G23">
            <v>4473</v>
          </cell>
          <cell r="J23">
            <v>0.10000000000000853</v>
          </cell>
          <cell r="L23">
            <v>36.00000000000307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43509</v>
          </cell>
          <cell r="V23">
            <v>0</v>
          </cell>
          <cell r="W23">
            <v>0</v>
          </cell>
        </row>
        <row r="24">
          <cell r="E24">
            <v>76.700000000000045</v>
          </cell>
          <cell r="G24">
            <v>4832.1000000000031</v>
          </cell>
          <cell r="J24">
            <v>1.8999999999999915</v>
          </cell>
          <cell r="L24">
            <v>683.99999999999693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44516.1</v>
          </cell>
          <cell r="V24">
            <v>0</v>
          </cell>
          <cell r="W24">
            <v>0</v>
          </cell>
        </row>
        <row r="25">
          <cell r="E25">
            <v>88.799999999999955</v>
          </cell>
          <cell r="G25">
            <v>5594.3999999999969</v>
          </cell>
          <cell r="J25">
            <v>1.7000000000000028</v>
          </cell>
          <cell r="L25">
            <v>612.00000000000102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45206.399999999994</v>
          </cell>
          <cell r="V25">
            <v>0</v>
          </cell>
          <cell r="W25">
            <v>45206.399999999994</v>
          </cell>
        </row>
        <row r="26">
          <cell r="E26">
            <v>92.100000000000023</v>
          </cell>
          <cell r="G26">
            <v>5802.3000000000011</v>
          </cell>
          <cell r="J26">
            <v>0.90000000000000568</v>
          </cell>
          <cell r="L26">
            <v>324.00000000000205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45126.3</v>
          </cell>
          <cell r="V26">
            <v>45206</v>
          </cell>
          <cell r="W26">
            <v>45126.7</v>
          </cell>
        </row>
        <row r="27">
          <cell r="E27">
            <v>122.19999999999993</v>
          </cell>
          <cell r="G27">
            <v>7698.5999999999958</v>
          </cell>
          <cell r="J27">
            <v>5.0999999999999943</v>
          </cell>
          <cell r="L27">
            <v>1835.999999999998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48534.599999999991</v>
          </cell>
          <cell r="V27">
            <v>45126</v>
          </cell>
          <cell r="W27">
            <v>48535.299999999988</v>
          </cell>
        </row>
        <row r="28">
          <cell r="E28">
            <v>124.70000000000005</v>
          </cell>
          <cell r="G28">
            <v>7856.1000000000031</v>
          </cell>
          <cell r="J28">
            <v>16</v>
          </cell>
          <cell r="L28">
            <v>5760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52616.100000000006</v>
          </cell>
          <cell r="V28">
            <v>0</v>
          </cell>
          <cell r="W28">
            <v>101151.4</v>
          </cell>
        </row>
        <row r="29">
          <cell r="E29">
            <v>142.5</v>
          </cell>
          <cell r="G29">
            <v>8977.5</v>
          </cell>
          <cell r="J29">
            <v>19.600000000000009</v>
          </cell>
          <cell r="L29">
            <v>7056.0000000000027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55033.5</v>
          </cell>
          <cell r="V29">
            <v>0</v>
          </cell>
          <cell r="W29">
            <v>156184.9</v>
          </cell>
        </row>
        <row r="30">
          <cell r="E30">
            <v>115</v>
          </cell>
          <cell r="G30">
            <v>7245</v>
          </cell>
          <cell r="J30">
            <v>37.699999999999989</v>
          </cell>
          <cell r="L30">
            <v>13571.999999999996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59817</v>
          </cell>
          <cell r="V30">
            <v>101151</v>
          </cell>
          <cell r="W30">
            <v>114850.9</v>
          </cell>
        </row>
        <row r="31">
          <cell r="E31">
            <v>185</v>
          </cell>
          <cell r="G31">
            <v>11655</v>
          </cell>
          <cell r="J31">
            <v>28.400000000000006</v>
          </cell>
          <cell r="L31">
            <v>10224.000000000002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60879</v>
          </cell>
          <cell r="V31">
            <v>0</v>
          </cell>
          <cell r="W31">
            <v>218729.9</v>
          </cell>
        </row>
        <row r="32">
          <cell r="E32">
            <v>232</v>
          </cell>
          <cell r="G32">
            <v>14616</v>
          </cell>
          <cell r="J32">
            <v>32</v>
          </cell>
          <cell r="L32">
            <v>11520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69136</v>
          </cell>
          <cell r="V32">
            <v>0</v>
          </cell>
          <cell r="W32">
            <v>287865.90000000002</v>
          </cell>
        </row>
        <row r="33">
          <cell r="E33">
            <v>163</v>
          </cell>
          <cell r="G33">
            <v>10269</v>
          </cell>
          <cell r="J33">
            <v>24</v>
          </cell>
          <cell r="L33">
            <v>8640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61909</v>
          </cell>
          <cell r="V33">
            <v>297868</v>
          </cell>
          <cell r="W33">
            <v>51906.900000000023</v>
          </cell>
        </row>
        <row r="34">
          <cell r="E34">
            <v>176</v>
          </cell>
          <cell r="G34">
            <v>11088</v>
          </cell>
          <cell r="J34">
            <v>18</v>
          </cell>
          <cell r="L34">
            <v>6480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60568</v>
          </cell>
          <cell r="V34">
            <v>51906</v>
          </cell>
          <cell r="W34">
            <v>60568.900000000023</v>
          </cell>
        </row>
        <row r="35">
          <cell r="E35">
            <v>92</v>
          </cell>
          <cell r="G35">
            <v>5796</v>
          </cell>
          <cell r="J35">
            <v>1</v>
          </cell>
          <cell r="L35">
            <v>360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49156</v>
          </cell>
          <cell r="V35">
            <v>0</v>
          </cell>
          <cell r="W35">
            <v>109724.90000000002</v>
          </cell>
        </row>
        <row r="36">
          <cell r="E36">
            <v>183</v>
          </cell>
          <cell r="G36">
            <v>11529</v>
          </cell>
          <cell r="J36">
            <v>2</v>
          </cell>
          <cell r="L36">
            <v>720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55249</v>
          </cell>
          <cell r="V36">
            <v>109725</v>
          </cell>
          <cell r="W36">
            <v>55248.900000000023</v>
          </cell>
        </row>
        <row r="37">
          <cell r="E37">
            <v>86</v>
          </cell>
          <cell r="G37">
            <v>5418</v>
          </cell>
          <cell r="J37">
            <v>1</v>
          </cell>
          <cell r="L37">
            <v>360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48778</v>
          </cell>
          <cell r="V37">
            <v>55249</v>
          </cell>
          <cell r="W37">
            <v>48777.900000000023</v>
          </cell>
        </row>
        <row r="38">
          <cell r="E38">
            <v>111</v>
          </cell>
          <cell r="G38">
            <v>6993</v>
          </cell>
          <cell r="J38">
            <v>2</v>
          </cell>
          <cell r="L38">
            <v>720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50713</v>
          </cell>
          <cell r="V38">
            <v>48778</v>
          </cell>
          <cell r="W38">
            <v>50712.900000000023</v>
          </cell>
        </row>
        <row r="39">
          <cell r="E39">
            <v>226</v>
          </cell>
          <cell r="G39">
            <v>14238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58678</v>
          </cell>
          <cell r="V39">
            <v>50713</v>
          </cell>
          <cell r="W39">
            <v>58677.900000000023</v>
          </cell>
        </row>
        <row r="40">
          <cell r="E40">
            <v>59</v>
          </cell>
          <cell r="G40">
            <v>3717</v>
          </cell>
          <cell r="J40">
            <v>3</v>
          </cell>
          <cell r="L40">
            <v>1080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47797</v>
          </cell>
          <cell r="V40">
            <v>58678</v>
          </cell>
          <cell r="W40">
            <v>47796.900000000023</v>
          </cell>
        </row>
        <row r="41">
          <cell r="E41">
            <v>18</v>
          </cell>
          <cell r="G41">
            <v>1134</v>
          </cell>
          <cell r="J41">
            <v>2</v>
          </cell>
          <cell r="L41">
            <v>720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44854</v>
          </cell>
          <cell r="V41">
            <v>47797</v>
          </cell>
          <cell r="W41">
            <v>44853.900000000023</v>
          </cell>
        </row>
        <row r="42">
          <cell r="E42">
            <v>115</v>
          </cell>
          <cell r="G42">
            <v>7245</v>
          </cell>
          <cell r="J42">
            <v>12</v>
          </cell>
          <cell r="L42">
            <v>4320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54565</v>
          </cell>
          <cell r="V42">
            <v>44853</v>
          </cell>
          <cell r="W42">
            <v>54565.900000000023</v>
          </cell>
        </row>
        <row r="43">
          <cell r="E43">
            <v>113</v>
          </cell>
          <cell r="G43">
            <v>7119</v>
          </cell>
          <cell r="J43">
            <v>6</v>
          </cell>
          <cell r="L43">
            <v>2160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52279</v>
          </cell>
          <cell r="V43">
            <v>54565</v>
          </cell>
          <cell r="W43">
            <v>52279.900000000023</v>
          </cell>
        </row>
        <row r="44">
          <cell r="E44">
            <v>196</v>
          </cell>
          <cell r="G44">
            <v>12348</v>
          </cell>
          <cell r="J44">
            <v>23</v>
          </cell>
          <cell r="L44">
            <v>8280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63628</v>
          </cell>
          <cell r="V44">
            <v>0</v>
          </cell>
          <cell r="W44">
            <v>115907.90000000002</v>
          </cell>
        </row>
        <row r="45">
          <cell r="E45">
            <v>157</v>
          </cell>
          <cell r="G45">
            <v>9891</v>
          </cell>
          <cell r="J45">
            <v>14</v>
          </cell>
          <cell r="L45">
            <v>5040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57931</v>
          </cell>
          <cell r="V45">
            <v>52279</v>
          </cell>
          <cell r="W45">
            <v>121559.90000000002</v>
          </cell>
        </row>
        <row r="46">
          <cell r="E46">
            <v>119</v>
          </cell>
          <cell r="G46">
            <v>7497</v>
          </cell>
          <cell r="J46">
            <v>6</v>
          </cell>
          <cell r="L46">
            <v>2160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52657</v>
          </cell>
          <cell r="V46">
            <v>121559</v>
          </cell>
          <cell r="W46">
            <v>52657.900000000023</v>
          </cell>
        </row>
        <row r="47">
          <cell r="E47">
            <v>216</v>
          </cell>
          <cell r="G47">
            <v>13608</v>
          </cell>
          <cell r="J47">
            <v>7</v>
          </cell>
          <cell r="L47">
            <v>2520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59128</v>
          </cell>
          <cell r="V47">
            <v>52657</v>
          </cell>
          <cell r="W47">
            <v>59128.900000000023</v>
          </cell>
        </row>
        <row r="48">
          <cell r="E48">
            <v>169</v>
          </cell>
          <cell r="G48">
            <v>10647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54007</v>
          </cell>
          <cell r="V48">
            <v>59128</v>
          </cell>
          <cell r="W48">
            <v>54007.900000000023</v>
          </cell>
        </row>
        <row r="49">
          <cell r="E49">
            <v>119</v>
          </cell>
          <cell r="G49">
            <v>7497</v>
          </cell>
          <cell r="J49">
            <v>1</v>
          </cell>
          <cell r="L49">
            <v>360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50857</v>
          </cell>
          <cell r="V49">
            <v>0</v>
          </cell>
          <cell r="W49">
            <v>104864.90000000002</v>
          </cell>
        </row>
        <row r="50">
          <cell r="E50">
            <v>55</v>
          </cell>
          <cell r="G50">
            <v>3465</v>
          </cell>
          <cell r="J50">
            <v>1</v>
          </cell>
          <cell r="L50">
            <v>360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46825</v>
          </cell>
          <cell r="V50">
            <v>104864</v>
          </cell>
          <cell r="W50">
            <v>46825.900000000023</v>
          </cell>
        </row>
        <row r="51">
          <cell r="E51">
            <v>172</v>
          </cell>
          <cell r="G51">
            <v>10836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53836</v>
          </cell>
          <cell r="V51">
            <v>0</v>
          </cell>
          <cell r="W51">
            <v>100661.90000000002</v>
          </cell>
        </row>
        <row r="52">
          <cell r="E52">
            <v>154</v>
          </cell>
          <cell r="G52">
            <v>9702</v>
          </cell>
          <cell r="J52">
            <v>5</v>
          </cell>
          <cell r="L52">
            <v>1800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54502</v>
          </cell>
          <cell r="V52">
            <v>100661</v>
          </cell>
          <cell r="W52">
            <v>54502.900000000023</v>
          </cell>
        </row>
        <row r="53">
          <cell r="E53">
            <v>143</v>
          </cell>
          <cell r="G53">
            <v>9009</v>
          </cell>
          <cell r="J53">
            <v>7</v>
          </cell>
          <cell r="L53">
            <v>2520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54529</v>
          </cell>
          <cell r="V53">
            <v>52657</v>
          </cell>
          <cell r="W53">
            <v>56374.900000000023</v>
          </cell>
        </row>
        <row r="54">
          <cell r="E54">
            <v>67</v>
          </cell>
          <cell r="G54">
            <v>4221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47221</v>
          </cell>
          <cell r="V54">
            <v>56374</v>
          </cell>
          <cell r="W54">
            <v>54221.900000000023</v>
          </cell>
        </row>
        <row r="55">
          <cell r="E55">
            <v>201</v>
          </cell>
          <cell r="G55">
            <v>12663</v>
          </cell>
          <cell r="J55">
            <v>6</v>
          </cell>
          <cell r="L55">
            <v>2160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64823</v>
          </cell>
          <cell r="V55">
            <v>0</v>
          </cell>
          <cell r="W55">
            <v>119044.90000000002</v>
          </cell>
        </row>
        <row r="56">
          <cell r="E56">
            <v>207</v>
          </cell>
          <cell r="G56">
            <v>13041</v>
          </cell>
          <cell r="J56">
            <v>17</v>
          </cell>
          <cell r="L56">
            <v>6120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69161</v>
          </cell>
          <cell r="V56">
            <v>119045</v>
          </cell>
          <cell r="W56">
            <v>69160.900000000023</v>
          </cell>
        </row>
        <row r="57">
          <cell r="E57">
            <v>147</v>
          </cell>
          <cell r="G57">
            <v>9261</v>
          </cell>
          <cell r="J57">
            <v>13</v>
          </cell>
          <cell r="L57">
            <v>4680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63941</v>
          </cell>
          <cell r="V57">
            <v>69160</v>
          </cell>
          <cell r="W57">
            <v>63941.900000000023</v>
          </cell>
        </row>
        <row r="58">
          <cell r="E58">
            <v>148</v>
          </cell>
          <cell r="G58">
            <v>9324</v>
          </cell>
          <cell r="J58">
            <v>1</v>
          </cell>
          <cell r="L58">
            <v>360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59684</v>
          </cell>
          <cell r="V58">
            <v>63941</v>
          </cell>
          <cell r="W58">
            <v>59684.900000000023</v>
          </cell>
        </row>
        <row r="59">
          <cell r="E59">
            <v>100</v>
          </cell>
          <cell r="G59">
            <v>6300</v>
          </cell>
          <cell r="J59">
            <v>0</v>
          </cell>
          <cell r="L59">
            <v>360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56660</v>
          </cell>
          <cell r="V59">
            <v>59684</v>
          </cell>
          <cell r="W59">
            <v>56660.900000000023</v>
          </cell>
        </row>
        <row r="60">
          <cell r="E60">
            <v>80</v>
          </cell>
          <cell r="G60">
            <v>5040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55040</v>
          </cell>
          <cell r="V60">
            <v>0</v>
          </cell>
          <cell r="W60">
            <v>111700.90000000002</v>
          </cell>
        </row>
        <row r="61">
          <cell r="E61">
            <v>130</v>
          </cell>
          <cell r="G61">
            <v>8190</v>
          </cell>
          <cell r="J61">
            <v>3</v>
          </cell>
          <cell r="L61">
            <v>1080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59270</v>
          </cell>
          <cell r="V61">
            <v>111700</v>
          </cell>
          <cell r="W61">
            <v>59270.900000000023</v>
          </cell>
        </row>
        <row r="62">
          <cell r="E62">
            <v>161</v>
          </cell>
          <cell r="G62">
            <v>10143</v>
          </cell>
          <cell r="J62">
            <v>2</v>
          </cell>
          <cell r="L62">
            <v>720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60863</v>
          </cell>
          <cell r="V62">
            <v>59270</v>
          </cell>
          <cell r="W62">
            <v>60863.900000000023</v>
          </cell>
        </row>
        <row r="63">
          <cell r="E63">
            <v>168</v>
          </cell>
          <cell r="G63">
            <v>10584</v>
          </cell>
          <cell r="J63">
            <v>8</v>
          </cell>
          <cell r="L63">
            <v>2880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63464</v>
          </cell>
          <cell r="V63">
            <v>60863</v>
          </cell>
          <cell r="W63">
            <v>63464.900000000023</v>
          </cell>
        </row>
        <row r="64">
          <cell r="E64">
            <v>131</v>
          </cell>
          <cell r="G64">
            <v>8253</v>
          </cell>
          <cell r="J64">
            <v>3</v>
          </cell>
          <cell r="L64">
            <v>1080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59333</v>
          </cell>
          <cell r="V64">
            <v>63465</v>
          </cell>
          <cell r="W64">
            <v>59332.900000000023</v>
          </cell>
        </row>
        <row r="65">
          <cell r="E65">
            <v>142</v>
          </cell>
          <cell r="G65">
            <v>8946</v>
          </cell>
          <cell r="J65">
            <v>5</v>
          </cell>
          <cell r="L65">
            <v>1800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60746</v>
          </cell>
          <cell r="V65">
            <v>59333</v>
          </cell>
          <cell r="W65">
            <v>60745.900000000023</v>
          </cell>
        </row>
        <row r="66">
          <cell r="E66">
            <v>104</v>
          </cell>
          <cell r="G66">
            <v>6552</v>
          </cell>
          <cell r="J66">
            <v>6</v>
          </cell>
          <cell r="L66">
            <v>2160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58712</v>
          </cell>
          <cell r="V66">
            <v>0</v>
          </cell>
          <cell r="W66">
            <v>119457.90000000002</v>
          </cell>
        </row>
        <row r="67">
          <cell r="E67">
            <v>202</v>
          </cell>
          <cell r="G67">
            <v>17574</v>
          </cell>
          <cell r="J67">
            <v>11</v>
          </cell>
          <cell r="L67">
            <v>3960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71534</v>
          </cell>
          <cell r="V67">
            <v>119457</v>
          </cell>
          <cell r="W67">
            <v>71534.900000000023</v>
          </cell>
        </row>
        <row r="68">
          <cell r="E68">
            <v>208</v>
          </cell>
          <cell r="G68">
            <v>18096</v>
          </cell>
          <cell r="J68">
            <v>20</v>
          </cell>
          <cell r="L68">
            <v>7200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75296</v>
          </cell>
          <cell r="V68">
            <v>71534</v>
          </cell>
          <cell r="W68">
            <v>75296.900000000023</v>
          </cell>
        </row>
        <row r="69">
          <cell r="E69">
            <v>129</v>
          </cell>
          <cell r="G69">
            <v>14319</v>
          </cell>
          <cell r="J69">
            <v>2</v>
          </cell>
          <cell r="L69">
            <v>720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65039</v>
          </cell>
          <cell r="V69">
            <v>0</v>
          </cell>
          <cell r="W69">
            <v>140335.90000000002</v>
          </cell>
        </row>
        <row r="70">
          <cell r="E70">
            <v>152</v>
          </cell>
          <cell r="G70">
            <v>18848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68848</v>
          </cell>
          <cell r="V70">
            <v>140335</v>
          </cell>
          <cell r="W70">
            <v>68848.900000000023</v>
          </cell>
        </row>
        <row r="71">
          <cell r="E71">
            <v>93</v>
          </cell>
          <cell r="G71">
            <v>9114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59114</v>
          </cell>
          <cell r="V71">
            <v>0</v>
          </cell>
          <cell r="W71">
            <v>127962.90000000002</v>
          </cell>
        </row>
        <row r="72">
          <cell r="E72">
            <v>133</v>
          </cell>
          <cell r="G72">
            <v>13832</v>
          </cell>
          <cell r="J72">
            <v>2</v>
          </cell>
          <cell r="L72">
            <v>720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64552</v>
          </cell>
          <cell r="V72">
            <v>127962</v>
          </cell>
          <cell r="W72">
            <v>64552.900000000023</v>
          </cell>
        </row>
        <row r="73">
          <cell r="E73">
            <v>39</v>
          </cell>
          <cell r="G73">
            <v>4368</v>
          </cell>
          <cell r="J73">
            <v>1</v>
          </cell>
          <cell r="L73">
            <v>360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54728</v>
          </cell>
          <cell r="V73">
            <v>0</v>
          </cell>
          <cell r="W73">
            <v>119280.90000000002</v>
          </cell>
        </row>
        <row r="74">
          <cell r="E74">
            <v>131</v>
          </cell>
          <cell r="G74">
            <v>14017</v>
          </cell>
          <cell r="J74">
            <v>2</v>
          </cell>
          <cell r="L74">
            <v>720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64737</v>
          </cell>
          <cell r="V74">
            <v>119280</v>
          </cell>
          <cell r="W74">
            <v>64737.900000000023</v>
          </cell>
        </row>
        <row r="75">
          <cell r="E75">
            <v>93</v>
          </cell>
          <cell r="G75">
            <v>10230</v>
          </cell>
          <cell r="J75">
            <v>4</v>
          </cell>
          <cell r="L75">
            <v>1440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61670</v>
          </cell>
          <cell r="V75">
            <v>64737</v>
          </cell>
          <cell r="W75">
            <v>61670.900000000023</v>
          </cell>
        </row>
        <row r="76">
          <cell r="E76">
            <v>115</v>
          </cell>
          <cell r="G76">
            <v>14490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64490</v>
          </cell>
          <cell r="V76">
            <v>61670</v>
          </cell>
          <cell r="W76">
            <v>64490.900000000023</v>
          </cell>
        </row>
        <row r="77">
          <cell r="E77">
            <v>109</v>
          </cell>
          <cell r="G77">
            <v>12971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62971</v>
          </cell>
          <cell r="V77">
            <v>64490</v>
          </cell>
          <cell r="W77">
            <v>62971.900000000023</v>
          </cell>
        </row>
        <row r="78">
          <cell r="E78">
            <v>212</v>
          </cell>
          <cell r="G78">
            <v>22896</v>
          </cell>
          <cell r="J78">
            <v>1</v>
          </cell>
          <cell r="L78">
            <v>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73256</v>
          </cell>
          <cell r="V78">
            <v>62971</v>
          </cell>
          <cell r="W78">
            <v>73256.900000000023</v>
          </cell>
        </row>
        <row r="79">
          <cell r="E79">
            <v>116</v>
          </cell>
          <cell r="G79">
            <v>14384</v>
          </cell>
          <cell r="J79">
            <v>3</v>
          </cell>
          <cell r="L79">
            <v>1080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65464</v>
          </cell>
          <cell r="V79">
            <v>73256</v>
          </cell>
          <cell r="W79">
            <v>65464.900000000023</v>
          </cell>
        </row>
        <row r="80">
          <cell r="E80">
            <v>186</v>
          </cell>
          <cell r="G80">
            <v>24180</v>
          </cell>
          <cell r="J80">
            <v>10</v>
          </cell>
          <cell r="L80">
            <v>3600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77780</v>
          </cell>
          <cell r="V80">
            <v>65464</v>
          </cell>
          <cell r="W80">
            <v>77780.900000000023</v>
          </cell>
        </row>
        <row r="81">
          <cell r="E81">
            <v>87</v>
          </cell>
          <cell r="G81">
            <v>11310</v>
          </cell>
          <cell r="J81">
            <v>2</v>
          </cell>
          <cell r="L81">
            <v>720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62030</v>
          </cell>
          <cell r="V81">
            <v>77780</v>
          </cell>
          <cell r="W81">
            <v>62030.900000000023</v>
          </cell>
        </row>
        <row r="82">
          <cell r="E82">
            <v>59</v>
          </cell>
          <cell r="G82">
            <v>8260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58260</v>
          </cell>
          <cell r="V82">
            <v>62030</v>
          </cell>
          <cell r="W82">
            <v>58260.900000000023</v>
          </cell>
        </row>
        <row r="83">
          <cell r="E83">
            <v>49</v>
          </cell>
          <cell r="G83">
            <v>7154</v>
          </cell>
          <cell r="J83">
            <v>1</v>
          </cell>
          <cell r="L83">
            <v>360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57514</v>
          </cell>
          <cell r="V83">
            <v>58260</v>
          </cell>
          <cell r="W83">
            <v>57514.900000000023</v>
          </cell>
        </row>
        <row r="84">
          <cell r="E84">
            <v>53</v>
          </cell>
          <cell r="G84">
            <v>7738</v>
          </cell>
          <cell r="J84">
            <v>1</v>
          </cell>
          <cell r="L84">
            <v>360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58098</v>
          </cell>
          <cell r="V84">
            <v>57514</v>
          </cell>
          <cell r="W84">
            <v>58098.900000000023</v>
          </cell>
        </row>
        <row r="85">
          <cell r="E85">
            <v>44</v>
          </cell>
          <cell r="G85">
            <v>6424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56424</v>
          </cell>
          <cell r="V85">
            <v>58099</v>
          </cell>
          <cell r="W85">
            <v>66423.900000000023</v>
          </cell>
        </row>
        <row r="86">
          <cell r="E86">
            <v>57</v>
          </cell>
          <cell r="G86">
            <v>8322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68322</v>
          </cell>
          <cell r="V86">
            <v>66424</v>
          </cell>
          <cell r="W86">
            <v>58321.900000000023</v>
          </cell>
        </row>
        <row r="87">
          <cell r="E87">
            <v>60</v>
          </cell>
          <cell r="G87">
            <v>8760</v>
          </cell>
          <cell r="J87">
            <v>2</v>
          </cell>
          <cell r="L87">
            <v>720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59480</v>
          </cell>
          <cell r="V87">
            <v>58322</v>
          </cell>
          <cell r="W87">
            <v>59479.900000000023</v>
          </cell>
        </row>
        <row r="88">
          <cell r="E88">
            <v>55</v>
          </cell>
          <cell r="G88">
            <v>8030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58030</v>
          </cell>
          <cell r="V88">
            <v>59480</v>
          </cell>
          <cell r="W88">
            <v>58029.900000000023</v>
          </cell>
        </row>
        <row r="89">
          <cell r="E89">
            <v>58</v>
          </cell>
          <cell r="G89">
            <v>8468</v>
          </cell>
          <cell r="J89">
            <v>1</v>
          </cell>
          <cell r="L89">
            <v>360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58828</v>
          </cell>
          <cell r="V89">
            <v>58030</v>
          </cell>
          <cell r="W89">
            <v>58827.900000000023</v>
          </cell>
        </row>
        <row r="90">
          <cell r="E90">
            <v>90</v>
          </cell>
          <cell r="G90">
            <v>13140</v>
          </cell>
          <cell r="J90">
            <v>3</v>
          </cell>
          <cell r="L90">
            <v>1080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64220</v>
          </cell>
          <cell r="V90">
            <v>58828</v>
          </cell>
          <cell r="W90">
            <v>64219.900000000023</v>
          </cell>
        </row>
        <row r="91">
          <cell r="E91">
            <v>78</v>
          </cell>
          <cell r="G91">
            <v>11388</v>
          </cell>
          <cell r="J91">
            <v>1</v>
          </cell>
          <cell r="L91">
            <v>360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70748</v>
          </cell>
          <cell r="V91">
            <v>64320</v>
          </cell>
          <cell r="W91">
            <v>80647.900000000023</v>
          </cell>
        </row>
        <row r="92">
          <cell r="E92">
            <v>76</v>
          </cell>
          <cell r="G92">
            <v>11096</v>
          </cell>
          <cell r="J92">
            <v>1</v>
          </cell>
          <cell r="L92">
            <v>360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70456</v>
          </cell>
          <cell r="V92">
            <v>80456</v>
          </cell>
          <cell r="W92">
            <v>80647.900000000023</v>
          </cell>
        </row>
        <row r="93">
          <cell r="E93">
            <v>0</v>
          </cell>
          <cell r="G93">
            <v>0</v>
          </cell>
          <cell r="J93">
            <v>2</v>
          </cell>
          <cell r="L93">
            <v>720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59720</v>
          </cell>
          <cell r="V93">
            <v>150368</v>
          </cell>
          <cell r="W93">
            <v>-9.9999999976716936E-2</v>
          </cell>
        </row>
        <row r="94">
          <cell r="E94">
            <v>2</v>
          </cell>
          <cell r="G94">
            <v>292</v>
          </cell>
          <cell r="J94">
            <v>21</v>
          </cell>
          <cell r="L94">
            <v>7560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66852</v>
          </cell>
          <cell r="V94">
            <v>76852</v>
          </cell>
          <cell r="W94">
            <v>-9.9999999976716936E-2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59000</v>
          </cell>
          <cell r="V95">
            <v>69000</v>
          </cell>
          <cell r="W95">
            <v>-9.9999999976716936E-2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59000</v>
          </cell>
          <cell r="V96">
            <v>59000</v>
          </cell>
          <cell r="W96">
            <v>-9.9999999976716936E-2</v>
          </cell>
        </row>
        <row r="97">
          <cell r="E97">
            <v>0</v>
          </cell>
          <cell r="G97">
            <v>0</v>
          </cell>
          <cell r="J97">
            <v>1</v>
          </cell>
          <cell r="L97">
            <v>360</v>
          </cell>
          <cell r="M97">
            <v>0</v>
          </cell>
          <cell r="N97">
            <v>0</v>
          </cell>
          <cell r="O97">
            <v>4000</v>
          </cell>
          <cell r="P97">
            <v>4000</v>
          </cell>
          <cell r="Q97">
            <v>55000</v>
          </cell>
          <cell r="R97">
            <v>0</v>
          </cell>
          <cell r="S97">
            <v>59360</v>
          </cell>
          <cell r="V97">
            <v>59360</v>
          </cell>
          <cell r="W97">
            <v>-9.9999999976716936E-2</v>
          </cell>
        </row>
        <row r="98">
          <cell r="E98">
            <v>2</v>
          </cell>
          <cell r="G98">
            <v>292</v>
          </cell>
          <cell r="J98">
            <v>1</v>
          </cell>
          <cell r="L98">
            <v>360</v>
          </cell>
          <cell r="M98">
            <v>0</v>
          </cell>
          <cell r="N98">
            <v>0</v>
          </cell>
          <cell r="O98">
            <v>4000</v>
          </cell>
          <cell r="P98">
            <v>4000</v>
          </cell>
          <cell r="Q98">
            <v>55000</v>
          </cell>
          <cell r="R98">
            <v>0</v>
          </cell>
          <cell r="S98">
            <v>59652</v>
          </cell>
          <cell r="V98">
            <v>59652</v>
          </cell>
          <cell r="W98">
            <v>-9.9999999976716936E-2</v>
          </cell>
        </row>
        <row r="99">
          <cell r="E99">
            <v>7</v>
          </cell>
          <cell r="G99">
            <v>1022</v>
          </cell>
          <cell r="J99">
            <v>2</v>
          </cell>
          <cell r="L99">
            <v>720</v>
          </cell>
          <cell r="M99">
            <v>0</v>
          </cell>
          <cell r="N99">
            <v>0</v>
          </cell>
          <cell r="O99">
            <v>4000</v>
          </cell>
          <cell r="P99">
            <v>4000</v>
          </cell>
          <cell r="Q99">
            <v>55000</v>
          </cell>
          <cell r="R99">
            <v>0</v>
          </cell>
          <cell r="S99">
            <v>60742</v>
          </cell>
          <cell r="V99">
            <v>60742</v>
          </cell>
          <cell r="W99">
            <v>-9.9999999976716936E-2</v>
          </cell>
        </row>
        <row r="100">
          <cell r="E100">
            <v>9</v>
          </cell>
          <cell r="G100">
            <v>1314</v>
          </cell>
          <cell r="J100">
            <v>1</v>
          </cell>
          <cell r="L100">
            <v>360</v>
          </cell>
          <cell r="M100">
            <v>0</v>
          </cell>
          <cell r="N100">
            <v>0</v>
          </cell>
          <cell r="O100">
            <v>4000</v>
          </cell>
          <cell r="P100">
            <v>4000</v>
          </cell>
          <cell r="Q100">
            <v>55000</v>
          </cell>
          <cell r="R100">
            <v>0</v>
          </cell>
          <cell r="S100">
            <v>60674</v>
          </cell>
          <cell r="V100">
            <v>60674</v>
          </cell>
          <cell r="W100">
            <v>-9.9999999976716936E-2</v>
          </cell>
        </row>
        <row r="101">
          <cell r="E101">
            <v>1</v>
          </cell>
          <cell r="G101">
            <v>146</v>
          </cell>
          <cell r="J101">
            <v>2</v>
          </cell>
          <cell r="L101">
            <v>720</v>
          </cell>
          <cell r="M101">
            <v>0</v>
          </cell>
          <cell r="N101">
            <v>0</v>
          </cell>
          <cell r="O101">
            <v>4000</v>
          </cell>
          <cell r="P101">
            <v>0</v>
          </cell>
          <cell r="Q101">
            <v>55000</v>
          </cell>
          <cell r="R101">
            <v>0</v>
          </cell>
          <cell r="S101">
            <v>55866</v>
          </cell>
          <cell r="V101">
            <v>59866</v>
          </cell>
          <cell r="W101">
            <v>-9.9999999976716936E-2</v>
          </cell>
        </row>
        <row r="102">
          <cell r="E102">
            <v>1</v>
          </cell>
          <cell r="G102">
            <v>146</v>
          </cell>
          <cell r="J102">
            <v>2</v>
          </cell>
          <cell r="L102">
            <v>720</v>
          </cell>
          <cell r="M102">
            <v>0</v>
          </cell>
          <cell r="N102">
            <v>0</v>
          </cell>
          <cell r="O102">
            <v>4000</v>
          </cell>
          <cell r="P102">
            <v>0</v>
          </cell>
          <cell r="Q102">
            <v>55000</v>
          </cell>
          <cell r="R102">
            <v>0</v>
          </cell>
          <cell r="S102">
            <v>55866</v>
          </cell>
          <cell r="V102">
            <v>59866</v>
          </cell>
          <cell r="W102">
            <v>-9.9999999976716936E-2</v>
          </cell>
        </row>
        <row r="103">
          <cell r="E103">
            <v>1</v>
          </cell>
          <cell r="G103">
            <v>146</v>
          </cell>
          <cell r="J103">
            <v>1</v>
          </cell>
          <cell r="L103">
            <v>360</v>
          </cell>
          <cell r="M103">
            <v>0</v>
          </cell>
          <cell r="N103">
            <v>0</v>
          </cell>
          <cell r="O103">
            <v>4000</v>
          </cell>
          <cell r="P103">
            <v>0</v>
          </cell>
          <cell r="Q103">
            <v>56650</v>
          </cell>
          <cell r="R103">
            <v>0</v>
          </cell>
          <cell r="S103">
            <v>57156</v>
          </cell>
          <cell r="V103">
            <v>61156</v>
          </cell>
          <cell r="W103">
            <v>-9.9999999976716936E-2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4000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60650</v>
          </cell>
          <cell r="W104">
            <v>-9.9999999976716936E-2</v>
          </cell>
        </row>
        <row r="105">
          <cell r="E105">
            <v>0</v>
          </cell>
          <cell r="G105">
            <v>0</v>
          </cell>
          <cell r="J105">
            <v>1</v>
          </cell>
          <cell r="L105">
            <v>360</v>
          </cell>
          <cell r="M105">
            <v>0</v>
          </cell>
          <cell r="N105">
            <v>0</v>
          </cell>
          <cell r="O105">
            <v>4000</v>
          </cell>
          <cell r="P105">
            <v>0</v>
          </cell>
          <cell r="Q105">
            <v>56650</v>
          </cell>
          <cell r="R105">
            <v>0</v>
          </cell>
          <cell r="S105">
            <v>57010</v>
          </cell>
          <cell r="V105">
            <v>61010</v>
          </cell>
          <cell r="W105">
            <v>-9.9999999976716936E-2</v>
          </cell>
        </row>
        <row r="106">
          <cell r="E106">
            <v>28</v>
          </cell>
          <cell r="G106">
            <v>4088</v>
          </cell>
          <cell r="J106">
            <v>3</v>
          </cell>
          <cell r="L106">
            <v>1080</v>
          </cell>
          <cell r="M106">
            <v>0</v>
          </cell>
          <cell r="N106">
            <v>0</v>
          </cell>
          <cell r="O106">
            <v>4000</v>
          </cell>
          <cell r="P106">
            <v>0</v>
          </cell>
          <cell r="Q106">
            <v>56650</v>
          </cell>
          <cell r="R106">
            <v>0</v>
          </cell>
          <cell r="S106">
            <v>61818</v>
          </cell>
          <cell r="V106">
            <v>65818</v>
          </cell>
          <cell r="W106">
            <v>-9.9999999976716936E-2</v>
          </cell>
        </row>
        <row r="107">
          <cell r="E107">
            <v>81</v>
          </cell>
          <cell r="G107">
            <v>11826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4000</v>
          </cell>
          <cell r="P107">
            <v>0</v>
          </cell>
          <cell r="Q107">
            <v>56650</v>
          </cell>
          <cell r="R107">
            <v>0</v>
          </cell>
          <cell r="S107">
            <v>68476</v>
          </cell>
          <cell r="V107">
            <v>72476</v>
          </cell>
          <cell r="W107">
            <v>-9.9999999976716936E-2</v>
          </cell>
        </row>
        <row r="108">
          <cell r="E108">
            <v>18</v>
          </cell>
          <cell r="G108">
            <v>2628</v>
          </cell>
          <cell r="J108">
            <v>1</v>
          </cell>
          <cell r="L108">
            <v>360</v>
          </cell>
          <cell r="M108">
            <v>0</v>
          </cell>
          <cell r="N108">
            <v>0</v>
          </cell>
          <cell r="O108">
            <v>4000</v>
          </cell>
          <cell r="P108">
            <v>0</v>
          </cell>
          <cell r="Q108">
            <v>56650</v>
          </cell>
          <cell r="R108">
            <v>0</v>
          </cell>
          <cell r="S108">
            <v>59638</v>
          </cell>
          <cell r="V108">
            <v>63638</v>
          </cell>
          <cell r="W108">
            <v>-9.9999999976716936E-2</v>
          </cell>
        </row>
        <row r="109">
          <cell r="E109">
            <v>12</v>
          </cell>
          <cell r="G109">
            <v>1752</v>
          </cell>
          <cell r="J109">
            <v>1</v>
          </cell>
          <cell r="L109">
            <v>360</v>
          </cell>
          <cell r="M109">
            <v>0</v>
          </cell>
          <cell r="N109">
            <v>0</v>
          </cell>
          <cell r="O109">
            <v>8000</v>
          </cell>
          <cell r="P109">
            <v>0</v>
          </cell>
          <cell r="Q109">
            <v>56650</v>
          </cell>
          <cell r="R109">
            <v>0</v>
          </cell>
          <cell r="S109">
            <v>58762</v>
          </cell>
          <cell r="V109">
            <v>66762</v>
          </cell>
          <cell r="W109">
            <v>-9.9999999976716936E-2</v>
          </cell>
        </row>
        <row r="110">
          <cell r="E110">
            <v>11</v>
          </cell>
          <cell r="G110">
            <v>1606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8000</v>
          </cell>
          <cell r="P110">
            <v>0</v>
          </cell>
          <cell r="Q110">
            <v>56650</v>
          </cell>
          <cell r="R110">
            <v>0</v>
          </cell>
          <cell r="S110">
            <v>58256</v>
          </cell>
          <cell r="V110">
            <v>66256</v>
          </cell>
          <cell r="W110">
            <v>-9.9999999976716936E-2</v>
          </cell>
        </row>
        <row r="111">
          <cell r="E111">
            <v>7</v>
          </cell>
          <cell r="G111">
            <v>1022</v>
          </cell>
          <cell r="J111">
            <v>2</v>
          </cell>
          <cell r="L111">
            <v>720</v>
          </cell>
          <cell r="M111">
            <v>0</v>
          </cell>
          <cell r="N111">
            <v>0</v>
          </cell>
          <cell r="O111">
            <v>8000</v>
          </cell>
          <cell r="P111">
            <v>0</v>
          </cell>
          <cell r="Q111">
            <v>56650</v>
          </cell>
          <cell r="R111">
            <v>0</v>
          </cell>
          <cell r="S111">
            <v>58392</v>
          </cell>
          <cell r="V111">
            <v>66392</v>
          </cell>
          <cell r="W111">
            <v>-9.9999999976716936E-2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8000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64650</v>
          </cell>
          <cell r="W112">
            <v>-9.9999999976716936E-2</v>
          </cell>
        </row>
        <row r="113">
          <cell r="E113">
            <v>7</v>
          </cell>
          <cell r="G113">
            <v>1022</v>
          </cell>
          <cell r="J113">
            <v>3</v>
          </cell>
          <cell r="L113">
            <v>1080</v>
          </cell>
          <cell r="M113">
            <v>0</v>
          </cell>
          <cell r="N113">
            <v>0</v>
          </cell>
          <cell r="O113">
            <v>8000</v>
          </cell>
          <cell r="P113">
            <v>0</v>
          </cell>
          <cell r="Q113">
            <v>56650</v>
          </cell>
          <cell r="R113">
            <v>0</v>
          </cell>
          <cell r="S113">
            <v>58752</v>
          </cell>
          <cell r="V113">
            <v>66752</v>
          </cell>
          <cell r="W113">
            <v>-9.9999999976716936E-2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8000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60650</v>
          </cell>
          <cell r="W114">
            <v>3999.9000000000233</v>
          </cell>
        </row>
        <row r="115">
          <cell r="E115">
            <v>1</v>
          </cell>
          <cell r="G115">
            <v>146</v>
          </cell>
          <cell r="J115">
            <v>2</v>
          </cell>
          <cell r="L115">
            <v>720</v>
          </cell>
          <cell r="M115">
            <v>0</v>
          </cell>
          <cell r="N115">
            <v>0</v>
          </cell>
          <cell r="O115">
            <v>8000</v>
          </cell>
          <cell r="P115">
            <v>0</v>
          </cell>
          <cell r="Q115">
            <v>58859</v>
          </cell>
          <cell r="R115">
            <v>0</v>
          </cell>
          <cell r="S115">
            <v>59725</v>
          </cell>
          <cell r="V115">
            <v>71725</v>
          </cell>
          <cell r="W115">
            <v>-9.9999999976716936E-2</v>
          </cell>
        </row>
        <row r="116">
          <cell r="E116">
            <v>0</v>
          </cell>
          <cell r="G116">
            <v>0</v>
          </cell>
          <cell r="J116">
            <v>1</v>
          </cell>
          <cell r="L116">
            <v>360</v>
          </cell>
          <cell r="M116">
            <v>0</v>
          </cell>
          <cell r="N116">
            <v>0</v>
          </cell>
          <cell r="O116">
            <v>8000</v>
          </cell>
          <cell r="P116">
            <v>0</v>
          </cell>
          <cell r="Q116">
            <v>58859</v>
          </cell>
          <cell r="R116">
            <v>0</v>
          </cell>
          <cell r="S116">
            <v>59219</v>
          </cell>
          <cell r="V116">
            <v>67219</v>
          </cell>
          <cell r="W116">
            <v>-9.9999999976716936E-2</v>
          </cell>
        </row>
        <row r="117">
          <cell r="E117">
            <v>4</v>
          </cell>
          <cell r="G117">
            <v>584</v>
          </cell>
          <cell r="J117">
            <v>2</v>
          </cell>
          <cell r="L117">
            <v>720</v>
          </cell>
          <cell r="M117">
            <v>0</v>
          </cell>
          <cell r="N117">
            <v>0</v>
          </cell>
          <cell r="O117">
            <v>8000</v>
          </cell>
          <cell r="P117">
            <v>0</v>
          </cell>
          <cell r="Q117">
            <v>58859</v>
          </cell>
          <cell r="R117">
            <v>0</v>
          </cell>
          <cell r="S117">
            <v>60163</v>
          </cell>
          <cell r="V117">
            <v>68163</v>
          </cell>
          <cell r="W117">
            <v>-9.9999999976716936E-2</v>
          </cell>
        </row>
        <row r="118">
          <cell r="E118">
            <v>0</v>
          </cell>
          <cell r="G118">
            <v>0</v>
          </cell>
          <cell r="J118">
            <v>1</v>
          </cell>
          <cell r="L118">
            <v>360</v>
          </cell>
          <cell r="M118">
            <v>0</v>
          </cell>
          <cell r="N118">
            <v>0</v>
          </cell>
          <cell r="O118">
            <v>8000</v>
          </cell>
          <cell r="P118">
            <v>0</v>
          </cell>
          <cell r="Q118">
            <v>58859</v>
          </cell>
          <cell r="R118">
            <v>0</v>
          </cell>
          <cell r="S118">
            <v>59219</v>
          </cell>
          <cell r="V118">
            <v>67219</v>
          </cell>
          <cell r="W118">
            <v>-9.9999999976716936E-2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8000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66859</v>
          </cell>
          <cell r="W119">
            <v>-9.9999999976716936E-2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8000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66859</v>
          </cell>
          <cell r="W120">
            <v>-9.9999999976716936E-2</v>
          </cell>
        </row>
        <row r="121">
          <cell r="E121">
            <v>2</v>
          </cell>
          <cell r="G121">
            <v>292</v>
          </cell>
          <cell r="J121">
            <v>2</v>
          </cell>
          <cell r="L121">
            <v>720</v>
          </cell>
          <cell r="M121">
            <v>0</v>
          </cell>
          <cell r="N121">
            <v>0</v>
          </cell>
          <cell r="O121">
            <v>4000</v>
          </cell>
          <cell r="P121">
            <v>0</v>
          </cell>
          <cell r="Q121">
            <v>58859</v>
          </cell>
          <cell r="R121">
            <v>0</v>
          </cell>
          <cell r="S121">
            <v>59871</v>
          </cell>
          <cell r="V121">
            <v>63871</v>
          </cell>
          <cell r="W121">
            <v>-9.9999999976716936E-2</v>
          </cell>
        </row>
        <row r="122">
          <cell r="E122">
            <v>7</v>
          </cell>
          <cell r="G122">
            <v>1022</v>
          </cell>
          <cell r="J122">
            <v>3</v>
          </cell>
          <cell r="L122">
            <v>1080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60961</v>
          </cell>
          <cell r="V122">
            <v>60961</v>
          </cell>
          <cell r="W122">
            <v>-9.9999999976716936E-2</v>
          </cell>
        </row>
        <row r="123">
          <cell r="E123">
            <v>17</v>
          </cell>
          <cell r="G123">
            <v>2482</v>
          </cell>
          <cell r="J123">
            <v>8</v>
          </cell>
          <cell r="L123">
            <v>2880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64221</v>
          </cell>
          <cell r="V123">
            <v>64221</v>
          </cell>
          <cell r="W123">
            <v>-9.9999999976716936E-2</v>
          </cell>
        </row>
        <row r="124">
          <cell r="E124">
            <v>13</v>
          </cell>
          <cell r="G124">
            <v>1898</v>
          </cell>
          <cell r="J124">
            <v>4</v>
          </cell>
          <cell r="L124">
            <v>1440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62197</v>
          </cell>
          <cell r="V124">
            <v>62197</v>
          </cell>
          <cell r="W124">
            <v>-9.9999999976716936E-2</v>
          </cell>
        </row>
        <row r="125">
          <cell r="E125">
            <v>27</v>
          </cell>
          <cell r="G125">
            <v>3942</v>
          </cell>
          <cell r="J125">
            <v>7</v>
          </cell>
          <cell r="L125">
            <v>2520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65321</v>
          </cell>
          <cell r="V125">
            <v>65321</v>
          </cell>
          <cell r="W125">
            <v>-9.9999999976716936E-2</v>
          </cell>
        </row>
        <row r="126">
          <cell r="E126">
            <v>18</v>
          </cell>
          <cell r="G126">
            <v>2628</v>
          </cell>
          <cell r="J126">
            <v>13</v>
          </cell>
          <cell r="L126">
            <v>4680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66167</v>
          </cell>
          <cell r="V126">
            <v>66167</v>
          </cell>
          <cell r="W126">
            <v>0</v>
          </cell>
        </row>
        <row r="127">
          <cell r="E127">
            <v>41</v>
          </cell>
          <cell r="G127">
            <v>5986</v>
          </cell>
          <cell r="J127">
            <v>36</v>
          </cell>
          <cell r="L127">
            <v>12960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78680</v>
          </cell>
          <cell r="V127">
            <v>78680</v>
          </cell>
          <cell r="W127">
            <v>0</v>
          </cell>
        </row>
        <row r="128">
          <cell r="E128">
            <v>31</v>
          </cell>
          <cell r="G128">
            <v>4526</v>
          </cell>
          <cell r="J128">
            <v>42</v>
          </cell>
          <cell r="L128">
            <v>15120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79380</v>
          </cell>
          <cell r="V128">
            <v>91668</v>
          </cell>
          <cell r="W128">
            <v>0</v>
          </cell>
        </row>
        <row r="129">
          <cell r="E129">
            <v>19</v>
          </cell>
          <cell r="G129">
            <v>2774</v>
          </cell>
          <cell r="J129">
            <v>22</v>
          </cell>
          <cell r="L129">
            <v>7920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70428</v>
          </cell>
          <cell r="V129">
            <v>70428</v>
          </cell>
          <cell r="W129">
            <v>0</v>
          </cell>
        </row>
        <row r="130">
          <cell r="E130">
            <v>30</v>
          </cell>
          <cell r="G130">
            <v>4380</v>
          </cell>
          <cell r="J130">
            <v>26</v>
          </cell>
          <cell r="L130">
            <v>9360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73474</v>
          </cell>
          <cell r="V130">
            <v>73474</v>
          </cell>
          <cell r="W130">
            <v>0</v>
          </cell>
        </row>
        <row r="131">
          <cell r="E131">
            <v>27</v>
          </cell>
          <cell r="G131">
            <v>3942</v>
          </cell>
          <cell r="J131">
            <v>10</v>
          </cell>
          <cell r="L131">
            <v>3600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67276</v>
          </cell>
          <cell r="V131">
            <v>67276</v>
          </cell>
          <cell r="W131">
            <v>0</v>
          </cell>
        </row>
        <row r="132">
          <cell r="E132">
            <v>18</v>
          </cell>
          <cell r="G132">
            <v>2628</v>
          </cell>
          <cell r="J132">
            <v>4</v>
          </cell>
          <cell r="L132">
            <v>1440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63802</v>
          </cell>
          <cell r="V132">
            <v>63802</v>
          </cell>
          <cell r="W132">
            <v>0</v>
          </cell>
        </row>
        <row r="133">
          <cell r="E133">
            <v>31</v>
          </cell>
          <cell r="G133">
            <v>4526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65700</v>
          </cell>
          <cell r="V133">
            <v>65700</v>
          </cell>
          <cell r="W133">
            <v>0</v>
          </cell>
        </row>
        <row r="134">
          <cell r="E134">
            <v>25</v>
          </cell>
          <cell r="G134">
            <v>3650</v>
          </cell>
          <cell r="J134">
            <v>4</v>
          </cell>
          <cell r="L134">
            <v>1440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64824</v>
          </cell>
          <cell r="V134">
            <v>64824</v>
          </cell>
          <cell r="W134">
            <v>0</v>
          </cell>
        </row>
        <row r="135">
          <cell r="E135">
            <v>38</v>
          </cell>
          <cell r="G135">
            <v>5548</v>
          </cell>
          <cell r="J135">
            <v>21</v>
          </cell>
          <cell r="L135">
            <v>7560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72842</v>
          </cell>
          <cell r="V135">
            <v>72842</v>
          </cell>
          <cell r="W135">
            <v>0</v>
          </cell>
        </row>
        <row r="136">
          <cell r="E136">
            <v>23</v>
          </cell>
          <cell r="G136">
            <v>3358</v>
          </cell>
          <cell r="J136">
            <v>363</v>
          </cell>
          <cell r="L136">
            <v>130680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193772</v>
          </cell>
          <cell r="V136">
            <v>90000</v>
          </cell>
          <cell r="W136">
            <v>103772</v>
          </cell>
        </row>
        <row r="137">
          <cell r="E137">
            <v>36</v>
          </cell>
          <cell r="G137">
            <v>5256</v>
          </cell>
          <cell r="J137">
            <v>23</v>
          </cell>
          <cell r="L137">
            <v>8280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73270</v>
          </cell>
          <cell r="V137">
            <v>115000</v>
          </cell>
          <cell r="W137">
            <v>62042</v>
          </cell>
        </row>
        <row r="138">
          <cell r="E138">
            <v>45</v>
          </cell>
          <cell r="G138">
            <v>6570</v>
          </cell>
          <cell r="J138">
            <v>37</v>
          </cell>
          <cell r="L138">
            <v>13320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79624</v>
          </cell>
          <cell r="V138">
            <v>115000</v>
          </cell>
          <cell r="W138">
            <v>46666</v>
          </cell>
        </row>
        <row r="139">
          <cell r="E139">
            <v>50</v>
          </cell>
          <cell r="G139">
            <v>7300</v>
          </cell>
          <cell r="J139">
            <v>23</v>
          </cell>
          <cell r="L139">
            <v>8280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77116</v>
          </cell>
          <cell r="V139">
            <v>115000</v>
          </cell>
          <cell r="W139">
            <v>13782</v>
          </cell>
        </row>
        <row r="140">
          <cell r="E140">
            <v>103</v>
          </cell>
          <cell r="G140">
            <v>15038</v>
          </cell>
          <cell r="J140">
            <v>17</v>
          </cell>
          <cell r="L140">
            <v>6120</v>
          </cell>
          <cell r="M140">
            <v>0</v>
          </cell>
          <cell r="N140">
            <v>5000</v>
          </cell>
          <cell r="O140">
            <v>16541</v>
          </cell>
          <cell r="P140">
            <v>0</v>
          </cell>
          <cell r="Q140">
            <v>61536</v>
          </cell>
          <cell r="R140">
            <v>0</v>
          </cell>
          <cell r="S140">
            <v>82694</v>
          </cell>
          <cell r="V140">
            <v>100000</v>
          </cell>
          <cell r="W140">
            <v>18017</v>
          </cell>
        </row>
        <row r="141">
          <cell r="E141">
            <v>72</v>
          </cell>
          <cell r="G141">
            <v>10512</v>
          </cell>
          <cell r="J141">
            <v>12</v>
          </cell>
          <cell r="L141">
            <v>4320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76368</v>
          </cell>
          <cell r="V141">
            <v>99385</v>
          </cell>
          <cell r="W141">
            <v>0</v>
          </cell>
        </row>
        <row r="142">
          <cell r="E142">
            <v>69</v>
          </cell>
          <cell r="G142">
            <v>10074</v>
          </cell>
          <cell r="J142">
            <v>10</v>
          </cell>
          <cell r="L142">
            <v>3600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75210</v>
          </cell>
          <cell r="V142">
            <v>80210</v>
          </cell>
          <cell r="W142">
            <v>0</v>
          </cell>
        </row>
        <row r="143">
          <cell r="E143">
            <v>89</v>
          </cell>
          <cell r="G143">
            <v>12994</v>
          </cell>
          <cell r="J143">
            <v>18</v>
          </cell>
          <cell r="L143">
            <v>6480</v>
          </cell>
          <cell r="M143">
            <v>0</v>
          </cell>
          <cell r="N143">
            <v>5000</v>
          </cell>
          <cell r="O143">
            <v>10000</v>
          </cell>
          <cell r="P143">
            <v>0</v>
          </cell>
          <cell r="Q143">
            <v>61536</v>
          </cell>
          <cell r="R143">
            <v>0</v>
          </cell>
          <cell r="S143">
            <v>81010</v>
          </cell>
          <cell r="V143">
            <v>96010</v>
          </cell>
          <cell r="W143">
            <v>0</v>
          </cell>
        </row>
        <row r="144">
          <cell r="E144">
            <v>63</v>
          </cell>
          <cell r="G144">
            <v>9198</v>
          </cell>
          <cell r="J144">
            <v>17</v>
          </cell>
          <cell r="L144">
            <v>6120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76854</v>
          </cell>
          <cell r="V144">
            <v>81854</v>
          </cell>
          <cell r="W144">
            <v>0</v>
          </cell>
        </row>
        <row r="145">
          <cell r="E145">
            <v>62</v>
          </cell>
          <cell r="G145">
            <v>9052</v>
          </cell>
          <cell r="J145">
            <v>4</v>
          </cell>
          <cell r="L145">
            <v>1440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72028</v>
          </cell>
          <cell r="V145">
            <v>77028</v>
          </cell>
          <cell r="W145">
            <v>0</v>
          </cell>
        </row>
        <row r="146">
          <cell r="E146">
            <v>28</v>
          </cell>
          <cell r="G146">
            <v>4088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66344</v>
          </cell>
          <cell r="V146">
            <v>71344</v>
          </cell>
          <cell r="W146">
            <v>0</v>
          </cell>
        </row>
        <row r="147">
          <cell r="E147">
            <v>23</v>
          </cell>
          <cell r="G147">
            <v>3358</v>
          </cell>
          <cell r="J147">
            <v>33</v>
          </cell>
          <cell r="L147">
            <v>11880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76774</v>
          </cell>
          <cell r="V147">
            <v>81774</v>
          </cell>
          <cell r="W147">
            <v>0</v>
          </cell>
        </row>
        <row r="148">
          <cell r="E148">
            <v>32</v>
          </cell>
          <cell r="G148">
            <v>4672</v>
          </cell>
          <cell r="J148">
            <v>44</v>
          </cell>
          <cell r="L148">
            <v>15840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82048</v>
          </cell>
          <cell r="V148">
            <v>87048</v>
          </cell>
          <cell r="W148">
            <v>0</v>
          </cell>
        </row>
        <row r="149">
          <cell r="E149">
            <v>49</v>
          </cell>
          <cell r="G149">
            <v>7154</v>
          </cell>
          <cell r="J149">
            <v>11</v>
          </cell>
          <cell r="L149">
            <v>3960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72650</v>
          </cell>
          <cell r="V149">
            <v>77650</v>
          </cell>
          <cell r="W149">
            <v>0</v>
          </cell>
        </row>
        <row r="150">
          <cell r="E150">
            <v>41</v>
          </cell>
          <cell r="G150">
            <v>5986</v>
          </cell>
          <cell r="J150">
            <v>27</v>
          </cell>
          <cell r="L150">
            <v>9720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77242</v>
          </cell>
          <cell r="V150">
            <v>84242</v>
          </cell>
          <cell r="W150">
            <v>0</v>
          </cell>
        </row>
        <row r="151">
          <cell r="E151">
            <v>50</v>
          </cell>
          <cell r="G151">
            <v>7300</v>
          </cell>
          <cell r="J151">
            <v>26</v>
          </cell>
          <cell r="L151">
            <v>9360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81055</v>
          </cell>
          <cell r="V151">
            <v>88055</v>
          </cell>
          <cell r="W151">
            <v>0</v>
          </cell>
        </row>
        <row r="152">
          <cell r="E152">
            <v>164</v>
          </cell>
          <cell r="G152">
            <v>23944</v>
          </cell>
          <cell r="J152">
            <v>28</v>
          </cell>
          <cell r="L152">
            <v>10080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98419</v>
          </cell>
          <cell r="V152">
            <v>105419</v>
          </cell>
          <cell r="W152">
            <v>0</v>
          </cell>
        </row>
        <row r="153">
          <cell r="E153">
            <v>41</v>
          </cell>
          <cell r="G153">
            <v>5986</v>
          </cell>
          <cell r="J153">
            <v>17</v>
          </cell>
          <cell r="L153">
            <v>6120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76501</v>
          </cell>
          <cell r="V153">
            <v>0</v>
          </cell>
          <cell r="W153">
            <v>88460</v>
          </cell>
        </row>
        <row r="154">
          <cell r="E154">
            <v>37</v>
          </cell>
          <cell r="G154">
            <v>5402</v>
          </cell>
          <cell r="J154">
            <v>11</v>
          </cell>
          <cell r="L154">
            <v>3960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73757</v>
          </cell>
          <cell r="V154">
            <v>262636</v>
          </cell>
          <cell r="W154">
            <v>-88460</v>
          </cell>
        </row>
        <row r="155">
          <cell r="E155">
            <v>40</v>
          </cell>
          <cell r="G155">
            <v>5840</v>
          </cell>
          <cell r="J155">
            <v>13</v>
          </cell>
          <cell r="L155">
            <v>4680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74915</v>
          </cell>
          <cell r="V155">
            <v>0</v>
          </cell>
          <cell r="W155">
            <v>-1586</v>
          </cell>
        </row>
        <row r="156">
          <cell r="E156">
            <v>14</v>
          </cell>
          <cell r="G156">
            <v>2044</v>
          </cell>
          <cell r="J156">
            <v>5</v>
          </cell>
          <cell r="L156">
            <v>1800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68239</v>
          </cell>
          <cell r="V156">
            <v>78612</v>
          </cell>
          <cell r="W156">
            <v>0</v>
          </cell>
        </row>
        <row r="157">
          <cell r="E157">
            <v>15</v>
          </cell>
          <cell r="G157">
            <v>2190</v>
          </cell>
          <cell r="J157">
            <v>5</v>
          </cell>
          <cell r="L157">
            <v>1800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68385</v>
          </cell>
          <cell r="V157">
            <v>80344</v>
          </cell>
          <cell r="W157">
            <v>0</v>
          </cell>
        </row>
        <row r="158">
          <cell r="E158">
            <v>15</v>
          </cell>
          <cell r="G158">
            <v>2190</v>
          </cell>
          <cell r="J158">
            <v>6</v>
          </cell>
          <cell r="L158">
            <v>2160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68745</v>
          </cell>
          <cell r="V158">
            <v>80704</v>
          </cell>
          <cell r="W158">
            <v>0</v>
          </cell>
        </row>
        <row r="159">
          <cell r="E159">
            <v>38</v>
          </cell>
          <cell r="G159">
            <v>5548</v>
          </cell>
          <cell r="J159">
            <v>10</v>
          </cell>
          <cell r="L159">
            <v>3600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73543</v>
          </cell>
          <cell r="V159">
            <v>85502</v>
          </cell>
          <cell r="W159">
            <v>0</v>
          </cell>
        </row>
        <row r="160">
          <cell r="E160">
            <v>27</v>
          </cell>
          <cell r="G160">
            <v>3942</v>
          </cell>
          <cell r="J160">
            <v>2</v>
          </cell>
          <cell r="L160">
            <v>720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69057</v>
          </cell>
          <cell r="V160">
            <v>81016</v>
          </cell>
          <cell r="W160">
            <v>0</v>
          </cell>
        </row>
        <row r="161">
          <cell r="E161">
            <v>25</v>
          </cell>
          <cell r="G161">
            <v>3650</v>
          </cell>
          <cell r="J161">
            <v>5</v>
          </cell>
          <cell r="L161">
            <v>1800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69845</v>
          </cell>
          <cell r="V161">
            <v>81804</v>
          </cell>
          <cell r="W161">
            <v>0</v>
          </cell>
        </row>
        <row r="162">
          <cell r="E162">
            <v>36</v>
          </cell>
          <cell r="G162">
            <v>5256</v>
          </cell>
          <cell r="J162">
            <v>14</v>
          </cell>
          <cell r="L162">
            <v>5040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74691</v>
          </cell>
          <cell r="V162">
            <v>86356</v>
          </cell>
          <cell r="W162">
            <v>0</v>
          </cell>
        </row>
        <row r="163">
          <cell r="E163">
            <v>42</v>
          </cell>
          <cell r="G163">
            <v>6132</v>
          </cell>
          <cell r="J163">
            <v>11</v>
          </cell>
          <cell r="L163">
            <v>3960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84487</v>
          </cell>
          <cell r="V163">
            <v>96152</v>
          </cell>
          <cell r="W163">
            <v>0</v>
          </cell>
        </row>
        <row r="164">
          <cell r="E164">
            <v>370</v>
          </cell>
          <cell r="G164">
            <v>54020</v>
          </cell>
          <cell r="J164">
            <v>8</v>
          </cell>
          <cell r="L164">
            <v>2880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131295</v>
          </cell>
          <cell r="V164">
            <v>142960</v>
          </cell>
          <cell r="W164">
            <v>0</v>
          </cell>
        </row>
        <row r="165">
          <cell r="E165">
            <v>15</v>
          </cell>
          <cell r="G165">
            <v>2190</v>
          </cell>
          <cell r="J165">
            <v>11</v>
          </cell>
          <cell r="L165">
            <v>3960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80545</v>
          </cell>
          <cell r="V165">
            <v>92210</v>
          </cell>
          <cell r="W165">
            <v>0</v>
          </cell>
        </row>
        <row r="166">
          <cell r="E166">
            <v>18</v>
          </cell>
          <cell r="G166">
            <v>2628</v>
          </cell>
          <cell r="J166">
            <v>7</v>
          </cell>
          <cell r="L166">
            <v>2520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79543</v>
          </cell>
          <cell r="V166">
            <v>91252</v>
          </cell>
          <cell r="W166">
            <v>0</v>
          </cell>
        </row>
        <row r="167">
          <cell r="E167">
            <v>16</v>
          </cell>
          <cell r="G167">
            <v>2336</v>
          </cell>
          <cell r="J167">
            <v>7</v>
          </cell>
          <cell r="L167">
            <v>2520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79251</v>
          </cell>
          <cell r="V167">
            <v>90960</v>
          </cell>
          <cell r="W167">
            <v>0</v>
          </cell>
        </row>
        <row r="168">
          <cell r="E168">
            <v>128</v>
          </cell>
          <cell r="G168">
            <v>18688</v>
          </cell>
          <cell r="J168">
            <v>10</v>
          </cell>
          <cell r="L168">
            <v>3600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96683</v>
          </cell>
          <cell r="V168">
            <v>0</v>
          </cell>
          <cell r="W168">
            <v>108392</v>
          </cell>
        </row>
        <row r="169">
          <cell r="E169">
            <v>11</v>
          </cell>
          <cell r="G169">
            <v>1606</v>
          </cell>
          <cell r="J169">
            <v>8</v>
          </cell>
          <cell r="L169">
            <v>2880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78881</v>
          </cell>
          <cell r="V169">
            <v>198588</v>
          </cell>
          <cell r="W169">
            <v>0</v>
          </cell>
        </row>
        <row r="170">
          <cell r="E170">
            <v>14</v>
          </cell>
          <cell r="G170">
            <v>2044</v>
          </cell>
          <cell r="J170">
            <v>9</v>
          </cell>
          <cell r="L170">
            <v>3240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79679</v>
          </cell>
          <cell r="V170">
            <v>90994</v>
          </cell>
          <cell r="W170">
            <v>0</v>
          </cell>
        </row>
        <row r="171">
          <cell r="E171">
            <v>34</v>
          </cell>
          <cell r="G171">
            <v>4964</v>
          </cell>
          <cell r="J171">
            <v>12</v>
          </cell>
          <cell r="L171">
            <v>4320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83679</v>
          </cell>
          <cell r="V171">
            <v>90679</v>
          </cell>
          <cell r="W171">
            <v>0</v>
          </cell>
        </row>
        <row r="172">
          <cell r="E172">
            <v>16</v>
          </cell>
          <cell r="G172">
            <v>2336</v>
          </cell>
          <cell r="J172">
            <v>8</v>
          </cell>
          <cell r="L172">
            <v>2880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79611</v>
          </cell>
          <cell r="V172">
            <v>86611</v>
          </cell>
          <cell r="W172">
            <v>0</v>
          </cell>
        </row>
        <row r="173">
          <cell r="E173">
            <v>28</v>
          </cell>
          <cell r="G173">
            <v>4088</v>
          </cell>
          <cell r="J173">
            <v>9</v>
          </cell>
          <cell r="L173">
            <v>3240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81723</v>
          </cell>
          <cell r="V173">
            <v>88723</v>
          </cell>
          <cell r="W173">
            <v>0</v>
          </cell>
        </row>
        <row r="174">
          <cell r="E174">
            <v>47</v>
          </cell>
          <cell r="G174">
            <v>6862</v>
          </cell>
          <cell r="J174">
            <v>10</v>
          </cell>
          <cell r="L174">
            <v>3600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84857</v>
          </cell>
          <cell r="V174">
            <v>91857</v>
          </cell>
          <cell r="W174">
            <v>0</v>
          </cell>
        </row>
      </sheetData>
      <sheetData sheetId="4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394141.60000000003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472969.92000000004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551798.24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630626.55999999994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709454.87999999989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788283.19999999984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867111.51999999979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945939.83999999973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1024768.1599999997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1103596.4799999997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1182424.7999999998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1261253.1199999999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1340081.44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1418909.76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1497738.08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1576566.4000000001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1655394.7200000002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1734223.0400000003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1813051.3600000003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1891879.6800000004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1970708.0000000005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2049536.3200000005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2128364.6400000006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2207192.9600000004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0</v>
          </cell>
          <cell r="W31">
            <v>2325021.2800000003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2403849.6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2482677.92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2561506.2399999998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2640334.5599999996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2719162.8799999994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2797991.1999999993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2876819.5199999991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2955647.8399999989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3034476.1599999988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3113304.4799999986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3192132.7999999984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3270961.1199999982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3349789.4399999981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3428617.7599999979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3507446.0799999977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3586274.3999999976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3665102.7199999974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3743931.0399999972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3782931.0399999972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1911000</v>
          </cell>
          <cell r="W51">
            <v>1871931.0399999972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1545191.0399999972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1591191.0399999972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0</v>
          </cell>
          <cell r="W54">
            <v>1303453.0399999972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727977.03999999724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440239.03999999724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440239.03999999724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39828.32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79656.639999999999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119484.95999999999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499000</v>
          </cell>
          <cell r="W63">
            <v>205313.28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291141.59999999998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376969.92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462798.24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548626.56000000006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634454.88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720283.2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322000</v>
          </cell>
          <cell r="W70">
            <v>46000.199999999953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92000.199999999953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138000.19999999995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138000.19999999995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92000</v>
          </cell>
          <cell r="W74">
            <v>92000.199999999953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138000.19999999995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184000.19999999995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260920.21999999994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306920.21999999997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306920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92000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138000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206800.022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256800.022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306800.022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401600.022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451600.022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0</v>
          </cell>
          <cell r="W87">
            <v>546400.022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596400.022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701200.022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751200</v>
          </cell>
          <cell r="W90">
            <v>2.1999999997206032E-2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69000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69000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0</v>
          </cell>
          <cell r="W93">
            <v>138000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227700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0</v>
          </cell>
          <cell r="W95">
            <v>296700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355700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39400</v>
          </cell>
          <cell r="S97">
            <v>98400</v>
          </cell>
          <cell r="V97">
            <v>0</v>
          </cell>
          <cell r="W97">
            <v>454100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59000</v>
          </cell>
          <cell r="V98">
            <v>0</v>
          </cell>
          <cell r="W98">
            <v>513100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59000</v>
          </cell>
          <cell r="V99">
            <v>0</v>
          </cell>
          <cell r="W99">
            <v>572100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57100</v>
          </cell>
          <cell r="S100">
            <v>116100</v>
          </cell>
          <cell r="V100">
            <v>0</v>
          </cell>
          <cell r="W100">
            <v>688200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59000</v>
          </cell>
          <cell r="V101">
            <v>0</v>
          </cell>
          <cell r="W101">
            <v>747200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806200</v>
          </cell>
          <cell r="W102">
            <v>-4000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52650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109300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56650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113300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0</v>
          </cell>
          <cell r="W109">
            <v>56650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11330</v>
          </cell>
          <cell r="S110">
            <v>67980</v>
          </cell>
          <cell r="V110">
            <v>0</v>
          </cell>
          <cell r="W110">
            <v>124630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181280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56650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113300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56650</v>
          </cell>
          <cell r="W115">
            <v>2209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61068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117718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80000</v>
          </cell>
          <cell r="P120">
            <v>0</v>
          </cell>
          <cell r="Q120">
            <v>58859</v>
          </cell>
          <cell r="R120">
            <v>0</v>
          </cell>
          <cell r="S120">
            <v>138859</v>
          </cell>
          <cell r="V120">
            <v>138859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5000</v>
          </cell>
          <cell r="Q122">
            <v>58859</v>
          </cell>
          <cell r="R122">
            <v>0</v>
          </cell>
          <cell r="S122">
            <v>63859</v>
          </cell>
          <cell r="V122">
            <v>58859</v>
          </cell>
          <cell r="W122">
            <v>5000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5000</v>
          </cell>
          <cell r="Q123">
            <v>58859</v>
          </cell>
          <cell r="R123">
            <v>0</v>
          </cell>
          <cell r="S123">
            <v>63859</v>
          </cell>
          <cell r="V123">
            <v>68859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5000</v>
          </cell>
          <cell r="Q124">
            <v>58859</v>
          </cell>
          <cell r="R124">
            <v>0</v>
          </cell>
          <cell r="S124">
            <v>63859</v>
          </cell>
          <cell r="V124">
            <v>63859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5000</v>
          </cell>
          <cell r="Q125">
            <v>58859</v>
          </cell>
          <cell r="R125">
            <v>0</v>
          </cell>
          <cell r="S125">
            <v>63859</v>
          </cell>
          <cell r="V125">
            <v>63859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5000</v>
          </cell>
          <cell r="Q126">
            <v>58859</v>
          </cell>
          <cell r="R126">
            <v>0</v>
          </cell>
          <cell r="S126">
            <v>63859</v>
          </cell>
          <cell r="V126">
            <v>63859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5000</v>
          </cell>
          <cell r="Q127">
            <v>59734</v>
          </cell>
          <cell r="R127">
            <v>0</v>
          </cell>
          <cell r="S127">
            <v>64734</v>
          </cell>
          <cell r="V127">
            <v>64734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5000</v>
          </cell>
          <cell r="Q128">
            <v>59734</v>
          </cell>
          <cell r="R128">
            <v>0</v>
          </cell>
          <cell r="S128">
            <v>77022</v>
          </cell>
          <cell r="V128">
            <v>0</v>
          </cell>
          <cell r="W128">
            <v>77022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5000</v>
          </cell>
          <cell r="Q129">
            <v>59734</v>
          </cell>
          <cell r="R129">
            <v>14175</v>
          </cell>
          <cell r="S129">
            <v>78909</v>
          </cell>
          <cell r="V129">
            <v>141756</v>
          </cell>
          <cell r="W129">
            <v>14175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5000</v>
          </cell>
          <cell r="Q130">
            <v>59734</v>
          </cell>
          <cell r="R130">
            <v>0</v>
          </cell>
          <cell r="S130">
            <v>64734</v>
          </cell>
          <cell r="V130">
            <v>78909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5000</v>
          </cell>
          <cell r="Q131">
            <v>59734</v>
          </cell>
          <cell r="R131">
            <v>0</v>
          </cell>
          <cell r="S131">
            <v>64734</v>
          </cell>
          <cell r="V131">
            <v>64734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5000</v>
          </cell>
          <cell r="Q132">
            <v>59734</v>
          </cell>
          <cell r="R132">
            <v>0</v>
          </cell>
          <cell r="S132">
            <v>64734</v>
          </cell>
          <cell r="V132">
            <v>64734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5000</v>
          </cell>
          <cell r="Q133">
            <v>59734</v>
          </cell>
          <cell r="R133">
            <v>0</v>
          </cell>
          <cell r="S133">
            <v>64734</v>
          </cell>
          <cell r="V133">
            <v>0</v>
          </cell>
          <cell r="W133">
            <v>64734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5000</v>
          </cell>
          <cell r="Q134">
            <v>59734</v>
          </cell>
          <cell r="R134">
            <v>0</v>
          </cell>
          <cell r="S134">
            <v>64734</v>
          </cell>
          <cell r="V134">
            <v>129468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5000</v>
          </cell>
          <cell r="Q135">
            <v>59734</v>
          </cell>
          <cell r="R135">
            <v>0</v>
          </cell>
          <cell r="S135">
            <v>64734</v>
          </cell>
          <cell r="V135">
            <v>64734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7500</v>
          </cell>
          <cell r="Q136">
            <v>59734</v>
          </cell>
          <cell r="R136">
            <v>0</v>
          </cell>
          <cell r="S136">
            <v>67234</v>
          </cell>
          <cell r="V136">
            <v>67234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69734</v>
          </cell>
          <cell r="V137">
            <v>69734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89734</v>
          </cell>
          <cell r="V138">
            <v>89734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76536</v>
          </cell>
          <cell r="V139">
            <v>76536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76536</v>
          </cell>
          <cell r="V140">
            <v>76536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76536</v>
          </cell>
          <cell r="V141">
            <v>76536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76536</v>
          </cell>
          <cell r="V142">
            <v>76536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76536</v>
          </cell>
          <cell r="V143">
            <v>76536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76536</v>
          </cell>
          <cell r="V144">
            <v>76536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76536</v>
          </cell>
          <cell r="V145">
            <v>76536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76536</v>
          </cell>
          <cell r="V146">
            <v>76536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76536</v>
          </cell>
          <cell r="V147">
            <v>76536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76536</v>
          </cell>
          <cell r="V148">
            <v>76536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76536</v>
          </cell>
          <cell r="V149">
            <v>76536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78536</v>
          </cell>
          <cell r="V150">
            <v>78536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81395</v>
          </cell>
          <cell r="V151">
            <v>81395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81395</v>
          </cell>
          <cell r="V152">
            <v>81395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10000</v>
          </cell>
          <cell r="Q153">
            <v>64395</v>
          </cell>
          <cell r="R153">
            <v>49246</v>
          </cell>
          <cell r="S153">
            <v>130641</v>
          </cell>
          <cell r="V153">
            <v>0</v>
          </cell>
          <cell r="W153">
            <v>130641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10000</v>
          </cell>
          <cell r="Q154">
            <v>64395</v>
          </cell>
          <cell r="R154">
            <v>49509</v>
          </cell>
          <cell r="S154">
            <v>130904</v>
          </cell>
          <cell r="V154">
            <v>162790</v>
          </cell>
          <cell r="W154">
            <v>98755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10000</v>
          </cell>
          <cell r="Q155">
            <v>64395</v>
          </cell>
          <cell r="R155">
            <v>49810</v>
          </cell>
          <cell r="S155">
            <v>131205</v>
          </cell>
          <cell r="V155">
            <v>0</v>
          </cell>
          <cell r="W155">
            <v>229960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10000</v>
          </cell>
          <cell r="Q156">
            <v>64395</v>
          </cell>
          <cell r="R156">
            <v>49966</v>
          </cell>
          <cell r="S156">
            <v>131361</v>
          </cell>
          <cell r="V156">
            <v>0</v>
          </cell>
          <cell r="W156">
            <v>361321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10000</v>
          </cell>
          <cell r="Q157">
            <v>64395</v>
          </cell>
          <cell r="R157">
            <v>50173</v>
          </cell>
          <cell r="S157">
            <v>131568</v>
          </cell>
          <cell r="V157">
            <v>0</v>
          </cell>
          <cell r="W157">
            <v>492889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10000</v>
          </cell>
          <cell r="Q158">
            <v>64395</v>
          </cell>
          <cell r="R158">
            <v>50388</v>
          </cell>
          <cell r="S158">
            <v>131783</v>
          </cell>
          <cell r="V158">
            <v>0</v>
          </cell>
          <cell r="W158">
            <v>624672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10000</v>
          </cell>
          <cell r="Q159">
            <v>64395</v>
          </cell>
          <cell r="R159">
            <v>50694</v>
          </cell>
          <cell r="S159">
            <v>132089</v>
          </cell>
          <cell r="V159">
            <v>0</v>
          </cell>
          <cell r="W159">
            <v>756761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10000</v>
          </cell>
          <cell r="Q160">
            <v>64395</v>
          </cell>
          <cell r="R160">
            <v>50980</v>
          </cell>
          <cell r="S160">
            <v>132375</v>
          </cell>
          <cell r="V160">
            <v>0</v>
          </cell>
          <cell r="W160">
            <v>889136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10000</v>
          </cell>
          <cell r="Q161">
            <v>64395</v>
          </cell>
          <cell r="R161">
            <v>51197</v>
          </cell>
          <cell r="S161">
            <v>132592</v>
          </cell>
          <cell r="V161">
            <v>0</v>
          </cell>
          <cell r="W161">
            <v>1021728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81395</v>
          </cell>
          <cell r="V162">
            <v>1103123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91395</v>
          </cell>
          <cell r="V163">
            <v>0</v>
          </cell>
          <cell r="W163">
            <v>91395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91395</v>
          </cell>
          <cell r="V164">
            <v>0</v>
          </cell>
          <cell r="W164">
            <v>182790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91395</v>
          </cell>
          <cell r="V165">
            <v>0</v>
          </cell>
          <cell r="W165">
            <v>274185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91395</v>
          </cell>
          <cell r="V166">
            <v>0</v>
          </cell>
          <cell r="W166">
            <v>365580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91395</v>
          </cell>
          <cell r="V167">
            <v>0</v>
          </cell>
          <cell r="W167">
            <v>456975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91395</v>
          </cell>
          <cell r="V168">
            <v>0</v>
          </cell>
          <cell r="W168">
            <v>548370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91395</v>
          </cell>
          <cell r="V169">
            <v>0</v>
          </cell>
          <cell r="W169">
            <v>639765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91395</v>
          </cell>
          <cell r="V170">
            <v>0</v>
          </cell>
          <cell r="W170">
            <v>731160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91395</v>
          </cell>
          <cell r="V171">
            <v>0</v>
          </cell>
          <cell r="W171">
            <v>822555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91395</v>
          </cell>
          <cell r="V172">
            <v>0</v>
          </cell>
          <cell r="W172">
            <v>913950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91395</v>
          </cell>
          <cell r="V173">
            <v>1005345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91395</v>
          </cell>
          <cell r="V174">
            <v>0</v>
          </cell>
          <cell r="W174">
            <v>91395</v>
          </cell>
        </row>
      </sheetData>
      <sheetData sheetId="4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100000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15500</v>
          </cell>
          <cell r="S99">
            <v>55000</v>
          </cell>
          <cell r="V99">
            <v>0</v>
          </cell>
          <cell r="W99">
            <v>170500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225500</v>
          </cell>
          <cell r="W100">
            <v>0</v>
          </cell>
        </row>
        <row r="101">
          <cell r="E101">
            <v>2</v>
          </cell>
          <cell r="G101">
            <v>292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55292</v>
          </cell>
          <cell r="V101">
            <v>55292</v>
          </cell>
          <cell r="W101">
            <v>0</v>
          </cell>
        </row>
        <row r="102">
          <cell r="E102">
            <v>1</v>
          </cell>
          <cell r="G102">
            <v>146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55146</v>
          </cell>
          <cell r="V102">
            <v>55000</v>
          </cell>
          <cell r="W102">
            <v>146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56796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113446</v>
          </cell>
          <cell r="W104">
            <v>0</v>
          </cell>
        </row>
        <row r="105">
          <cell r="E105">
            <v>2</v>
          </cell>
          <cell r="G105">
            <v>292</v>
          </cell>
          <cell r="J105">
            <v>8</v>
          </cell>
          <cell r="L105">
            <v>2880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59822</v>
          </cell>
          <cell r="V105">
            <v>57000</v>
          </cell>
          <cell r="W105">
            <v>2822</v>
          </cell>
        </row>
        <row r="106">
          <cell r="E106">
            <v>6</v>
          </cell>
          <cell r="G106">
            <v>876</v>
          </cell>
          <cell r="J106">
            <v>9</v>
          </cell>
          <cell r="L106">
            <v>3240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60766</v>
          </cell>
          <cell r="V106">
            <v>117000</v>
          </cell>
          <cell r="W106">
            <v>-53412</v>
          </cell>
        </row>
        <row r="107">
          <cell r="E107">
            <v>0</v>
          </cell>
          <cell r="G107">
            <v>0</v>
          </cell>
          <cell r="J107">
            <v>4</v>
          </cell>
          <cell r="L107">
            <v>1440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58090</v>
          </cell>
          <cell r="V107">
            <v>114000</v>
          </cell>
          <cell r="W107">
            <v>-109322</v>
          </cell>
        </row>
        <row r="108">
          <cell r="E108">
            <v>1</v>
          </cell>
          <cell r="G108">
            <v>146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56796</v>
          </cell>
          <cell r="V108">
            <v>57000</v>
          </cell>
          <cell r="W108">
            <v>-109526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57000</v>
          </cell>
          <cell r="W109">
            <v>-109876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57000</v>
          </cell>
          <cell r="W110">
            <v>-110226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57000</v>
          </cell>
          <cell r="W111">
            <v>-110576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57000</v>
          </cell>
          <cell r="W112">
            <v>-110926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57000</v>
          </cell>
          <cell r="W113">
            <v>-111276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57000</v>
          </cell>
          <cell r="W114">
            <v>-111626</v>
          </cell>
        </row>
        <row r="115">
          <cell r="E115">
            <v>0</v>
          </cell>
          <cell r="G115">
            <v>0</v>
          </cell>
          <cell r="J115">
            <v>1</v>
          </cell>
          <cell r="L115">
            <v>360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59219</v>
          </cell>
          <cell r="V115">
            <v>57000</v>
          </cell>
          <cell r="W115">
            <v>-109407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57000</v>
          </cell>
          <cell r="W116">
            <v>-107548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58000</v>
          </cell>
          <cell r="W117">
            <v>-106689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58000</v>
          </cell>
          <cell r="W118">
            <v>-105830</v>
          </cell>
        </row>
        <row r="119">
          <cell r="E119">
            <v>1</v>
          </cell>
          <cell r="G119">
            <v>146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59005</v>
          </cell>
          <cell r="V119">
            <v>58000</v>
          </cell>
          <cell r="W119">
            <v>-104825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58000</v>
          </cell>
          <cell r="W120">
            <v>-103966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58000</v>
          </cell>
          <cell r="W121">
            <v>-103107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58000</v>
          </cell>
          <cell r="W122">
            <v>-102248</v>
          </cell>
        </row>
        <row r="123">
          <cell r="E123">
            <v>23</v>
          </cell>
          <cell r="G123">
            <v>3358</v>
          </cell>
          <cell r="J123">
            <v>14</v>
          </cell>
          <cell r="L123">
            <v>5040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67257</v>
          </cell>
          <cell r="V123">
            <v>0</v>
          </cell>
          <cell r="W123">
            <v>-34991</v>
          </cell>
        </row>
        <row r="124">
          <cell r="E124">
            <v>10</v>
          </cell>
          <cell r="G124">
            <v>1460</v>
          </cell>
          <cell r="J124">
            <v>3</v>
          </cell>
          <cell r="L124">
            <v>1080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61399</v>
          </cell>
          <cell r="V124">
            <v>58000</v>
          </cell>
          <cell r="W124">
            <v>-31592</v>
          </cell>
        </row>
        <row r="125">
          <cell r="E125">
            <v>5</v>
          </cell>
          <cell r="G125">
            <v>730</v>
          </cell>
          <cell r="J125">
            <v>3</v>
          </cell>
          <cell r="L125">
            <v>1080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60669</v>
          </cell>
          <cell r="V125">
            <v>58000</v>
          </cell>
          <cell r="W125">
            <v>-28923</v>
          </cell>
        </row>
        <row r="126">
          <cell r="E126">
            <v>1</v>
          </cell>
          <cell r="G126">
            <v>146</v>
          </cell>
          <cell r="J126">
            <v>2</v>
          </cell>
          <cell r="L126">
            <v>720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59725</v>
          </cell>
          <cell r="V126">
            <v>58000</v>
          </cell>
          <cell r="W126">
            <v>-27198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58000</v>
          </cell>
          <cell r="W127">
            <v>-25464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59734</v>
          </cell>
          <cell r="V128">
            <v>58000</v>
          </cell>
          <cell r="W128">
            <v>-11442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58000</v>
          </cell>
          <cell r="W129">
            <v>-9708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58000</v>
          </cell>
          <cell r="W130">
            <v>-7974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58000</v>
          </cell>
          <cell r="W131">
            <v>-6240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58000</v>
          </cell>
          <cell r="W132">
            <v>-4506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58000</v>
          </cell>
          <cell r="W133">
            <v>-2772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58000</v>
          </cell>
          <cell r="W134">
            <v>-1038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58000</v>
          </cell>
          <cell r="W135">
            <v>696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58000</v>
          </cell>
          <cell r="W136">
            <v>2430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58000</v>
          </cell>
          <cell r="W137">
            <v>4164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58000</v>
          </cell>
          <cell r="W138">
            <v>25898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58000</v>
          </cell>
          <cell r="W139">
            <v>34434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58000</v>
          </cell>
          <cell r="W140">
            <v>42970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58000</v>
          </cell>
          <cell r="W141">
            <v>51506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62000</v>
          </cell>
          <cell r="W142">
            <v>56042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62000</v>
          </cell>
          <cell r="W143">
            <v>60578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62000</v>
          </cell>
          <cell r="W144">
            <v>65114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132000</v>
          </cell>
          <cell r="W145">
            <v>-350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62000</v>
          </cell>
          <cell r="W146">
            <v>4186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62000</v>
          </cell>
          <cell r="W147">
            <v>8722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62000</v>
          </cell>
          <cell r="W148">
            <v>13258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62000</v>
          </cell>
          <cell r="W149">
            <v>17794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87000</v>
          </cell>
          <cell r="W150">
            <v>-670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69000</v>
          </cell>
          <cell r="W151">
            <v>1725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69000</v>
          </cell>
          <cell r="W152">
            <v>4120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69000</v>
          </cell>
          <cell r="W153">
            <v>6515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69000</v>
          </cell>
          <cell r="W154">
            <v>8910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69000</v>
          </cell>
          <cell r="W155">
            <v>11305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69000</v>
          </cell>
          <cell r="W156">
            <v>13700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69000</v>
          </cell>
          <cell r="W157">
            <v>16095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89000</v>
          </cell>
          <cell r="W158">
            <v>-1510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71395</v>
          </cell>
          <cell r="W159">
            <v>-1510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71395</v>
          </cell>
          <cell r="W160">
            <v>-1510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71395</v>
          </cell>
          <cell r="W161">
            <v>-1510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100000</v>
          </cell>
          <cell r="W162">
            <v>-30115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0</v>
          </cell>
          <cell r="W163">
            <v>51280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100000</v>
          </cell>
          <cell r="W164">
            <v>32675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100000</v>
          </cell>
          <cell r="W165">
            <v>14070</v>
          </cell>
        </row>
        <row r="166">
          <cell r="E166">
            <v>-52</v>
          </cell>
          <cell r="G166">
            <v>0</v>
          </cell>
          <cell r="J166">
            <v>-44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50000</v>
          </cell>
          <cell r="W166">
            <v>45465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126860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81395</v>
          </cell>
          <cell r="W169">
            <v>0</v>
          </cell>
        </row>
        <row r="170">
          <cell r="E170">
            <v>16</v>
          </cell>
          <cell r="G170">
            <v>2336</v>
          </cell>
          <cell r="J170">
            <v>1</v>
          </cell>
          <cell r="L170">
            <v>360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77091</v>
          </cell>
          <cell r="V170">
            <v>84091</v>
          </cell>
          <cell r="W170">
            <v>0</v>
          </cell>
        </row>
        <row r="171">
          <cell r="E171">
            <v>7</v>
          </cell>
          <cell r="G171">
            <v>1022</v>
          </cell>
          <cell r="J171">
            <v>1</v>
          </cell>
          <cell r="L171">
            <v>360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75777</v>
          </cell>
          <cell r="V171">
            <v>82777</v>
          </cell>
          <cell r="W171">
            <v>0</v>
          </cell>
        </row>
        <row r="172">
          <cell r="E172">
            <v>8</v>
          </cell>
          <cell r="G172">
            <v>1168</v>
          </cell>
          <cell r="J172">
            <v>3</v>
          </cell>
          <cell r="L172">
            <v>1080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76643</v>
          </cell>
          <cell r="V172">
            <v>83643</v>
          </cell>
          <cell r="W172">
            <v>0</v>
          </cell>
        </row>
        <row r="173">
          <cell r="E173">
            <v>33</v>
          </cell>
          <cell r="G173">
            <v>4818</v>
          </cell>
          <cell r="J173">
            <v>8</v>
          </cell>
          <cell r="L173">
            <v>2880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82093</v>
          </cell>
          <cell r="V173">
            <v>89093</v>
          </cell>
          <cell r="W173">
            <v>0</v>
          </cell>
        </row>
        <row r="174">
          <cell r="E174">
            <v>22</v>
          </cell>
          <cell r="G174">
            <v>3212</v>
          </cell>
          <cell r="J174">
            <v>11</v>
          </cell>
          <cell r="L174">
            <v>3960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81567</v>
          </cell>
          <cell r="V174">
            <v>88517</v>
          </cell>
          <cell r="W174">
            <v>50</v>
          </cell>
        </row>
      </sheetData>
      <sheetData sheetId="4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6585.7</v>
          </cell>
          <cell r="G16">
            <v>414899.1</v>
          </cell>
          <cell r="J16">
            <v>3145.8989999999999</v>
          </cell>
          <cell r="L16">
            <v>943769.7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1397668.7999999998</v>
          </cell>
          <cell r="V16">
            <v>0</v>
          </cell>
          <cell r="W16">
            <v>0</v>
          </cell>
        </row>
        <row r="17">
          <cell r="E17">
            <v>465.69999999999982</v>
          </cell>
          <cell r="G17">
            <v>29339.099999999988</v>
          </cell>
          <cell r="J17">
            <v>107.41600000000017</v>
          </cell>
          <cell r="L17">
            <v>32224.80000000005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100563.90000000004</v>
          </cell>
          <cell r="V17">
            <v>0</v>
          </cell>
          <cell r="W17">
            <v>0</v>
          </cell>
        </row>
        <row r="18">
          <cell r="E18">
            <v>995.10000000000036</v>
          </cell>
          <cell r="G18">
            <v>62691.300000000025</v>
          </cell>
          <cell r="J18">
            <v>452.28499999999985</v>
          </cell>
          <cell r="L18">
            <v>135685.49999999994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237376.79999999996</v>
          </cell>
          <cell r="V18">
            <v>0</v>
          </cell>
          <cell r="W18">
            <v>0</v>
          </cell>
        </row>
        <row r="19">
          <cell r="E19">
            <v>413.29999999999927</v>
          </cell>
          <cell r="G19">
            <v>26037.899999999954</v>
          </cell>
          <cell r="J19">
            <v>322.5</v>
          </cell>
          <cell r="L19">
            <v>96750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161787.89999999997</v>
          </cell>
          <cell r="V19">
            <v>0</v>
          </cell>
          <cell r="W19">
            <v>0</v>
          </cell>
        </row>
        <row r="20">
          <cell r="E20">
            <v>505.70000000000073</v>
          </cell>
          <cell r="G20">
            <v>31859.100000000046</v>
          </cell>
          <cell r="J20">
            <v>382.40000000000009</v>
          </cell>
          <cell r="L20">
            <v>114720.00000000003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185579.10000000006</v>
          </cell>
          <cell r="V20">
            <v>0</v>
          </cell>
          <cell r="W20">
            <v>0</v>
          </cell>
        </row>
        <row r="21">
          <cell r="E21">
            <v>645.79999999999927</v>
          </cell>
          <cell r="G21">
            <v>40685.399999999951</v>
          </cell>
          <cell r="J21">
            <v>291.60000000000036</v>
          </cell>
          <cell r="L21">
            <v>87480.000000000116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167165.40000000008</v>
          </cell>
          <cell r="V21">
            <v>0</v>
          </cell>
          <cell r="W21">
            <v>0</v>
          </cell>
        </row>
        <row r="22">
          <cell r="E22">
            <v>434.5</v>
          </cell>
          <cell r="G22">
            <v>27373.5</v>
          </cell>
          <cell r="J22">
            <v>61.299999999999272</v>
          </cell>
          <cell r="L22">
            <v>22067.999999999738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88441.499999999738</v>
          </cell>
          <cell r="V22">
            <v>0</v>
          </cell>
          <cell r="W22">
            <v>0</v>
          </cell>
        </row>
        <row r="23">
          <cell r="E23">
            <v>439.60000000000036</v>
          </cell>
          <cell r="G23">
            <v>27694.800000000025</v>
          </cell>
          <cell r="J23">
            <v>121</v>
          </cell>
          <cell r="L23">
            <v>43560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110254.80000000002</v>
          </cell>
          <cell r="V23">
            <v>0</v>
          </cell>
          <cell r="W23">
            <v>0</v>
          </cell>
        </row>
        <row r="24">
          <cell r="E24">
            <v>409.60000000000036</v>
          </cell>
          <cell r="G24">
            <v>25804.800000000025</v>
          </cell>
          <cell r="J24">
            <v>66.600000000000364</v>
          </cell>
          <cell r="L24">
            <v>23976.000000000131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88780.800000000163</v>
          </cell>
          <cell r="V24">
            <v>0</v>
          </cell>
          <cell r="W24">
            <v>0</v>
          </cell>
        </row>
        <row r="25">
          <cell r="E25">
            <v>395.79999999999927</v>
          </cell>
          <cell r="G25">
            <v>24935.399999999954</v>
          </cell>
          <cell r="J25">
            <v>32.300000000000182</v>
          </cell>
          <cell r="L25">
            <v>11628.000000000065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75563.400000000023</v>
          </cell>
          <cell r="V25">
            <v>0</v>
          </cell>
          <cell r="W25">
            <v>0</v>
          </cell>
        </row>
        <row r="26">
          <cell r="E26">
            <v>441.30000000000109</v>
          </cell>
          <cell r="G26">
            <v>27801.900000000067</v>
          </cell>
          <cell r="J26">
            <v>35.5</v>
          </cell>
          <cell r="L26">
            <v>12780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79581.900000000067</v>
          </cell>
          <cell r="V26">
            <v>0</v>
          </cell>
          <cell r="W26">
            <v>79581.900000000067</v>
          </cell>
        </row>
        <row r="27">
          <cell r="E27">
            <v>493.39999999999964</v>
          </cell>
          <cell r="G27">
            <v>31084.199999999975</v>
          </cell>
          <cell r="J27">
            <v>190.89999999999964</v>
          </cell>
          <cell r="L27">
            <v>68723.999999999869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138808.19999999984</v>
          </cell>
          <cell r="V27">
            <v>79582</v>
          </cell>
          <cell r="W27">
            <v>138808.09999999992</v>
          </cell>
        </row>
        <row r="28">
          <cell r="E28">
            <v>374.39999999999964</v>
          </cell>
          <cell r="G28">
            <v>23587.199999999975</v>
          </cell>
          <cell r="J28">
            <v>249.30000000000018</v>
          </cell>
          <cell r="L28">
            <v>89748.000000000058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152335.20000000004</v>
          </cell>
          <cell r="V28">
            <v>0</v>
          </cell>
          <cell r="W28">
            <v>291143.29999999993</v>
          </cell>
        </row>
        <row r="29">
          <cell r="E29">
            <v>519</v>
          </cell>
          <cell r="G29">
            <v>32697</v>
          </cell>
          <cell r="J29">
            <v>429</v>
          </cell>
          <cell r="L29">
            <v>154440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226137</v>
          </cell>
          <cell r="V29">
            <v>291143</v>
          </cell>
          <cell r="W29">
            <v>226137.29999999993</v>
          </cell>
        </row>
        <row r="30">
          <cell r="E30">
            <v>347.10000000000036</v>
          </cell>
          <cell r="G30">
            <v>21867.300000000025</v>
          </cell>
          <cell r="J30">
            <v>440</v>
          </cell>
          <cell r="L30">
            <v>158400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219267.30000000002</v>
          </cell>
          <cell r="V30">
            <v>0</v>
          </cell>
          <cell r="W30">
            <v>445404.6</v>
          </cell>
        </row>
        <row r="31">
          <cell r="E31">
            <v>417</v>
          </cell>
          <cell r="G31">
            <v>26271</v>
          </cell>
          <cell r="J31">
            <v>640</v>
          </cell>
          <cell r="L31">
            <v>230400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295671</v>
          </cell>
          <cell r="V31">
            <v>0</v>
          </cell>
          <cell r="W31">
            <v>784075.6</v>
          </cell>
        </row>
        <row r="32">
          <cell r="E32">
            <v>591</v>
          </cell>
          <cell r="G32">
            <v>37233</v>
          </cell>
          <cell r="J32">
            <v>632</v>
          </cell>
          <cell r="L32">
            <v>227520</v>
          </cell>
          <cell r="M32">
            <v>0</v>
          </cell>
          <cell r="N32">
            <v>0</v>
          </cell>
          <cell r="O32">
            <v>0</v>
          </cell>
          <cell r="P32">
            <v>4000</v>
          </cell>
          <cell r="Q32">
            <v>39000</v>
          </cell>
          <cell r="R32">
            <v>0</v>
          </cell>
          <cell r="S32">
            <v>307753</v>
          </cell>
          <cell r="V32">
            <v>203405</v>
          </cell>
          <cell r="W32">
            <v>888423.60000000009</v>
          </cell>
        </row>
        <row r="33">
          <cell r="E33">
            <v>364</v>
          </cell>
          <cell r="G33">
            <v>22932</v>
          </cell>
          <cell r="J33">
            <v>620</v>
          </cell>
          <cell r="L33">
            <v>223200</v>
          </cell>
          <cell r="M33">
            <v>0</v>
          </cell>
          <cell r="N33">
            <v>0</v>
          </cell>
          <cell r="O33">
            <v>0</v>
          </cell>
          <cell r="P33">
            <v>4000</v>
          </cell>
          <cell r="Q33">
            <v>39000</v>
          </cell>
          <cell r="R33">
            <v>0</v>
          </cell>
          <cell r="S33">
            <v>289132</v>
          </cell>
          <cell r="V33">
            <v>568424</v>
          </cell>
          <cell r="W33">
            <v>609131.60000000009</v>
          </cell>
        </row>
        <row r="34">
          <cell r="E34">
            <v>407</v>
          </cell>
          <cell r="G34">
            <v>25641</v>
          </cell>
          <cell r="J34">
            <v>601</v>
          </cell>
          <cell r="L34">
            <v>216360</v>
          </cell>
          <cell r="M34">
            <v>0</v>
          </cell>
          <cell r="N34">
            <v>0</v>
          </cell>
          <cell r="O34">
            <v>0</v>
          </cell>
          <cell r="P34">
            <v>4000</v>
          </cell>
          <cell r="Q34">
            <v>39000</v>
          </cell>
          <cell r="R34">
            <v>0</v>
          </cell>
          <cell r="S34">
            <v>285001</v>
          </cell>
          <cell r="V34">
            <v>0</v>
          </cell>
          <cell r="W34">
            <v>894132.60000000009</v>
          </cell>
        </row>
        <row r="35">
          <cell r="E35">
            <v>339</v>
          </cell>
          <cell r="G35">
            <v>21357</v>
          </cell>
          <cell r="J35">
            <v>313</v>
          </cell>
          <cell r="L35">
            <v>112680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177037</v>
          </cell>
          <cell r="V35">
            <v>39000</v>
          </cell>
          <cell r="W35">
            <v>1032169.6000000001</v>
          </cell>
        </row>
        <row r="36">
          <cell r="E36">
            <v>281</v>
          </cell>
          <cell r="G36">
            <v>17703</v>
          </cell>
          <cell r="J36">
            <v>207</v>
          </cell>
          <cell r="L36">
            <v>74520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135223</v>
          </cell>
          <cell r="V36">
            <v>39000</v>
          </cell>
          <cell r="W36">
            <v>1128392.6000000001</v>
          </cell>
        </row>
        <row r="37">
          <cell r="E37">
            <v>229.60000000000036</v>
          </cell>
          <cell r="G37">
            <v>14464.800000000023</v>
          </cell>
          <cell r="J37">
            <v>205.70000000000073</v>
          </cell>
          <cell r="L37">
            <v>74052.000000000262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131516.80000000028</v>
          </cell>
          <cell r="V37">
            <v>0</v>
          </cell>
          <cell r="W37">
            <v>1259909.4000000004</v>
          </cell>
        </row>
        <row r="38">
          <cell r="E38">
            <v>322.10000000000036</v>
          </cell>
          <cell r="G38">
            <v>20292.300000000025</v>
          </cell>
          <cell r="J38">
            <v>130.39999999999964</v>
          </cell>
          <cell r="L38">
            <v>46943.999999999869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110236.2999999999</v>
          </cell>
          <cell r="V38">
            <v>1259909</v>
          </cell>
          <cell r="W38">
            <v>110236.70000000019</v>
          </cell>
        </row>
        <row r="39">
          <cell r="E39">
            <v>354.29999999999927</v>
          </cell>
          <cell r="G39">
            <v>22320.899999999954</v>
          </cell>
          <cell r="J39">
            <v>75.899999999999636</v>
          </cell>
          <cell r="L39">
            <v>27323.999999999869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92644.89999999982</v>
          </cell>
          <cell r="V39">
            <v>0</v>
          </cell>
          <cell r="W39">
            <v>202881.6</v>
          </cell>
        </row>
        <row r="40">
          <cell r="E40">
            <v>236</v>
          </cell>
          <cell r="G40">
            <v>14868</v>
          </cell>
          <cell r="J40">
            <v>168</v>
          </cell>
          <cell r="L40">
            <v>60480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118348</v>
          </cell>
          <cell r="V40">
            <v>0</v>
          </cell>
          <cell r="W40">
            <v>321229.59999999998</v>
          </cell>
        </row>
        <row r="41">
          <cell r="E41">
            <v>281</v>
          </cell>
          <cell r="G41">
            <v>17703</v>
          </cell>
          <cell r="J41">
            <v>309</v>
          </cell>
          <cell r="L41">
            <v>111240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171943</v>
          </cell>
          <cell r="V41">
            <v>0</v>
          </cell>
          <cell r="W41">
            <v>493172.6</v>
          </cell>
        </row>
        <row r="42">
          <cell r="E42">
            <v>407</v>
          </cell>
          <cell r="G42">
            <v>25641</v>
          </cell>
          <cell r="J42">
            <v>472</v>
          </cell>
          <cell r="L42">
            <v>169920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238561</v>
          </cell>
          <cell r="V42">
            <v>493172</v>
          </cell>
          <cell r="W42">
            <v>238561.59999999998</v>
          </cell>
        </row>
        <row r="43">
          <cell r="E43">
            <v>1081</v>
          </cell>
          <cell r="G43">
            <v>68103</v>
          </cell>
          <cell r="J43">
            <v>965</v>
          </cell>
          <cell r="L43">
            <v>347400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458503</v>
          </cell>
          <cell r="V43">
            <v>238561</v>
          </cell>
          <cell r="W43">
            <v>458503.6</v>
          </cell>
        </row>
        <row r="44">
          <cell r="E44">
            <v>438</v>
          </cell>
          <cell r="G44">
            <v>27594</v>
          </cell>
          <cell r="J44">
            <v>615</v>
          </cell>
          <cell r="L44">
            <v>221400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291994</v>
          </cell>
          <cell r="V44">
            <v>0</v>
          </cell>
          <cell r="W44">
            <v>750497.6</v>
          </cell>
        </row>
        <row r="45">
          <cell r="E45">
            <v>564</v>
          </cell>
          <cell r="G45">
            <v>35532</v>
          </cell>
          <cell r="J45">
            <v>491</v>
          </cell>
          <cell r="L45">
            <v>176760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255292</v>
          </cell>
          <cell r="V45">
            <v>0</v>
          </cell>
          <cell r="W45">
            <v>1005789.6</v>
          </cell>
        </row>
        <row r="46">
          <cell r="E46">
            <v>617</v>
          </cell>
          <cell r="G46">
            <v>38871</v>
          </cell>
          <cell r="J46">
            <v>626</v>
          </cell>
          <cell r="L46">
            <v>225360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307231</v>
          </cell>
          <cell r="V46">
            <v>0</v>
          </cell>
          <cell r="W46">
            <v>1313020.6000000001</v>
          </cell>
        </row>
        <row r="47">
          <cell r="E47">
            <v>802</v>
          </cell>
          <cell r="G47">
            <v>50526</v>
          </cell>
          <cell r="J47">
            <v>606</v>
          </cell>
          <cell r="L47">
            <v>218160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311686</v>
          </cell>
          <cell r="V47">
            <v>0</v>
          </cell>
          <cell r="W47">
            <v>1624706.6</v>
          </cell>
        </row>
        <row r="48">
          <cell r="E48">
            <v>400</v>
          </cell>
          <cell r="G48">
            <v>25200</v>
          </cell>
          <cell r="J48">
            <v>154</v>
          </cell>
          <cell r="L48">
            <v>55440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123640</v>
          </cell>
          <cell r="V48">
            <v>1340000</v>
          </cell>
          <cell r="W48">
            <v>408346.60000000009</v>
          </cell>
        </row>
        <row r="49">
          <cell r="E49">
            <v>155</v>
          </cell>
          <cell r="G49">
            <v>9765</v>
          </cell>
          <cell r="J49">
            <v>17</v>
          </cell>
          <cell r="L49">
            <v>6120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58885</v>
          </cell>
          <cell r="V49">
            <v>298000</v>
          </cell>
          <cell r="W49">
            <v>169231.60000000009</v>
          </cell>
        </row>
        <row r="50">
          <cell r="E50">
            <v>419</v>
          </cell>
          <cell r="G50">
            <v>26397</v>
          </cell>
          <cell r="J50">
            <v>158</v>
          </cell>
          <cell r="L50">
            <v>56880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126277</v>
          </cell>
          <cell r="V50">
            <v>110346</v>
          </cell>
          <cell r="W50">
            <v>185162.60000000009</v>
          </cell>
        </row>
        <row r="51">
          <cell r="E51">
            <v>149</v>
          </cell>
          <cell r="G51">
            <v>9387</v>
          </cell>
          <cell r="J51">
            <v>236</v>
          </cell>
          <cell r="L51">
            <v>84960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137347</v>
          </cell>
          <cell r="V51">
            <v>0</v>
          </cell>
          <cell r="W51">
            <v>322509.60000000009</v>
          </cell>
        </row>
        <row r="52">
          <cell r="E52">
            <v>186</v>
          </cell>
          <cell r="G52">
            <v>11718</v>
          </cell>
          <cell r="J52">
            <v>479</v>
          </cell>
          <cell r="L52">
            <v>172440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227158</v>
          </cell>
          <cell r="V52">
            <v>185163</v>
          </cell>
          <cell r="W52">
            <v>364504.60000000009</v>
          </cell>
        </row>
        <row r="53">
          <cell r="E53">
            <v>424</v>
          </cell>
          <cell r="G53">
            <v>26712</v>
          </cell>
          <cell r="J53">
            <v>869</v>
          </cell>
          <cell r="L53">
            <v>312840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382552</v>
          </cell>
          <cell r="V53">
            <v>0</v>
          </cell>
          <cell r="W53">
            <v>747056.60000000009</v>
          </cell>
        </row>
        <row r="54">
          <cell r="E54">
            <v>237</v>
          </cell>
          <cell r="G54">
            <v>14931</v>
          </cell>
          <cell r="J54">
            <v>444</v>
          </cell>
          <cell r="L54">
            <v>159840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217771</v>
          </cell>
          <cell r="V54">
            <v>364505</v>
          </cell>
          <cell r="W54">
            <v>607322.60000000009</v>
          </cell>
        </row>
        <row r="55">
          <cell r="E55">
            <v>816</v>
          </cell>
          <cell r="G55">
            <v>51408</v>
          </cell>
          <cell r="J55">
            <v>656</v>
          </cell>
          <cell r="L55">
            <v>236160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337568</v>
          </cell>
          <cell r="V55">
            <v>607322</v>
          </cell>
          <cell r="W55">
            <v>337568.60000000009</v>
          </cell>
        </row>
        <row r="56">
          <cell r="E56">
            <v>581</v>
          </cell>
          <cell r="G56">
            <v>36603</v>
          </cell>
          <cell r="J56">
            <v>415</v>
          </cell>
          <cell r="L56">
            <v>149400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236003</v>
          </cell>
          <cell r="V56">
            <v>0</v>
          </cell>
          <cell r="W56">
            <v>573571.60000000009</v>
          </cell>
        </row>
        <row r="57">
          <cell r="E57">
            <v>337</v>
          </cell>
          <cell r="G57">
            <v>21231</v>
          </cell>
          <cell r="J57">
            <v>287</v>
          </cell>
          <cell r="L57">
            <v>103320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174551</v>
          </cell>
          <cell r="V57">
            <v>0</v>
          </cell>
          <cell r="W57">
            <v>748122.60000000009</v>
          </cell>
        </row>
        <row r="58">
          <cell r="E58">
            <v>397</v>
          </cell>
          <cell r="G58">
            <v>25011</v>
          </cell>
          <cell r="J58">
            <v>221</v>
          </cell>
          <cell r="L58">
            <v>79560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154571</v>
          </cell>
          <cell r="V58">
            <v>573000</v>
          </cell>
          <cell r="W58">
            <v>329693.60000000009</v>
          </cell>
        </row>
        <row r="59">
          <cell r="E59">
            <v>353</v>
          </cell>
          <cell r="G59">
            <v>22239</v>
          </cell>
          <cell r="J59">
            <v>136</v>
          </cell>
          <cell r="L59">
            <v>48960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121199</v>
          </cell>
          <cell r="V59">
            <v>0</v>
          </cell>
          <cell r="W59">
            <v>450892.60000000009</v>
          </cell>
        </row>
        <row r="60">
          <cell r="E60">
            <v>274</v>
          </cell>
          <cell r="G60">
            <v>17262</v>
          </cell>
          <cell r="J60">
            <v>26</v>
          </cell>
          <cell r="L60">
            <v>9360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76622</v>
          </cell>
          <cell r="V60">
            <v>329694</v>
          </cell>
          <cell r="W60">
            <v>197820.60000000009</v>
          </cell>
        </row>
        <row r="61">
          <cell r="E61">
            <v>186</v>
          </cell>
          <cell r="G61">
            <v>11718</v>
          </cell>
          <cell r="J61">
            <v>5</v>
          </cell>
          <cell r="L61">
            <v>1800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63518</v>
          </cell>
          <cell r="V61">
            <v>0</v>
          </cell>
          <cell r="W61">
            <v>261338.60000000009</v>
          </cell>
        </row>
        <row r="62">
          <cell r="E62">
            <v>175</v>
          </cell>
          <cell r="G62">
            <v>11025</v>
          </cell>
          <cell r="J62">
            <v>42</v>
          </cell>
          <cell r="L62">
            <v>15120</v>
          </cell>
          <cell r="M62">
            <v>0</v>
          </cell>
          <cell r="N62">
            <v>0</v>
          </cell>
          <cell r="O62">
            <v>0</v>
          </cell>
          <cell r="P62">
            <v>4000</v>
          </cell>
          <cell r="Q62">
            <v>46000</v>
          </cell>
          <cell r="R62">
            <v>0</v>
          </cell>
          <cell r="S62">
            <v>76145</v>
          </cell>
          <cell r="V62">
            <v>261338</v>
          </cell>
          <cell r="W62">
            <v>76145.600000000093</v>
          </cell>
        </row>
        <row r="63">
          <cell r="E63">
            <v>163</v>
          </cell>
          <cell r="G63">
            <v>10269</v>
          </cell>
          <cell r="J63">
            <v>139</v>
          </cell>
          <cell r="L63">
            <v>50040</v>
          </cell>
          <cell r="M63">
            <v>0</v>
          </cell>
          <cell r="N63">
            <v>0</v>
          </cell>
          <cell r="O63">
            <v>0</v>
          </cell>
          <cell r="P63">
            <v>4000</v>
          </cell>
          <cell r="Q63">
            <v>46000</v>
          </cell>
          <cell r="R63">
            <v>0</v>
          </cell>
          <cell r="S63">
            <v>110309</v>
          </cell>
          <cell r="V63">
            <v>0</v>
          </cell>
          <cell r="W63">
            <v>186454.60000000009</v>
          </cell>
        </row>
        <row r="64">
          <cell r="E64">
            <v>356</v>
          </cell>
          <cell r="G64">
            <v>28124</v>
          </cell>
          <cell r="J64">
            <v>443</v>
          </cell>
          <cell r="L64">
            <v>159480</v>
          </cell>
          <cell r="M64">
            <v>0</v>
          </cell>
          <cell r="N64">
            <v>0</v>
          </cell>
          <cell r="O64">
            <v>0</v>
          </cell>
          <cell r="P64">
            <v>4000</v>
          </cell>
          <cell r="Q64">
            <v>46000</v>
          </cell>
          <cell r="R64">
            <v>0</v>
          </cell>
          <cell r="S64">
            <v>237604</v>
          </cell>
          <cell r="V64">
            <v>186455</v>
          </cell>
          <cell r="W64">
            <v>237603.60000000009</v>
          </cell>
        </row>
        <row r="65">
          <cell r="E65">
            <v>364</v>
          </cell>
          <cell r="G65">
            <v>28756</v>
          </cell>
          <cell r="J65">
            <v>509</v>
          </cell>
          <cell r="L65">
            <v>183240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261996</v>
          </cell>
          <cell r="V65">
            <v>0</v>
          </cell>
          <cell r="W65">
            <v>499599.60000000009</v>
          </cell>
        </row>
        <row r="66">
          <cell r="E66">
            <v>275</v>
          </cell>
          <cell r="G66">
            <v>21725</v>
          </cell>
          <cell r="J66">
            <v>491</v>
          </cell>
          <cell r="L66">
            <v>176760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248485</v>
          </cell>
          <cell r="V66">
            <v>0</v>
          </cell>
          <cell r="W66">
            <v>748084.60000000009</v>
          </cell>
        </row>
        <row r="67">
          <cell r="E67">
            <v>822</v>
          </cell>
          <cell r="G67">
            <v>71514</v>
          </cell>
          <cell r="J67">
            <v>1104</v>
          </cell>
          <cell r="L67">
            <v>397440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518954</v>
          </cell>
          <cell r="V67">
            <v>748084</v>
          </cell>
          <cell r="W67">
            <v>518954.60000000009</v>
          </cell>
        </row>
        <row r="68">
          <cell r="E68">
            <v>254</v>
          </cell>
          <cell r="G68">
            <v>22098</v>
          </cell>
          <cell r="J68">
            <v>358</v>
          </cell>
          <cell r="L68">
            <v>128880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200978</v>
          </cell>
          <cell r="V68">
            <v>519000</v>
          </cell>
          <cell r="W68">
            <v>200932.60000000009</v>
          </cell>
        </row>
        <row r="69">
          <cell r="E69">
            <v>353</v>
          </cell>
          <cell r="G69">
            <v>39183</v>
          </cell>
          <cell r="J69">
            <v>218</v>
          </cell>
          <cell r="L69">
            <v>78480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167663</v>
          </cell>
          <cell r="V69">
            <v>0</v>
          </cell>
          <cell r="W69">
            <v>368595.60000000009</v>
          </cell>
        </row>
        <row r="70">
          <cell r="E70">
            <v>463</v>
          </cell>
          <cell r="G70">
            <v>57412</v>
          </cell>
          <cell r="J70">
            <v>147</v>
          </cell>
          <cell r="L70">
            <v>52920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160332</v>
          </cell>
          <cell r="V70">
            <v>368595</v>
          </cell>
          <cell r="W70">
            <v>160332.60000000009</v>
          </cell>
        </row>
        <row r="71">
          <cell r="E71">
            <v>182</v>
          </cell>
          <cell r="G71">
            <v>17836</v>
          </cell>
          <cell r="J71">
            <v>83</v>
          </cell>
          <cell r="L71">
            <v>29880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97716</v>
          </cell>
          <cell r="V71">
            <v>160332</v>
          </cell>
          <cell r="W71">
            <v>97716.600000000093</v>
          </cell>
        </row>
        <row r="72">
          <cell r="E72">
            <v>127</v>
          </cell>
          <cell r="G72">
            <v>13208</v>
          </cell>
          <cell r="J72">
            <v>6</v>
          </cell>
          <cell r="L72">
            <v>2160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65368</v>
          </cell>
          <cell r="V72">
            <v>0</v>
          </cell>
          <cell r="W72">
            <v>163084.60000000009</v>
          </cell>
        </row>
        <row r="73">
          <cell r="E73">
            <v>136</v>
          </cell>
          <cell r="G73">
            <v>15232</v>
          </cell>
          <cell r="J73">
            <v>18</v>
          </cell>
          <cell r="L73">
            <v>6480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71712</v>
          </cell>
          <cell r="V73">
            <v>164000</v>
          </cell>
          <cell r="W73">
            <v>70796.600000000093</v>
          </cell>
        </row>
        <row r="74">
          <cell r="E74">
            <v>94</v>
          </cell>
          <cell r="G74">
            <v>10058</v>
          </cell>
          <cell r="J74">
            <v>3</v>
          </cell>
          <cell r="L74">
            <v>1080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61138</v>
          </cell>
          <cell r="V74">
            <v>0</v>
          </cell>
          <cell r="W74">
            <v>131934.60000000009</v>
          </cell>
        </row>
        <row r="75">
          <cell r="E75">
            <v>150</v>
          </cell>
          <cell r="G75">
            <v>16500</v>
          </cell>
          <cell r="J75">
            <v>72</v>
          </cell>
          <cell r="L75">
            <v>25920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92420</v>
          </cell>
          <cell r="V75">
            <v>131934</v>
          </cell>
          <cell r="W75">
            <v>92420.600000000093</v>
          </cell>
        </row>
        <row r="76">
          <cell r="E76">
            <v>502</v>
          </cell>
          <cell r="G76">
            <v>63252</v>
          </cell>
          <cell r="J76">
            <v>169</v>
          </cell>
          <cell r="L76">
            <v>60840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174092</v>
          </cell>
          <cell r="V76">
            <v>92420</v>
          </cell>
          <cell r="W76">
            <v>174092.60000000009</v>
          </cell>
        </row>
        <row r="77">
          <cell r="E77">
            <v>289</v>
          </cell>
          <cell r="G77">
            <v>34391</v>
          </cell>
          <cell r="J77">
            <v>393</v>
          </cell>
          <cell r="L77">
            <v>141480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225871</v>
          </cell>
          <cell r="V77">
            <v>0</v>
          </cell>
          <cell r="W77">
            <v>399963.60000000009</v>
          </cell>
        </row>
        <row r="78">
          <cell r="E78">
            <v>704</v>
          </cell>
          <cell r="G78">
            <v>76032</v>
          </cell>
          <cell r="J78">
            <v>301</v>
          </cell>
          <cell r="L78">
            <v>108360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234392</v>
          </cell>
          <cell r="V78">
            <v>399963</v>
          </cell>
          <cell r="W78">
            <v>234392.60000000009</v>
          </cell>
        </row>
        <row r="79">
          <cell r="E79">
            <v>867</v>
          </cell>
          <cell r="G79">
            <v>107508</v>
          </cell>
          <cell r="J79">
            <v>214</v>
          </cell>
          <cell r="L79">
            <v>77040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234548</v>
          </cell>
          <cell r="V79">
            <v>0</v>
          </cell>
          <cell r="W79">
            <v>468940.60000000009</v>
          </cell>
        </row>
        <row r="80">
          <cell r="E80">
            <v>545</v>
          </cell>
          <cell r="G80">
            <v>70850</v>
          </cell>
          <cell r="J80">
            <v>208</v>
          </cell>
          <cell r="L80">
            <v>146160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267010</v>
          </cell>
          <cell r="V80">
            <v>0</v>
          </cell>
          <cell r="W80">
            <v>735950.60000000009</v>
          </cell>
        </row>
        <row r="81">
          <cell r="E81">
            <v>453</v>
          </cell>
          <cell r="G81">
            <v>58890</v>
          </cell>
          <cell r="J81">
            <v>401</v>
          </cell>
          <cell r="L81">
            <v>216540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325430</v>
          </cell>
          <cell r="V81">
            <v>735950</v>
          </cell>
          <cell r="W81">
            <v>325430.60000000009</v>
          </cell>
        </row>
        <row r="82">
          <cell r="E82">
            <v>221</v>
          </cell>
          <cell r="G82">
            <v>30940</v>
          </cell>
          <cell r="J82">
            <v>188</v>
          </cell>
          <cell r="L82">
            <v>67680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148620</v>
          </cell>
          <cell r="V82">
            <v>325430</v>
          </cell>
          <cell r="W82">
            <v>148620.60000000009</v>
          </cell>
        </row>
        <row r="83">
          <cell r="E83">
            <v>207</v>
          </cell>
          <cell r="G83">
            <v>30222</v>
          </cell>
          <cell r="J83">
            <v>72</v>
          </cell>
          <cell r="L83">
            <v>25920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106142</v>
          </cell>
          <cell r="V83">
            <v>0</v>
          </cell>
          <cell r="W83">
            <v>254762.60000000009</v>
          </cell>
        </row>
        <row r="84">
          <cell r="E84">
            <v>235</v>
          </cell>
          <cell r="G84">
            <v>34310</v>
          </cell>
          <cell r="J84">
            <v>61</v>
          </cell>
          <cell r="L84">
            <v>21960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106270</v>
          </cell>
          <cell r="V84">
            <v>254762</v>
          </cell>
          <cell r="W84">
            <v>106270.60000000009</v>
          </cell>
        </row>
        <row r="85">
          <cell r="E85">
            <v>182</v>
          </cell>
          <cell r="G85">
            <v>26572</v>
          </cell>
          <cell r="J85">
            <v>32</v>
          </cell>
          <cell r="L85">
            <v>11520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88092</v>
          </cell>
          <cell r="V85">
            <v>106271</v>
          </cell>
          <cell r="W85">
            <v>98091.600000000093</v>
          </cell>
        </row>
        <row r="86">
          <cell r="E86">
            <v>176</v>
          </cell>
          <cell r="G86">
            <v>25696</v>
          </cell>
          <cell r="J86">
            <v>30</v>
          </cell>
          <cell r="L86">
            <v>10800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96496</v>
          </cell>
          <cell r="V86">
            <v>98092</v>
          </cell>
          <cell r="W86">
            <v>86495.600000000093</v>
          </cell>
        </row>
        <row r="87">
          <cell r="E87">
            <v>288</v>
          </cell>
          <cell r="G87">
            <v>42048</v>
          </cell>
          <cell r="J87">
            <v>68</v>
          </cell>
          <cell r="L87">
            <v>24480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116528</v>
          </cell>
          <cell r="V87">
            <v>86496</v>
          </cell>
          <cell r="W87">
            <v>116527.60000000009</v>
          </cell>
        </row>
        <row r="88">
          <cell r="E88">
            <v>209</v>
          </cell>
          <cell r="G88">
            <v>30514</v>
          </cell>
          <cell r="J88">
            <v>190</v>
          </cell>
          <cell r="L88">
            <v>75600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156114</v>
          </cell>
          <cell r="V88">
            <v>266000</v>
          </cell>
          <cell r="W88">
            <v>6641.6000000000931</v>
          </cell>
        </row>
        <row r="89">
          <cell r="E89">
            <v>291</v>
          </cell>
          <cell r="G89">
            <v>42486</v>
          </cell>
          <cell r="J89">
            <v>318</v>
          </cell>
          <cell r="L89">
            <v>165960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258446</v>
          </cell>
          <cell r="V89">
            <v>243848</v>
          </cell>
          <cell r="W89">
            <v>21239.600000000093</v>
          </cell>
        </row>
        <row r="90">
          <cell r="E90">
            <v>338</v>
          </cell>
          <cell r="G90">
            <v>49348</v>
          </cell>
          <cell r="J90">
            <v>350</v>
          </cell>
          <cell r="L90">
            <v>207000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306348</v>
          </cell>
          <cell r="V90">
            <v>0</v>
          </cell>
          <cell r="W90">
            <v>327587.60000000009</v>
          </cell>
        </row>
        <row r="91">
          <cell r="E91">
            <v>715</v>
          </cell>
          <cell r="G91">
            <v>104390</v>
          </cell>
          <cell r="J91">
            <v>363</v>
          </cell>
          <cell r="L91">
            <v>221040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384430</v>
          </cell>
          <cell r="V91">
            <v>762018</v>
          </cell>
          <cell r="W91">
            <v>-0.39999999990686774</v>
          </cell>
        </row>
        <row r="92">
          <cell r="E92">
            <v>672</v>
          </cell>
          <cell r="G92">
            <v>98112</v>
          </cell>
          <cell r="J92">
            <v>342</v>
          </cell>
          <cell r="L92">
            <v>198360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355472</v>
          </cell>
          <cell r="V92">
            <v>0</v>
          </cell>
          <cell r="W92">
            <v>355471.60000000009</v>
          </cell>
        </row>
        <row r="93">
          <cell r="E93">
            <v>430</v>
          </cell>
          <cell r="G93">
            <v>62780</v>
          </cell>
          <cell r="J93">
            <v>140</v>
          </cell>
          <cell r="L93">
            <v>50400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172180</v>
          </cell>
          <cell r="V93">
            <v>527652</v>
          </cell>
          <cell r="W93">
            <v>-0.39999999990686774</v>
          </cell>
        </row>
        <row r="94">
          <cell r="E94">
            <v>425</v>
          </cell>
          <cell r="G94">
            <v>62050</v>
          </cell>
          <cell r="J94">
            <v>166</v>
          </cell>
          <cell r="L94">
            <v>62640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183690</v>
          </cell>
          <cell r="V94">
            <v>183690</v>
          </cell>
          <cell r="W94">
            <v>-0.39999999990686774</v>
          </cell>
        </row>
        <row r="95">
          <cell r="E95">
            <v>213</v>
          </cell>
          <cell r="G95">
            <v>31098</v>
          </cell>
          <cell r="J95">
            <v>57</v>
          </cell>
          <cell r="L95">
            <v>20520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110618</v>
          </cell>
          <cell r="V95">
            <v>110618</v>
          </cell>
          <cell r="W95">
            <v>-0.39999999990686774</v>
          </cell>
        </row>
        <row r="96">
          <cell r="E96">
            <v>172</v>
          </cell>
          <cell r="G96">
            <v>25112</v>
          </cell>
          <cell r="J96">
            <v>2</v>
          </cell>
          <cell r="L96">
            <v>720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84832</v>
          </cell>
          <cell r="V96">
            <v>84832</v>
          </cell>
          <cell r="W96">
            <v>0</v>
          </cell>
        </row>
        <row r="97">
          <cell r="E97">
            <v>248</v>
          </cell>
          <cell r="G97">
            <v>36208</v>
          </cell>
          <cell r="J97">
            <v>9</v>
          </cell>
          <cell r="L97">
            <v>3240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98448</v>
          </cell>
          <cell r="V97">
            <v>98448</v>
          </cell>
          <cell r="W97">
            <v>0</v>
          </cell>
        </row>
        <row r="98">
          <cell r="E98">
            <v>156</v>
          </cell>
          <cell r="G98">
            <v>22776</v>
          </cell>
          <cell r="J98">
            <v>29</v>
          </cell>
          <cell r="L98">
            <v>10440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92216</v>
          </cell>
          <cell r="V98">
            <v>92216</v>
          </cell>
          <cell r="W98">
            <v>0</v>
          </cell>
        </row>
        <row r="99">
          <cell r="E99">
            <v>396</v>
          </cell>
          <cell r="G99">
            <v>57816</v>
          </cell>
          <cell r="J99">
            <v>147</v>
          </cell>
          <cell r="L99">
            <v>52920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169736</v>
          </cell>
          <cell r="V99">
            <v>169736</v>
          </cell>
          <cell r="W99">
            <v>0</v>
          </cell>
        </row>
        <row r="100">
          <cell r="E100">
            <v>258</v>
          </cell>
          <cell r="G100">
            <v>37668</v>
          </cell>
          <cell r="J100">
            <v>207</v>
          </cell>
          <cell r="L100">
            <v>86040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182708</v>
          </cell>
          <cell r="V100">
            <v>182708</v>
          </cell>
          <cell r="W100">
            <v>0</v>
          </cell>
        </row>
        <row r="101">
          <cell r="E101">
            <v>287</v>
          </cell>
          <cell r="G101">
            <v>41902</v>
          </cell>
          <cell r="J101">
            <v>257</v>
          </cell>
          <cell r="L101">
            <v>122040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222942</v>
          </cell>
          <cell r="V101">
            <v>222942</v>
          </cell>
          <cell r="W101">
            <v>0</v>
          </cell>
        </row>
        <row r="102">
          <cell r="E102">
            <v>364</v>
          </cell>
          <cell r="G102">
            <v>53144</v>
          </cell>
          <cell r="J102">
            <v>349</v>
          </cell>
          <cell r="L102">
            <v>188280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300424</v>
          </cell>
          <cell r="V102">
            <v>0</v>
          </cell>
          <cell r="W102">
            <v>300424</v>
          </cell>
        </row>
        <row r="103">
          <cell r="E103">
            <v>965</v>
          </cell>
          <cell r="G103">
            <v>140890</v>
          </cell>
          <cell r="J103">
            <v>373</v>
          </cell>
          <cell r="L103">
            <v>231840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433380</v>
          </cell>
          <cell r="V103">
            <v>733804</v>
          </cell>
          <cell r="W103">
            <v>0</v>
          </cell>
        </row>
        <row r="104">
          <cell r="E104">
            <v>685</v>
          </cell>
          <cell r="G104">
            <v>100010</v>
          </cell>
          <cell r="J104">
            <v>341</v>
          </cell>
          <cell r="L104">
            <v>197280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357940</v>
          </cell>
          <cell r="V104">
            <v>357940</v>
          </cell>
          <cell r="W104">
            <v>0</v>
          </cell>
        </row>
        <row r="105">
          <cell r="E105">
            <v>404</v>
          </cell>
          <cell r="G105">
            <v>58984</v>
          </cell>
          <cell r="J105">
            <v>292</v>
          </cell>
          <cell r="L105">
            <v>147240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266874</v>
          </cell>
          <cell r="V105">
            <v>0</v>
          </cell>
          <cell r="W105">
            <v>266874</v>
          </cell>
        </row>
        <row r="106">
          <cell r="E106">
            <v>571</v>
          </cell>
          <cell r="G106">
            <v>83366</v>
          </cell>
          <cell r="J106">
            <v>196</v>
          </cell>
          <cell r="L106">
            <v>78840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222856</v>
          </cell>
          <cell r="V106">
            <v>489730</v>
          </cell>
          <cell r="W106">
            <v>0</v>
          </cell>
        </row>
        <row r="107">
          <cell r="E107">
            <v>225</v>
          </cell>
          <cell r="G107">
            <v>32850</v>
          </cell>
          <cell r="J107">
            <v>116</v>
          </cell>
          <cell r="L107">
            <v>41760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135260</v>
          </cell>
          <cell r="V107">
            <v>135260</v>
          </cell>
          <cell r="W107">
            <v>0</v>
          </cell>
        </row>
        <row r="108">
          <cell r="E108">
            <v>221</v>
          </cell>
          <cell r="G108">
            <v>32266</v>
          </cell>
          <cell r="J108">
            <v>66</v>
          </cell>
          <cell r="L108">
            <v>23760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116676</v>
          </cell>
          <cell r="V108">
            <v>0</v>
          </cell>
          <cell r="W108">
            <v>116676</v>
          </cell>
        </row>
        <row r="109">
          <cell r="E109">
            <v>282</v>
          </cell>
          <cell r="G109">
            <v>41172</v>
          </cell>
          <cell r="J109">
            <v>76</v>
          </cell>
          <cell r="L109">
            <v>27360</v>
          </cell>
          <cell r="M109">
            <v>0</v>
          </cell>
          <cell r="N109">
            <v>0</v>
          </cell>
          <cell r="O109">
            <v>0</v>
          </cell>
          <cell r="P109">
            <v>8000</v>
          </cell>
          <cell r="Q109">
            <v>56650</v>
          </cell>
          <cell r="R109">
            <v>0</v>
          </cell>
          <cell r="S109">
            <v>133182</v>
          </cell>
          <cell r="V109">
            <v>249858</v>
          </cell>
          <cell r="W109">
            <v>0</v>
          </cell>
        </row>
        <row r="110">
          <cell r="E110">
            <v>180</v>
          </cell>
          <cell r="G110">
            <v>26280</v>
          </cell>
          <cell r="J110">
            <v>94</v>
          </cell>
          <cell r="L110">
            <v>33840</v>
          </cell>
          <cell r="M110">
            <v>0</v>
          </cell>
          <cell r="N110">
            <v>0</v>
          </cell>
          <cell r="O110">
            <v>0</v>
          </cell>
          <cell r="P110">
            <v>8000</v>
          </cell>
          <cell r="Q110">
            <v>56650</v>
          </cell>
          <cell r="R110">
            <v>0</v>
          </cell>
          <cell r="S110">
            <v>124770</v>
          </cell>
          <cell r="V110">
            <v>0</v>
          </cell>
          <cell r="W110">
            <v>124770</v>
          </cell>
        </row>
        <row r="111">
          <cell r="E111">
            <v>198</v>
          </cell>
          <cell r="G111">
            <v>28908</v>
          </cell>
          <cell r="J111">
            <v>84</v>
          </cell>
          <cell r="L111">
            <v>30240</v>
          </cell>
          <cell r="M111">
            <v>0</v>
          </cell>
          <cell r="N111">
            <v>0</v>
          </cell>
          <cell r="O111">
            <v>0</v>
          </cell>
          <cell r="P111">
            <v>8000</v>
          </cell>
          <cell r="Q111">
            <v>56650</v>
          </cell>
          <cell r="R111">
            <v>0</v>
          </cell>
          <cell r="S111">
            <v>123798</v>
          </cell>
          <cell r="V111">
            <v>248568</v>
          </cell>
          <cell r="W111">
            <v>0</v>
          </cell>
        </row>
        <row r="112">
          <cell r="E112">
            <v>228</v>
          </cell>
          <cell r="G112">
            <v>33288</v>
          </cell>
          <cell r="J112">
            <v>217</v>
          </cell>
          <cell r="L112">
            <v>93240</v>
          </cell>
          <cell r="M112">
            <v>0</v>
          </cell>
          <cell r="N112">
            <v>0</v>
          </cell>
          <cell r="O112">
            <v>0</v>
          </cell>
          <cell r="P112">
            <v>8000</v>
          </cell>
          <cell r="Q112">
            <v>56650</v>
          </cell>
          <cell r="R112">
            <v>0</v>
          </cell>
          <cell r="S112">
            <v>191178</v>
          </cell>
          <cell r="V112">
            <v>191178</v>
          </cell>
          <cell r="W112">
            <v>0</v>
          </cell>
        </row>
        <row r="113">
          <cell r="E113">
            <v>295</v>
          </cell>
          <cell r="G113">
            <v>43070</v>
          </cell>
          <cell r="J113">
            <v>293</v>
          </cell>
          <cell r="L113">
            <v>147960</v>
          </cell>
          <cell r="M113">
            <v>0</v>
          </cell>
          <cell r="N113">
            <v>0</v>
          </cell>
          <cell r="O113">
            <v>0</v>
          </cell>
          <cell r="P113">
            <v>8000</v>
          </cell>
          <cell r="Q113">
            <v>56650</v>
          </cell>
          <cell r="R113">
            <v>0</v>
          </cell>
          <cell r="S113">
            <v>255680</v>
          </cell>
          <cell r="V113">
            <v>255680</v>
          </cell>
          <cell r="W113">
            <v>0</v>
          </cell>
        </row>
        <row r="114">
          <cell r="E114">
            <v>453</v>
          </cell>
          <cell r="G114">
            <v>66138</v>
          </cell>
          <cell r="J114">
            <v>419</v>
          </cell>
          <cell r="L114">
            <v>281520</v>
          </cell>
          <cell r="M114">
            <v>0</v>
          </cell>
          <cell r="N114">
            <v>0</v>
          </cell>
          <cell r="O114">
            <v>0</v>
          </cell>
          <cell r="P114">
            <v>8000</v>
          </cell>
          <cell r="Q114">
            <v>56650</v>
          </cell>
          <cell r="R114">
            <v>0</v>
          </cell>
          <cell r="S114">
            <v>412308</v>
          </cell>
          <cell r="V114">
            <v>412308</v>
          </cell>
          <cell r="W114">
            <v>0</v>
          </cell>
        </row>
        <row r="115">
          <cell r="E115">
            <v>736</v>
          </cell>
          <cell r="G115">
            <v>107456</v>
          </cell>
          <cell r="J115">
            <v>408</v>
          </cell>
          <cell r="L115">
            <v>269640</v>
          </cell>
          <cell r="M115">
            <v>0</v>
          </cell>
          <cell r="N115">
            <v>0</v>
          </cell>
          <cell r="O115">
            <v>0</v>
          </cell>
          <cell r="P115">
            <v>8000</v>
          </cell>
          <cell r="Q115">
            <v>58859</v>
          </cell>
          <cell r="R115">
            <v>0</v>
          </cell>
          <cell r="S115">
            <v>443955</v>
          </cell>
          <cell r="V115">
            <v>0</v>
          </cell>
          <cell r="W115">
            <v>443955</v>
          </cell>
        </row>
        <row r="116">
          <cell r="E116">
            <v>389</v>
          </cell>
          <cell r="G116">
            <v>56794</v>
          </cell>
          <cell r="J116">
            <v>312</v>
          </cell>
          <cell r="L116">
            <v>165960</v>
          </cell>
          <cell r="M116">
            <v>0</v>
          </cell>
          <cell r="N116">
            <v>0</v>
          </cell>
          <cell r="O116">
            <v>0</v>
          </cell>
          <cell r="P116">
            <v>8000</v>
          </cell>
          <cell r="Q116">
            <v>58859</v>
          </cell>
          <cell r="R116">
            <v>0</v>
          </cell>
          <cell r="S116">
            <v>289613</v>
          </cell>
          <cell r="V116">
            <v>733568</v>
          </cell>
          <cell r="W116">
            <v>0</v>
          </cell>
        </row>
        <row r="117">
          <cell r="E117">
            <v>386</v>
          </cell>
          <cell r="G117">
            <v>56356</v>
          </cell>
          <cell r="J117">
            <v>346</v>
          </cell>
          <cell r="L117">
            <v>202680</v>
          </cell>
          <cell r="M117">
            <v>0</v>
          </cell>
          <cell r="N117">
            <v>0</v>
          </cell>
          <cell r="O117">
            <v>0</v>
          </cell>
          <cell r="P117">
            <v>8000</v>
          </cell>
          <cell r="Q117">
            <v>58859</v>
          </cell>
          <cell r="R117">
            <v>0</v>
          </cell>
          <cell r="S117">
            <v>325895</v>
          </cell>
          <cell r="V117">
            <v>325895</v>
          </cell>
          <cell r="W117">
            <v>0</v>
          </cell>
        </row>
        <row r="118">
          <cell r="E118">
            <v>295</v>
          </cell>
          <cell r="G118">
            <v>43070</v>
          </cell>
          <cell r="J118">
            <v>200</v>
          </cell>
          <cell r="L118">
            <v>81000</v>
          </cell>
          <cell r="M118">
            <v>0</v>
          </cell>
          <cell r="N118">
            <v>0</v>
          </cell>
          <cell r="O118">
            <v>0</v>
          </cell>
          <cell r="P118">
            <v>8000</v>
          </cell>
          <cell r="Q118">
            <v>58859</v>
          </cell>
          <cell r="R118">
            <v>0</v>
          </cell>
          <cell r="S118">
            <v>190929</v>
          </cell>
          <cell r="V118">
            <v>190929</v>
          </cell>
          <cell r="W118">
            <v>0</v>
          </cell>
        </row>
        <row r="119">
          <cell r="E119">
            <v>353</v>
          </cell>
          <cell r="G119">
            <v>51538</v>
          </cell>
          <cell r="J119">
            <v>193</v>
          </cell>
          <cell r="L119">
            <v>77220</v>
          </cell>
          <cell r="M119">
            <v>0</v>
          </cell>
          <cell r="N119">
            <v>0</v>
          </cell>
          <cell r="O119">
            <v>0</v>
          </cell>
          <cell r="P119">
            <v>8000</v>
          </cell>
          <cell r="Q119">
            <v>58859</v>
          </cell>
          <cell r="R119">
            <v>0</v>
          </cell>
          <cell r="S119">
            <v>195617</v>
          </cell>
          <cell r="V119">
            <v>195617</v>
          </cell>
          <cell r="W119">
            <v>0</v>
          </cell>
        </row>
        <row r="120">
          <cell r="E120">
            <v>276</v>
          </cell>
          <cell r="G120">
            <v>40296</v>
          </cell>
          <cell r="J120">
            <v>51</v>
          </cell>
          <cell r="L120">
            <v>18360</v>
          </cell>
          <cell r="M120">
            <v>0</v>
          </cell>
          <cell r="N120">
            <v>0</v>
          </cell>
          <cell r="O120">
            <v>0</v>
          </cell>
          <cell r="P120">
            <v>8000</v>
          </cell>
          <cell r="Q120">
            <v>58859</v>
          </cell>
          <cell r="R120">
            <v>0</v>
          </cell>
          <cell r="S120">
            <v>125515</v>
          </cell>
          <cell r="V120">
            <v>125515</v>
          </cell>
          <cell r="W120">
            <v>0</v>
          </cell>
        </row>
        <row r="121">
          <cell r="E121">
            <v>247</v>
          </cell>
          <cell r="G121">
            <v>36062</v>
          </cell>
          <cell r="J121">
            <v>47</v>
          </cell>
          <cell r="L121">
            <v>16920</v>
          </cell>
          <cell r="M121">
            <v>0</v>
          </cell>
          <cell r="N121">
            <v>0</v>
          </cell>
          <cell r="O121">
            <v>0</v>
          </cell>
          <cell r="P121">
            <v>8000</v>
          </cell>
          <cell r="Q121">
            <v>58859</v>
          </cell>
          <cell r="R121">
            <v>0</v>
          </cell>
          <cell r="S121">
            <v>119841</v>
          </cell>
          <cell r="V121">
            <v>119841</v>
          </cell>
          <cell r="W121">
            <v>0</v>
          </cell>
        </row>
        <row r="122">
          <cell r="E122">
            <v>160</v>
          </cell>
          <cell r="G122">
            <v>23360</v>
          </cell>
          <cell r="J122">
            <v>99</v>
          </cell>
          <cell r="L122">
            <v>35640</v>
          </cell>
          <cell r="M122">
            <v>0</v>
          </cell>
          <cell r="N122">
            <v>0</v>
          </cell>
          <cell r="O122">
            <v>0</v>
          </cell>
          <cell r="P122">
            <v>20000</v>
          </cell>
          <cell r="Q122">
            <v>58859</v>
          </cell>
          <cell r="R122">
            <v>0</v>
          </cell>
          <cell r="S122">
            <v>137859</v>
          </cell>
          <cell r="V122">
            <v>137859</v>
          </cell>
          <cell r="W122">
            <v>0</v>
          </cell>
        </row>
        <row r="123">
          <cell r="E123">
            <v>174</v>
          </cell>
          <cell r="G123">
            <v>25404</v>
          </cell>
          <cell r="J123">
            <v>118</v>
          </cell>
          <cell r="L123">
            <v>42480</v>
          </cell>
          <cell r="M123">
            <v>0</v>
          </cell>
          <cell r="N123">
            <v>0</v>
          </cell>
          <cell r="O123">
            <v>0</v>
          </cell>
          <cell r="P123">
            <v>20000</v>
          </cell>
          <cell r="Q123">
            <v>58859</v>
          </cell>
          <cell r="R123">
            <v>0</v>
          </cell>
          <cell r="S123">
            <v>146743</v>
          </cell>
          <cell r="V123">
            <v>146743</v>
          </cell>
          <cell r="W123">
            <v>0</v>
          </cell>
        </row>
        <row r="124">
          <cell r="E124">
            <v>212</v>
          </cell>
          <cell r="G124">
            <v>30952</v>
          </cell>
          <cell r="J124">
            <v>168</v>
          </cell>
          <cell r="L124">
            <v>63720</v>
          </cell>
          <cell r="M124">
            <v>0</v>
          </cell>
          <cell r="N124">
            <v>0</v>
          </cell>
          <cell r="O124">
            <v>0</v>
          </cell>
          <cell r="P124">
            <v>20000</v>
          </cell>
          <cell r="Q124">
            <v>58859</v>
          </cell>
          <cell r="R124">
            <v>0</v>
          </cell>
          <cell r="S124">
            <v>173531</v>
          </cell>
          <cell r="V124">
            <v>173531</v>
          </cell>
          <cell r="W124">
            <v>0</v>
          </cell>
        </row>
        <row r="125">
          <cell r="E125">
            <v>301</v>
          </cell>
          <cell r="G125">
            <v>43946</v>
          </cell>
          <cell r="J125">
            <v>274</v>
          </cell>
          <cell r="L125">
            <v>134280</v>
          </cell>
          <cell r="M125">
            <v>0</v>
          </cell>
          <cell r="N125">
            <v>0</v>
          </cell>
          <cell r="O125">
            <v>0</v>
          </cell>
          <cell r="P125">
            <v>20000</v>
          </cell>
          <cell r="Q125">
            <v>58859</v>
          </cell>
          <cell r="R125">
            <v>0</v>
          </cell>
          <cell r="S125">
            <v>257085</v>
          </cell>
          <cell r="V125">
            <v>257085</v>
          </cell>
          <cell r="W125">
            <v>0</v>
          </cell>
        </row>
        <row r="126">
          <cell r="E126">
            <v>346</v>
          </cell>
          <cell r="G126">
            <v>50516</v>
          </cell>
          <cell r="J126">
            <v>283</v>
          </cell>
          <cell r="L126">
            <v>140760</v>
          </cell>
          <cell r="M126">
            <v>0</v>
          </cell>
          <cell r="N126">
            <v>0</v>
          </cell>
          <cell r="O126">
            <v>0</v>
          </cell>
          <cell r="P126">
            <v>20000</v>
          </cell>
          <cell r="Q126">
            <v>58859</v>
          </cell>
          <cell r="R126">
            <v>0</v>
          </cell>
          <cell r="S126">
            <v>270135</v>
          </cell>
          <cell r="V126">
            <v>0</v>
          </cell>
          <cell r="W126">
            <v>270135</v>
          </cell>
        </row>
        <row r="127">
          <cell r="E127">
            <v>684</v>
          </cell>
          <cell r="G127">
            <v>99864</v>
          </cell>
          <cell r="J127">
            <v>405</v>
          </cell>
          <cell r="L127">
            <v>266400</v>
          </cell>
          <cell r="M127">
            <v>0</v>
          </cell>
          <cell r="N127">
            <v>0</v>
          </cell>
          <cell r="O127">
            <v>0</v>
          </cell>
          <cell r="P127">
            <v>20000</v>
          </cell>
          <cell r="Q127">
            <v>59734</v>
          </cell>
          <cell r="R127">
            <v>71613</v>
          </cell>
          <cell r="S127">
            <v>445998</v>
          </cell>
          <cell r="V127">
            <v>0</v>
          </cell>
          <cell r="W127">
            <v>787746</v>
          </cell>
        </row>
        <row r="128">
          <cell r="E128">
            <v>427</v>
          </cell>
          <cell r="G128">
            <v>62342</v>
          </cell>
          <cell r="J128">
            <v>339</v>
          </cell>
          <cell r="L128">
            <v>195120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327196</v>
          </cell>
          <cell r="V128">
            <v>1137230</v>
          </cell>
          <cell r="W128">
            <v>-10000</v>
          </cell>
        </row>
        <row r="129">
          <cell r="E129">
            <v>320</v>
          </cell>
          <cell r="G129">
            <v>46720</v>
          </cell>
          <cell r="J129">
            <v>334</v>
          </cell>
          <cell r="L129">
            <v>189720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306174</v>
          </cell>
          <cell r="V129">
            <v>296174</v>
          </cell>
          <cell r="W129">
            <v>0</v>
          </cell>
        </row>
        <row r="130">
          <cell r="E130">
            <v>221</v>
          </cell>
          <cell r="G130">
            <v>32266</v>
          </cell>
          <cell r="J130">
            <v>349</v>
          </cell>
          <cell r="L130">
            <v>205920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307920</v>
          </cell>
          <cell r="V130">
            <v>307920</v>
          </cell>
          <cell r="W130">
            <v>0</v>
          </cell>
        </row>
        <row r="131">
          <cell r="E131">
            <v>274</v>
          </cell>
          <cell r="G131">
            <v>40004</v>
          </cell>
          <cell r="J131">
            <v>92</v>
          </cell>
          <cell r="L131">
            <v>33120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142858</v>
          </cell>
          <cell r="V131">
            <v>142858</v>
          </cell>
          <cell r="W131">
            <v>0</v>
          </cell>
        </row>
        <row r="132">
          <cell r="E132">
            <v>298</v>
          </cell>
          <cell r="G132">
            <v>43508</v>
          </cell>
          <cell r="J132">
            <v>18</v>
          </cell>
          <cell r="L132">
            <v>6480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119722</v>
          </cell>
          <cell r="V132">
            <v>119722</v>
          </cell>
          <cell r="W132">
            <v>0</v>
          </cell>
        </row>
        <row r="133">
          <cell r="E133">
            <v>166</v>
          </cell>
          <cell r="G133">
            <v>24236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95410</v>
          </cell>
          <cell r="V133">
            <v>95410</v>
          </cell>
          <cell r="W133">
            <v>0</v>
          </cell>
        </row>
        <row r="134">
          <cell r="E134">
            <v>249</v>
          </cell>
          <cell r="G134">
            <v>36354</v>
          </cell>
          <cell r="J134">
            <v>29</v>
          </cell>
          <cell r="L134">
            <v>10440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116528</v>
          </cell>
          <cell r="V134">
            <v>116528</v>
          </cell>
          <cell r="W134">
            <v>0</v>
          </cell>
        </row>
        <row r="135">
          <cell r="E135">
            <v>163</v>
          </cell>
          <cell r="G135">
            <v>23798</v>
          </cell>
          <cell r="J135">
            <v>54</v>
          </cell>
          <cell r="L135">
            <v>19440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112972</v>
          </cell>
          <cell r="V135">
            <v>112972</v>
          </cell>
          <cell r="W135">
            <v>0</v>
          </cell>
        </row>
        <row r="136">
          <cell r="E136">
            <v>273</v>
          </cell>
          <cell r="G136">
            <v>39858</v>
          </cell>
          <cell r="J136">
            <v>264</v>
          </cell>
          <cell r="L136">
            <v>127080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236672</v>
          </cell>
          <cell r="V136">
            <v>236672</v>
          </cell>
          <cell r="W136">
            <v>0</v>
          </cell>
        </row>
        <row r="137">
          <cell r="E137">
            <v>248</v>
          </cell>
          <cell r="G137">
            <v>36208</v>
          </cell>
          <cell r="J137">
            <v>252</v>
          </cell>
          <cell r="L137">
            <v>118440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224382</v>
          </cell>
          <cell r="V137">
            <v>224382</v>
          </cell>
          <cell r="W137">
            <v>0</v>
          </cell>
        </row>
        <row r="138">
          <cell r="E138">
            <v>287</v>
          </cell>
          <cell r="G138">
            <v>41902</v>
          </cell>
          <cell r="J138">
            <v>474</v>
          </cell>
          <cell r="L138">
            <v>340920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452556</v>
          </cell>
          <cell r="V138">
            <v>472556</v>
          </cell>
          <cell r="W138">
            <v>0</v>
          </cell>
        </row>
        <row r="139">
          <cell r="E139">
            <v>607</v>
          </cell>
          <cell r="G139">
            <v>88622</v>
          </cell>
          <cell r="J139">
            <v>467</v>
          </cell>
          <cell r="L139">
            <v>690120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850278</v>
          </cell>
          <cell r="V139">
            <v>855278</v>
          </cell>
          <cell r="W139">
            <v>0</v>
          </cell>
        </row>
        <row r="140">
          <cell r="E140">
            <v>424</v>
          </cell>
          <cell r="G140">
            <v>61904</v>
          </cell>
          <cell r="J140">
            <v>235</v>
          </cell>
          <cell r="L140">
            <v>189000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322440</v>
          </cell>
          <cell r="V140">
            <v>327440</v>
          </cell>
          <cell r="W140">
            <v>0</v>
          </cell>
        </row>
        <row r="141">
          <cell r="E141">
            <v>386</v>
          </cell>
          <cell r="G141">
            <v>56356</v>
          </cell>
          <cell r="J141">
            <v>164</v>
          </cell>
          <cell r="L141">
            <v>74520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202412</v>
          </cell>
          <cell r="V141">
            <v>207412</v>
          </cell>
          <cell r="W141">
            <v>0</v>
          </cell>
        </row>
        <row r="142">
          <cell r="E142">
            <v>427</v>
          </cell>
          <cell r="G142">
            <v>62342</v>
          </cell>
          <cell r="J142">
            <v>225</v>
          </cell>
          <cell r="L142">
            <v>167400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301278</v>
          </cell>
          <cell r="V142">
            <v>306278</v>
          </cell>
          <cell r="W142">
            <v>0</v>
          </cell>
        </row>
        <row r="143">
          <cell r="E143">
            <v>305</v>
          </cell>
          <cell r="G143">
            <v>44530</v>
          </cell>
          <cell r="J143">
            <v>121</v>
          </cell>
          <cell r="L143">
            <v>43560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159626</v>
          </cell>
          <cell r="V143">
            <v>164626</v>
          </cell>
          <cell r="W143">
            <v>0</v>
          </cell>
        </row>
        <row r="144">
          <cell r="E144">
            <v>226</v>
          </cell>
          <cell r="G144">
            <v>32996</v>
          </cell>
          <cell r="J144">
            <v>38</v>
          </cell>
          <cell r="L144">
            <v>13680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118212</v>
          </cell>
          <cell r="V144">
            <v>123212</v>
          </cell>
          <cell r="W144">
            <v>0</v>
          </cell>
        </row>
        <row r="145">
          <cell r="E145">
            <v>229</v>
          </cell>
          <cell r="G145">
            <v>33434</v>
          </cell>
          <cell r="J145">
            <v>15</v>
          </cell>
          <cell r="L145">
            <v>5400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110370</v>
          </cell>
          <cell r="V145">
            <v>115370</v>
          </cell>
          <cell r="W145">
            <v>0</v>
          </cell>
        </row>
        <row r="146">
          <cell r="E146">
            <v>216</v>
          </cell>
          <cell r="G146">
            <v>31536</v>
          </cell>
          <cell r="J146">
            <v>65</v>
          </cell>
          <cell r="L146">
            <v>23400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126472</v>
          </cell>
          <cell r="V146">
            <v>131472</v>
          </cell>
          <cell r="W146">
            <v>0</v>
          </cell>
        </row>
        <row r="147">
          <cell r="E147">
            <v>254</v>
          </cell>
          <cell r="G147">
            <v>37084</v>
          </cell>
          <cell r="J147">
            <v>27</v>
          </cell>
          <cell r="L147">
            <v>9720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118340</v>
          </cell>
          <cell r="V147">
            <v>123340</v>
          </cell>
          <cell r="W147">
            <v>0</v>
          </cell>
        </row>
        <row r="148">
          <cell r="E148">
            <v>328</v>
          </cell>
          <cell r="G148">
            <v>47888</v>
          </cell>
          <cell r="J148">
            <v>100</v>
          </cell>
          <cell r="L148">
            <v>36000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155424</v>
          </cell>
          <cell r="V148">
            <v>160424</v>
          </cell>
          <cell r="W148">
            <v>0</v>
          </cell>
        </row>
        <row r="149">
          <cell r="E149">
            <v>494</v>
          </cell>
          <cell r="G149">
            <v>72124</v>
          </cell>
          <cell r="J149">
            <v>286</v>
          </cell>
          <cell r="L149">
            <v>299160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442820</v>
          </cell>
          <cell r="V149">
            <v>447820</v>
          </cell>
          <cell r="W149">
            <v>0</v>
          </cell>
        </row>
        <row r="150">
          <cell r="E150">
            <v>458</v>
          </cell>
          <cell r="G150">
            <v>66868</v>
          </cell>
          <cell r="J150">
            <v>118</v>
          </cell>
          <cell r="L150">
            <v>42480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180884</v>
          </cell>
          <cell r="V150">
            <v>187884</v>
          </cell>
          <cell r="W150">
            <v>0</v>
          </cell>
        </row>
        <row r="151">
          <cell r="E151">
            <v>828</v>
          </cell>
          <cell r="G151">
            <v>120888</v>
          </cell>
          <cell r="J151">
            <v>393</v>
          </cell>
          <cell r="L151">
            <v>530280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725563</v>
          </cell>
          <cell r="V151">
            <v>732563</v>
          </cell>
          <cell r="W151">
            <v>0</v>
          </cell>
        </row>
        <row r="152">
          <cell r="E152">
            <v>812</v>
          </cell>
          <cell r="G152">
            <v>118552</v>
          </cell>
          <cell r="J152">
            <v>362</v>
          </cell>
          <cell r="L152">
            <v>463320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656267</v>
          </cell>
          <cell r="V152">
            <v>663267</v>
          </cell>
          <cell r="W152">
            <v>0</v>
          </cell>
        </row>
        <row r="153">
          <cell r="E153">
            <v>680</v>
          </cell>
          <cell r="G153">
            <v>99280</v>
          </cell>
          <cell r="J153">
            <v>256</v>
          </cell>
          <cell r="L153">
            <v>234360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408035</v>
          </cell>
          <cell r="V153">
            <v>419994</v>
          </cell>
          <cell r="W153">
            <v>0</v>
          </cell>
        </row>
        <row r="154">
          <cell r="E154">
            <v>607</v>
          </cell>
          <cell r="G154">
            <v>88622</v>
          </cell>
          <cell r="J154">
            <v>194</v>
          </cell>
          <cell r="L154">
            <v>106920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269937</v>
          </cell>
          <cell r="V154">
            <v>281896</v>
          </cell>
          <cell r="W154">
            <v>0</v>
          </cell>
        </row>
        <row r="155">
          <cell r="E155">
            <v>637</v>
          </cell>
          <cell r="G155">
            <v>93002</v>
          </cell>
          <cell r="J155">
            <v>95</v>
          </cell>
          <cell r="L155">
            <v>34200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201597</v>
          </cell>
          <cell r="V155">
            <v>213556</v>
          </cell>
          <cell r="W155">
            <v>0</v>
          </cell>
        </row>
        <row r="156">
          <cell r="E156">
            <v>738</v>
          </cell>
          <cell r="G156">
            <v>107748</v>
          </cell>
          <cell r="J156">
            <v>79</v>
          </cell>
          <cell r="L156">
            <v>28440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210583</v>
          </cell>
          <cell r="V156">
            <v>222542</v>
          </cell>
          <cell r="W156">
            <v>0</v>
          </cell>
        </row>
        <row r="157">
          <cell r="E157">
            <v>678</v>
          </cell>
          <cell r="G157">
            <v>98988</v>
          </cell>
          <cell r="J157">
            <v>44</v>
          </cell>
          <cell r="L157">
            <v>15840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189223</v>
          </cell>
          <cell r="V157">
            <v>0</v>
          </cell>
          <cell r="W157">
            <v>201182</v>
          </cell>
        </row>
        <row r="158">
          <cell r="E158">
            <v>732</v>
          </cell>
          <cell r="G158">
            <v>106872</v>
          </cell>
          <cell r="J158">
            <v>51</v>
          </cell>
          <cell r="L158">
            <v>18360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199627</v>
          </cell>
          <cell r="V158">
            <v>412768</v>
          </cell>
          <cell r="W158">
            <v>0</v>
          </cell>
        </row>
        <row r="159">
          <cell r="E159">
            <v>886</v>
          </cell>
          <cell r="G159">
            <v>129356</v>
          </cell>
          <cell r="J159">
            <v>101</v>
          </cell>
          <cell r="L159">
            <v>36360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240111</v>
          </cell>
          <cell r="V159">
            <v>252070</v>
          </cell>
          <cell r="W159">
            <v>0</v>
          </cell>
        </row>
        <row r="160">
          <cell r="E160">
            <v>759</v>
          </cell>
          <cell r="G160">
            <v>110814</v>
          </cell>
          <cell r="J160">
            <v>55</v>
          </cell>
          <cell r="L160">
            <v>19800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205009</v>
          </cell>
          <cell r="V160">
            <v>216968</v>
          </cell>
          <cell r="W160">
            <v>0</v>
          </cell>
        </row>
        <row r="161">
          <cell r="E161">
            <v>919</v>
          </cell>
          <cell r="G161">
            <v>134174</v>
          </cell>
          <cell r="J161">
            <v>91</v>
          </cell>
          <cell r="L161">
            <v>32760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241329</v>
          </cell>
          <cell r="V161">
            <v>253288</v>
          </cell>
          <cell r="W161">
            <v>0</v>
          </cell>
        </row>
        <row r="162">
          <cell r="E162">
            <v>1128</v>
          </cell>
          <cell r="G162">
            <v>164688</v>
          </cell>
          <cell r="J162">
            <v>148</v>
          </cell>
          <cell r="L162">
            <v>58320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297403</v>
          </cell>
          <cell r="V162">
            <v>309068</v>
          </cell>
          <cell r="W162">
            <v>0</v>
          </cell>
        </row>
        <row r="163">
          <cell r="E163">
            <v>825</v>
          </cell>
          <cell r="G163">
            <v>120450</v>
          </cell>
          <cell r="J163">
            <v>149</v>
          </cell>
          <cell r="L163">
            <v>58860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263705</v>
          </cell>
          <cell r="V163">
            <v>275370</v>
          </cell>
          <cell r="W163">
            <v>0</v>
          </cell>
        </row>
        <row r="164">
          <cell r="E164">
            <v>823</v>
          </cell>
          <cell r="G164">
            <v>120158</v>
          </cell>
          <cell r="J164">
            <v>160</v>
          </cell>
          <cell r="L164">
            <v>70200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274753</v>
          </cell>
          <cell r="V164">
            <v>286418</v>
          </cell>
          <cell r="W164">
            <v>0</v>
          </cell>
        </row>
        <row r="165">
          <cell r="E165">
            <v>921</v>
          </cell>
          <cell r="G165">
            <v>134466</v>
          </cell>
          <cell r="J165">
            <v>183</v>
          </cell>
          <cell r="L165">
            <v>95040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313901</v>
          </cell>
          <cell r="V165">
            <v>325566</v>
          </cell>
          <cell r="W165">
            <v>0</v>
          </cell>
        </row>
        <row r="166">
          <cell r="E166">
            <v>717</v>
          </cell>
          <cell r="G166">
            <v>104682</v>
          </cell>
          <cell r="J166">
            <v>82</v>
          </cell>
          <cell r="L166">
            <v>29520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218597</v>
          </cell>
          <cell r="V166">
            <v>230306</v>
          </cell>
          <cell r="W166">
            <v>0</v>
          </cell>
        </row>
        <row r="167">
          <cell r="E167">
            <v>749</v>
          </cell>
          <cell r="G167">
            <v>109354</v>
          </cell>
          <cell r="J167">
            <v>43</v>
          </cell>
          <cell r="L167">
            <v>15480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209229</v>
          </cell>
          <cell r="V167">
            <v>220938</v>
          </cell>
          <cell r="W167">
            <v>0</v>
          </cell>
        </row>
        <row r="168">
          <cell r="E168">
            <v>861</v>
          </cell>
          <cell r="G168">
            <v>125706</v>
          </cell>
          <cell r="J168">
            <v>54</v>
          </cell>
          <cell r="L168">
            <v>19440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229541</v>
          </cell>
          <cell r="V168">
            <v>241250</v>
          </cell>
          <cell r="W168">
            <v>0</v>
          </cell>
        </row>
        <row r="169">
          <cell r="E169">
            <v>704</v>
          </cell>
          <cell r="G169">
            <v>102784</v>
          </cell>
          <cell r="J169">
            <v>40</v>
          </cell>
          <cell r="L169">
            <v>14400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201579</v>
          </cell>
          <cell r="V169">
            <v>212894</v>
          </cell>
          <cell r="W169">
            <v>0</v>
          </cell>
        </row>
        <row r="170">
          <cell r="E170">
            <v>671</v>
          </cell>
          <cell r="G170">
            <v>97966</v>
          </cell>
          <cell r="J170">
            <v>35</v>
          </cell>
          <cell r="L170">
            <v>12600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194961</v>
          </cell>
          <cell r="V170">
            <v>206276</v>
          </cell>
          <cell r="W170">
            <v>0</v>
          </cell>
        </row>
        <row r="171">
          <cell r="E171">
            <v>626</v>
          </cell>
          <cell r="G171">
            <v>91396</v>
          </cell>
          <cell r="J171">
            <v>66</v>
          </cell>
          <cell r="L171">
            <v>23760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206551</v>
          </cell>
          <cell r="V171">
            <v>206551</v>
          </cell>
          <cell r="W171">
            <v>0</v>
          </cell>
        </row>
        <row r="172">
          <cell r="E172">
            <v>439</v>
          </cell>
          <cell r="G172">
            <v>64094</v>
          </cell>
          <cell r="J172">
            <v>39</v>
          </cell>
          <cell r="L172">
            <v>14040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169529</v>
          </cell>
          <cell r="V172">
            <v>169529</v>
          </cell>
          <cell r="W172">
            <v>0</v>
          </cell>
        </row>
        <row r="173">
          <cell r="E173">
            <v>621</v>
          </cell>
          <cell r="G173">
            <v>90666</v>
          </cell>
          <cell r="J173">
            <v>140</v>
          </cell>
          <cell r="L173">
            <v>54000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236061</v>
          </cell>
          <cell r="V173">
            <v>236061</v>
          </cell>
          <cell r="W173">
            <v>0</v>
          </cell>
        </row>
        <row r="174">
          <cell r="E174">
            <v>754</v>
          </cell>
          <cell r="G174">
            <v>110084</v>
          </cell>
          <cell r="J174">
            <v>163</v>
          </cell>
          <cell r="L174">
            <v>73440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274919</v>
          </cell>
          <cell r="V174">
            <v>274919</v>
          </cell>
          <cell r="W174">
            <v>0</v>
          </cell>
        </row>
      </sheetData>
      <sheetData sheetId="4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39000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78000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117000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156000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195000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234000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273000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312000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351000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390000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429000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300000</v>
          </cell>
          <cell r="W24">
            <v>168000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207000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246000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300000</v>
          </cell>
          <cell r="W27">
            <v>-15000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34447</v>
          </cell>
          <cell r="S28">
            <v>39000</v>
          </cell>
          <cell r="V28">
            <v>0</v>
          </cell>
          <cell r="W28">
            <v>58447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34530</v>
          </cell>
          <cell r="S29">
            <v>39000</v>
          </cell>
          <cell r="V29">
            <v>0</v>
          </cell>
          <cell r="W29">
            <v>131977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34634</v>
          </cell>
          <cell r="S30">
            <v>39000</v>
          </cell>
          <cell r="V30">
            <v>0</v>
          </cell>
          <cell r="W30">
            <v>205611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34566</v>
          </cell>
          <cell r="S31">
            <v>78000</v>
          </cell>
          <cell r="V31">
            <v>0</v>
          </cell>
          <cell r="W31">
            <v>279177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34455</v>
          </cell>
          <cell r="S32">
            <v>39000</v>
          </cell>
          <cell r="V32">
            <v>0</v>
          </cell>
          <cell r="W32">
            <v>391632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34398</v>
          </cell>
          <cell r="S33">
            <v>39000</v>
          </cell>
          <cell r="V33">
            <v>0</v>
          </cell>
          <cell r="W33">
            <v>465030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34532</v>
          </cell>
          <cell r="S34">
            <v>39000</v>
          </cell>
          <cell r="V34">
            <v>0</v>
          </cell>
          <cell r="W34">
            <v>538562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34815</v>
          </cell>
          <cell r="S35">
            <v>39000</v>
          </cell>
          <cell r="V35">
            <v>0</v>
          </cell>
          <cell r="W35">
            <v>612377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34979</v>
          </cell>
          <cell r="S36">
            <v>39000</v>
          </cell>
          <cell r="V36">
            <v>0</v>
          </cell>
          <cell r="W36">
            <v>686356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35109</v>
          </cell>
          <cell r="S37">
            <v>39000</v>
          </cell>
          <cell r="V37">
            <v>0</v>
          </cell>
          <cell r="W37">
            <v>760465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35300</v>
          </cell>
          <cell r="S38">
            <v>39000</v>
          </cell>
          <cell r="V38">
            <v>0</v>
          </cell>
          <cell r="W38">
            <v>834765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35435</v>
          </cell>
          <cell r="S39">
            <v>39000</v>
          </cell>
          <cell r="V39">
            <v>0</v>
          </cell>
          <cell r="W39">
            <v>909200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35718</v>
          </cell>
          <cell r="S40">
            <v>39000</v>
          </cell>
          <cell r="V40">
            <v>0</v>
          </cell>
          <cell r="W40">
            <v>983918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35947</v>
          </cell>
          <cell r="S41">
            <v>39000</v>
          </cell>
          <cell r="V41">
            <v>0</v>
          </cell>
          <cell r="W41">
            <v>1058865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35950</v>
          </cell>
          <cell r="S42">
            <v>39000</v>
          </cell>
          <cell r="V42">
            <v>0</v>
          </cell>
          <cell r="W42">
            <v>1133815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35852</v>
          </cell>
          <cell r="S43">
            <v>39000</v>
          </cell>
          <cell r="V43">
            <v>0</v>
          </cell>
          <cell r="W43">
            <v>1208667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35845</v>
          </cell>
          <cell r="S44">
            <v>39000</v>
          </cell>
          <cell r="V44">
            <v>0</v>
          </cell>
          <cell r="W44">
            <v>1283512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35831</v>
          </cell>
          <cell r="S45">
            <v>39000</v>
          </cell>
          <cell r="V45">
            <v>0</v>
          </cell>
          <cell r="W45">
            <v>1358343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35971</v>
          </cell>
          <cell r="S46">
            <v>39000</v>
          </cell>
          <cell r="V46">
            <v>0</v>
          </cell>
          <cell r="W46">
            <v>1433314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36189</v>
          </cell>
          <cell r="S47">
            <v>39000</v>
          </cell>
          <cell r="V47">
            <v>0</v>
          </cell>
          <cell r="W47">
            <v>1508503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36303</v>
          </cell>
          <cell r="S48">
            <v>39000</v>
          </cell>
          <cell r="V48">
            <v>0</v>
          </cell>
          <cell r="W48">
            <v>1583806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36479</v>
          </cell>
          <cell r="S49">
            <v>39000</v>
          </cell>
          <cell r="V49">
            <v>0</v>
          </cell>
          <cell r="W49">
            <v>1659285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36672</v>
          </cell>
          <cell r="S50">
            <v>39000</v>
          </cell>
          <cell r="V50">
            <v>0</v>
          </cell>
          <cell r="W50">
            <v>1734957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36802</v>
          </cell>
          <cell r="S51">
            <v>39000</v>
          </cell>
          <cell r="V51">
            <v>0</v>
          </cell>
          <cell r="W51">
            <v>1810759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36835</v>
          </cell>
          <cell r="S52">
            <v>39000</v>
          </cell>
          <cell r="V52">
            <v>0</v>
          </cell>
          <cell r="W52">
            <v>1886594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36758</v>
          </cell>
          <cell r="S53">
            <v>39000</v>
          </cell>
          <cell r="V53">
            <v>0</v>
          </cell>
          <cell r="W53">
            <v>1962352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36673</v>
          </cell>
          <cell r="S54">
            <v>46000</v>
          </cell>
          <cell r="V54">
            <v>0</v>
          </cell>
          <cell r="W54">
            <v>2045025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36677</v>
          </cell>
          <cell r="S55">
            <v>46000</v>
          </cell>
          <cell r="V55">
            <v>0</v>
          </cell>
          <cell r="W55">
            <v>2127702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36763</v>
          </cell>
          <cell r="S56">
            <v>46000</v>
          </cell>
          <cell r="V56">
            <v>0</v>
          </cell>
          <cell r="W56">
            <v>2210465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36746</v>
          </cell>
          <cell r="S57">
            <v>46000</v>
          </cell>
          <cell r="V57">
            <v>0</v>
          </cell>
          <cell r="W57">
            <v>2293211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36827</v>
          </cell>
          <cell r="S58">
            <v>46000</v>
          </cell>
          <cell r="V58">
            <v>0</v>
          </cell>
          <cell r="W58">
            <v>2376038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37028</v>
          </cell>
          <cell r="S59">
            <v>46000</v>
          </cell>
          <cell r="V59">
            <v>0</v>
          </cell>
          <cell r="W59">
            <v>2459066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37248</v>
          </cell>
          <cell r="S60">
            <v>46000</v>
          </cell>
          <cell r="V60">
            <v>0</v>
          </cell>
          <cell r="W60">
            <v>2542314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37553</v>
          </cell>
          <cell r="S61">
            <v>46000</v>
          </cell>
          <cell r="V61">
            <v>0</v>
          </cell>
          <cell r="W61">
            <v>2625867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37945</v>
          </cell>
          <cell r="S62">
            <v>46000</v>
          </cell>
          <cell r="V62">
            <v>0</v>
          </cell>
          <cell r="W62">
            <v>2709812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38358</v>
          </cell>
          <cell r="S63">
            <v>46000</v>
          </cell>
          <cell r="V63">
            <v>0</v>
          </cell>
          <cell r="W63">
            <v>2794170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38784</v>
          </cell>
          <cell r="S64">
            <v>46000</v>
          </cell>
          <cell r="V64">
            <v>0</v>
          </cell>
          <cell r="W64">
            <v>2878954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38989</v>
          </cell>
          <cell r="S65">
            <v>46000</v>
          </cell>
          <cell r="V65">
            <v>0</v>
          </cell>
          <cell r="W65">
            <v>2963943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39245</v>
          </cell>
          <cell r="S66">
            <v>46000</v>
          </cell>
          <cell r="V66">
            <v>0</v>
          </cell>
          <cell r="W66">
            <v>3049188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39476</v>
          </cell>
          <cell r="S67">
            <v>46000</v>
          </cell>
          <cell r="V67">
            <v>0</v>
          </cell>
          <cell r="W67">
            <v>3134664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39533</v>
          </cell>
          <cell r="S68">
            <v>46000</v>
          </cell>
          <cell r="V68">
            <v>0</v>
          </cell>
          <cell r="W68">
            <v>3220197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39645</v>
          </cell>
          <cell r="S69">
            <v>46000</v>
          </cell>
          <cell r="V69">
            <v>0</v>
          </cell>
          <cell r="W69">
            <v>3305842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39913</v>
          </cell>
          <cell r="S70">
            <v>46000</v>
          </cell>
          <cell r="V70">
            <v>0</v>
          </cell>
          <cell r="W70">
            <v>3391755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40122</v>
          </cell>
          <cell r="S71">
            <v>46000</v>
          </cell>
          <cell r="V71">
            <v>0</v>
          </cell>
          <cell r="W71">
            <v>3477877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40505</v>
          </cell>
          <cell r="S72">
            <v>46000</v>
          </cell>
          <cell r="V72">
            <v>0</v>
          </cell>
          <cell r="W72">
            <v>3564382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41082</v>
          </cell>
          <cell r="S73">
            <v>46000</v>
          </cell>
          <cell r="V73">
            <v>0</v>
          </cell>
          <cell r="W73">
            <v>3651464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41582</v>
          </cell>
          <cell r="S74">
            <v>46000</v>
          </cell>
          <cell r="V74">
            <v>0</v>
          </cell>
          <cell r="W74">
            <v>3739046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41977</v>
          </cell>
          <cell r="S75">
            <v>46000</v>
          </cell>
          <cell r="V75">
            <v>0</v>
          </cell>
          <cell r="W75">
            <v>3827023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42418</v>
          </cell>
          <cell r="S76">
            <v>46000</v>
          </cell>
          <cell r="V76">
            <v>0</v>
          </cell>
          <cell r="W76">
            <v>3915441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4004261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4093166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4181693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4269841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4357761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4445749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4533728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4621594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4719511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4807346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4895015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4982929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5070964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5158850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5265586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5372427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5479424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5586487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5693712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5791116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555000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610000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665000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720000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775000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830000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1112</v>
          </cell>
          <cell r="S103">
            <v>57762</v>
          </cell>
          <cell r="V103">
            <v>0</v>
          </cell>
          <cell r="W103">
            <v>887762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987466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1087273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1187346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1287616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1388046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1488590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1589191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1689866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1790724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1891801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1993039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2096715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2200500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2304426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2408467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2512568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2616682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2720699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2824677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2928718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3033043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3137664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3242205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3347554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3465253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3570726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3676340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3781846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3887285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3992919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4098730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4204646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4310754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4416961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4523314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4631721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4740274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4849024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4958107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5067506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5177089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5286750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5396493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109872</v>
          </cell>
          <cell r="V147">
            <v>5506365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61536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61536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61536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64395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64395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64395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64395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64395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64395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64395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64395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64395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74395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74395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74395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100000</v>
          </cell>
          <cell r="W167">
            <v>-25605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100000</v>
          </cell>
          <cell r="W168">
            <v>-51210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0</v>
          </cell>
          <cell r="W169">
            <v>23185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97580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74395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74395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74395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5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33872</v>
          </cell>
          <cell r="S23">
            <v>39000</v>
          </cell>
          <cell r="V23">
            <v>0</v>
          </cell>
          <cell r="W23">
            <v>72872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34030</v>
          </cell>
          <cell r="S24">
            <v>39000</v>
          </cell>
          <cell r="V24">
            <v>0</v>
          </cell>
          <cell r="W24">
            <v>145902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34178</v>
          </cell>
          <cell r="S25">
            <v>39000</v>
          </cell>
          <cell r="V25">
            <v>0</v>
          </cell>
          <cell r="W25">
            <v>219080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34266</v>
          </cell>
          <cell r="S26">
            <v>39000</v>
          </cell>
          <cell r="V26">
            <v>0</v>
          </cell>
          <cell r="W26">
            <v>292346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34382</v>
          </cell>
          <cell r="S27">
            <v>39000</v>
          </cell>
          <cell r="V27">
            <v>0</v>
          </cell>
          <cell r="W27">
            <v>365728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34447</v>
          </cell>
          <cell r="S28">
            <v>39000</v>
          </cell>
          <cell r="V28">
            <v>0</v>
          </cell>
          <cell r="W28">
            <v>439175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34530</v>
          </cell>
          <cell r="S29">
            <v>39000</v>
          </cell>
          <cell r="V29">
            <v>0</v>
          </cell>
          <cell r="W29">
            <v>512705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34634</v>
          </cell>
          <cell r="S30">
            <v>39000</v>
          </cell>
          <cell r="V30">
            <v>0</v>
          </cell>
          <cell r="W30">
            <v>586339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34566</v>
          </cell>
          <cell r="S31">
            <v>78000</v>
          </cell>
          <cell r="V31">
            <v>0</v>
          </cell>
          <cell r="W31">
            <v>698905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39000</v>
          </cell>
          <cell r="P32">
            <v>0</v>
          </cell>
          <cell r="Q32">
            <v>39000</v>
          </cell>
          <cell r="R32">
            <v>34455</v>
          </cell>
          <cell r="S32">
            <v>39000</v>
          </cell>
          <cell r="V32">
            <v>0</v>
          </cell>
          <cell r="W32">
            <v>772360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34398</v>
          </cell>
          <cell r="S33">
            <v>39000</v>
          </cell>
          <cell r="V33">
            <v>0</v>
          </cell>
          <cell r="W33">
            <v>845758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34532</v>
          </cell>
          <cell r="S34">
            <v>39000</v>
          </cell>
          <cell r="V34">
            <v>0</v>
          </cell>
          <cell r="W34">
            <v>919290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34815</v>
          </cell>
          <cell r="S35">
            <v>39000</v>
          </cell>
          <cell r="V35">
            <v>0</v>
          </cell>
          <cell r="W35">
            <v>993105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34979</v>
          </cell>
          <cell r="S36">
            <v>39000</v>
          </cell>
          <cell r="V36">
            <v>0</v>
          </cell>
          <cell r="W36">
            <v>1067084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35109</v>
          </cell>
          <cell r="S37">
            <v>39000</v>
          </cell>
          <cell r="V37">
            <v>0</v>
          </cell>
          <cell r="W37">
            <v>1141193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35300</v>
          </cell>
          <cell r="S38">
            <v>39000</v>
          </cell>
          <cell r="V38">
            <v>0</v>
          </cell>
          <cell r="W38">
            <v>1215493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35435</v>
          </cell>
          <cell r="S39">
            <v>39000</v>
          </cell>
          <cell r="V39">
            <v>0</v>
          </cell>
          <cell r="W39">
            <v>1289928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35718</v>
          </cell>
          <cell r="S40">
            <v>39000</v>
          </cell>
          <cell r="V40">
            <v>0</v>
          </cell>
          <cell r="W40">
            <v>1364646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35947</v>
          </cell>
          <cell r="S41">
            <v>39000</v>
          </cell>
          <cell r="V41">
            <v>0</v>
          </cell>
          <cell r="W41">
            <v>1439593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35950</v>
          </cell>
          <cell r="S42">
            <v>39000</v>
          </cell>
          <cell r="V42">
            <v>0</v>
          </cell>
          <cell r="W42">
            <v>1514543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35852</v>
          </cell>
          <cell r="S43">
            <v>39000</v>
          </cell>
          <cell r="V43">
            <v>0</v>
          </cell>
          <cell r="W43">
            <v>1589395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35845</v>
          </cell>
          <cell r="S44">
            <v>39000</v>
          </cell>
          <cell r="V44">
            <v>0</v>
          </cell>
          <cell r="W44">
            <v>1664240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35831</v>
          </cell>
          <cell r="S45">
            <v>39000</v>
          </cell>
          <cell r="V45">
            <v>0</v>
          </cell>
          <cell r="W45">
            <v>1739071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35971</v>
          </cell>
          <cell r="S46">
            <v>39000</v>
          </cell>
          <cell r="V46">
            <v>0</v>
          </cell>
          <cell r="W46">
            <v>1814042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36189</v>
          </cell>
          <cell r="S47">
            <v>39000</v>
          </cell>
          <cell r="V47">
            <v>0</v>
          </cell>
          <cell r="W47">
            <v>1889231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36303</v>
          </cell>
          <cell r="S48">
            <v>39000</v>
          </cell>
          <cell r="V48">
            <v>0</v>
          </cell>
          <cell r="W48">
            <v>1964534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36479</v>
          </cell>
          <cell r="S49">
            <v>39000</v>
          </cell>
          <cell r="V49">
            <v>0</v>
          </cell>
          <cell r="W49">
            <v>2040013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36672</v>
          </cell>
          <cell r="S50">
            <v>39000</v>
          </cell>
          <cell r="V50">
            <v>0</v>
          </cell>
          <cell r="W50">
            <v>2115685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36802</v>
          </cell>
          <cell r="S51">
            <v>39000</v>
          </cell>
          <cell r="V51">
            <v>0</v>
          </cell>
          <cell r="W51">
            <v>2191487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36835</v>
          </cell>
          <cell r="S52">
            <v>39000</v>
          </cell>
          <cell r="V52">
            <v>0</v>
          </cell>
          <cell r="W52">
            <v>2267322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36758</v>
          </cell>
          <cell r="S53">
            <v>39000</v>
          </cell>
          <cell r="V53">
            <v>0</v>
          </cell>
          <cell r="W53">
            <v>2343080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36673</v>
          </cell>
          <cell r="S54">
            <v>46000</v>
          </cell>
          <cell r="V54">
            <v>0</v>
          </cell>
          <cell r="W54">
            <v>2425753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36677</v>
          </cell>
          <cell r="S55">
            <v>46000</v>
          </cell>
          <cell r="V55">
            <v>0</v>
          </cell>
          <cell r="W55">
            <v>2508430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36763</v>
          </cell>
          <cell r="S56">
            <v>46000</v>
          </cell>
          <cell r="V56">
            <v>0</v>
          </cell>
          <cell r="W56">
            <v>2591193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36746</v>
          </cell>
          <cell r="S57">
            <v>46000</v>
          </cell>
          <cell r="V57">
            <v>0</v>
          </cell>
          <cell r="W57">
            <v>2673939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36827</v>
          </cell>
          <cell r="S58">
            <v>46000</v>
          </cell>
          <cell r="V58">
            <v>0</v>
          </cell>
          <cell r="W58">
            <v>2756766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37028</v>
          </cell>
          <cell r="S59">
            <v>46000</v>
          </cell>
          <cell r="V59">
            <v>0</v>
          </cell>
          <cell r="W59">
            <v>2839794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37248</v>
          </cell>
          <cell r="S60">
            <v>46000</v>
          </cell>
          <cell r="V60">
            <v>0</v>
          </cell>
          <cell r="W60">
            <v>2923042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37553</v>
          </cell>
          <cell r="S61">
            <v>46000</v>
          </cell>
          <cell r="V61">
            <v>0</v>
          </cell>
          <cell r="W61">
            <v>3006595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37945</v>
          </cell>
          <cell r="S62">
            <v>46000</v>
          </cell>
          <cell r="V62">
            <v>0</v>
          </cell>
          <cell r="W62">
            <v>3090540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38358</v>
          </cell>
          <cell r="S63">
            <v>46000</v>
          </cell>
          <cell r="V63">
            <v>0</v>
          </cell>
          <cell r="W63">
            <v>3174898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38784</v>
          </cell>
          <cell r="S64">
            <v>46000</v>
          </cell>
          <cell r="V64">
            <v>0</v>
          </cell>
          <cell r="W64">
            <v>3259682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38989</v>
          </cell>
          <cell r="S65">
            <v>46000</v>
          </cell>
          <cell r="V65">
            <v>0</v>
          </cell>
          <cell r="W65">
            <v>3344671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39245</v>
          </cell>
          <cell r="S66">
            <v>46000</v>
          </cell>
          <cell r="V66">
            <v>0</v>
          </cell>
          <cell r="W66">
            <v>3429916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39476</v>
          </cell>
          <cell r="S67">
            <v>46000</v>
          </cell>
          <cell r="V67">
            <v>0</v>
          </cell>
          <cell r="W67">
            <v>3515392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39533</v>
          </cell>
          <cell r="S68">
            <v>46000</v>
          </cell>
          <cell r="V68">
            <v>0</v>
          </cell>
          <cell r="W68">
            <v>3600925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39645</v>
          </cell>
          <cell r="S69">
            <v>46000</v>
          </cell>
          <cell r="V69">
            <v>0</v>
          </cell>
          <cell r="W69">
            <v>3686570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39913</v>
          </cell>
          <cell r="S70">
            <v>46000</v>
          </cell>
          <cell r="V70">
            <v>0</v>
          </cell>
          <cell r="W70">
            <v>3772483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40122</v>
          </cell>
          <cell r="S71">
            <v>46000</v>
          </cell>
          <cell r="V71">
            <v>0</v>
          </cell>
          <cell r="W71">
            <v>3858605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40505</v>
          </cell>
          <cell r="S72">
            <v>46000</v>
          </cell>
          <cell r="V72">
            <v>0</v>
          </cell>
          <cell r="W72">
            <v>3945110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41082</v>
          </cell>
          <cell r="S73">
            <v>46000</v>
          </cell>
          <cell r="V73">
            <v>0</v>
          </cell>
          <cell r="W73">
            <v>4032192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41582</v>
          </cell>
          <cell r="S74">
            <v>46000</v>
          </cell>
          <cell r="V74">
            <v>0</v>
          </cell>
          <cell r="W74">
            <v>4119774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41977</v>
          </cell>
          <cell r="S75">
            <v>46000</v>
          </cell>
          <cell r="V75">
            <v>0</v>
          </cell>
          <cell r="W75">
            <v>4207751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42418</v>
          </cell>
          <cell r="S76">
            <v>46000</v>
          </cell>
          <cell r="V76">
            <v>0</v>
          </cell>
          <cell r="W76">
            <v>4296169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42820</v>
          </cell>
          <cell r="S77">
            <v>46000</v>
          </cell>
          <cell r="V77">
            <v>0</v>
          </cell>
          <cell r="W77">
            <v>4384989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42905</v>
          </cell>
          <cell r="S78">
            <v>46000</v>
          </cell>
          <cell r="V78">
            <v>0</v>
          </cell>
          <cell r="W78">
            <v>4473894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42527</v>
          </cell>
          <cell r="S79">
            <v>46000</v>
          </cell>
          <cell r="V79">
            <v>0</v>
          </cell>
          <cell r="W79">
            <v>4562421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42148</v>
          </cell>
          <cell r="S80">
            <v>46000</v>
          </cell>
          <cell r="V80">
            <v>0</v>
          </cell>
          <cell r="W80">
            <v>4650569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41920</v>
          </cell>
          <cell r="S81">
            <v>46000</v>
          </cell>
          <cell r="V81">
            <v>0</v>
          </cell>
          <cell r="W81">
            <v>4738489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41988</v>
          </cell>
          <cell r="S82">
            <v>46000</v>
          </cell>
          <cell r="V82">
            <v>0</v>
          </cell>
          <cell r="W82">
            <v>4826477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41979</v>
          </cell>
          <cell r="S83">
            <v>46000</v>
          </cell>
          <cell r="V83">
            <v>0</v>
          </cell>
          <cell r="W83">
            <v>4914456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41866</v>
          </cell>
          <cell r="S84">
            <v>46000</v>
          </cell>
          <cell r="V84">
            <v>0</v>
          </cell>
          <cell r="W84">
            <v>5002322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41917</v>
          </cell>
          <cell r="S85">
            <v>56000</v>
          </cell>
          <cell r="V85">
            <v>0</v>
          </cell>
          <cell r="W85">
            <v>5100239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41835</v>
          </cell>
          <cell r="S86">
            <v>46000</v>
          </cell>
          <cell r="V86">
            <v>0</v>
          </cell>
          <cell r="W86">
            <v>5188074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41669</v>
          </cell>
          <cell r="S87">
            <v>46000</v>
          </cell>
          <cell r="V87">
            <v>0</v>
          </cell>
          <cell r="W87">
            <v>5275743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41914</v>
          </cell>
          <cell r="S88">
            <v>46000</v>
          </cell>
          <cell r="V88">
            <v>0</v>
          </cell>
          <cell r="W88">
            <v>5363657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42035</v>
          </cell>
          <cell r="S89">
            <v>46000</v>
          </cell>
          <cell r="V89">
            <v>0</v>
          </cell>
          <cell r="W89">
            <v>5451692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41886</v>
          </cell>
          <cell r="S90">
            <v>46000</v>
          </cell>
          <cell r="V90">
            <v>0</v>
          </cell>
          <cell r="W90">
            <v>5539578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10000</v>
          </cell>
          <cell r="P91">
            <v>0</v>
          </cell>
          <cell r="Q91">
            <v>55000</v>
          </cell>
          <cell r="R91">
            <v>41736</v>
          </cell>
          <cell r="S91">
            <v>65000</v>
          </cell>
          <cell r="V91">
            <v>0</v>
          </cell>
          <cell r="W91">
            <v>5646314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10000</v>
          </cell>
          <cell r="P92">
            <v>0</v>
          </cell>
          <cell r="Q92">
            <v>55000</v>
          </cell>
          <cell r="R92">
            <v>41841</v>
          </cell>
          <cell r="S92">
            <v>65000</v>
          </cell>
          <cell r="V92">
            <v>0</v>
          </cell>
          <cell r="W92">
            <v>5753155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10000</v>
          </cell>
          <cell r="P93">
            <v>0</v>
          </cell>
          <cell r="Q93">
            <v>55000</v>
          </cell>
          <cell r="R93">
            <v>41997</v>
          </cell>
          <cell r="S93">
            <v>65000</v>
          </cell>
          <cell r="V93">
            <v>0</v>
          </cell>
          <cell r="W93">
            <v>5860152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10000</v>
          </cell>
          <cell r="P94">
            <v>0</v>
          </cell>
          <cell r="Q94">
            <v>55000</v>
          </cell>
          <cell r="R94">
            <v>42063</v>
          </cell>
          <cell r="S94">
            <v>65000</v>
          </cell>
          <cell r="V94">
            <v>0</v>
          </cell>
          <cell r="W94">
            <v>5967215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10000</v>
          </cell>
          <cell r="P95">
            <v>0</v>
          </cell>
          <cell r="Q95">
            <v>55000</v>
          </cell>
          <cell r="R95">
            <v>42225</v>
          </cell>
          <cell r="S95">
            <v>65000</v>
          </cell>
          <cell r="V95">
            <v>0</v>
          </cell>
          <cell r="W95">
            <v>6074440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42404</v>
          </cell>
          <cell r="S96">
            <v>55000</v>
          </cell>
          <cell r="V96">
            <v>0</v>
          </cell>
          <cell r="W96">
            <v>6171844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42455</v>
          </cell>
          <cell r="S97">
            <v>97455</v>
          </cell>
          <cell r="V97">
            <v>0</v>
          </cell>
          <cell r="W97">
            <v>6269299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42636</v>
          </cell>
          <cell r="S98">
            <v>97636</v>
          </cell>
          <cell r="V98">
            <v>0</v>
          </cell>
          <cell r="W98">
            <v>6366935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42680</v>
          </cell>
          <cell r="S99">
            <v>97680</v>
          </cell>
          <cell r="V99">
            <v>0</v>
          </cell>
          <cell r="W99">
            <v>6464615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42788</v>
          </cell>
          <cell r="S100">
            <v>97788</v>
          </cell>
          <cell r="V100">
            <v>0</v>
          </cell>
          <cell r="W100">
            <v>6562403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42868</v>
          </cell>
          <cell r="S101">
            <v>97868</v>
          </cell>
          <cell r="V101">
            <v>0</v>
          </cell>
          <cell r="W101">
            <v>6660271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42911</v>
          </cell>
          <cell r="S102">
            <v>97911</v>
          </cell>
          <cell r="V102">
            <v>0</v>
          </cell>
          <cell r="W102">
            <v>6758182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42954</v>
          </cell>
          <cell r="S103">
            <v>99604</v>
          </cell>
          <cell r="V103">
            <v>0</v>
          </cell>
          <cell r="W103">
            <v>6857786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43054</v>
          </cell>
          <cell r="S104">
            <v>99704</v>
          </cell>
          <cell r="V104">
            <v>0</v>
          </cell>
          <cell r="W104">
            <v>6957490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43157</v>
          </cell>
          <cell r="S105">
            <v>99807</v>
          </cell>
          <cell r="V105">
            <v>0</v>
          </cell>
          <cell r="W105">
            <v>7057297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43423</v>
          </cell>
          <cell r="S106">
            <v>100073</v>
          </cell>
          <cell r="V106">
            <v>0</v>
          </cell>
          <cell r="W106">
            <v>7157370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43620</v>
          </cell>
          <cell r="S107">
            <v>100270</v>
          </cell>
          <cell r="V107">
            <v>0</v>
          </cell>
          <cell r="W107">
            <v>7257640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7358070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7458614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7559215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7659890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44208</v>
          </cell>
          <cell r="S112">
            <v>100858</v>
          </cell>
          <cell r="V112">
            <v>0</v>
          </cell>
          <cell r="W112">
            <v>7760748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44427</v>
          </cell>
          <cell r="S113">
            <v>101077</v>
          </cell>
          <cell r="V113">
            <v>0</v>
          </cell>
          <cell r="W113">
            <v>7861825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44588</v>
          </cell>
          <cell r="S114">
            <v>101238</v>
          </cell>
          <cell r="V114">
            <v>0</v>
          </cell>
          <cell r="W114">
            <v>7963063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44817</v>
          </cell>
          <cell r="S115">
            <v>103676</v>
          </cell>
          <cell r="V115">
            <v>0</v>
          </cell>
          <cell r="W115">
            <v>8066739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22769</v>
          </cell>
          <cell r="S116">
            <v>81628</v>
          </cell>
          <cell r="V116">
            <v>0</v>
          </cell>
          <cell r="W116">
            <v>8148367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8207226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8266085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8324944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8383803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8442662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8501521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8560380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8619239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0</v>
          </cell>
          <cell r="W125">
            <v>8678098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8736957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8796691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8868714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0</v>
          </cell>
          <cell r="W129">
            <v>8928450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8988187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9047925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0</v>
          </cell>
          <cell r="W132">
            <v>9107664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9167404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0</v>
          </cell>
          <cell r="W134">
            <v>9227145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0</v>
          </cell>
          <cell r="W135">
            <v>9286887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9346630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0</v>
          </cell>
          <cell r="W137">
            <v>9406374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0</v>
          </cell>
          <cell r="W138">
            <v>9466119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0</v>
          </cell>
          <cell r="W139">
            <v>9527655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0</v>
          </cell>
          <cell r="W140">
            <v>9589191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9650727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61536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61536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61536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61536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61536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61536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61536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61536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61536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64395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64395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64395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64395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64395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64395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64395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64395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64395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64395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64395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64395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74395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74395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74395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74395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100000</v>
          </cell>
          <cell r="W167">
            <v>-25605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100000</v>
          </cell>
          <cell r="W168">
            <v>-51210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0</v>
          </cell>
          <cell r="W169">
            <v>23185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74395</v>
          </cell>
          <cell r="V170">
            <v>97580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74395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74395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74395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74395</v>
          </cell>
          <cell r="W174">
            <v>0</v>
          </cell>
        </row>
      </sheetData>
      <sheetData sheetId="5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117000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156000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156000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195000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234000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234000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117000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85000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92000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138000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138000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138000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92000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92000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92000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92000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92000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138000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138000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92000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101000</v>
          </cell>
          <cell r="W91">
            <v>10000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75000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110000</v>
          </cell>
          <cell r="W93">
            <v>30000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55000</v>
          </cell>
          <cell r="W94">
            <v>40000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55000</v>
          </cell>
          <cell r="W95">
            <v>50000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50000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105000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113300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113300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117718</v>
          </cell>
          <cell r="W116">
            <v>-58859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117718</v>
          </cell>
          <cell r="W118">
            <v>-58859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58859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117718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5000</v>
          </cell>
          <cell r="Q122">
            <v>58859</v>
          </cell>
          <cell r="R122">
            <v>0</v>
          </cell>
          <cell r="S122">
            <v>63859</v>
          </cell>
          <cell r="V122">
            <v>127718</v>
          </cell>
          <cell r="W122">
            <v>-63859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5000</v>
          </cell>
          <cell r="Q123">
            <v>58859</v>
          </cell>
          <cell r="R123">
            <v>0</v>
          </cell>
          <cell r="S123">
            <v>63859</v>
          </cell>
          <cell r="V123">
            <v>0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5000</v>
          </cell>
          <cell r="Q124">
            <v>58859</v>
          </cell>
          <cell r="R124">
            <v>0</v>
          </cell>
          <cell r="S124">
            <v>63859</v>
          </cell>
          <cell r="V124">
            <v>127718</v>
          </cell>
          <cell r="W124">
            <v>-63859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5000</v>
          </cell>
          <cell r="Q125">
            <v>58859</v>
          </cell>
          <cell r="R125">
            <v>0</v>
          </cell>
          <cell r="S125">
            <v>63859</v>
          </cell>
          <cell r="V125">
            <v>127718</v>
          </cell>
          <cell r="W125">
            <v>-127718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5000</v>
          </cell>
          <cell r="Q126">
            <v>58859</v>
          </cell>
          <cell r="R126">
            <v>0</v>
          </cell>
          <cell r="S126">
            <v>63859</v>
          </cell>
          <cell r="V126">
            <v>0</v>
          </cell>
          <cell r="W126">
            <v>-63859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5000</v>
          </cell>
          <cell r="Q127">
            <v>59734</v>
          </cell>
          <cell r="R127">
            <v>0</v>
          </cell>
          <cell r="S127">
            <v>64734</v>
          </cell>
          <cell r="V127">
            <v>0</v>
          </cell>
          <cell r="W127">
            <v>875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5000</v>
          </cell>
          <cell r="Q128">
            <v>59734</v>
          </cell>
          <cell r="R128">
            <v>0</v>
          </cell>
          <cell r="S128">
            <v>77022</v>
          </cell>
          <cell r="V128">
            <v>0</v>
          </cell>
          <cell r="W128">
            <v>77897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5000</v>
          </cell>
          <cell r="Q129">
            <v>59734</v>
          </cell>
          <cell r="R129">
            <v>0</v>
          </cell>
          <cell r="S129">
            <v>64734</v>
          </cell>
          <cell r="V129">
            <v>142631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69734</v>
          </cell>
          <cell r="V130">
            <v>64734</v>
          </cell>
          <cell r="W130">
            <v>5000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69734</v>
          </cell>
          <cell r="V131">
            <v>64734</v>
          </cell>
          <cell r="W131">
            <v>10000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69734</v>
          </cell>
          <cell r="V132">
            <v>64734</v>
          </cell>
          <cell r="W132">
            <v>15000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69734</v>
          </cell>
          <cell r="V133">
            <v>64734</v>
          </cell>
          <cell r="W133">
            <v>20000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69734</v>
          </cell>
          <cell r="V134">
            <v>64734</v>
          </cell>
          <cell r="W134">
            <v>25000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69734</v>
          </cell>
          <cell r="V135">
            <v>0</v>
          </cell>
          <cell r="W135">
            <v>94734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69734</v>
          </cell>
          <cell r="V136">
            <v>164468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69734</v>
          </cell>
          <cell r="V137">
            <v>0</v>
          </cell>
          <cell r="W137">
            <v>69734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89734</v>
          </cell>
          <cell r="V138">
            <v>159468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76536</v>
          </cell>
          <cell r="V139">
            <v>0</v>
          </cell>
          <cell r="W139">
            <v>76536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76536</v>
          </cell>
          <cell r="V140">
            <v>153072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76536</v>
          </cell>
          <cell r="V141">
            <v>0</v>
          </cell>
          <cell r="W141">
            <v>76536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15307</v>
          </cell>
          <cell r="S142">
            <v>91843</v>
          </cell>
          <cell r="V142">
            <v>168379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76536</v>
          </cell>
          <cell r="V143">
            <v>76536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76536</v>
          </cell>
          <cell r="V144">
            <v>0</v>
          </cell>
          <cell r="W144">
            <v>76536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76536</v>
          </cell>
          <cell r="V145">
            <v>153072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76536</v>
          </cell>
          <cell r="V146">
            <v>0</v>
          </cell>
          <cell r="W146">
            <v>76536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76536</v>
          </cell>
          <cell r="V147">
            <v>153072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76536</v>
          </cell>
          <cell r="V148">
            <v>0</v>
          </cell>
          <cell r="W148">
            <v>76536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76536</v>
          </cell>
          <cell r="V149">
            <v>153072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78536</v>
          </cell>
          <cell r="V150">
            <v>0</v>
          </cell>
          <cell r="W150">
            <v>78536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81395</v>
          </cell>
          <cell r="V151">
            <v>159931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49090</v>
          </cell>
          <cell r="S152">
            <v>130485</v>
          </cell>
          <cell r="V152">
            <v>0</v>
          </cell>
          <cell r="W152">
            <v>130485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10000</v>
          </cell>
          <cell r="Q153">
            <v>64395</v>
          </cell>
          <cell r="R153">
            <v>49246</v>
          </cell>
          <cell r="S153">
            <v>130641</v>
          </cell>
          <cell r="V153">
            <v>261126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81395</v>
          </cell>
          <cell r="V154">
            <v>71395</v>
          </cell>
          <cell r="W154">
            <v>10000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81395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0</v>
          </cell>
          <cell r="W156">
            <v>71395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142790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81395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81395</v>
          </cell>
          <cell r="W174">
            <v>0</v>
          </cell>
        </row>
      </sheetData>
      <sheetData sheetId="5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5</v>
          </cell>
          <cell r="L24">
            <v>1800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40800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15</v>
          </cell>
          <cell r="L25">
            <v>5400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44400</v>
          </cell>
          <cell r="V25">
            <v>0</v>
          </cell>
          <cell r="W25">
            <v>43320</v>
          </cell>
        </row>
        <row r="26">
          <cell r="E26">
            <v>0</v>
          </cell>
          <cell r="G26">
            <v>0</v>
          </cell>
          <cell r="J26">
            <v>12</v>
          </cell>
          <cell r="L26">
            <v>4320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43320</v>
          </cell>
          <cell r="V26">
            <v>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43320</v>
          </cell>
          <cell r="W27">
            <v>81240</v>
          </cell>
        </row>
        <row r="28">
          <cell r="E28">
            <v>0</v>
          </cell>
          <cell r="G28">
            <v>0</v>
          </cell>
          <cell r="J28">
            <v>9</v>
          </cell>
          <cell r="L28">
            <v>3240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42240</v>
          </cell>
          <cell r="V28">
            <v>0</v>
          </cell>
          <cell r="W28">
            <v>94611</v>
          </cell>
        </row>
        <row r="29">
          <cell r="E29">
            <v>0</v>
          </cell>
          <cell r="G29">
            <v>0</v>
          </cell>
          <cell r="J29">
            <v>3</v>
          </cell>
          <cell r="L29">
            <v>1080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40080</v>
          </cell>
          <cell r="V29">
            <v>26709</v>
          </cell>
          <cell r="W29">
            <v>133611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212691</v>
          </cell>
        </row>
        <row r="31">
          <cell r="E31">
            <v>0</v>
          </cell>
          <cell r="G31">
            <v>0</v>
          </cell>
          <cell r="J31">
            <v>3</v>
          </cell>
          <cell r="L31">
            <v>1080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40080</v>
          </cell>
          <cell r="V31">
            <v>0</v>
          </cell>
          <cell r="W31">
            <v>40440</v>
          </cell>
        </row>
        <row r="32">
          <cell r="E32">
            <v>0</v>
          </cell>
          <cell r="G32">
            <v>0</v>
          </cell>
          <cell r="J32">
            <v>4</v>
          </cell>
          <cell r="L32">
            <v>1440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40440</v>
          </cell>
          <cell r="V32">
            <v>212691</v>
          </cell>
          <cell r="W32">
            <v>79800</v>
          </cell>
        </row>
        <row r="33">
          <cell r="E33">
            <v>0</v>
          </cell>
          <cell r="G33">
            <v>0</v>
          </cell>
          <cell r="J33">
            <v>1</v>
          </cell>
          <cell r="L33">
            <v>360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39360</v>
          </cell>
          <cell r="V33">
            <v>0</v>
          </cell>
          <cell r="W33">
            <v>119160</v>
          </cell>
        </row>
        <row r="34">
          <cell r="E34">
            <v>0</v>
          </cell>
          <cell r="G34">
            <v>0</v>
          </cell>
          <cell r="J34">
            <v>1</v>
          </cell>
          <cell r="L34">
            <v>360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39360</v>
          </cell>
          <cell r="V34">
            <v>0</v>
          </cell>
          <cell r="W34">
            <v>158160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197160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236160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275160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0</v>
          </cell>
          <cell r="W38">
            <v>314160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39000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314160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117000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117000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78000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78000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78000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92000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92000</v>
          </cell>
          <cell r="W56">
            <v>46000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46000</v>
          </cell>
          <cell r="W57">
            <v>46000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46000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46000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92000</v>
          </cell>
          <cell r="W61">
            <v>46000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46000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46000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92000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138000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138000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138000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184000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230000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276000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100000</v>
          </cell>
          <cell r="W74">
            <v>222000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222000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46000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46000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46000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46000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46000</v>
          </cell>
          <cell r="W83">
            <v>46000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46000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56000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55000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55000</v>
          </cell>
          <cell r="V92">
            <v>65000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55000</v>
          </cell>
          <cell r="V93">
            <v>65000</v>
          </cell>
          <cell r="W93">
            <v>65000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55000</v>
          </cell>
          <cell r="V94">
            <v>65000</v>
          </cell>
          <cell r="W94">
            <v>65000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55000</v>
          </cell>
          <cell r="V95">
            <v>65000</v>
          </cell>
          <cell r="W95">
            <v>65000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55000</v>
          </cell>
          <cell r="W97">
            <v>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55000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-82</v>
          </cell>
          <cell r="L100">
            <v>-29520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25480</v>
          </cell>
          <cell r="V100">
            <v>110000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82</v>
          </cell>
          <cell r="L101">
            <v>29520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84520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56650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9</v>
          </cell>
          <cell r="G116">
            <v>1314</v>
          </cell>
          <cell r="J116">
            <v>15</v>
          </cell>
          <cell r="L116">
            <v>5400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65573</v>
          </cell>
          <cell r="V116">
            <v>65573</v>
          </cell>
          <cell r="W116">
            <v>0</v>
          </cell>
        </row>
        <row r="117">
          <cell r="E117">
            <v>13</v>
          </cell>
          <cell r="G117">
            <v>1898</v>
          </cell>
          <cell r="J117">
            <v>19</v>
          </cell>
          <cell r="L117">
            <v>6840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67597</v>
          </cell>
          <cell r="V117">
            <v>67597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6</v>
          </cell>
          <cell r="L118">
            <v>2160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61019</v>
          </cell>
          <cell r="V118">
            <v>61019</v>
          </cell>
          <cell r="W118">
            <v>0</v>
          </cell>
        </row>
        <row r="119">
          <cell r="E119">
            <v>11</v>
          </cell>
          <cell r="G119">
            <v>1606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60465</v>
          </cell>
          <cell r="V119">
            <v>60465</v>
          </cell>
          <cell r="W119">
            <v>0</v>
          </cell>
        </row>
        <row r="120">
          <cell r="E120">
            <v>87</v>
          </cell>
          <cell r="G120">
            <v>12702</v>
          </cell>
          <cell r="J120">
            <v>4</v>
          </cell>
          <cell r="L120">
            <v>1440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73001</v>
          </cell>
          <cell r="V120">
            <v>73001</v>
          </cell>
          <cell r="W120">
            <v>0</v>
          </cell>
        </row>
        <row r="121">
          <cell r="E121">
            <v>160</v>
          </cell>
          <cell r="G121">
            <v>23360</v>
          </cell>
          <cell r="J121">
            <v>2</v>
          </cell>
          <cell r="L121">
            <v>720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86939</v>
          </cell>
          <cell r="V121">
            <v>86939</v>
          </cell>
          <cell r="W121">
            <v>0</v>
          </cell>
        </row>
        <row r="122">
          <cell r="E122">
            <v>69</v>
          </cell>
          <cell r="G122">
            <v>10074</v>
          </cell>
          <cell r="J122">
            <v>2</v>
          </cell>
          <cell r="L122">
            <v>720</v>
          </cell>
          <cell r="M122">
            <v>0</v>
          </cell>
          <cell r="N122">
            <v>0</v>
          </cell>
          <cell r="O122">
            <v>0</v>
          </cell>
          <cell r="P122">
            <v>15000</v>
          </cell>
          <cell r="Q122">
            <v>58859</v>
          </cell>
          <cell r="R122">
            <v>0</v>
          </cell>
          <cell r="S122">
            <v>84653</v>
          </cell>
          <cell r="V122">
            <v>84653</v>
          </cell>
          <cell r="W122">
            <v>0</v>
          </cell>
        </row>
        <row r="123">
          <cell r="E123">
            <v>33</v>
          </cell>
          <cell r="G123">
            <v>4818</v>
          </cell>
          <cell r="J123">
            <v>3</v>
          </cell>
          <cell r="L123">
            <v>1080</v>
          </cell>
          <cell r="M123">
            <v>0</v>
          </cell>
          <cell r="N123">
            <v>0</v>
          </cell>
          <cell r="O123">
            <v>0</v>
          </cell>
          <cell r="P123">
            <v>15000</v>
          </cell>
          <cell r="Q123">
            <v>58859</v>
          </cell>
          <cell r="R123">
            <v>0</v>
          </cell>
          <cell r="S123">
            <v>79757</v>
          </cell>
          <cell r="V123">
            <v>79757</v>
          </cell>
          <cell r="W123">
            <v>0</v>
          </cell>
        </row>
        <row r="124">
          <cell r="E124">
            <v>61</v>
          </cell>
          <cell r="G124">
            <v>8906</v>
          </cell>
          <cell r="J124">
            <v>2</v>
          </cell>
          <cell r="L124">
            <v>720</v>
          </cell>
          <cell r="M124">
            <v>0</v>
          </cell>
          <cell r="N124">
            <v>0</v>
          </cell>
          <cell r="O124">
            <v>0</v>
          </cell>
          <cell r="P124">
            <v>15000</v>
          </cell>
          <cell r="Q124">
            <v>58859</v>
          </cell>
          <cell r="R124">
            <v>0</v>
          </cell>
          <cell r="S124">
            <v>83485</v>
          </cell>
          <cell r="V124">
            <v>83485</v>
          </cell>
          <cell r="W124">
            <v>0</v>
          </cell>
        </row>
        <row r="125">
          <cell r="E125">
            <v>82</v>
          </cell>
          <cell r="G125">
            <v>11972</v>
          </cell>
          <cell r="J125">
            <v>5</v>
          </cell>
          <cell r="L125">
            <v>1800</v>
          </cell>
          <cell r="M125">
            <v>0</v>
          </cell>
          <cell r="N125">
            <v>0</v>
          </cell>
          <cell r="O125">
            <v>0</v>
          </cell>
          <cell r="P125">
            <v>15000</v>
          </cell>
          <cell r="Q125">
            <v>58859</v>
          </cell>
          <cell r="R125">
            <v>0</v>
          </cell>
          <cell r="S125">
            <v>87631</v>
          </cell>
          <cell r="V125">
            <v>87631</v>
          </cell>
          <cell r="W125">
            <v>0</v>
          </cell>
        </row>
        <row r="126">
          <cell r="E126">
            <v>8</v>
          </cell>
          <cell r="G126">
            <v>1168</v>
          </cell>
          <cell r="J126">
            <v>4</v>
          </cell>
          <cell r="L126">
            <v>1440</v>
          </cell>
          <cell r="M126">
            <v>0</v>
          </cell>
          <cell r="N126">
            <v>0</v>
          </cell>
          <cell r="O126">
            <v>0</v>
          </cell>
          <cell r="P126">
            <v>15000</v>
          </cell>
          <cell r="Q126">
            <v>58859</v>
          </cell>
          <cell r="R126">
            <v>0</v>
          </cell>
          <cell r="S126">
            <v>76467</v>
          </cell>
          <cell r="V126">
            <v>76467</v>
          </cell>
          <cell r="W126">
            <v>0</v>
          </cell>
        </row>
        <row r="127">
          <cell r="E127">
            <v>263</v>
          </cell>
          <cell r="G127">
            <v>38398</v>
          </cell>
          <cell r="J127">
            <v>7</v>
          </cell>
          <cell r="L127">
            <v>2520</v>
          </cell>
          <cell r="M127">
            <v>0</v>
          </cell>
          <cell r="N127">
            <v>0</v>
          </cell>
          <cell r="O127">
            <v>0</v>
          </cell>
          <cell r="P127">
            <v>15000</v>
          </cell>
          <cell r="Q127">
            <v>59734</v>
          </cell>
          <cell r="R127">
            <v>0</v>
          </cell>
          <cell r="S127">
            <v>115652</v>
          </cell>
          <cell r="V127">
            <v>0</v>
          </cell>
          <cell r="W127">
            <v>115652</v>
          </cell>
        </row>
        <row r="128">
          <cell r="E128">
            <v>77</v>
          </cell>
          <cell r="G128">
            <v>11242</v>
          </cell>
          <cell r="J128">
            <v>6</v>
          </cell>
          <cell r="L128">
            <v>2160</v>
          </cell>
          <cell r="M128">
            <v>0</v>
          </cell>
          <cell r="N128">
            <v>12288</v>
          </cell>
          <cell r="O128">
            <v>0</v>
          </cell>
          <cell r="P128">
            <v>15000</v>
          </cell>
          <cell r="Q128">
            <v>59734</v>
          </cell>
          <cell r="R128">
            <v>0</v>
          </cell>
          <cell r="S128">
            <v>88136</v>
          </cell>
          <cell r="V128">
            <v>216076</v>
          </cell>
          <cell r="W128">
            <v>0</v>
          </cell>
        </row>
        <row r="129">
          <cell r="E129">
            <v>112</v>
          </cell>
          <cell r="G129">
            <v>16352</v>
          </cell>
          <cell r="J129">
            <v>23</v>
          </cell>
          <cell r="L129">
            <v>8280</v>
          </cell>
          <cell r="M129">
            <v>0</v>
          </cell>
          <cell r="N129">
            <v>0</v>
          </cell>
          <cell r="O129">
            <v>0</v>
          </cell>
          <cell r="P129">
            <v>15000</v>
          </cell>
          <cell r="Q129">
            <v>59734</v>
          </cell>
          <cell r="R129">
            <v>0</v>
          </cell>
          <cell r="S129">
            <v>99366</v>
          </cell>
          <cell r="V129">
            <v>99366</v>
          </cell>
          <cell r="W129">
            <v>0</v>
          </cell>
        </row>
        <row r="130">
          <cell r="E130">
            <v>80</v>
          </cell>
          <cell r="G130">
            <v>11680</v>
          </cell>
          <cell r="J130">
            <v>28</v>
          </cell>
          <cell r="L130">
            <v>10080</v>
          </cell>
          <cell r="M130">
            <v>0</v>
          </cell>
          <cell r="N130">
            <v>0</v>
          </cell>
          <cell r="O130">
            <v>0</v>
          </cell>
          <cell r="P130">
            <v>15000</v>
          </cell>
          <cell r="Q130">
            <v>59734</v>
          </cell>
          <cell r="R130">
            <v>0</v>
          </cell>
          <cell r="S130">
            <v>96494</v>
          </cell>
          <cell r="V130">
            <v>96494</v>
          </cell>
          <cell r="W130">
            <v>0</v>
          </cell>
        </row>
        <row r="131">
          <cell r="E131">
            <v>105</v>
          </cell>
          <cell r="G131">
            <v>15330</v>
          </cell>
          <cell r="J131">
            <v>11</v>
          </cell>
          <cell r="L131">
            <v>3960</v>
          </cell>
          <cell r="M131">
            <v>0</v>
          </cell>
          <cell r="N131">
            <v>0</v>
          </cell>
          <cell r="O131">
            <v>0</v>
          </cell>
          <cell r="P131">
            <v>15000</v>
          </cell>
          <cell r="Q131">
            <v>59734</v>
          </cell>
          <cell r="R131">
            <v>0</v>
          </cell>
          <cell r="S131">
            <v>94024</v>
          </cell>
          <cell r="V131">
            <v>94024</v>
          </cell>
          <cell r="W131">
            <v>0</v>
          </cell>
        </row>
        <row r="132">
          <cell r="E132">
            <v>86</v>
          </cell>
          <cell r="G132">
            <v>12556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15000</v>
          </cell>
          <cell r="Q132">
            <v>59734</v>
          </cell>
          <cell r="R132">
            <v>0</v>
          </cell>
          <cell r="S132">
            <v>88370</v>
          </cell>
          <cell r="V132">
            <v>88370</v>
          </cell>
          <cell r="W132">
            <v>0</v>
          </cell>
        </row>
        <row r="133">
          <cell r="E133">
            <v>107</v>
          </cell>
          <cell r="G133">
            <v>15622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15000</v>
          </cell>
          <cell r="Q133">
            <v>59734</v>
          </cell>
          <cell r="R133">
            <v>0</v>
          </cell>
          <cell r="S133">
            <v>92516</v>
          </cell>
          <cell r="V133">
            <v>92516</v>
          </cell>
          <cell r="W133">
            <v>0</v>
          </cell>
        </row>
        <row r="134">
          <cell r="E134">
            <v>106</v>
          </cell>
          <cell r="G134">
            <v>15476</v>
          </cell>
          <cell r="J134">
            <v>1</v>
          </cell>
          <cell r="L134">
            <v>360</v>
          </cell>
          <cell r="M134">
            <v>0</v>
          </cell>
          <cell r="N134">
            <v>0</v>
          </cell>
          <cell r="O134">
            <v>0</v>
          </cell>
          <cell r="P134">
            <v>15000</v>
          </cell>
          <cell r="Q134">
            <v>59734</v>
          </cell>
          <cell r="R134">
            <v>0</v>
          </cell>
          <cell r="S134">
            <v>90570</v>
          </cell>
          <cell r="V134">
            <v>90570</v>
          </cell>
          <cell r="W134">
            <v>0</v>
          </cell>
        </row>
        <row r="135">
          <cell r="E135">
            <v>109</v>
          </cell>
          <cell r="G135">
            <v>15914</v>
          </cell>
          <cell r="J135">
            <v>2</v>
          </cell>
          <cell r="L135">
            <v>720</v>
          </cell>
          <cell r="M135">
            <v>0</v>
          </cell>
          <cell r="N135">
            <v>0</v>
          </cell>
          <cell r="O135">
            <v>0</v>
          </cell>
          <cell r="P135">
            <v>15000</v>
          </cell>
          <cell r="Q135">
            <v>59734</v>
          </cell>
          <cell r="R135">
            <v>0</v>
          </cell>
          <cell r="S135">
            <v>91368</v>
          </cell>
          <cell r="V135">
            <v>91368</v>
          </cell>
          <cell r="W135">
            <v>0</v>
          </cell>
        </row>
        <row r="136">
          <cell r="E136">
            <v>121</v>
          </cell>
          <cell r="G136">
            <v>17666</v>
          </cell>
          <cell r="J136">
            <v>7</v>
          </cell>
          <cell r="L136">
            <v>2520</v>
          </cell>
          <cell r="M136">
            <v>0</v>
          </cell>
          <cell r="N136">
            <v>0</v>
          </cell>
          <cell r="O136">
            <v>0</v>
          </cell>
          <cell r="P136">
            <v>15000</v>
          </cell>
          <cell r="Q136">
            <v>59734</v>
          </cell>
          <cell r="R136">
            <v>0</v>
          </cell>
          <cell r="S136">
            <v>94920</v>
          </cell>
          <cell r="V136">
            <v>94920</v>
          </cell>
          <cell r="W136">
            <v>0</v>
          </cell>
        </row>
        <row r="137">
          <cell r="E137">
            <v>111</v>
          </cell>
          <cell r="G137">
            <v>16206</v>
          </cell>
          <cell r="J137">
            <v>12</v>
          </cell>
          <cell r="L137">
            <v>4320</v>
          </cell>
          <cell r="M137">
            <v>0</v>
          </cell>
          <cell r="N137">
            <v>0</v>
          </cell>
          <cell r="O137">
            <v>0</v>
          </cell>
          <cell r="P137">
            <v>15000</v>
          </cell>
          <cell r="Q137">
            <v>59734</v>
          </cell>
          <cell r="R137">
            <v>0</v>
          </cell>
          <cell r="S137">
            <v>95260</v>
          </cell>
          <cell r="V137">
            <v>95260</v>
          </cell>
          <cell r="W137">
            <v>0</v>
          </cell>
        </row>
        <row r="138">
          <cell r="E138">
            <v>57</v>
          </cell>
          <cell r="G138">
            <v>8322</v>
          </cell>
          <cell r="J138">
            <v>6</v>
          </cell>
          <cell r="L138">
            <v>2160</v>
          </cell>
          <cell r="M138">
            <v>0</v>
          </cell>
          <cell r="N138">
            <v>20000</v>
          </cell>
          <cell r="O138">
            <v>0</v>
          </cell>
          <cell r="P138">
            <v>15000</v>
          </cell>
          <cell r="Q138">
            <v>59734</v>
          </cell>
          <cell r="R138">
            <v>0</v>
          </cell>
          <cell r="S138">
            <v>85216</v>
          </cell>
          <cell r="V138">
            <v>105216</v>
          </cell>
          <cell r="W138">
            <v>0</v>
          </cell>
        </row>
        <row r="139">
          <cell r="E139">
            <v>78</v>
          </cell>
          <cell r="G139">
            <v>11388</v>
          </cell>
          <cell r="J139">
            <v>4</v>
          </cell>
          <cell r="L139">
            <v>1440</v>
          </cell>
          <cell r="M139">
            <v>0</v>
          </cell>
          <cell r="N139">
            <v>5000</v>
          </cell>
          <cell r="O139">
            <v>0</v>
          </cell>
          <cell r="P139">
            <v>15000</v>
          </cell>
          <cell r="Q139">
            <v>61536</v>
          </cell>
          <cell r="R139">
            <v>0</v>
          </cell>
          <cell r="S139">
            <v>89364</v>
          </cell>
          <cell r="V139">
            <v>94364</v>
          </cell>
          <cell r="W139">
            <v>0</v>
          </cell>
        </row>
        <row r="140">
          <cell r="E140">
            <v>70</v>
          </cell>
          <cell r="G140">
            <v>10220</v>
          </cell>
          <cell r="J140">
            <v>3</v>
          </cell>
          <cell r="L140">
            <v>1080</v>
          </cell>
          <cell r="M140">
            <v>0</v>
          </cell>
          <cell r="N140">
            <v>5000</v>
          </cell>
          <cell r="O140">
            <v>0</v>
          </cell>
          <cell r="P140">
            <v>15000</v>
          </cell>
          <cell r="Q140">
            <v>61536</v>
          </cell>
          <cell r="R140">
            <v>0</v>
          </cell>
          <cell r="S140">
            <v>87836</v>
          </cell>
          <cell r="V140">
            <v>92836</v>
          </cell>
          <cell r="W140">
            <v>0</v>
          </cell>
        </row>
        <row r="141">
          <cell r="E141">
            <v>69</v>
          </cell>
          <cell r="G141">
            <v>10074</v>
          </cell>
          <cell r="J141">
            <v>5</v>
          </cell>
          <cell r="L141">
            <v>1800</v>
          </cell>
          <cell r="M141">
            <v>0</v>
          </cell>
          <cell r="N141">
            <v>5000</v>
          </cell>
          <cell r="O141">
            <v>0</v>
          </cell>
          <cell r="P141">
            <v>15000</v>
          </cell>
          <cell r="Q141">
            <v>61536</v>
          </cell>
          <cell r="R141">
            <v>0</v>
          </cell>
          <cell r="S141">
            <v>88410</v>
          </cell>
          <cell r="V141">
            <v>93410</v>
          </cell>
          <cell r="W141">
            <v>0</v>
          </cell>
        </row>
        <row r="142">
          <cell r="E142">
            <v>60</v>
          </cell>
          <cell r="G142">
            <v>8760</v>
          </cell>
          <cell r="J142">
            <v>10</v>
          </cell>
          <cell r="L142">
            <v>3600</v>
          </cell>
          <cell r="M142">
            <v>0</v>
          </cell>
          <cell r="N142">
            <v>5000</v>
          </cell>
          <cell r="O142">
            <v>0</v>
          </cell>
          <cell r="P142">
            <v>15000</v>
          </cell>
          <cell r="Q142">
            <v>61536</v>
          </cell>
          <cell r="R142">
            <v>0</v>
          </cell>
          <cell r="S142">
            <v>88896</v>
          </cell>
          <cell r="V142">
            <v>92836</v>
          </cell>
          <cell r="W142">
            <v>1060</v>
          </cell>
        </row>
        <row r="143">
          <cell r="E143">
            <v>67</v>
          </cell>
          <cell r="G143">
            <v>9782</v>
          </cell>
          <cell r="J143">
            <v>7</v>
          </cell>
          <cell r="L143">
            <v>2520</v>
          </cell>
          <cell r="M143">
            <v>0</v>
          </cell>
          <cell r="N143">
            <v>5000</v>
          </cell>
          <cell r="O143">
            <v>0</v>
          </cell>
          <cell r="P143">
            <v>15000</v>
          </cell>
          <cell r="Q143">
            <v>61536</v>
          </cell>
          <cell r="R143">
            <v>0</v>
          </cell>
          <cell r="S143">
            <v>88838</v>
          </cell>
          <cell r="V143">
            <v>0</v>
          </cell>
          <cell r="W143">
            <v>94898</v>
          </cell>
        </row>
        <row r="144">
          <cell r="E144">
            <v>45</v>
          </cell>
          <cell r="G144">
            <v>6570</v>
          </cell>
          <cell r="J144">
            <v>2</v>
          </cell>
          <cell r="L144">
            <v>720</v>
          </cell>
          <cell r="M144">
            <v>0</v>
          </cell>
          <cell r="N144">
            <v>5000</v>
          </cell>
          <cell r="O144">
            <v>0</v>
          </cell>
          <cell r="P144">
            <v>15000</v>
          </cell>
          <cell r="Q144">
            <v>61536</v>
          </cell>
          <cell r="R144">
            <v>0</v>
          </cell>
          <cell r="S144">
            <v>83826</v>
          </cell>
          <cell r="V144">
            <v>183724</v>
          </cell>
          <cell r="W144">
            <v>0</v>
          </cell>
        </row>
        <row r="145">
          <cell r="E145">
            <v>64</v>
          </cell>
          <cell r="G145">
            <v>9344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15000</v>
          </cell>
          <cell r="Q145">
            <v>61536</v>
          </cell>
          <cell r="R145">
            <v>0</v>
          </cell>
          <cell r="S145">
            <v>86960</v>
          </cell>
          <cell r="V145">
            <v>91960</v>
          </cell>
          <cell r="W145">
            <v>0</v>
          </cell>
        </row>
        <row r="146">
          <cell r="E146">
            <v>82</v>
          </cell>
          <cell r="G146">
            <v>11972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15000</v>
          </cell>
          <cell r="Q146">
            <v>61536</v>
          </cell>
          <cell r="R146">
            <v>0</v>
          </cell>
          <cell r="S146">
            <v>89228</v>
          </cell>
          <cell r="V146">
            <v>94228</v>
          </cell>
          <cell r="W146">
            <v>0</v>
          </cell>
        </row>
        <row r="147">
          <cell r="E147">
            <v>64</v>
          </cell>
          <cell r="G147">
            <v>9344</v>
          </cell>
          <cell r="J147">
            <v>11</v>
          </cell>
          <cell r="L147">
            <v>3960</v>
          </cell>
          <cell r="M147">
            <v>0</v>
          </cell>
          <cell r="N147">
            <v>5000</v>
          </cell>
          <cell r="O147">
            <v>0</v>
          </cell>
          <cell r="P147">
            <v>15000</v>
          </cell>
          <cell r="Q147">
            <v>61536</v>
          </cell>
          <cell r="R147">
            <v>0</v>
          </cell>
          <cell r="S147">
            <v>89840</v>
          </cell>
          <cell r="V147">
            <v>0</v>
          </cell>
          <cell r="W147">
            <v>94840</v>
          </cell>
        </row>
        <row r="148">
          <cell r="E148">
            <v>243</v>
          </cell>
          <cell r="G148">
            <v>35478</v>
          </cell>
          <cell r="J148">
            <v>59</v>
          </cell>
          <cell r="L148">
            <v>21240</v>
          </cell>
          <cell r="M148">
            <v>0</v>
          </cell>
          <cell r="N148">
            <v>5000</v>
          </cell>
          <cell r="O148">
            <v>0</v>
          </cell>
          <cell r="P148">
            <v>15000</v>
          </cell>
          <cell r="Q148">
            <v>61536</v>
          </cell>
          <cell r="R148">
            <v>0</v>
          </cell>
          <cell r="S148">
            <v>133254</v>
          </cell>
          <cell r="V148">
            <v>233094</v>
          </cell>
          <cell r="W148">
            <v>0</v>
          </cell>
        </row>
        <row r="149">
          <cell r="E149">
            <v>176</v>
          </cell>
          <cell r="G149">
            <v>25696</v>
          </cell>
          <cell r="J149">
            <v>96</v>
          </cell>
          <cell r="L149">
            <v>34560</v>
          </cell>
          <cell r="M149">
            <v>0</v>
          </cell>
          <cell r="N149">
            <v>5000</v>
          </cell>
          <cell r="O149">
            <v>0</v>
          </cell>
          <cell r="P149">
            <v>15000</v>
          </cell>
          <cell r="Q149">
            <v>61536</v>
          </cell>
          <cell r="R149">
            <v>0</v>
          </cell>
          <cell r="S149">
            <v>136792</v>
          </cell>
          <cell r="V149">
            <v>141792</v>
          </cell>
          <cell r="W149">
            <v>0</v>
          </cell>
        </row>
        <row r="150">
          <cell r="E150">
            <v>178</v>
          </cell>
          <cell r="G150">
            <v>25988</v>
          </cell>
          <cell r="J150">
            <v>127</v>
          </cell>
          <cell r="L150">
            <v>46980</v>
          </cell>
          <cell r="M150">
            <v>0</v>
          </cell>
          <cell r="N150">
            <v>7000</v>
          </cell>
          <cell r="O150">
            <v>0</v>
          </cell>
          <cell r="P150">
            <v>15000</v>
          </cell>
          <cell r="Q150">
            <v>61536</v>
          </cell>
          <cell r="R150">
            <v>0</v>
          </cell>
          <cell r="S150">
            <v>149504</v>
          </cell>
          <cell r="V150">
            <v>156504</v>
          </cell>
          <cell r="W150">
            <v>0</v>
          </cell>
        </row>
        <row r="151">
          <cell r="E151">
            <v>269</v>
          </cell>
          <cell r="G151">
            <v>39274</v>
          </cell>
          <cell r="J151">
            <v>109</v>
          </cell>
          <cell r="L151">
            <v>39240</v>
          </cell>
          <cell r="M151">
            <v>0</v>
          </cell>
          <cell r="N151">
            <v>7000</v>
          </cell>
          <cell r="O151">
            <v>0</v>
          </cell>
          <cell r="P151">
            <v>15000</v>
          </cell>
          <cell r="Q151">
            <v>64395</v>
          </cell>
          <cell r="R151">
            <v>0</v>
          </cell>
          <cell r="S151">
            <v>157909</v>
          </cell>
          <cell r="V151">
            <v>0</v>
          </cell>
          <cell r="W151">
            <v>164909</v>
          </cell>
        </row>
        <row r="152">
          <cell r="E152">
            <v>461</v>
          </cell>
          <cell r="G152">
            <v>67306</v>
          </cell>
          <cell r="J152">
            <v>105</v>
          </cell>
          <cell r="L152">
            <v>37800</v>
          </cell>
          <cell r="M152">
            <v>0</v>
          </cell>
          <cell r="N152">
            <v>7000</v>
          </cell>
          <cell r="O152">
            <v>0</v>
          </cell>
          <cell r="P152">
            <v>15000</v>
          </cell>
          <cell r="Q152">
            <v>64395</v>
          </cell>
          <cell r="R152">
            <v>0</v>
          </cell>
          <cell r="S152">
            <v>184501</v>
          </cell>
          <cell r="V152">
            <v>356410</v>
          </cell>
          <cell r="W152">
            <v>0</v>
          </cell>
        </row>
        <row r="153">
          <cell r="E153">
            <v>188</v>
          </cell>
          <cell r="G153">
            <v>27448</v>
          </cell>
          <cell r="J153">
            <v>76</v>
          </cell>
          <cell r="L153">
            <v>27360</v>
          </cell>
          <cell r="M153">
            <v>0</v>
          </cell>
          <cell r="N153">
            <v>11959</v>
          </cell>
          <cell r="O153">
            <v>0</v>
          </cell>
          <cell r="P153">
            <v>15000</v>
          </cell>
          <cell r="Q153">
            <v>64395</v>
          </cell>
          <cell r="R153">
            <v>0</v>
          </cell>
          <cell r="S153">
            <v>134203</v>
          </cell>
          <cell r="V153">
            <v>146162</v>
          </cell>
          <cell r="W153">
            <v>0</v>
          </cell>
        </row>
        <row r="154">
          <cell r="E154">
            <v>76</v>
          </cell>
          <cell r="G154">
            <v>11096</v>
          </cell>
          <cell r="J154">
            <v>50</v>
          </cell>
          <cell r="L154">
            <v>18000</v>
          </cell>
          <cell r="M154">
            <v>0</v>
          </cell>
          <cell r="N154">
            <v>11959</v>
          </cell>
          <cell r="O154">
            <v>0</v>
          </cell>
          <cell r="P154">
            <v>15000</v>
          </cell>
          <cell r="Q154">
            <v>64395</v>
          </cell>
          <cell r="R154">
            <v>0</v>
          </cell>
          <cell r="S154">
            <v>108491</v>
          </cell>
          <cell r="V154">
            <v>120450</v>
          </cell>
          <cell r="W154">
            <v>0</v>
          </cell>
        </row>
        <row r="155">
          <cell r="E155">
            <v>64</v>
          </cell>
          <cell r="G155">
            <v>9344</v>
          </cell>
          <cell r="J155">
            <v>50</v>
          </cell>
          <cell r="L155">
            <v>18000</v>
          </cell>
          <cell r="M155">
            <v>0</v>
          </cell>
          <cell r="N155">
            <v>11959</v>
          </cell>
          <cell r="O155">
            <v>0</v>
          </cell>
          <cell r="P155">
            <v>15000</v>
          </cell>
          <cell r="Q155">
            <v>64395</v>
          </cell>
          <cell r="R155">
            <v>0</v>
          </cell>
          <cell r="S155">
            <v>106739</v>
          </cell>
          <cell r="V155">
            <v>118698</v>
          </cell>
          <cell r="W155">
            <v>0</v>
          </cell>
        </row>
        <row r="156">
          <cell r="E156">
            <v>62</v>
          </cell>
          <cell r="G156">
            <v>9052</v>
          </cell>
          <cell r="J156">
            <v>36</v>
          </cell>
          <cell r="L156">
            <v>12960</v>
          </cell>
          <cell r="M156">
            <v>0</v>
          </cell>
          <cell r="N156">
            <v>11959</v>
          </cell>
          <cell r="O156">
            <v>0</v>
          </cell>
          <cell r="P156">
            <v>15000</v>
          </cell>
          <cell r="Q156">
            <v>64395</v>
          </cell>
          <cell r="R156">
            <v>0</v>
          </cell>
          <cell r="S156">
            <v>101407</v>
          </cell>
          <cell r="V156">
            <v>0</v>
          </cell>
          <cell r="W156">
            <v>113366</v>
          </cell>
        </row>
        <row r="157">
          <cell r="E157">
            <v>119</v>
          </cell>
          <cell r="G157">
            <v>17374</v>
          </cell>
          <cell r="J157">
            <v>13</v>
          </cell>
          <cell r="L157">
            <v>4680</v>
          </cell>
          <cell r="M157">
            <v>0</v>
          </cell>
          <cell r="N157">
            <v>11959</v>
          </cell>
          <cell r="O157">
            <v>0</v>
          </cell>
          <cell r="P157">
            <v>15000</v>
          </cell>
          <cell r="Q157">
            <v>64395</v>
          </cell>
          <cell r="R157">
            <v>0</v>
          </cell>
          <cell r="S157">
            <v>101449</v>
          </cell>
          <cell r="V157">
            <v>326913</v>
          </cell>
          <cell r="W157">
            <v>-100139</v>
          </cell>
        </row>
        <row r="158">
          <cell r="E158">
            <v>52</v>
          </cell>
          <cell r="G158">
            <v>7592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15000</v>
          </cell>
          <cell r="Q158">
            <v>64395</v>
          </cell>
          <cell r="R158">
            <v>0</v>
          </cell>
          <cell r="S158">
            <v>88067</v>
          </cell>
          <cell r="V158">
            <v>0</v>
          </cell>
          <cell r="W158">
            <v>-113</v>
          </cell>
        </row>
        <row r="159">
          <cell r="E159">
            <v>70</v>
          </cell>
          <cell r="G159">
            <v>10220</v>
          </cell>
          <cell r="J159">
            <v>3</v>
          </cell>
          <cell r="L159">
            <v>1080</v>
          </cell>
          <cell r="M159">
            <v>0</v>
          </cell>
          <cell r="N159">
            <v>11959</v>
          </cell>
          <cell r="O159">
            <v>0</v>
          </cell>
          <cell r="P159">
            <v>15000</v>
          </cell>
          <cell r="Q159">
            <v>64395</v>
          </cell>
          <cell r="R159">
            <v>0</v>
          </cell>
          <cell r="S159">
            <v>90695</v>
          </cell>
          <cell r="V159">
            <v>102541</v>
          </cell>
          <cell r="W159">
            <v>0</v>
          </cell>
        </row>
        <row r="160">
          <cell r="E160">
            <v>117</v>
          </cell>
          <cell r="G160">
            <v>17082</v>
          </cell>
          <cell r="J160">
            <v>2</v>
          </cell>
          <cell r="L160">
            <v>720</v>
          </cell>
          <cell r="M160">
            <v>0</v>
          </cell>
          <cell r="N160">
            <v>11959</v>
          </cell>
          <cell r="O160">
            <v>0</v>
          </cell>
          <cell r="P160">
            <v>15000</v>
          </cell>
          <cell r="Q160">
            <v>64395</v>
          </cell>
          <cell r="R160">
            <v>0</v>
          </cell>
          <cell r="S160">
            <v>97197</v>
          </cell>
          <cell r="V160">
            <v>109156</v>
          </cell>
          <cell r="W160">
            <v>0</v>
          </cell>
        </row>
        <row r="161">
          <cell r="E161">
            <v>104</v>
          </cell>
          <cell r="G161">
            <v>15184</v>
          </cell>
          <cell r="J161">
            <v>24</v>
          </cell>
          <cell r="L161">
            <v>8640</v>
          </cell>
          <cell r="M161">
            <v>0</v>
          </cell>
          <cell r="N161">
            <v>11959</v>
          </cell>
          <cell r="O161">
            <v>0</v>
          </cell>
          <cell r="P161">
            <v>15000</v>
          </cell>
          <cell r="Q161">
            <v>64395</v>
          </cell>
          <cell r="R161">
            <v>0</v>
          </cell>
          <cell r="S161">
            <v>103219</v>
          </cell>
          <cell r="V161">
            <v>115178</v>
          </cell>
          <cell r="W161">
            <v>0</v>
          </cell>
        </row>
        <row r="162">
          <cell r="E162">
            <v>209</v>
          </cell>
          <cell r="G162">
            <v>30514</v>
          </cell>
          <cell r="J162">
            <v>84</v>
          </cell>
          <cell r="L162">
            <v>30240</v>
          </cell>
          <cell r="M162">
            <v>0</v>
          </cell>
          <cell r="N162">
            <v>11665</v>
          </cell>
          <cell r="O162">
            <v>0</v>
          </cell>
          <cell r="P162">
            <v>15000</v>
          </cell>
          <cell r="Q162">
            <v>64395</v>
          </cell>
          <cell r="R162">
            <v>0</v>
          </cell>
          <cell r="S162">
            <v>140149</v>
          </cell>
          <cell r="V162">
            <v>151814</v>
          </cell>
          <cell r="W162">
            <v>0</v>
          </cell>
        </row>
        <row r="163">
          <cell r="E163">
            <v>151</v>
          </cell>
          <cell r="G163">
            <v>22046</v>
          </cell>
          <cell r="J163">
            <v>101</v>
          </cell>
          <cell r="L163">
            <v>36360</v>
          </cell>
          <cell r="M163">
            <v>0</v>
          </cell>
          <cell r="N163">
            <v>11665</v>
          </cell>
          <cell r="O163">
            <v>0</v>
          </cell>
          <cell r="P163">
            <v>15000</v>
          </cell>
          <cell r="Q163">
            <v>74395</v>
          </cell>
          <cell r="R163">
            <v>0</v>
          </cell>
          <cell r="S163">
            <v>147801</v>
          </cell>
          <cell r="V163">
            <v>159466</v>
          </cell>
          <cell r="W163">
            <v>0</v>
          </cell>
        </row>
        <row r="164">
          <cell r="E164">
            <v>152</v>
          </cell>
          <cell r="G164">
            <v>22192</v>
          </cell>
          <cell r="J164">
            <v>94</v>
          </cell>
          <cell r="L164">
            <v>33840</v>
          </cell>
          <cell r="M164">
            <v>0</v>
          </cell>
          <cell r="N164">
            <v>11665</v>
          </cell>
          <cell r="O164">
            <v>0</v>
          </cell>
          <cell r="P164">
            <v>15000</v>
          </cell>
          <cell r="Q164">
            <v>74395</v>
          </cell>
          <cell r="R164">
            <v>0</v>
          </cell>
          <cell r="S164">
            <v>145427</v>
          </cell>
          <cell r="V164">
            <v>157092</v>
          </cell>
          <cell r="W164">
            <v>0</v>
          </cell>
        </row>
        <row r="165">
          <cell r="E165">
            <v>140</v>
          </cell>
          <cell r="G165">
            <v>20440</v>
          </cell>
          <cell r="J165">
            <v>105</v>
          </cell>
          <cell r="L165">
            <v>37800</v>
          </cell>
          <cell r="M165">
            <v>0</v>
          </cell>
          <cell r="N165">
            <v>11665</v>
          </cell>
          <cell r="O165">
            <v>0</v>
          </cell>
          <cell r="P165">
            <v>15000</v>
          </cell>
          <cell r="Q165">
            <v>74395</v>
          </cell>
          <cell r="R165">
            <v>0</v>
          </cell>
          <cell r="S165">
            <v>147635</v>
          </cell>
          <cell r="V165">
            <v>159300</v>
          </cell>
          <cell r="W165">
            <v>0</v>
          </cell>
        </row>
        <row r="166">
          <cell r="E166">
            <v>80</v>
          </cell>
          <cell r="G166">
            <v>11680</v>
          </cell>
          <cell r="J166">
            <v>48</v>
          </cell>
          <cell r="L166">
            <v>17280</v>
          </cell>
          <cell r="M166">
            <v>0</v>
          </cell>
          <cell r="N166">
            <v>11709</v>
          </cell>
          <cell r="O166">
            <v>0</v>
          </cell>
          <cell r="P166">
            <v>15000</v>
          </cell>
          <cell r="Q166">
            <v>74395</v>
          </cell>
          <cell r="R166">
            <v>0</v>
          </cell>
          <cell r="S166">
            <v>118355</v>
          </cell>
          <cell r="V166">
            <v>130064</v>
          </cell>
          <cell r="W166">
            <v>0</v>
          </cell>
        </row>
        <row r="167">
          <cell r="E167">
            <v>88</v>
          </cell>
          <cell r="G167">
            <v>12848</v>
          </cell>
          <cell r="J167">
            <v>4</v>
          </cell>
          <cell r="L167">
            <v>1440</v>
          </cell>
          <cell r="M167">
            <v>0</v>
          </cell>
          <cell r="N167">
            <v>11709</v>
          </cell>
          <cell r="O167">
            <v>0</v>
          </cell>
          <cell r="P167">
            <v>15000</v>
          </cell>
          <cell r="Q167">
            <v>74395</v>
          </cell>
          <cell r="R167">
            <v>0</v>
          </cell>
          <cell r="S167">
            <v>103683</v>
          </cell>
          <cell r="V167">
            <v>115392</v>
          </cell>
          <cell r="W167">
            <v>0</v>
          </cell>
        </row>
        <row r="168">
          <cell r="E168">
            <v>81</v>
          </cell>
          <cell r="G168">
            <v>11826</v>
          </cell>
          <cell r="J168">
            <v>20</v>
          </cell>
          <cell r="L168">
            <v>7200</v>
          </cell>
          <cell r="M168">
            <v>0</v>
          </cell>
          <cell r="N168">
            <v>11709</v>
          </cell>
          <cell r="O168">
            <v>0</v>
          </cell>
          <cell r="P168">
            <v>15000</v>
          </cell>
          <cell r="Q168">
            <v>74395</v>
          </cell>
          <cell r="R168">
            <v>0</v>
          </cell>
          <cell r="S168">
            <v>108421</v>
          </cell>
          <cell r="V168">
            <v>120130</v>
          </cell>
          <cell r="W168">
            <v>0</v>
          </cell>
        </row>
        <row r="169">
          <cell r="E169">
            <v>47</v>
          </cell>
          <cell r="G169">
            <v>6862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15000</v>
          </cell>
          <cell r="Q169">
            <v>74395</v>
          </cell>
          <cell r="R169">
            <v>0</v>
          </cell>
          <cell r="S169">
            <v>96977</v>
          </cell>
          <cell r="V169">
            <v>108292</v>
          </cell>
          <cell r="W169">
            <v>0</v>
          </cell>
        </row>
        <row r="170">
          <cell r="E170">
            <v>56</v>
          </cell>
          <cell r="G170">
            <v>8176</v>
          </cell>
          <cell r="J170">
            <v>11</v>
          </cell>
          <cell r="L170">
            <v>3960</v>
          </cell>
          <cell r="M170">
            <v>0</v>
          </cell>
          <cell r="N170">
            <v>11315</v>
          </cell>
          <cell r="O170">
            <v>0</v>
          </cell>
          <cell r="P170">
            <v>15000</v>
          </cell>
          <cell r="Q170">
            <v>74395</v>
          </cell>
          <cell r="R170">
            <v>0</v>
          </cell>
          <cell r="S170">
            <v>101531</v>
          </cell>
          <cell r="V170">
            <v>112846</v>
          </cell>
          <cell r="W170">
            <v>0</v>
          </cell>
        </row>
        <row r="171">
          <cell r="E171">
            <v>104</v>
          </cell>
          <cell r="G171">
            <v>15184</v>
          </cell>
          <cell r="J171">
            <v>70</v>
          </cell>
          <cell r="L171">
            <v>25200</v>
          </cell>
          <cell r="M171">
            <v>0</v>
          </cell>
          <cell r="N171">
            <v>7000</v>
          </cell>
          <cell r="O171">
            <v>0</v>
          </cell>
          <cell r="P171">
            <v>15000</v>
          </cell>
          <cell r="Q171">
            <v>74395</v>
          </cell>
          <cell r="R171">
            <v>0</v>
          </cell>
          <cell r="S171">
            <v>129779</v>
          </cell>
          <cell r="V171">
            <v>136779</v>
          </cell>
          <cell r="W171">
            <v>0</v>
          </cell>
        </row>
        <row r="172">
          <cell r="E172">
            <v>120</v>
          </cell>
          <cell r="G172">
            <v>17520</v>
          </cell>
          <cell r="J172">
            <v>40</v>
          </cell>
          <cell r="L172">
            <v>14400</v>
          </cell>
          <cell r="M172">
            <v>0</v>
          </cell>
          <cell r="N172">
            <v>7000</v>
          </cell>
          <cell r="O172">
            <v>0</v>
          </cell>
          <cell r="P172">
            <v>15000</v>
          </cell>
          <cell r="Q172">
            <v>74395</v>
          </cell>
          <cell r="R172">
            <v>0</v>
          </cell>
          <cell r="S172">
            <v>121315</v>
          </cell>
          <cell r="V172">
            <v>128315</v>
          </cell>
          <cell r="W172">
            <v>0</v>
          </cell>
        </row>
        <row r="173">
          <cell r="E173">
            <v>105</v>
          </cell>
          <cell r="G173">
            <v>15330</v>
          </cell>
          <cell r="J173">
            <v>63</v>
          </cell>
          <cell r="L173">
            <v>22680</v>
          </cell>
          <cell r="M173">
            <v>0</v>
          </cell>
          <cell r="N173">
            <v>7000</v>
          </cell>
          <cell r="O173">
            <v>0</v>
          </cell>
          <cell r="P173">
            <v>15000</v>
          </cell>
          <cell r="Q173">
            <v>74395</v>
          </cell>
          <cell r="R173">
            <v>0</v>
          </cell>
          <cell r="S173">
            <v>127405</v>
          </cell>
          <cell r="V173">
            <v>134405</v>
          </cell>
          <cell r="W173">
            <v>0</v>
          </cell>
        </row>
        <row r="174">
          <cell r="E174">
            <v>223</v>
          </cell>
          <cell r="G174">
            <v>32558</v>
          </cell>
          <cell r="J174">
            <v>112</v>
          </cell>
          <cell r="L174">
            <v>40320</v>
          </cell>
          <cell r="M174">
            <v>0</v>
          </cell>
          <cell r="N174">
            <v>7000</v>
          </cell>
          <cell r="O174">
            <v>0</v>
          </cell>
          <cell r="P174">
            <v>15000</v>
          </cell>
          <cell r="Q174">
            <v>74395</v>
          </cell>
          <cell r="R174">
            <v>0</v>
          </cell>
          <cell r="S174">
            <v>162273</v>
          </cell>
          <cell r="V174">
            <v>169273</v>
          </cell>
          <cell r="W174">
            <v>0</v>
          </cell>
        </row>
      </sheetData>
      <sheetData sheetId="5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105000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55000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111650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113300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56650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113300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0</v>
          </cell>
          <cell r="W110">
            <v>56650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113300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117718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58859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58859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58859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58859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0</v>
          </cell>
          <cell r="W127">
            <v>130452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59734</v>
          </cell>
          <cell r="V128">
            <v>202474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59734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59734</v>
          </cell>
          <cell r="V138">
            <v>60000</v>
          </cell>
          <cell r="W138">
            <v>19734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61536</v>
          </cell>
          <cell r="V139">
            <v>70000</v>
          </cell>
          <cell r="W139">
            <v>16270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61536</v>
          </cell>
          <cell r="V140">
            <v>65000</v>
          </cell>
          <cell r="W140">
            <v>17806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61536</v>
          </cell>
          <cell r="V141">
            <v>65000</v>
          </cell>
          <cell r="W141">
            <v>19342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61536</v>
          </cell>
          <cell r="V142">
            <v>65000</v>
          </cell>
          <cell r="W142">
            <v>20878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61536</v>
          </cell>
          <cell r="V143">
            <v>70000</v>
          </cell>
          <cell r="W143">
            <v>17414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61536</v>
          </cell>
          <cell r="V144">
            <v>70000</v>
          </cell>
          <cell r="W144">
            <v>13950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61536</v>
          </cell>
          <cell r="V145">
            <v>80000</v>
          </cell>
          <cell r="W145">
            <v>486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61536</v>
          </cell>
          <cell r="V146">
            <v>67066</v>
          </cell>
          <cell r="W146">
            <v>-44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61536</v>
          </cell>
          <cell r="V147">
            <v>66492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61536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61536</v>
          </cell>
          <cell r="V149">
            <v>66500</v>
          </cell>
          <cell r="W149">
            <v>36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61536</v>
          </cell>
          <cell r="V150">
            <v>70000</v>
          </cell>
          <cell r="W150">
            <v>-1428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64395</v>
          </cell>
          <cell r="V151">
            <v>70000</v>
          </cell>
          <cell r="W151">
            <v>-33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64395</v>
          </cell>
          <cell r="V152">
            <v>70000</v>
          </cell>
          <cell r="W152">
            <v>1362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64395</v>
          </cell>
          <cell r="V153">
            <v>73000</v>
          </cell>
          <cell r="W153">
            <v>-243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72756</v>
          </cell>
          <cell r="W154">
            <v>-1604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70000</v>
          </cell>
          <cell r="W155">
            <v>-209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64395</v>
          </cell>
          <cell r="V156">
            <v>71186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64395</v>
          </cell>
          <cell r="V157">
            <v>71000</v>
          </cell>
          <cell r="W157">
            <v>395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64395</v>
          </cell>
          <cell r="V158">
            <v>71970</v>
          </cell>
          <cell r="W158">
            <v>-180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64395</v>
          </cell>
          <cell r="V159">
            <v>71000</v>
          </cell>
          <cell r="W159">
            <v>215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71000</v>
          </cell>
          <cell r="W160">
            <v>610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64395</v>
          </cell>
          <cell r="V161">
            <v>72000</v>
          </cell>
          <cell r="W161">
            <v>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64395</v>
          </cell>
          <cell r="V162">
            <v>70000</v>
          </cell>
          <cell r="W162">
            <v>1400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74395</v>
          </cell>
          <cell r="V163">
            <v>80000</v>
          </cell>
          <cell r="W163">
            <v>2795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74395</v>
          </cell>
          <cell r="V164">
            <v>0</v>
          </cell>
          <cell r="W164">
            <v>84190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74395</v>
          </cell>
          <cell r="V165">
            <v>0</v>
          </cell>
          <cell r="W165">
            <v>165585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246980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80000</v>
          </cell>
          <cell r="W167">
            <v>1395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74395</v>
          </cell>
          <cell r="V168">
            <v>82400</v>
          </cell>
          <cell r="W168">
            <v>390</v>
          </cell>
        </row>
        <row r="169">
          <cell r="E169">
            <v>0</v>
          </cell>
          <cell r="G169">
            <v>0</v>
          </cell>
          <cell r="J169">
            <v>6</v>
          </cell>
          <cell r="L169">
            <v>2160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76555</v>
          </cell>
          <cell r="V169">
            <v>84000</v>
          </cell>
          <cell r="W169">
            <v>-55</v>
          </cell>
        </row>
        <row r="170">
          <cell r="E170">
            <v>0</v>
          </cell>
          <cell r="G170">
            <v>0</v>
          </cell>
          <cell r="J170">
            <v>1</v>
          </cell>
          <cell r="L170">
            <v>360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74755</v>
          </cell>
          <cell r="V170">
            <v>82000</v>
          </cell>
          <cell r="W170">
            <v>-300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74395</v>
          </cell>
          <cell r="V171">
            <v>82000</v>
          </cell>
          <cell r="W171">
            <v>-905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74395</v>
          </cell>
          <cell r="V172">
            <v>82000</v>
          </cell>
          <cell r="W172">
            <v>-1510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74395</v>
          </cell>
          <cell r="V173">
            <v>82000</v>
          </cell>
          <cell r="W173">
            <v>-2115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74395</v>
          </cell>
          <cell r="V174">
            <v>90000</v>
          </cell>
          <cell r="W174">
            <v>-10720</v>
          </cell>
        </row>
      </sheetData>
      <sheetData sheetId="5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39000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78000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117000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156000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195000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78000</v>
          </cell>
          <cell r="W27">
            <v>156000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0</v>
          </cell>
          <cell r="W28">
            <v>195000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39000</v>
          </cell>
          <cell r="W29">
            <v>195000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39000</v>
          </cell>
          <cell r="W30">
            <v>195000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234000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234000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234000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39000</v>
          </cell>
          <cell r="W34">
            <v>234000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273000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312000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39000</v>
          </cell>
          <cell r="W37">
            <v>312000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39000</v>
          </cell>
          <cell r="W38">
            <v>312000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351000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78000</v>
          </cell>
          <cell r="W40">
            <v>312000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39000</v>
          </cell>
          <cell r="W41">
            <v>312000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39000</v>
          </cell>
          <cell r="W42">
            <v>312000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312000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39000</v>
          </cell>
          <cell r="W44">
            <v>39000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39000</v>
          </cell>
          <cell r="W45">
            <v>39000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39000</v>
          </cell>
          <cell r="W46">
            <v>39000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39000</v>
          </cell>
          <cell r="W47">
            <v>39000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39000</v>
          </cell>
          <cell r="W48">
            <v>39000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39000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39000</v>
          </cell>
          <cell r="W50">
            <v>39000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39000</v>
          </cell>
          <cell r="W51">
            <v>39000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39000</v>
          </cell>
          <cell r="W52">
            <v>39000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39000</v>
          </cell>
          <cell r="W53">
            <v>39000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39000</v>
          </cell>
          <cell r="W54">
            <v>46000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39000</v>
          </cell>
          <cell r="W55">
            <v>53000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39000</v>
          </cell>
          <cell r="W56">
            <v>60000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53000</v>
          </cell>
          <cell r="W57">
            <v>53000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46000</v>
          </cell>
          <cell r="W58">
            <v>53000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53000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46000</v>
          </cell>
          <cell r="W60">
            <v>53000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46000</v>
          </cell>
          <cell r="W61">
            <v>53000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53000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53000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46000</v>
          </cell>
          <cell r="W64">
            <v>53000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46000</v>
          </cell>
          <cell r="W65">
            <v>53000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46000</v>
          </cell>
          <cell r="W66">
            <v>53000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46000</v>
          </cell>
          <cell r="W67">
            <v>53000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53000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46000</v>
          </cell>
          <cell r="W69">
            <v>53000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46000</v>
          </cell>
          <cell r="W70">
            <v>53000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53000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46000</v>
          </cell>
          <cell r="W72">
            <v>53000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46000</v>
          </cell>
          <cell r="W73">
            <v>53000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46000</v>
          </cell>
          <cell r="W74">
            <v>53000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46000</v>
          </cell>
          <cell r="W75">
            <v>53000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53000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46000</v>
          </cell>
          <cell r="W77">
            <v>53000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46000</v>
          </cell>
          <cell r="W78">
            <v>53000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46000</v>
          </cell>
          <cell r="W79">
            <v>53000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46000</v>
          </cell>
          <cell r="W80">
            <v>53000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46000</v>
          </cell>
          <cell r="W81">
            <v>53000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53000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99000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99000</v>
          </cell>
          <cell r="W84">
            <v>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46000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46000</v>
          </cell>
          <cell r="W86">
            <v>56000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56000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46000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46000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46000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46000</v>
          </cell>
          <cell r="W91">
            <v>65000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50000</v>
          </cell>
          <cell r="W92">
            <v>80000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50000</v>
          </cell>
          <cell r="W93">
            <v>95000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99000</v>
          </cell>
          <cell r="W94">
            <v>61000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65000</v>
          </cell>
          <cell r="W95">
            <v>61000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65000</v>
          </cell>
          <cell r="W96">
            <v>51000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65000</v>
          </cell>
          <cell r="W97">
            <v>41000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65000</v>
          </cell>
          <cell r="W98">
            <v>31000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65000</v>
          </cell>
          <cell r="W99">
            <v>21000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65000</v>
          </cell>
          <cell r="W100">
            <v>11000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65000</v>
          </cell>
          <cell r="W101">
            <v>1000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65000</v>
          </cell>
          <cell r="W102">
            <v>-9000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65000</v>
          </cell>
          <cell r="W103">
            <v>-17350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65000</v>
          </cell>
          <cell r="W104">
            <v>-25700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65000</v>
          </cell>
          <cell r="W105">
            <v>-34050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65000</v>
          </cell>
          <cell r="W106">
            <v>-42400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65000</v>
          </cell>
          <cell r="W107">
            <v>-50750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65000</v>
          </cell>
          <cell r="W108">
            <v>-59100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65000</v>
          </cell>
          <cell r="W109">
            <v>-67450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65000</v>
          </cell>
          <cell r="W110">
            <v>-75800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65000</v>
          </cell>
          <cell r="W111">
            <v>-84150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65000</v>
          </cell>
          <cell r="W112">
            <v>-92500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65000</v>
          </cell>
          <cell r="W113">
            <v>-100850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65000</v>
          </cell>
          <cell r="W114">
            <v>-109200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14659</v>
          </cell>
          <cell r="W115">
            <v>-65000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58859</v>
          </cell>
          <cell r="W116">
            <v>-65000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58859</v>
          </cell>
          <cell r="W117">
            <v>-65000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93656</v>
          </cell>
          <cell r="W118">
            <v>-99797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24062</v>
          </cell>
          <cell r="W119">
            <v>-65000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-65000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-65000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58859</v>
          </cell>
          <cell r="W122">
            <v>-65000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-6141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52718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117718</v>
          </cell>
          <cell r="W125">
            <v>-6141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-6141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58859</v>
          </cell>
          <cell r="W127">
            <v>-5266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61490</v>
          </cell>
          <cell r="W128">
            <v>5266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65000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0</v>
          </cell>
          <cell r="W130">
            <v>59734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119468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59734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59734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133072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66536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66536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66536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71395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71395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0</v>
          </cell>
          <cell r="W160">
            <v>71395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142790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81395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81395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81395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81395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81395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81395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81395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81395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81395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0</v>
          </cell>
          <cell r="W173">
            <v>81395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162790</v>
          </cell>
          <cell r="W174">
            <v>0</v>
          </cell>
        </row>
      </sheetData>
      <sheetData sheetId="5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39000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39000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39000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0</v>
          </cell>
          <cell r="W25">
            <v>78000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0</v>
          </cell>
          <cell r="W26">
            <v>117000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156000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107250</v>
          </cell>
          <cell r="W28">
            <v>87750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126750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0</v>
          </cell>
          <cell r="W30">
            <v>165750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39000</v>
          </cell>
          <cell r="V31">
            <v>0</v>
          </cell>
          <cell r="W31">
            <v>243750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0</v>
          </cell>
          <cell r="W32">
            <v>282750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0</v>
          </cell>
          <cell r="W33">
            <v>321750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360750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39000</v>
          </cell>
          <cell r="V35">
            <v>0</v>
          </cell>
          <cell r="W35">
            <v>399750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39000</v>
          </cell>
          <cell r="V36">
            <v>0</v>
          </cell>
          <cell r="W36">
            <v>438750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477750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39000</v>
          </cell>
          <cell r="V38">
            <v>477750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39000</v>
          </cell>
          <cell r="V40">
            <v>78000</v>
          </cell>
          <cell r="W40">
            <v>39000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78000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39000</v>
          </cell>
          <cell r="V42">
            <v>0</v>
          </cell>
          <cell r="W42">
            <v>117000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39000</v>
          </cell>
          <cell r="V43">
            <v>0</v>
          </cell>
          <cell r="W43">
            <v>156000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195000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234000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273000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312000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351000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39000</v>
          </cell>
          <cell r="V49">
            <v>0</v>
          </cell>
          <cell r="W49">
            <v>390000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429000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468000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39000</v>
          </cell>
          <cell r="V52">
            <v>0</v>
          </cell>
          <cell r="W52">
            <v>507000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546000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39000</v>
          </cell>
          <cell r="V54">
            <v>0</v>
          </cell>
          <cell r="W54">
            <v>592000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0</v>
          </cell>
          <cell r="W55">
            <v>638000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684000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730000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776000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822000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868000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868000</v>
          </cell>
          <cell r="W61">
            <v>46000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46000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46000</v>
          </cell>
          <cell r="W63">
            <v>46000</v>
          </cell>
        </row>
        <row r="64">
          <cell r="E64">
            <v>42</v>
          </cell>
          <cell r="G64">
            <v>3318</v>
          </cell>
          <cell r="J64">
            <v>36</v>
          </cell>
          <cell r="L64">
            <v>12960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62278</v>
          </cell>
          <cell r="V64">
            <v>46000</v>
          </cell>
          <cell r="W64">
            <v>66278</v>
          </cell>
        </row>
        <row r="65">
          <cell r="E65">
            <v>198</v>
          </cell>
          <cell r="G65">
            <v>15642</v>
          </cell>
          <cell r="J65">
            <v>51</v>
          </cell>
          <cell r="L65">
            <v>18360</v>
          </cell>
          <cell r="M65">
            <v>0</v>
          </cell>
          <cell r="N65">
            <v>0</v>
          </cell>
          <cell r="O65">
            <v>0</v>
          </cell>
          <cell r="P65">
            <v>4000</v>
          </cell>
          <cell r="Q65">
            <v>46000</v>
          </cell>
          <cell r="R65">
            <v>0</v>
          </cell>
          <cell r="S65">
            <v>84002</v>
          </cell>
          <cell r="V65">
            <v>66278</v>
          </cell>
          <cell r="W65">
            <v>84002</v>
          </cell>
        </row>
        <row r="66">
          <cell r="E66">
            <v>160</v>
          </cell>
          <cell r="G66">
            <v>12640</v>
          </cell>
          <cell r="J66">
            <v>18</v>
          </cell>
          <cell r="L66">
            <v>6480</v>
          </cell>
          <cell r="M66">
            <v>0</v>
          </cell>
          <cell r="N66">
            <v>0</v>
          </cell>
          <cell r="O66">
            <v>0</v>
          </cell>
          <cell r="P66">
            <v>4000</v>
          </cell>
          <cell r="Q66">
            <v>46000</v>
          </cell>
          <cell r="R66">
            <v>0</v>
          </cell>
          <cell r="S66">
            <v>69120</v>
          </cell>
          <cell r="V66">
            <v>84002</v>
          </cell>
          <cell r="W66">
            <v>69120</v>
          </cell>
        </row>
        <row r="67">
          <cell r="E67">
            <v>318</v>
          </cell>
          <cell r="G67">
            <v>27666</v>
          </cell>
          <cell r="J67">
            <v>206</v>
          </cell>
          <cell r="L67">
            <v>74160</v>
          </cell>
          <cell r="M67">
            <v>0</v>
          </cell>
          <cell r="N67">
            <v>0</v>
          </cell>
          <cell r="O67">
            <v>0</v>
          </cell>
          <cell r="P67">
            <v>4000</v>
          </cell>
          <cell r="Q67">
            <v>46000</v>
          </cell>
          <cell r="R67">
            <v>0</v>
          </cell>
          <cell r="S67">
            <v>151826</v>
          </cell>
          <cell r="V67">
            <v>69120</v>
          </cell>
          <cell r="W67">
            <v>151826</v>
          </cell>
        </row>
        <row r="68">
          <cell r="E68">
            <v>159</v>
          </cell>
          <cell r="G68">
            <v>13833</v>
          </cell>
          <cell r="J68">
            <v>104</v>
          </cell>
          <cell r="L68">
            <v>37440</v>
          </cell>
          <cell r="M68">
            <v>0</v>
          </cell>
          <cell r="N68">
            <v>0</v>
          </cell>
          <cell r="O68">
            <v>0</v>
          </cell>
          <cell r="P68">
            <v>4000</v>
          </cell>
          <cell r="Q68">
            <v>46000</v>
          </cell>
          <cell r="R68">
            <v>0</v>
          </cell>
          <cell r="S68">
            <v>101273</v>
          </cell>
          <cell r="V68">
            <v>151826</v>
          </cell>
          <cell r="W68">
            <v>101273</v>
          </cell>
        </row>
        <row r="69">
          <cell r="E69">
            <v>417</v>
          </cell>
          <cell r="G69">
            <v>46287</v>
          </cell>
          <cell r="J69">
            <v>101</v>
          </cell>
          <cell r="L69">
            <v>36360</v>
          </cell>
          <cell r="M69">
            <v>0</v>
          </cell>
          <cell r="N69">
            <v>0</v>
          </cell>
          <cell r="O69">
            <v>0</v>
          </cell>
          <cell r="P69">
            <v>4000</v>
          </cell>
          <cell r="Q69">
            <v>46000</v>
          </cell>
          <cell r="R69">
            <v>0</v>
          </cell>
          <cell r="S69">
            <v>132647</v>
          </cell>
          <cell r="V69">
            <v>101273</v>
          </cell>
          <cell r="W69">
            <v>132647</v>
          </cell>
        </row>
        <row r="70">
          <cell r="E70">
            <v>624</v>
          </cell>
          <cell r="G70">
            <v>77376</v>
          </cell>
          <cell r="J70">
            <v>171</v>
          </cell>
          <cell r="L70">
            <v>61560</v>
          </cell>
          <cell r="M70">
            <v>0</v>
          </cell>
          <cell r="N70">
            <v>0</v>
          </cell>
          <cell r="O70">
            <v>0</v>
          </cell>
          <cell r="P70">
            <v>4000</v>
          </cell>
          <cell r="Q70">
            <v>46000</v>
          </cell>
          <cell r="R70">
            <v>0</v>
          </cell>
          <cell r="S70">
            <v>188936</v>
          </cell>
          <cell r="V70">
            <v>132647</v>
          </cell>
          <cell r="W70">
            <v>188936</v>
          </cell>
        </row>
        <row r="71">
          <cell r="E71">
            <v>316</v>
          </cell>
          <cell r="G71">
            <v>30968</v>
          </cell>
          <cell r="J71">
            <v>57</v>
          </cell>
          <cell r="L71">
            <v>20520</v>
          </cell>
          <cell r="M71">
            <v>0</v>
          </cell>
          <cell r="N71">
            <v>0</v>
          </cell>
          <cell r="O71">
            <v>0</v>
          </cell>
          <cell r="P71">
            <v>4000</v>
          </cell>
          <cell r="Q71">
            <v>46000</v>
          </cell>
          <cell r="R71">
            <v>0</v>
          </cell>
          <cell r="S71">
            <v>101488</v>
          </cell>
          <cell r="V71">
            <v>188936</v>
          </cell>
          <cell r="W71">
            <v>101488</v>
          </cell>
        </row>
        <row r="72">
          <cell r="E72">
            <v>239</v>
          </cell>
          <cell r="G72">
            <v>24856</v>
          </cell>
          <cell r="J72">
            <v>60</v>
          </cell>
          <cell r="L72">
            <v>21600</v>
          </cell>
          <cell r="M72">
            <v>0</v>
          </cell>
          <cell r="N72">
            <v>0</v>
          </cell>
          <cell r="O72">
            <v>0</v>
          </cell>
          <cell r="P72">
            <v>4000</v>
          </cell>
          <cell r="Q72">
            <v>46000</v>
          </cell>
          <cell r="R72">
            <v>0</v>
          </cell>
          <cell r="S72">
            <v>96456</v>
          </cell>
          <cell r="V72">
            <v>101488</v>
          </cell>
          <cell r="W72">
            <v>96456</v>
          </cell>
        </row>
        <row r="73">
          <cell r="E73">
            <v>277</v>
          </cell>
          <cell r="G73">
            <v>31024</v>
          </cell>
          <cell r="J73">
            <v>18</v>
          </cell>
          <cell r="L73">
            <v>6480</v>
          </cell>
          <cell r="M73">
            <v>0</v>
          </cell>
          <cell r="N73">
            <v>0</v>
          </cell>
          <cell r="O73">
            <v>0</v>
          </cell>
          <cell r="P73">
            <v>4000</v>
          </cell>
          <cell r="Q73">
            <v>46000</v>
          </cell>
          <cell r="R73">
            <v>0</v>
          </cell>
          <cell r="S73">
            <v>87504</v>
          </cell>
          <cell r="V73">
            <v>96456</v>
          </cell>
          <cell r="W73">
            <v>87504</v>
          </cell>
        </row>
        <row r="74">
          <cell r="E74">
            <v>189</v>
          </cell>
          <cell r="G74">
            <v>20223</v>
          </cell>
          <cell r="J74">
            <v>30</v>
          </cell>
          <cell r="L74">
            <v>10800</v>
          </cell>
          <cell r="M74">
            <v>0</v>
          </cell>
          <cell r="N74">
            <v>0</v>
          </cell>
          <cell r="O74">
            <v>0</v>
          </cell>
          <cell r="P74">
            <v>4000</v>
          </cell>
          <cell r="Q74">
            <v>46000</v>
          </cell>
          <cell r="R74">
            <v>0</v>
          </cell>
          <cell r="S74">
            <v>81023</v>
          </cell>
          <cell r="V74">
            <v>87504</v>
          </cell>
          <cell r="W74">
            <v>81023</v>
          </cell>
        </row>
        <row r="75">
          <cell r="E75">
            <v>185</v>
          </cell>
          <cell r="G75">
            <v>20350</v>
          </cell>
          <cell r="J75">
            <v>37</v>
          </cell>
          <cell r="L75">
            <v>13320</v>
          </cell>
          <cell r="M75">
            <v>0</v>
          </cell>
          <cell r="N75">
            <v>0</v>
          </cell>
          <cell r="O75">
            <v>0</v>
          </cell>
          <cell r="P75">
            <v>4000</v>
          </cell>
          <cell r="Q75">
            <v>46000</v>
          </cell>
          <cell r="R75">
            <v>0</v>
          </cell>
          <cell r="S75">
            <v>83670</v>
          </cell>
          <cell r="V75">
            <v>81023</v>
          </cell>
          <cell r="W75">
            <v>83670</v>
          </cell>
        </row>
        <row r="76">
          <cell r="E76">
            <v>336</v>
          </cell>
          <cell r="G76">
            <v>42336</v>
          </cell>
          <cell r="J76">
            <v>337</v>
          </cell>
          <cell r="L76">
            <v>121320</v>
          </cell>
          <cell r="M76">
            <v>0</v>
          </cell>
          <cell r="N76">
            <v>0</v>
          </cell>
          <cell r="O76">
            <v>0</v>
          </cell>
          <cell r="P76">
            <v>4000</v>
          </cell>
          <cell r="Q76">
            <v>46000</v>
          </cell>
          <cell r="R76">
            <v>0</v>
          </cell>
          <cell r="S76">
            <v>213656</v>
          </cell>
          <cell r="V76">
            <v>83670</v>
          </cell>
          <cell r="W76">
            <v>213656</v>
          </cell>
        </row>
        <row r="77">
          <cell r="E77">
            <v>217</v>
          </cell>
          <cell r="G77">
            <v>25823</v>
          </cell>
          <cell r="J77">
            <v>78</v>
          </cell>
          <cell r="L77">
            <v>28080</v>
          </cell>
          <cell r="M77">
            <v>0</v>
          </cell>
          <cell r="N77">
            <v>0</v>
          </cell>
          <cell r="O77">
            <v>0</v>
          </cell>
          <cell r="P77">
            <v>4000</v>
          </cell>
          <cell r="Q77">
            <v>46000</v>
          </cell>
          <cell r="R77">
            <v>0</v>
          </cell>
          <cell r="S77">
            <v>103903</v>
          </cell>
          <cell r="V77">
            <v>213656</v>
          </cell>
          <cell r="W77">
            <v>103903</v>
          </cell>
        </row>
        <row r="78">
          <cell r="E78">
            <v>357</v>
          </cell>
          <cell r="G78">
            <v>38556</v>
          </cell>
          <cell r="J78">
            <v>212</v>
          </cell>
          <cell r="L78">
            <v>76320</v>
          </cell>
          <cell r="M78">
            <v>0</v>
          </cell>
          <cell r="N78">
            <v>0</v>
          </cell>
          <cell r="O78">
            <v>0</v>
          </cell>
          <cell r="P78">
            <v>4000</v>
          </cell>
          <cell r="Q78">
            <v>46000</v>
          </cell>
          <cell r="R78">
            <v>0</v>
          </cell>
          <cell r="S78">
            <v>164876</v>
          </cell>
          <cell r="V78">
            <v>103903</v>
          </cell>
          <cell r="W78">
            <v>164876</v>
          </cell>
        </row>
        <row r="79">
          <cell r="E79">
            <v>269</v>
          </cell>
          <cell r="G79">
            <v>33356</v>
          </cell>
          <cell r="J79">
            <v>86</v>
          </cell>
          <cell r="L79">
            <v>30960</v>
          </cell>
          <cell r="M79">
            <v>0</v>
          </cell>
          <cell r="N79">
            <v>0</v>
          </cell>
          <cell r="O79">
            <v>0</v>
          </cell>
          <cell r="P79">
            <v>4000</v>
          </cell>
          <cell r="Q79">
            <v>46000</v>
          </cell>
          <cell r="R79">
            <v>0</v>
          </cell>
          <cell r="S79">
            <v>114316</v>
          </cell>
          <cell r="V79">
            <v>164876</v>
          </cell>
          <cell r="W79">
            <v>114316</v>
          </cell>
        </row>
        <row r="80">
          <cell r="E80">
            <v>300</v>
          </cell>
          <cell r="G80">
            <v>39000</v>
          </cell>
          <cell r="J80">
            <v>111</v>
          </cell>
          <cell r="L80">
            <v>39960</v>
          </cell>
          <cell r="M80">
            <v>0</v>
          </cell>
          <cell r="N80">
            <v>0</v>
          </cell>
          <cell r="O80">
            <v>0</v>
          </cell>
          <cell r="P80">
            <v>4000</v>
          </cell>
          <cell r="Q80">
            <v>46000</v>
          </cell>
          <cell r="R80">
            <v>0</v>
          </cell>
          <cell r="S80">
            <v>128960</v>
          </cell>
          <cell r="V80">
            <v>114316</v>
          </cell>
          <cell r="W80">
            <v>128960</v>
          </cell>
        </row>
        <row r="81">
          <cell r="E81">
            <v>277</v>
          </cell>
          <cell r="G81">
            <v>36010</v>
          </cell>
          <cell r="J81">
            <v>141</v>
          </cell>
          <cell r="L81">
            <v>50760</v>
          </cell>
          <cell r="M81">
            <v>0</v>
          </cell>
          <cell r="N81">
            <v>0</v>
          </cell>
          <cell r="O81">
            <v>0</v>
          </cell>
          <cell r="P81">
            <v>4000</v>
          </cell>
          <cell r="Q81">
            <v>46000</v>
          </cell>
          <cell r="R81">
            <v>0</v>
          </cell>
          <cell r="S81">
            <v>136770</v>
          </cell>
          <cell r="V81">
            <v>128960</v>
          </cell>
          <cell r="W81">
            <v>136770</v>
          </cell>
        </row>
        <row r="82">
          <cell r="E82">
            <v>307</v>
          </cell>
          <cell r="G82">
            <v>42980</v>
          </cell>
          <cell r="J82">
            <v>111</v>
          </cell>
          <cell r="L82">
            <v>39960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46000</v>
          </cell>
          <cell r="R82">
            <v>0</v>
          </cell>
          <cell r="S82">
            <v>132940</v>
          </cell>
          <cell r="V82">
            <v>136770</v>
          </cell>
          <cell r="W82">
            <v>132940</v>
          </cell>
        </row>
        <row r="83">
          <cell r="E83">
            <v>197</v>
          </cell>
          <cell r="G83">
            <v>28762</v>
          </cell>
          <cell r="J83">
            <v>101</v>
          </cell>
          <cell r="L83">
            <v>36360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115122</v>
          </cell>
          <cell r="V83">
            <v>132940</v>
          </cell>
          <cell r="W83">
            <v>115122</v>
          </cell>
        </row>
        <row r="84">
          <cell r="E84">
            <v>243</v>
          </cell>
          <cell r="G84">
            <v>35478</v>
          </cell>
          <cell r="J84">
            <v>116</v>
          </cell>
          <cell r="L84">
            <v>41760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127238</v>
          </cell>
          <cell r="V84">
            <v>115122</v>
          </cell>
          <cell r="W84">
            <v>127238</v>
          </cell>
        </row>
        <row r="85">
          <cell r="E85">
            <v>200</v>
          </cell>
          <cell r="G85">
            <v>29200</v>
          </cell>
          <cell r="J85">
            <v>16</v>
          </cell>
          <cell r="L85">
            <v>5760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84960</v>
          </cell>
          <cell r="V85">
            <v>127238</v>
          </cell>
          <cell r="W85">
            <v>94960</v>
          </cell>
        </row>
        <row r="86">
          <cell r="E86">
            <v>179</v>
          </cell>
          <cell r="G86">
            <v>26134</v>
          </cell>
          <cell r="J86">
            <v>15</v>
          </cell>
          <cell r="L86">
            <v>5400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91534</v>
          </cell>
          <cell r="V86">
            <v>94960</v>
          </cell>
          <cell r="W86">
            <v>81534</v>
          </cell>
        </row>
        <row r="87">
          <cell r="E87">
            <v>203</v>
          </cell>
          <cell r="G87">
            <v>29638</v>
          </cell>
          <cell r="J87">
            <v>28</v>
          </cell>
          <cell r="L87">
            <v>10080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89718</v>
          </cell>
          <cell r="V87">
            <v>81534</v>
          </cell>
          <cell r="W87">
            <v>89718</v>
          </cell>
        </row>
        <row r="88">
          <cell r="E88">
            <v>209</v>
          </cell>
          <cell r="G88">
            <v>30514</v>
          </cell>
          <cell r="J88">
            <v>106</v>
          </cell>
          <cell r="L88">
            <v>38160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118674</v>
          </cell>
          <cell r="V88">
            <v>89718</v>
          </cell>
          <cell r="W88">
            <v>118674</v>
          </cell>
        </row>
        <row r="89">
          <cell r="E89">
            <v>202</v>
          </cell>
          <cell r="G89">
            <v>29492</v>
          </cell>
          <cell r="J89">
            <v>145</v>
          </cell>
          <cell r="L89">
            <v>52200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131692</v>
          </cell>
          <cell r="V89">
            <v>118674</v>
          </cell>
          <cell r="W89">
            <v>131692</v>
          </cell>
        </row>
        <row r="90">
          <cell r="E90">
            <v>316</v>
          </cell>
          <cell r="G90">
            <v>46136</v>
          </cell>
          <cell r="J90">
            <v>229</v>
          </cell>
          <cell r="L90">
            <v>101880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198016</v>
          </cell>
          <cell r="V90">
            <v>131692</v>
          </cell>
          <cell r="W90">
            <v>198016</v>
          </cell>
        </row>
        <row r="91">
          <cell r="E91">
            <v>232</v>
          </cell>
          <cell r="G91">
            <v>33872</v>
          </cell>
          <cell r="J91">
            <v>224</v>
          </cell>
          <cell r="L91">
            <v>98280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191152</v>
          </cell>
          <cell r="V91">
            <v>198016</v>
          </cell>
          <cell r="W91">
            <v>201152</v>
          </cell>
        </row>
        <row r="92">
          <cell r="E92">
            <v>273</v>
          </cell>
          <cell r="G92">
            <v>39858</v>
          </cell>
          <cell r="J92">
            <v>210</v>
          </cell>
          <cell r="L92">
            <v>88200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187058</v>
          </cell>
          <cell r="V92">
            <v>201152</v>
          </cell>
          <cell r="W92">
            <v>197058</v>
          </cell>
        </row>
        <row r="93">
          <cell r="E93">
            <v>222</v>
          </cell>
          <cell r="G93">
            <v>32412</v>
          </cell>
          <cell r="J93">
            <v>168</v>
          </cell>
          <cell r="L93">
            <v>63720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155132</v>
          </cell>
          <cell r="V93">
            <v>197058</v>
          </cell>
          <cell r="W93">
            <v>165132</v>
          </cell>
        </row>
        <row r="94">
          <cell r="E94">
            <v>257</v>
          </cell>
          <cell r="G94">
            <v>37522</v>
          </cell>
          <cell r="J94">
            <v>159</v>
          </cell>
          <cell r="L94">
            <v>58860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155382</v>
          </cell>
          <cell r="V94">
            <v>165132</v>
          </cell>
          <cell r="W94">
            <v>165382</v>
          </cell>
        </row>
        <row r="95">
          <cell r="E95">
            <v>283</v>
          </cell>
          <cell r="G95">
            <v>41318</v>
          </cell>
          <cell r="J95">
            <v>81</v>
          </cell>
          <cell r="L95">
            <v>29160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129478</v>
          </cell>
          <cell r="V95">
            <v>165382</v>
          </cell>
          <cell r="W95">
            <v>139478</v>
          </cell>
        </row>
        <row r="96">
          <cell r="E96">
            <v>184</v>
          </cell>
          <cell r="G96">
            <v>26864</v>
          </cell>
          <cell r="J96">
            <v>12</v>
          </cell>
          <cell r="L96">
            <v>4320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90184</v>
          </cell>
          <cell r="V96">
            <v>139478</v>
          </cell>
          <cell r="W96">
            <v>90184</v>
          </cell>
        </row>
        <row r="97">
          <cell r="E97">
            <v>258</v>
          </cell>
          <cell r="G97">
            <v>37668</v>
          </cell>
          <cell r="J97">
            <v>31</v>
          </cell>
          <cell r="L97">
            <v>11160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107828</v>
          </cell>
          <cell r="V97">
            <v>90184</v>
          </cell>
          <cell r="W97">
            <v>107828</v>
          </cell>
        </row>
        <row r="98">
          <cell r="E98">
            <v>176</v>
          </cell>
          <cell r="G98">
            <v>25696</v>
          </cell>
          <cell r="J98">
            <v>17</v>
          </cell>
          <cell r="L98">
            <v>6120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90816</v>
          </cell>
          <cell r="V98">
            <v>107828</v>
          </cell>
          <cell r="W98">
            <v>90816</v>
          </cell>
        </row>
        <row r="99">
          <cell r="E99">
            <v>199</v>
          </cell>
          <cell r="G99">
            <v>29054</v>
          </cell>
          <cell r="J99">
            <v>41</v>
          </cell>
          <cell r="L99">
            <v>14760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102814</v>
          </cell>
          <cell r="V99">
            <v>90816</v>
          </cell>
          <cell r="W99">
            <v>102814</v>
          </cell>
        </row>
        <row r="100">
          <cell r="E100">
            <v>404</v>
          </cell>
          <cell r="G100">
            <v>58984</v>
          </cell>
          <cell r="J100">
            <v>81</v>
          </cell>
          <cell r="L100">
            <v>29160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147144</v>
          </cell>
          <cell r="V100">
            <v>102814</v>
          </cell>
          <cell r="W100">
            <v>147144</v>
          </cell>
        </row>
        <row r="101">
          <cell r="E101">
            <v>375</v>
          </cell>
          <cell r="G101">
            <v>54750</v>
          </cell>
          <cell r="J101">
            <v>268</v>
          </cell>
          <cell r="L101">
            <v>129960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243710</v>
          </cell>
          <cell r="V101">
            <v>147144</v>
          </cell>
          <cell r="W101">
            <v>243710</v>
          </cell>
        </row>
        <row r="102">
          <cell r="E102">
            <v>297</v>
          </cell>
          <cell r="G102">
            <v>43362</v>
          </cell>
          <cell r="J102">
            <v>113</v>
          </cell>
          <cell r="L102">
            <v>40680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143042</v>
          </cell>
          <cell r="V102">
            <v>243710</v>
          </cell>
          <cell r="W102">
            <v>143042</v>
          </cell>
        </row>
        <row r="103">
          <cell r="E103">
            <v>491</v>
          </cell>
          <cell r="G103">
            <v>71686</v>
          </cell>
          <cell r="J103">
            <v>156</v>
          </cell>
          <cell r="L103">
            <v>57240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189576</v>
          </cell>
          <cell r="V103">
            <v>143042</v>
          </cell>
          <cell r="W103">
            <v>189576</v>
          </cell>
        </row>
        <row r="104">
          <cell r="E104">
            <v>385</v>
          </cell>
          <cell r="G104">
            <v>56210</v>
          </cell>
          <cell r="J104">
            <v>114</v>
          </cell>
          <cell r="L104">
            <v>41040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157900</v>
          </cell>
          <cell r="V104">
            <v>347476</v>
          </cell>
          <cell r="W104">
            <v>0</v>
          </cell>
        </row>
        <row r="105">
          <cell r="E105">
            <v>452</v>
          </cell>
          <cell r="G105">
            <v>65992</v>
          </cell>
          <cell r="J105">
            <v>77</v>
          </cell>
          <cell r="L105">
            <v>27720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154362</v>
          </cell>
          <cell r="V105">
            <v>154362</v>
          </cell>
          <cell r="W105">
            <v>0</v>
          </cell>
        </row>
        <row r="106">
          <cell r="E106">
            <v>363</v>
          </cell>
          <cell r="G106">
            <v>52998</v>
          </cell>
          <cell r="J106">
            <v>80</v>
          </cell>
          <cell r="L106">
            <v>28800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142448</v>
          </cell>
          <cell r="V106">
            <v>142448</v>
          </cell>
          <cell r="W106">
            <v>0</v>
          </cell>
        </row>
        <row r="107">
          <cell r="E107">
            <v>216</v>
          </cell>
          <cell r="G107">
            <v>31536</v>
          </cell>
          <cell r="J107">
            <v>44</v>
          </cell>
          <cell r="L107">
            <v>15840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108026</v>
          </cell>
          <cell r="V107">
            <v>108026</v>
          </cell>
          <cell r="W107">
            <v>0</v>
          </cell>
        </row>
        <row r="108">
          <cell r="E108">
            <v>190</v>
          </cell>
          <cell r="G108">
            <v>27740</v>
          </cell>
          <cell r="J108">
            <v>30</v>
          </cell>
          <cell r="L108">
            <v>10800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99190</v>
          </cell>
          <cell r="V108">
            <v>99190</v>
          </cell>
          <cell r="W108">
            <v>0</v>
          </cell>
        </row>
        <row r="109">
          <cell r="E109">
            <v>263</v>
          </cell>
          <cell r="G109">
            <v>38398</v>
          </cell>
          <cell r="J109">
            <v>30</v>
          </cell>
          <cell r="L109">
            <v>10800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109848</v>
          </cell>
          <cell r="V109">
            <v>109848</v>
          </cell>
          <cell r="W109">
            <v>0</v>
          </cell>
        </row>
        <row r="110">
          <cell r="E110">
            <v>205</v>
          </cell>
          <cell r="G110">
            <v>29930</v>
          </cell>
          <cell r="J110">
            <v>20</v>
          </cell>
          <cell r="L110">
            <v>7200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97780</v>
          </cell>
          <cell r="V110">
            <v>97780</v>
          </cell>
          <cell r="W110">
            <v>0</v>
          </cell>
        </row>
        <row r="111">
          <cell r="E111">
            <v>178</v>
          </cell>
          <cell r="G111">
            <v>25988</v>
          </cell>
          <cell r="J111">
            <v>47</v>
          </cell>
          <cell r="L111">
            <v>16920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103558</v>
          </cell>
          <cell r="V111">
            <v>103558</v>
          </cell>
          <cell r="W111">
            <v>0</v>
          </cell>
        </row>
        <row r="112">
          <cell r="E112">
            <v>363</v>
          </cell>
          <cell r="G112">
            <v>52998</v>
          </cell>
          <cell r="J112">
            <v>66</v>
          </cell>
          <cell r="L112">
            <v>23760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137408</v>
          </cell>
          <cell r="V112">
            <v>137408</v>
          </cell>
          <cell r="W112">
            <v>0</v>
          </cell>
        </row>
        <row r="113">
          <cell r="E113">
            <v>421</v>
          </cell>
          <cell r="G113">
            <v>61466</v>
          </cell>
          <cell r="J113">
            <v>92</v>
          </cell>
          <cell r="L113">
            <v>33120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155236</v>
          </cell>
          <cell r="V113">
            <v>155236</v>
          </cell>
          <cell r="W113">
            <v>0</v>
          </cell>
        </row>
        <row r="114">
          <cell r="E114">
            <v>527</v>
          </cell>
          <cell r="G114">
            <v>76942</v>
          </cell>
          <cell r="J114">
            <v>117</v>
          </cell>
          <cell r="L114">
            <v>42120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179712</v>
          </cell>
          <cell r="V114">
            <v>179172</v>
          </cell>
          <cell r="W114">
            <v>540</v>
          </cell>
        </row>
        <row r="115">
          <cell r="E115">
            <v>572</v>
          </cell>
          <cell r="G115">
            <v>83512</v>
          </cell>
          <cell r="J115">
            <v>112</v>
          </cell>
          <cell r="L115">
            <v>40320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186691</v>
          </cell>
          <cell r="V115">
            <v>187231</v>
          </cell>
          <cell r="W115">
            <v>0</v>
          </cell>
        </row>
        <row r="116">
          <cell r="E116">
            <v>371</v>
          </cell>
          <cell r="G116">
            <v>54166</v>
          </cell>
          <cell r="J116">
            <v>85</v>
          </cell>
          <cell r="L116">
            <v>30600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147625</v>
          </cell>
          <cell r="V116">
            <v>189576</v>
          </cell>
          <cell r="W116">
            <v>-41951</v>
          </cell>
        </row>
        <row r="117">
          <cell r="E117">
            <v>509</v>
          </cell>
          <cell r="G117">
            <v>74314</v>
          </cell>
          <cell r="J117">
            <v>103</v>
          </cell>
          <cell r="L117">
            <v>37080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174253</v>
          </cell>
          <cell r="V117">
            <v>132302</v>
          </cell>
          <cell r="W117">
            <v>0</v>
          </cell>
        </row>
        <row r="118">
          <cell r="E118">
            <v>463</v>
          </cell>
          <cell r="G118">
            <v>67598</v>
          </cell>
          <cell r="J118">
            <v>88</v>
          </cell>
          <cell r="L118">
            <v>31680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162137</v>
          </cell>
          <cell r="V118">
            <v>162137</v>
          </cell>
          <cell r="W118">
            <v>0</v>
          </cell>
        </row>
        <row r="119">
          <cell r="E119">
            <v>534</v>
          </cell>
          <cell r="G119">
            <v>77964</v>
          </cell>
          <cell r="J119">
            <v>105</v>
          </cell>
          <cell r="L119">
            <v>37800</v>
          </cell>
          <cell r="M119">
            <v>0</v>
          </cell>
          <cell r="N119">
            <v>0</v>
          </cell>
          <cell r="O119">
            <v>120000</v>
          </cell>
          <cell r="P119">
            <v>4000</v>
          </cell>
          <cell r="Q119">
            <v>58859</v>
          </cell>
          <cell r="R119">
            <v>0</v>
          </cell>
          <cell r="S119">
            <v>178623</v>
          </cell>
          <cell r="V119">
            <v>298623</v>
          </cell>
          <cell r="W119">
            <v>0</v>
          </cell>
        </row>
        <row r="120">
          <cell r="E120">
            <v>470</v>
          </cell>
          <cell r="G120">
            <v>68620</v>
          </cell>
          <cell r="J120">
            <v>45</v>
          </cell>
          <cell r="L120">
            <v>16200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147679</v>
          </cell>
          <cell r="V120">
            <v>147679</v>
          </cell>
          <cell r="W120">
            <v>0</v>
          </cell>
        </row>
        <row r="121">
          <cell r="E121">
            <v>155</v>
          </cell>
          <cell r="G121">
            <v>22630</v>
          </cell>
          <cell r="J121">
            <v>35</v>
          </cell>
          <cell r="L121">
            <v>12600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98089</v>
          </cell>
          <cell r="V121">
            <v>98089</v>
          </cell>
          <cell r="W121">
            <v>0</v>
          </cell>
        </row>
        <row r="122">
          <cell r="E122">
            <v>257</v>
          </cell>
          <cell r="G122">
            <v>37522</v>
          </cell>
          <cell r="J122">
            <v>24</v>
          </cell>
          <cell r="L122">
            <v>8640</v>
          </cell>
          <cell r="M122">
            <v>0</v>
          </cell>
          <cell r="N122">
            <v>0</v>
          </cell>
          <cell r="O122">
            <v>0</v>
          </cell>
          <cell r="P122">
            <v>15000</v>
          </cell>
          <cell r="Q122">
            <v>58859</v>
          </cell>
          <cell r="R122">
            <v>0</v>
          </cell>
          <cell r="S122">
            <v>120021</v>
          </cell>
          <cell r="V122">
            <v>120021</v>
          </cell>
          <cell r="W122">
            <v>0</v>
          </cell>
        </row>
        <row r="123">
          <cell r="E123">
            <v>411</v>
          </cell>
          <cell r="G123">
            <v>60006</v>
          </cell>
          <cell r="J123">
            <v>65</v>
          </cell>
          <cell r="L123">
            <v>23400</v>
          </cell>
          <cell r="M123">
            <v>0</v>
          </cell>
          <cell r="N123">
            <v>0</v>
          </cell>
          <cell r="O123">
            <v>0</v>
          </cell>
          <cell r="P123">
            <v>15000</v>
          </cell>
          <cell r="Q123">
            <v>58859</v>
          </cell>
          <cell r="R123">
            <v>0</v>
          </cell>
          <cell r="S123">
            <v>157265</v>
          </cell>
          <cell r="V123">
            <v>157265</v>
          </cell>
          <cell r="W123">
            <v>0</v>
          </cell>
        </row>
        <row r="124">
          <cell r="E124">
            <v>674</v>
          </cell>
          <cell r="G124">
            <v>98404</v>
          </cell>
          <cell r="J124">
            <v>63</v>
          </cell>
          <cell r="L124">
            <v>22680</v>
          </cell>
          <cell r="M124">
            <v>0</v>
          </cell>
          <cell r="N124">
            <v>0</v>
          </cell>
          <cell r="O124">
            <v>0</v>
          </cell>
          <cell r="P124">
            <v>15000</v>
          </cell>
          <cell r="Q124">
            <v>58859</v>
          </cell>
          <cell r="R124">
            <v>0</v>
          </cell>
          <cell r="S124">
            <v>194943</v>
          </cell>
          <cell r="V124">
            <v>194943</v>
          </cell>
          <cell r="W124">
            <v>0</v>
          </cell>
        </row>
        <row r="125">
          <cell r="E125">
            <v>478</v>
          </cell>
          <cell r="G125">
            <v>69788</v>
          </cell>
          <cell r="J125">
            <v>84</v>
          </cell>
          <cell r="L125">
            <v>30240</v>
          </cell>
          <cell r="M125">
            <v>0</v>
          </cell>
          <cell r="N125">
            <v>0</v>
          </cell>
          <cell r="O125">
            <v>0</v>
          </cell>
          <cell r="P125">
            <v>15000</v>
          </cell>
          <cell r="Q125">
            <v>58859</v>
          </cell>
          <cell r="R125">
            <v>0</v>
          </cell>
          <cell r="S125">
            <v>173887</v>
          </cell>
          <cell r="V125">
            <v>173887</v>
          </cell>
          <cell r="W125">
            <v>0</v>
          </cell>
        </row>
        <row r="126">
          <cell r="E126">
            <v>634</v>
          </cell>
          <cell r="G126">
            <v>92564</v>
          </cell>
          <cell r="J126">
            <v>92</v>
          </cell>
          <cell r="L126">
            <v>33120</v>
          </cell>
          <cell r="M126">
            <v>0</v>
          </cell>
          <cell r="N126">
            <v>0</v>
          </cell>
          <cell r="O126">
            <v>0</v>
          </cell>
          <cell r="P126">
            <v>15000</v>
          </cell>
          <cell r="Q126">
            <v>58859</v>
          </cell>
          <cell r="R126">
            <v>0</v>
          </cell>
          <cell r="S126">
            <v>199543</v>
          </cell>
          <cell r="V126">
            <v>199543</v>
          </cell>
          <cell r="W126">
            <v>0</v>
          </cell>
        </row>
        <row r="127">
          <cell r="E127">
            <v>688</v>
          </cell>
          <cell r="G127">
            <v>100448</v>
          </cell>
          <cell r="J127">
            <v>288</v>
          </cell>
          <cell r="L127">
            <v>144360</v>
          </cell>
          <cell r="M127">
            <v>0</v>
          </cell>
          <cell r="N127">
            <v>0</v>
          </cell>
          <cell r="O127">
            <v>0</v>
          </cell>
          <cell r="P127">
            <v>15000</v>
          </cell>
          <cell r="Q127">
            <v>59734</v>
          </cell>
          <cell r="R127">
            <v>0</v>
          </cell>
          <cell r="S127">
            <v>319542</v>
          </cell>
          <cell r="V127">
            <v>319542</v>
          </cell>
          <cell r="W127">
            <v>0</v>
          </cell>
        </row>
        <row r="128">
          <cell r="E128">
            <v>440</v>
          </cell>
          <cell r="G128">
            <v>64240</v>
          </cell>
          <cell r="J128">
            <v>115</v>
          </cell>
          <cell r="L128">
            <v>41400</v>
          </cell>
          <cell r="M128">
            <v>0</v>
          </cell>
          <cell r="N128">
            <v>12288</v>
          </cell>
          <cell r="O128">
            <v>0</v>
          </cell>
          <cell r="P128">
            <v>15000</v>
          </cell>
          <cell r="Q128">
            <v>59734</v>
          </cell>
          <cell r="R128">
            <v>0</v>
          </cell>
          <cell r="S128">
            <v>180374</v>
          </cell>
          <cell r="V128">
            <v>192662</v>
          </cell>
          <cell r="W128">
            <v>0</v>
          </cell>
        </row>
        <row r="129">
          <cell r="E129">
            <v>402</v>
          </cell>
          <cell r="G129">
            <v>58692</v>
          </cell>
          <cell r="J129">
            <v>84</v>
          </cell>
          <cell r="L129">
            <v>30240</v>
          </cell>
          <cell r="M129">
            <v>0</v>
          </cell>
          <cell r="N129">
            <v>0</v>
          </cell>
          <cell r="O129">
            <v>0</v>
          </cell>
          <cell r="P129">
            <v>15000</v>
          </cell>
          <cell r="Q129">
            <v>59734</v>
          </cell>
          <cell r="R129">
            <v>0</v>
          </cell>
          <cell r="S129">
            <v>163666</v>
          </cell>
          <cell r="V129">
            <v>163666</v>
          </cell>
          <cell r="W129">
            <v>0</v>
          </cell>
        </row>
        <row r="130">
          <cell r="E130">
            <v>434</v>
          </cell>
          <cell r="G130">
            <v>63364</v>
          </cell>
          <cell r="J130">
            <v>79</v>
          </cell>
          <cell r="L130">
            <v>28440</v>
          </cell>
          <cell r="M130">
            <v>0</v>
          </cell>
          <cell r="N130">
            <v>0</v>
          </cell>
          <cell r="O130">
            <v>0</v>
          </cell>
          <cell r="P130">
            <v>15000</v>
          </cell>
          <cell r="Q130">
            <v>59734</v>
          </cell>
          <cell r="R130">
            <v>0</v>
          </cell>
          <cell r="S130">
            <v>166538</v>
          </cell>
          <cell r="V130">
            <v>166538</v>
          </cell>
          <cell r="W130">
            <v>0</v>
          </cell>
        </row>
        <row r="131">
          <cell r="E131">
            <v>497</v>
          </cell>
          <cell r="G131">
            <v>77088</v>
          </cell>
          <cell r="J131">
            <v>78</v>
          </cell>
          <cell r="L131">
            <v>28080</v>
          </cell>
          <cell r="M131">
            <v>0</v>
          </cell>
          <cell r="N131">
            <v>0</v>
          </cell>
          <cell r="O131">
            <v>0</v>
          </cell>
          <cell r="P131">
            <v>15000</v>
          </cell>
          <cell r="Q131">
            <v>59734</v>
          </cell>
          <cell r="R131">
            <v>0</v>
          </cell>
          <cell r="S131">
            <v>179902</v>
          </cell>
          <cell r="V131">
            <v>179902</v>
          </cell>
          <cell r="W131">
            <v>0</v>
          </cell>
        </row>
        <row r="132">
          <cell r="E132">
            <v>454</v>
          </cell>
          <cell r="G132">
            <v>66284</v>
          </cell>
          <cell r="J132">
            <v>38</v>
          </cell>
          <cell r="L132">
            <v>13680</v>
          </cell>
          <cell r="M132">
            <v>0</v>
          </cell>
          <cell r="N132">
            <v>0</v>
          </cell>
          <cell r="O132">
            <v>0</v>
          </cell>
          <cell r="P132">
            <v>15000</v>
          </cell>
          <cell r="Q132">
            <v>59734</v>
          </cell>
          <cell r="R132">
            <v>0</v>
          </cell>
          <cell r="S132">
            <v>154698</v>
          </cell>
          <cell r="V132">
            <v>154698</v>
          </cell>
          <cell r="W132">
            <v>0</v>
          </cell>
        </row>
        <row r="133">
          <cell r="E133">
            <v>590</v>
          </cell>
          <cell r="G133">
            <v>86140</v>
          </cell>
          <cell r="J133">
            <v>54</v>
          </cell>
          <cell r="L133">
            <v>19440</v>
          </cell>
          <cell r="M133">
            <v>0</v>
          </cell>
          <cell r="N133">
            <v>0</v>
          </cell>
          <cell r="O133">
            <v>0</v>
          </cell>
          <cell r="P133">
            <v>15000</v>
          </cell>
          <cell r="Q133">
            <v>59734</v>
          </cell>
          <cell r="R133">
            <v>0</v>
          </cell>
          <cell r="S133">
            <v>180314</v>
          </cell>
          <cell r="V133">
            <v>180314</v>
          </cell>
          <cell r="W133">
            <v>0</v>
          </cell>
        </row>
        <row r="134">
          <cell r="E134">
            <v>604</v>
          </cell>
          <cell r="G134">
            <v>88184</v>
          </cell>
          <cell r="J134">
            <v>42</v>
          </cell>
          <cell r="L134">
            <v>15120</v>
          </cell>
          <cell r="M134">
            <v>0</v>
          </cell>
          <cell r="N134">
            <v>0</v>
          </cell>
          <cell r="O134">
            <v>0</v>
          </cell>
          <cell r="P134">
            <v>15000</v>
          </cell>
          <cell r="Q134">
            <v>59734</v>
          </cell>
          <cell r="R134">
            <v>0</v>
          </cell>
          <cell r="S134">
            <v>178038</v>
          </cell>
          <cell r="V134">
            <v>178038</v>
          </cell>
          <cell r="W134">
            <v>0</v>
          </cell>
        </row>
        <row r="135">
          <cell r="E135">
            <v>663</v>
          </cell>
          <cell r="G135">
            <v>96798</v>
          </cell>
          <cell r="J135">
            <v>73</v>
          </cell>
          <cell r="L135">
            <v>26280</v>
          </cell>
          <cell r="M135">
            <v>0</v>
          </cell>
          <cell r="N135">
            <v>0</v>
          </cell>
          <cell r="O135">
            <v>0</v>
          </cell>
          <cell r="P135">
            <v>15000</v>
          </cell>
          <cell r="Q135">
            <v>59734</v>
          </cell>
          <cell r="R135">
            <v>0</v>
          </cell>
          <cell r="S135">
            <v>197812</v>
          </cell>
          <cell r="V135">
            <v>197812</v>
          </cell>
          <cell r="W135">
            <v>0</v>
          </cell>
        </row>
        <row r="136">
          <cell r="E136">
            <v>929</v>
          </cell>
          <cell r="G136">
            <v>135634</v>
          </cell>
          <cell r="J136">
            <v>87</v>
          </cell>
          <cell r="L136">
            <v>31320</v>
          </cell>
          <cell r="M136">
            <v>0</v>
          </cell>
          <cell r="N136">
            <v>16760</v>
          </cell>
          <cell r="O136">
            <v>0</v>
          </cell>
          <cell r="P136">
            <v>15000</v>
          </cell>
          <cell r="Q136">
            <v>59734</v>
          </cell>
          <cell r="R136">
            <v>0</v>
          </cell>
          <cell r="S136">
            <v>241688</v>
          </cell>
          <cell r="V136">
            <v>258448</v>
          </cell>
          <cell r="W136">
            <v>0</v>
          </cell>
        </row>
        <row r="137">
          <cell r="E137">
            <v>1025</v>
          </cell>
          <cell r="G137">
            <v>149650</v>
          </cell>
          <cell r="J137">
            <v>103</v>
          </cell>
          <cell r="L137">
            <v>37080</v>
          </cell>
          <cell r="M137">
            <v>0</v>
          </cell>
          <cell r="N137">
            <v>0</v>
          </cell>
          <cell r="O137">
            <v>0</v>
          </cell>
          <cell r="P137">
            <v>15000</v>
          </cell>
          <cell r="Q137">
            <v>59734</v>
          </cell>
          <cell r="R137">
            <v>0</v>
          </cell>
          <cell r="S137">
            <v>261464</v>
          </cell>
          <cell r="V137">
            <v>261464</v>
          </cell>
          <cell r="W137">
            <v>0</v>
          </cell>
        </row>
        <row r="138">
          <cell r="E138">
            <v>853</v>
          </cell>
          <cell r="G138">
            <v>124538</v>
          </cell>
          <cell r="J138">
            <v>111</v>
          </cell>
          <cell r="L138">
            <v>39960</v>
          </cell>
          <cell r="M138">
            <v>0</v>
          </cell>
          <cell r="N138">
            <v>20000</v>
          </cell>
          <cell r="O138">
            <v>0</v>
          </cell>
          <cell r="P138">
            <v>15000</v>
          </cell>
          <cell r="Q138">
            <v>59734</v>
          </cell>
          <cell r="R138">
            <v>0</v>
          </cell>
          <cell r="S138">
            <v>239232</v>
          </cell>
          <cell r="V138">
            <v>259232</v>
          </cell>
          <cell r="W138">
            <v>0</v>
          </cell>
        </row>
        <row r="139">
          <cell r="E139">
            <v>860</v>
          </cell>
          <cell r="G139">
            <v>125560</v>
          </cell>
          <cell r="J139">
            <v>70</v>
          </cell>
          <cell r="L139">
            <v>25200</v>
          </cell>
          <cell r="M139">
            <v>0</v>
          </cell>
          <cell r="N139">
            <v>5000</v>
          </cell>
          <cell r="O139">
            <v>0</v>
          </cell>
          <cell r="P139">
            <v>15000</v>
          </cell>
          <cell r="Q139">
            <v>61536</v>
          </cell>
          <cell r="R139">
            <v>0</v>
          </cell>
          <cell r="S139">
            <v>227296</v>
          </cell>
          <cell r="V139">
            <v>232296</v>
          </cell>
          <cell r="W139">
            <v>0</v>
          </cell>
        </row>
        <row r="140">
          <cell r="E140">
            <v>788</v>
          </cell>
          <cell r="G140">
            <v>115048</v>
          </cell>
          <cell r="J140">
            <v>109</v>
          </cell>
          <cell r="L140">
            <v>39240</v>
          </cell>
          <cell r="M140">
            <v>0</v>
          </cell>
          <cell r="N140">
            <v>5000</v>
          </cell>
          <cell r="O140">
            <v>0</v>
          </cell>
          <cell r="P140">
            <v>15000</v>
          </cell>
          <cell r="Q140">
            <v>61536</v>
          </cell>
          <cell r="R140">
            <v>0</v>
          </cell>
          <cell r="S140">
            <v>230824</v>
          </cell>
          <cell r="V140">
            <v>235824</v>
          </cell>
          <cell r="W140">
            <v>0</v>
          </cell>
        </row>
        <row r="141">
          <cell r="E141">
            <v>872</v>
          </cell>
          <cell r="G141">
            <v>127312</v>
          </cell>
          <cell r="J141">
            <v>87</v>
          </cell>
          <cell r="L141">
            <v>31320</v>
          </cell>
          <cell r="M141">
            <v>0</v>
          </cell>
          <cell r="N141">
            <v>5000</v>
          </cell>
          <cell r="O141">
            <v>0</v>
          </cell>
          <cell r="P141">
            <v>15000</v>
          </cell>
          <cell r="Q141">
            <v>61536</v>
          </cell>
          <cell r="R141">
            <v>0</v>
          </cell>
          <cell r="S141">
            <v>235168</v>
          </cell>
          <cell r="V141">
            <v>240168</v>
          </cell>
          <cell r="W141">
            <v>0</v>
          </cell>
        </row>
        <row r="142">
          <cell r="E142">
            <v>738</v>
          </cell>
          <cell r="G142">
            <v>107748</v>
          </cell>
          <cell r="J142">
            <v>80</v>
          </cell>
          <cell r="L142">
            <v>28800</v>
          </cell>
          <cell r="M142">
            <v>0</v>
          </cell>
          <cell r="N142">
            <v>5000</v>
          </cell>
          <cell r="O142">
            <v>0</v>
          </cell>
          <cell r="P142">
            <v>15000</v>
          </cell>
          <cell r="Q142">
            <v>61536</v>
          </cell>
          <cell r="R142">
            <v>0</v>
          </cell>
          <cell r="S142">
            <v>213084</v>
          </cell>
          <cell r="V142">
            <v>218084</v>
          </cell>
          <cell r="W142">
            <v>0</v>
          </cell>
        </row>
        <row r="143">
          <cell r="E143">
            <v>380</v>
          </cell>
          <cell r="G143">
            <v>55480</v>
          </cell>
          <cell r="J143">
            <v>56</v>
          </cell>
          <cell r="L143">
            <v>20160</v>
          </cell>
          <cell r="M143">
            <v>0</v>
          </cell>
          <cell r="N143">
            <v>5000</v>
          </cell>
          <cell r="O143">
            <v>0</v>
          </cell>
          <cell r="P143">
            <v>15000</v>
          </cell>
          <cell r="Q143">
            <v>61536</v>
          </cell>
          <cell r="R143">
            <v>0</v>
          </cell>
          <cell r="S143">
            <v>152176</v>
          </cell>
          <cell r="V143">
            <v>157176</v>
          </cell>
          <cell r="W143">
            <v>0</v>
          </cell>
        </row>
        <row r="144">
          <cell r="E144">
            <v>370</v>
          </cell>
          <cell r="G144">
            <v>54020</v>
          </cell>
          <cell r="J144">
            <v>38</v>
          </cell>
          <cell r="L144">
            <v>13680</v>
          </cell>
          <cell r="M144">
            <v>0</v>
          </cell>
          <cell r="N144">
            <v>5000</v>
          </cell>
          <cell r="O144">
            <v>0</v>
          </cell>
          <cell r="P144">
            <v>15000</v>
          </cell>
          <cell r="Q144">
            <v>61536</v>
          </cell>
          <cell r="R144">
            <v>0</v>
          </cell>
          <cell r="S144">
            <v>144236</v>
          </cell>
          <cell r="V144">
            <v>149236</v>
          </cell>
          <cell r="W144">
            <v>0</v>
          </cell>
        </row>
        <row r="145">
          <cell r="E145">
            <v>408</v>
          </cell>
          <cell r="G145">
            <v>59568</v>
          </cell>
          <cell r="J145">
            <v>56</v>
          </cell>
          <cell r="L145">
            <v>20160</v>
          </cell>
          <cell r="M145">
            <v>0</v>
          </cell>
          <cell r="N145">
            <v>5000</v>
          </cell>
          <cell r="O145">
            <v>0</v>
          </cell>
          <cell r="P145">
            <v>15000</v>
          </cell>
          <cell r="Q145">
            <v>61536</v>
          </cell>
          <cell r="R145">
            <v>0</v>
          </cell>
          <cell r="S145">
            <v>156264</v>
          </cell>
          <cell r="V145">
            <v>161264</v>
          </cell>
          <cell r="W145">
            <v>0</v>
          </cell>
        </row>
        <row r="146">
          <cell r="E146">
            <v>362</v>
          </cell>
          <cell r="G146">
            <v>52852</v>
          </cell>
          <cell r="J146">
            <v>41</v>
          </cell>
          <cell r="L146">
            <v>14760</v>
          </cell>
          <cell r="M146">
            <v>0</v>
          </cell>
          <cell r="N146">
            <v>5000</v>
          </cell>
          <cell r="O146">
            <v>0</v>
          </cell>
          <cell r="P146">
            <v>15000</v>
          </cell>
          <cell r="Q146">
            <v>61536</v>
          </cell>
          <cell r="R146">
            <v>0</v>
          </cell>
          <cell r="S146">
            <v>144148</v>
          </cell>
          <cell r="V146">
            <v>149148</v>
          </cell>
          <cell r="W146">
            <v>0</v>
          </cell>
        </row>
        <row r="147">
          <cell r="E147">
            <v>360</v>
          </cell>
          <cell r="G147">
            <v>52560</v>
          </cell>
          <cell r="J147">
            <v>48</v>
          </cell>
          <cell r="L147">
            <v>17280</v>
          </cell>
          <cell r="M147">
            <v>0</v>
          </cell>
          <cell r="N147">
            <v>5000</v>
          </cell>
          <cell r="O147">
            <v>0</v>
          </cell>
          <cell r="P147">
            <v>15000</v>
          </cell>
          <cell r="Q147">
            <v>61536</v>
          </cell>
          <cell r="R147">
            <v>0</v>
          </cell>
          <cell r="S147">
            <v>146376</v>
          </cell>
          <cell r="V147">
            <v>151376</v>
          </cell>
          <cell r="W147">
            <v>0</v>
          </cell>
        </row>
        <row r="148">
          <cell r="E148">
            <v>180</v>
          </cell>
          <cell r="G148">
            <v>26280</v>
          </cell>
          <cell r="J148">
            <v>43</v>
          </cell>
          <cell r="L148">
            <v>15480</v>
          </cell>
          <cell r="M148">
            <v>0</v>
          </cell>
          <cell r="N148">
            <v>5000</v>
          </cell>
          <cell r="O148">
            <v>0</v>
          </cell>
          <cell r="P148">
            <v>15000</v>
          </cell>
          <cell r="Q148">
            <v>61536</v>
          </cell>
          <cell r="R148">
            <v>0</v>
          </cell>
          <cell r="S148">
            <v>118296</v>
          </cell>
          <cell r="V148">
            <v>123296</v>
          </cell>
          <cell r="W148">
            <v>0</v>
          </cell>
        </row>
        <row r="149">
          <cell r="E149">
            <v>366</v>
          </cell>
          <cell r="G149">
            <v>53436</v>
          </cell>
          <cell r="J149">
            <v>69</v>
          </cell>
          <cell r="L149">
            <v>24840</v>
          </cell>
          <cell r="M149">
            <v>0</v>
          </cell>
          <cell r="N149">
            <v>5000</v>
          </cell>
          <cell r="O149">
            <v>0</v>
          </cell>
          <cell r="P149">
            <v>15000</v>
          </cell>
          <cell r="Q149">
            <v>61536</v>
          </cell>
          <cell r="R149">
            <v>0</v>
          </cell>
          <cell r="S149">
            <v>154812</v>
          </cell>
          <cell r="V149">
            <v>159812</v>
          </cell>
          <cell r="W149">
            <v>0</v>
          </cell>
        </row>
        <row r="150">
          <cell r="E150">
            <v>490</v>
          </cell>
          <cell r="G150">
            <v>71540</v>
          </cell>
          <cell r="J150">
            <v>79</v>
          </cell>
          <cell r="L150">
            <v>28440</v>
          </cell>
          <cell r="M150">
            <v>0</v>
          </cell>
          <cell r="N150">
            <v>7000</v>
          </cell>
          <cell r="O150">
            <v>0</v>
          </cell>
          <cell r="P150">
            <v>15000</v>
          </cell>
          <cell r="Q150">
            <v>61536</v>
          </cell>
          <cell r="R150">
            <v>0</v>
          </cell>
          <cell r="S150">
            <v>176516</v>
          </cell>
          <cell r="V150">
            <v>183516</v>
          </cell>
          <cell r="W150">
            <v>0</v>
          </cell>
        </row>
        <row r="151">
          <cell r="E151">
            <v>449</v>
          </cell>
          <cell r="G151">
            <v>65554</v>
          </cell>
          <cell r="J151">
            <v>92</v>
          </cell>
          <cell r="L151">
            <v>33120</v>
          </cell>
          <cell r="M151">
            <v>0</v>
          </cell>
          <cell r="N151">
            <v>7000</v>
          </cell>
          <cell r="O151">
            <v>0</v>
          </cell>
          <cell r="P151">
            <v>12500</v>
          </cell>
          <cell r="Q151">
            <v>64395</v>
          </cell>
          <cell r="R151">
            <v>0</v>
          </cell>
          <cell r="S151">
            <v>175569</v>
          </cell>
          <cell r="V151">
            <v>182569</v>
          </cell>
          <cell r="W151">
            <v>0</v>
          </cell>
        </row>
        <row r="152">
          <cell r="E152">
            <v>426</v>
          </cell>
          <cell r="G152">
            <v>62196</v>
          </cell>
          <cell r="J152">
            <v>91</v>
          </cell>
          <cell r="L152">
            <v>32760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159351</v>
          </cell>
          <cell r="V152">
            <v>166351</v>
          </cell>
          <cell r="W152">
            <v>0</v>
          </cell>
        </row>
        <row r="153">
          <cell r="E153">
            <v>523</v>
          </cell>
          <cell r="G153">
            <v>76358</v>
          </cell>
          <cell r="J153">
            <v>89</v>
          </cell>
          <cell r="L153">
            <v>32040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172793</v>
          </cell>
          <cell r="V153">
            <v>184752</v>
          </cell>
          <cell r="W153">
            <v>0</v>
          </cell>
        </row>
        <row r="154">
          <cell r="E154">
            <v>442</v>
          </cell>
          <cell r="G154">
            <v>64532</v>
          </cell>
          <cell r="J154">
            <v>111</v>
          </cell>
          <cell r="L154">
            <v>39960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168887</v>
          </cell>
          <cell r="V154">
            <v>180846</v>
          </cell>
          <cell r="W154">
            <v>0</v>
          </cell>
        </row>
        <row r="155">
          <cell r="E155">
            <v>425</v>
          </cell>
          <cell r="G155">
            <v>62050</v>
          </cell>
          <cell r="J155">
            <v>88</v>
          </cell>
          <cell r="L155">
            <v>31680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158125</v>
          </cell>
          <cell r="V155">
            <v>170084</v>
          </cell>
          <cell r="W155">
            <v>0</v>
          </cell>
        </row>
        <row r="156">
          <cell r="E156">
            <v>313</v>
          </cell>
          <cell r="G156">
            <v>45698</v>
          </cell>
          <cell r="J156">
            <v>45</v>
          </cell>
          <cell r="L156">
            <v>16200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126293</v>
          </cell>
          <cell r="V156">
            <v>138252</v>
          </cell>
          <cell r="W156">
            <v>0</v>
          </cell>
        </row>
        <row r="157">
          <cell r="E157">
            <v>406</v>
          </cell>
          <cell r="G157">
            <v>59276</v>
          </cell>
          <cell r="J157">
            <v>53</v>
          </cell>
          <cell r="L157">
            <v>19080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142751</v>
          </cell>
          <cell r="V157">
            <v>154710</v>
          </cell>
          <cell r="W157">
            <v>0</v>
          </cell>
        </row>
        <row r="158">
          <cell r="E158">
            <v>311</v>
          </cell>
          <cell r="G158">
            <v>45406</v>
          </cell>
          <cell r="J158">
            <v>37</v>
          </cell>
          <cell r="L158">
            <v>13320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123121</v>
          </cell>
          <cell r="V158">
            <v>135080</v>
          </cell>
          <cell r="W158">
            <v>0</v>
          </cell>
        </row>
        <row r="159">
          <cell r="E159">
            <v>306</v>
          </cell>
          <cell r="G159">
            <v>44676</v>
          </cell>
          <cell r="J159">
            <v>79</v>
          </cell>
          <cell r="L159">
            <v>28440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137511</v>
          </cell>
          <cell r="V159">
            <v>149470</v>
          </cell>
          <cell r="W159">
            <v>0</v>
          </cell>
        </row>
        <row r="160">
          <cell r="E160">
            <v>409</v>
          </cell>
          <cell r="G160">
            <v>59714</v>
          </cell>
          <cell r="J160">
            <v>86</v>
          </cell>
          <cell r="L160">
            <v>30960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155069</v>
          </cell>
          <cell r="V160">
            <v>167028</v>
          </cell>
          <cell r="W160">
            <v>0</v>
          </cell>
        </row>
        <row r="161">
          <cell r="E161">
            <v>312</v>
          </cell>
          <cell r="G161">
            <v>45552</v>
          </cell>
          <cell r="J161">
            <v>82</v>
          </cell>
          <cell r="L161">
            <v>29520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139467</v>
          </cell>
          <cell r="V161">
            <v>0</v>
          </cell>
          <cell r="W161">
            <v>151426</v>
          </cell>
        </row>
        <row r="162">
          <cell r="E162">
            <v>888</v>
          </cell>
          <cell r="G162">
            <v>129648</v>
          </cell>
          <cell r="J162">
            <v>39</v>
          </cell>
          <cell r="L162">
            <v>14040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208083</v>
          </cell>
          <cell r="V162">
            <v>371174</v>
          </cell>
          <cell r="W162">
            <v>0</v>
          </cell>
        </row>
        <row r="163">
          <cell r="E163">
            <v>481</v>
          </cell>
          <cell r="G163">
            <v>70226</v>
          </cell>
          <cell r="J163">
            <v>83</v>
          </cell>
          <cell r="L163">
            <v>29880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174501</v>
          </cell>
          <cell r="V163">
            <v>186166</v>
          </cell>
          <cell r="W163">
            <v>0</v>
          </cell>
        </row>
        <row r="164">
          <cell r="E164">
            <v>310</v>
          </cell>
          <cell r="G164">
            <v>45260</v>
          </cell>
          <cell r="J164">
            <v>106</v>
          </cell>
          <cell r="L164">
            <v>38160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157815</v>
          </cell>
          <cell r="V164">
            <v>0</v>
          </cell>
          <cell r="W164">
            <v>169480</v>
          </cell>
        </row>
        <row r="165">
          <cell r="E165">
            <v>295</v>
          </cell>
          <cell r="G165">
            <v>43070</v>
          </cell>
          <cell r="J165">
            <v>98</v>
          </cell>
          <cell r="L165">
            <v>35280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152745</v>
          </cell>
          <cell r="V165">
            <v>333890</v>
          </cell>
          <cell r="W165">
            <v>0</v>
          </cell>
        </row>
        <row r="166">
          <cell r="E166">
            <v>395</v>
          </cell>
          <cell r="G166">
            <v>57670</v>
          </cell>
          <cell r="J166">
            <v>56</v>
          </cell>
          <cell r="L166">
            <v>20160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152225</v>
          </cell>
          <cell r="V166">
            <v>163934</v>
          </cell>
          <cell r="W166">
            <v>0</v>
          </cell>
        </row>
        <row r="167">
          <cell r="E167">
            <v>299</v>
          </cell>
          <cell r="G167">
            <v>43654</v>
          </cell>
          <cell r="J167">
            <v>21</v>
          </cell>
          <cell r="L167">
            <v>7560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125609</v>
          </cell>
          <cell r="V167">
            <v>137318</v>
          </cell>
          <cell r="W167">
            <v>0</v>
          </cell>
        </row>
        <row r="168">
          <cell r="E168">
            <v>337</v>
          </cell>
          <cell r="G168">
            <v>49202</v>
          </cell>
          <cell r="J168">
            <v>20</v>
          </cell>
          <cell r="L168">
            <v>7200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130797</v>
          </cell>
          <cell r="V168">
            <v>142506</v>
          </cell>
          <cell r="W168">
            <v>0</v>
          </cell>
        </row>
        <row r="169">
          <cell r="E169">
            <v>316</v>
          </cell>
          <cell r="G169">
            <v>46136</v>
          </cell>
          <cell r="J169">
            <v>46</v>
          </cell>
          <cell r="L169">
            <v>16560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137091</v>
          </cell>
          <cell r="V169">
            <v>148406</v>
          </cell>
          <cell r="W169">
            <v>0</v>
          </cell>
        </row>
        <row r="170">
          <cell r="E170">
            <v>348</v>
          </cell>
          <cell r="G170">
            <v>50808</v>
          </cell>
          <cell r="J170">
            <v>54</v>
          </cell>
          <cell r="L170">
            <v>19440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144643</v>
          </cell>
          <cell r="V170">
            <v>155958</v>
          </cell>
          <cell r="W170">
            <v>0</v>
          </cell>
        </row>
        <row r="171">
          <cell r="E171">
            <v>628</v>
          </cell>
          <cell r="G171">
            <v>91688</v>
          </cell>
          <cell r="J171">
            <v>87</v>
          </cell>
          <cell r="L171">
            <v>31320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197403</v>
          </cell>
          <cell r="V171">
            <v>204403</v>
          </cell>
          <cell r="W171">
            <v>0</v>
          </cell>
        </row>
        <row r="172">
          <cell r="E172">
            <v>356</v>
          </cell>
          <cell r="G172">
            <v>51976</v>
          </cell>
          <cell r="J172">
            <v>71</v>
          </cell>
          <cell r="L172">
            <v>25560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151931</v>
          </cell>
          <cell r="V172">
            <v>158931</v>
          </cell>
          <cell r="W172">
            <v>0</v>
          </cell>
        </row>
        <row r="173">
          <cell r="E173">
            <v>406</v>
          </cell>
          <cell r="G173">
            <v>59276</v>
          </cell>
          <cell r="J173">
            <v>98</v>
          </cell>
          <cell r="L173">
            <v>35280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168951</v>
          </cell>
          <cell r="V173">
            <v>175951</v>
          </cell>
          <cell r="W173">
            <v>0</v>
          </cell>
        </row>
        <row r="174">
          <cell r="E174">
            <v>478</v>
          </cell>
          <cell r="G174">
            <v>69788</v>
          </cell>
          <cell r="J174">
            <v>108</v>
          </cell>
          <cell r="L174">
            <v>38880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183063</v>
          </cell>
          <cell r="V174">
            <v>190063</v>
          </cell>
          <cell r="W174">
            <v>0</v>
          </cell>
        </row>
      </sheetData>
      <sheetData sheetId="5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46000</v>
          </cell>
          <cell r="V55">
            <v>2652000</v>
          </cell>
          <cell r="W55">
            <v>131000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177000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177000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223000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46000</v>
          </cell>
          <cell r="W59">
            <v>223000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269000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315000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361000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138000</v>
          </cell>
          <cell r="W63">
            <v>269000</v>
          </cell>
        </row>
        <row r="64">
          <cell r="E64">
            <v>1</v>
          </cell>
          <cell r="G64">
            <v>63</v>
          </cell>
          <cell r="J64">
            <v>3</v>
          </cell>
          <cell r="L64">
            <v>1080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47143</v>
          </cell>
          <cell r="V64">
            <v>0</v>
          </cell>
          <cell r="W64">
            <v>316143</v>
          </cell>
        </row>
        <row r="65">
          <cell r="E65">
            <v>47</v>
          </cell>
          <cell r="G65">
            <v>3713</v>
          </cell>
          <cell r="J65">
            <v>19</v>
          </cell>
          <cell r="L65">
            <v>6840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56553</v>
          </cell>
          <cell r="V65">
            <v>138063</v>
          </cell>
          <cell r="W65">
            <v>234633</v>
          </cell>
        </row>
        <row r="66">
          <cell r="E66">
            <v>75</v>
          </cell>
          <cell r="G66">
            <v>5925</v>
          </cell>
          <cell r="J66">
            <v>41</v>
          </cell>
          <cell r="L66">
            <v>14760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66685</v>
          </cell>
          <cell r="V66">
            <v>0</v>
          </cell>
          <cell r="W66">
            <v>301318</v>
          </cell>
        </row>
        <row r="67">
          <cell r="E67">
            <v>30</v>
          </cell>
          <cell r="G67">
            <v>2370</v>
          </cell>
          <cell r="J67">
            <v>25</v>
          </cell>
          <cell r="L67">
            <v>9000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57370</v>
          </cell>
          <cell r="V67">
            <v>0</v>
          </cell>
          <cell r="W67">
            <v>358688</v>
          </cell>
        </row>
        <row r="68">
          <cell r="E68">
            <v>124</v>
          </cell>
          <cell r="G68">
            <v>10788</v>
          </cell>
          <cell r="J68">
            <v>71</v>
          </cell>
          <cell r="L68">
            <v>25560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82348</v>
          </cell>
          <cell r="V68">
            <v>181688</v>
          </cell>
          <cell r="W68">
            <v>259348</v>
          </cell>
        </row>
        <row r="69">
          <cell r="E69">
            <v>43</v>
          </cell>
          <cell r="G69">
            <v>3741</v>
          </cell>
          <cell r="J69">
            <v>31</v>
          </cell>
          <cell r="L69">
            <v>11160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60901</v>
          </cell>
          <cell r="V69">
            <v>0</v>
          </cell>
          <cell r="W69">
            <v>320249</v>
          </cell>
        </row>
        <row r="70">
          <cell r="E70">
            <v>54</v>
          </cell>
          <cell r="G70">
            <v>5994</v>
          </cell>
          <cell r="J70">
            <v>31</v>
          </cell>
          <cell r="L70">
            <v>11160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63154</v>
          </cell>
          <cell r="V70">
            <v>0</v>
          </cell>
          <cell r="W70">
            <v>383403</v>
          </cell>
        </row>
        <row r="71">
          <cell r="E71">
            <v>288</v>
          </cell>
          <cell r="G71">
            <v>35712</v>
          </cell>
          <cell r="J71">
            <v>35</v>
          </cell>
          <cell r="L71">
            <v>12600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94312</v>
          </cell>
          <cell r="V71">
            <v>177000</v>
          </cell>
          <cell r="W71">
            <v>300715</v>
          </cell>
        </row>
        <row r="72">
          <cell r="E72">
            <v>51</v>
          </cell>
          <cell r="G72">
            <v>4998</v>
          </cell>
          <cell r="J72">
            <v>5</v>
          </cell>
          <cell r="L72">
            <v>1800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52798</v>
          </cell>
          <cell r="V72">
            <v>200000</v>
          </cell>
          <cell r="W72">
            <v>153513</v>
          </cell>
        </row>
        <row r="73">
          <cell r="E73">
            <v>45</v>
          </cell>
          <cell r="G73">
            <v>4680</v>
          </cell>
          <cell r="J73">
            <v>2</v>
          </cell>
          <cell r="L73">
            <v>720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51400</v>
          </cell>
          <cell r="V73">
            <v>0</v>
          </cell>
          <cell r="W73">
            <v>204913</v>
          </cell>
        </row>
        <row r="74">
          <cell r="E74">
            <v>40</v>
          </cell>
          <cell r="G74">
            <v>4480</v>
          </cell>
          <cell r="J74">
            <v>32</v>
          </cell>
          <cell r="L74">
            <v>11520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62000</v>
          </cell>
          <cell r="V74">
            <v>0</v>
          </cell>
          <cell r="W74">
            <v>266913</v>
          </cell>
        </row>
        <row r="75">
          <cell r="E75">
            <v>-17</v>
          </cell>
          <cell r="G75">
            <v>-1819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44181</v>
          </cell>
          <cell r="V75">
            <v>0</v>
          </cell>
          <cell r="W75">
            <v>311094</v>
          </cell>
        </row>
        <row r="76">
          <cell r="E76">
            <v>22</v>
          </cell>
          <cell r="G76">
            <v>2420</v>
          </cell>
          <cell r="J76">
            <v>4</v>
          </cell>
          <cell r="L76">
            <v>1440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49860</v>
          </cell>
          <cell r="V76">
            <v>0</v>
          </cell>
          <cell r="W76">
            <v>360954</v>
          </cell>
        </row>
        <row r="77">
          <cell r="E77">
            <v>-39</v>
          </cell>
          <cell r="G77">
            <v>-4914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41086</v>
          </cell>
          <cell r="V77">
            <v>150000</v>
          </cell>
          <cell r="W77">
            <v>252040</v>
          </cell>
        </row>
        <row r="78">
          <cell r="E78">
            <v>-19</v>
          </cell>
          <cell r="G78">
            <v>-2261</v>
          </cell>
          <cell r="J78">
            <v>8</v>
          </cell>
          <cell r="L78">
            <v>2880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46619</v>
          </cell>
          <cell r="V78">
            <v>0</v>
          </cell>
          <cell r="W78">
            <v>298659</v>
          </cell>
        </row>
        <row r="79">
          <cell r="E79">
            <v>-17</v>
          </cell>
          <cell r="G79">
            <v>-1836</v>
          </cell>
          <cell r="J79">
            <v>82</v>
          </cell>
          <cell r="L79">
            <v>29520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73684</v>
          </cell>
          <cell r="V79">
            <v>0</v>
          </cell>
          <cell r="W79">
            <v>372343</v>
          </cell>
        </row>
        <row r="80">
          <cell r="E80">
            <v>0</v>
          </cell>
          <cell r="G80">
            <v>0</v>
          </cell>
          <cell r="J80">
            <v>17</v>
          </cell>
          <cell r="L80">
            <v>6120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52120</v>
          </cell>
          <cell r="V80">
            <v>100000</v>
          </cell>
          <cell r="W80">
            <v>324463</v>
          </cell>
        </row>
        <row r="81">
          <cell r="E81">
            <v>-8</v>
          </cell>
          <cell r="G81">
            <v>-1040</v>
          </cell>
          <cell r="J81">
            <v>26</v>
          </cell>
          <cell r="L81">
            <v>9360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54320</v>
          </cell>
          <cell r="V81">
            <v>0</v>
          </cell>
          <cell r="W81">
            <v>378783</v>
          </cell>
        </row>
        <row r="82">
          <cell r="E82">
            <v>-10</v>
          </cell>
          <cell r="G82">
            <v>1300</v>
          </cell>
          <cell r="J82">
            <v>23</v>
          </cell>
          <cell r="L82">
            <v>8280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55580</v>
          </cell>
          <cell r="V82">
            <v>0</v>
          </cell>
          <cell r="W82">
            <v>434363</v>
          </cell>
        </row>
        <row r="83">
          <cell r="E83">
            <v>2</v>
          </cell>
          <cell r="G83">
            <v>280</v>
          </cell>
          <cell r="J83">
            <v>18</v>
          </cell>
          <cell r="L83">
            <v>6480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52760</v>
          </cell>
          <cell r="V83">
            <v>100000</v>
          </cell>
          <cell r="W83">
            <v>387123</v>
          </cell>
        </row>
        <row r="84">
          <cell r="E84">
            <v>6</v>
          </cell>
          <cell r="G84">
            <v>876</v>
          </cell>
          <cell r="J84">
            <v>7</v>
          </cell>
          <cell r="L84">
            <v>2520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49396</v>
          </cell>
          <cell r="V84">
            <v>401000</v>
          </cell>
          <cell r="W84">
            <v>35519</v>
          </cell>
        </row>
        <row r="85">
          <cell r="E85">
            <v>3</v>
          </cell>
          <cell r="G85">
            <v>438</v>
          </cell>
          <cell r="J85">
            <v>6</v>
          </cell>
          <cell r="L85">
            <v>2160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48598</v>
          </cell>
          <cell r="V85">
            <v>0</v>
          </cell>
          <cell r="W85">
            <v>84117</v>
          </cell>
        </row>
        <row r="86">
          <cell r="E86">
            <v>5</v>
          </cell>
          <cell r="G86">
            <v>730</v>
          </cell>
          <cell r="J86">
            <v>1</v>
          </cell>
          <cell r="L86">
            <v>360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46000</v>
          </cell>
          <cell r="R86">
            <v>0</v>
          </cell>
          <cell r="S86">
            <v>47090</v>
          </cell>
          <cell r="V86">
            <v>60000</v>
          </cell>
          <cell r="W86">
            <v>81207</v>
          </cell>
        </row>
        <row r="87">
          <cell r="E87">
            <v>3</v>
          </cell>
          <cell r="G87">
            <v>438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56000</v>
          </cell>
          <cell r="R87">
            <v>0</v>
          </cell>
          <cell r="S87">
            <v>56438</v>
          </cell>
          <cell r="V87">
            <v>80000</v>
          </cell>
          <cell r="W87">
            <v>47645</v>
          </cell>
        </row>
        <row r="88">
          <cell r="E88">
            <v>-88</v>
          </cell>
          <cell r="G88">
            <v>535</v>
          </cell>
          <cell r="J88">
            <v>2</v>
          </cell>
          <cell r="L88">
            <v>720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47255</v>
          </cell>
          <cell r="V88">
            <v>0</v>
          </cell>
          <cell r="W88">
            <v>94900</v>
          </cell>
        </row>
        <row r="89">
          <cell r="E89">
            <v>0</v>
          </cell>
          <cell r="G89">
            <v>0</v>
          </cell>
          <cell r="J89">
            <v>1</v>
          </cell>
          <cell r="L89">
            <v>360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46360</v>
          </cell>
          <cell r="V89">
            <v>90000</v>
          </cell>
          <cell r="W89">
            <v>51260</v>
          </cell>
        </row>
        <row r="90">
          <cell r="E90">
            <v>1</v>
          </cell>
          <cell r="G90">
            <v>146</v>
          </cell>
          <cell r="J90">
            <v>12</v>
          </cell>
          <cell r="L90">
            <v>4320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50466</v>
          </cell>
          <cell r="V90">
            <v>100000</v>
          </cell>
          <cell r="W90">
            <v>1726</v>
          </cell>
        </row>
        <row r="91">
          <cell r="E91">
            <v>24</v>
          </cell>
          <cell r="G91">
            <v>3504</v>
          </cell>
          <cell r="J91">
            <v>35</v>
          </cell>
          <cell r="L91">
            <v>12600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46000</v>
          </cell>
          <cell r="R91">
            <v>0</v>
          </cell>
          <cell r="S91">
            <v>62104</v>
          </cell>
          <cell r="V91">
            <v>0</v>
          </cell>
          <cell r="W91">
            <v>63830</v>
          </cell>
        </row>
        <row r="92">
          <cell r="E92">
            <v>4</v>
          </cell>
          <cell r="G92">
            <v>584</v>
          </cell>
          <cell r="J92">
            <v>30</v>
          </cell>
          <cell r="L92">
            <v>10800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66384</v>
          </cell>
          <cell r="V92">
            <v>140214</v>
          </cell>
          <cell r="W92">
            <v>0</v>
          </cell>
        </row>
        <row r="93">
          <cell r="E93">
            <v>35</v>
          </cell>
          <cell r="G93">
            <v>5110</v>
          </cell>
          <cell r="J93">
            <v>32</v>
          </cell>
          <cell r="L93">
            <v>11520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71630</v>
          </cell>
          <cell r="V93">
            <v>0</v>
          </cell>
          <cell r="W93">
            <v>81630</v>
          </cell>
        </row>
        <row r="94">
          <cell r="E94">
            <v>1</v>
          </cell>
          <cell r="G94">
            <v>146</v>
          </cell>
          <cell r="J94">
            <v>16</v>
          </cell>
          <cell r="L94">
            <v>5760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60906</v>
          </cell>
          <cell r="V94">
            <v>160000</v>
          </cell>
          <cell r="W94">
            <v>-7464</v>
          </cell>
        </row>
        <row r="95">
          <cell r="E95">
            <v>2</v>
          </cell>
          <cell r="G95">
            <v>292</v>
          </cell>
          <cell r="J95">
            <v>18</v>
          </cell>
          <cell r="L95">
            <v>6480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61772</v>
          </cell>
          <cell r="V95">
            <v>0</v>
          </cell>
          <cell r="W95">
            <v>64308</v>
          </cell>
        </row>
        <row r="96">
          <cell r="E96">
            <v>1</v>
          </cell>
          <cell r="G96">
            <v>146</v>
          </cell>
          <cell r="J96">
            <v>3</v>
          </cell>
          <cell r="L96">
            <v>1080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56226</v>
          </cell>
          <cell r="V96">
            <v>13587</v>
          </cell>
          <cell r="W96">
            <v>130000</v>
          </cell>
        </row>
        <row r="97">
          <cell r="E97">
            <v>1</v>
          </cell>
          <cell r="G97">
            <v>146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55146</v>
          </cell>
          <cell r="V97">
            <v>110584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55000</v>
          </cell>
        </row>
        <row r="99">
          <cell r="E99">
            <v>23</v>
          </cell>
          <cell r="G99">
            <v>3358</v>
          </cell>
          <cell r="J99">
            <v>4</v>
          </cell>
          <cell r="L99">
            <v>1440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59798</v>
          </cell>
          <cell r="V99">
            <v>130000</v>
          </cell>
          <cell r="W99">
            <v>-15202</v>
          </cell>
        </row>
        <row r="100">
          <cell r="E100">
            <v>13</v>
          </cell>
          <cell r="G100">
            <v>1898</v>
          </cell>
          <cell r="J100">
            <v>6</v>
          </cell>
          <cell r="L100">
            <v>2160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59058</v>
          </cell>
          <cell r="V100">
            <v>0</v>
          </cell>
          <cell r="W100">
            <v>43856</v>
          </cell>
        </row>
        <row r="101">
          <cell r="E101">
            <v>25</v>
          </cell>
          <cell r="G101">
            <v>3650</v>
          </cell>
          <cell r="J101">
            <v>23</v>
          </cell>
          <cell r="L101">
            <v>8280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66930</v>
          </cell>
          <cell r="V101">
            <v>111000</v>
          </cell>
          <cell r="W101">
            <v>-214</v>
          </cell>
        </row>
        <row r="102">
          <cell r="E102">
            <v>21</v>
          </cell>
          <cell r="G102">
            <v>3066</v>
          </cell>
          <cell r="J102">
            <v>22</v>
          </cell>
          <cell r="L102">
            <v>7920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65986</v>
          </cell>
          <cell r="V102">
            <v>0</v>
          </cell>
          <cell r="W102">
            <v>65772</v>
          </cell>
        </row>
        <row r="103">
          <cell r="E103">
            <v>37</v>
          </cell>
          <cell r="G103">
            <v>5402</v>
          </cell>
          <cell r="J103">
            <v>26</v>
          </cell>
          <cell r="L103">
            <v>9360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71412</v>
          </cell>
          <cell r="V103">
            <v>137184</v>
          </cell>
          <cell r="W103">
            <v>0</v>
          </cell>
        </row>
        <row r="104">
          <cell r="E104">
            <v>33</v>
          </cell>
          <cell r="G104">
            <v>4818</v>
          </cell>
          <cell r="J104">
            <v>41</v>
          </cell>
          <cell r="L104">
            <v>14760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76228</v>
          </cell>
          <cell r="V104">
            <v>76228</v>
          </cell>
          <cell r="W104">
            <v>0</v>
          </cell>
        </row>
        <row r="105">
          <cell r="E105">
            <v>33</v>
          </cell>
          <cell r="G105">
            <v>4818</v>
          </cell>
          <cell r="J105">
            <v>29</v>
          </cell>
          <cell r="L105">
            <v>10440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71908</v>
          </cell>
          <cell r="V105">
            <v>71908</v>
          </cell>
          <cell r="W105">
            <v>0</v>
          </cell>
        </row>
        <row r="106">
          <cell r="E106">
            <v>54</v>
          </cell>
          <cell r="G106">
            <v>7884</v>
          </cell>
          <cell r="J106">
            <v>30</v>
          </cell>
          <cell r="L106">
            <v>10800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75334</v>
          </cell>
          <cell r="V106">
            <v>0</v>
          </cell>
          <cell r="W106">
            <v>75334</v>
          </cell>
        </row>
        <row r="107">
          <cell r="E107">
            <v>27</v>
          </cell>
          <cell r="G107">
            <v>3942</v>
          </cell>
          <cell r="J107">
            <v>23</v>
          </cell>
          <cell r="L107">
            <v>8280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68872</v>
          </cell>
          <cell r="V107">
            <v>144206</v>
          </cell>
          <cell r="W107">
            <v>0</v>
          </cell>
        </row>
        <row r="108">
          <cell r="E108">
            <v>44</v>
          </cell>
          <cell r="G108">
            <v>6424</v>
          </cell>
          <cell r="J108">
            <v>11</v>
          </cell>
          <cell r="L108">
            <v>3960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67034</v>
          </cell>
          <cell r="V108">
            <v>67034</v>
          </cell>
          <cell r="W108">
            <v>0</v>
          </cell>
        </row>
        <row r="109">
          <cell r="E109">
            <v>5</v>
          </cell>
          <cell r="G109">
            <v>730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58100</v>
          </cell>
          <cell r="V109">
            <v>58100</v>
          </cell>
          <cell r="W109">
            <v>0</v>
          </cell>
        </row>
        <row r="110">
          <cell r="E110">
            <v>5</v>
          </cell>
          <cell r="G110">
            <v>730</v>
          </cell>
          <cell r="J110">
            <v>4</v>
          </cell>
          <cell r="L110">
            <v>1440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58820</v>
          </cell>
          <cell r="V110">
            <v>0</v>
          </cell>
          <cell r="W110">
            <v>58820</v>
          </cell>
        </row>
        <row r="111">
          <cell r="E111">
            <v>10</v>
          </cell>
          <cell r="G111">
            <v>1460</v>
          </cell>
          <cell r="J111">
            <v>19</v>
          </cell>
          <cell r="L111">
            <v>6840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64950</v>
          </cell>
          <cell r="V111">
            <v>123770</v>
          </cell>
          <cell r="W111">
            <v>0</v>
          </cell>
        </row>
        <row r="112">
          <cell r="E112">
            <v>16</v>
          </cell>
          <cell r="G112">
            <v>2336</v>
          </cell>
          <cell r="J112">
            <v>34</v>
          </cell>
          <cell r="L112">
            <v>12240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71226</v>
          </cell>
          <cell r="V112">
            <v>0</v>
          </cell>
          <cell r="W112">
            <v>71226</v>
          </cell>
        </row>
        <row r="113">
          <cell r="E113">
            <v>17</v>
          </cell>
          <cell r="G113">
            <v>2482</v>
          </cell>
          <cell r="J113">
            <v>34</v>
          </cell>
          <cell r="L113">
            <v>12240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71372</v>
          </cell>
          <cell r="V113">
            <v>100000</v>
          </cell>
          <cell r="W113">
            <v>42598</v>
          </cell>
        </row>
        <row r="114">
          <cell r="E114">
            <v>20</v>
          </cell>
          <cell r="G114">
            <v>2920</v>
          </cell>
          <cell r="J114">
            <v>44</v>
          </cell>
          <cell r="L114">
            <v>15840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75410</v>
          </cell>
          <cell r="V114">
            <v>118008</v>
          </cell>
          <cell r="W114">
            <v>0</v>
          </cell>
        </row>
        <row r="115">
          <cell r="E115">
            <v>40</v>
          </cell>
          <cell r="G115">
            <v>5840</v>
          </cell>
          <cell r="J115">
            <v>31</v>
          </cell>
          <cell r="L115">
            <v>11160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75859</v>
          </cell>
          <cell r="V115">
            <v>0</v>
          </cell>
          <cell r="W115">
            <v>75859</v>
          </cell>
        </row>
        <row r="116">
          <cell r="E116">
            <v>67</v>
          </cell>
          <cell r="G116">
            <v>9782</v>
          </cell>
          <cell r="J116">
            <v>26</v>
          </cell>
          <cell r="L116">
            <v>9360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78001</v>
          </cell>
          <cell r="V116">
            <v>153860</v>
          </cell>
          <cell r="W116">
            <v>0</v>
          </cell>
        </row>
        <row r="117">
          <cell r="E117">
            <v>52</v>
          </cell>
          <cell r="G117">
            <v>7592</v>
          </cell>
          <cell r="J117">
            <v>54</v>
          </cell>
          <cell r="L117">
            <v>19440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85891</v>
          </cell>
          <cell r="V117">
            <v>0</v>
          </cell>
          <cell r="W117">
            <v>85891</v>
          </cell>
        </row>
        <row r="118">
          <cell r="E118">
            <v>32</v>
          </cell>
          <cell r="G118">
            <v>4672</v>
          </cell>
          <cell r="J118">
            <v>30</v>
          </cell>
          <cell r="L118">
            <v>10800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74331</v>
          </cell>
          <cell r="V118">
            <v>160222</v>
          </cell>
          <cell r="W118">
            <v>0</v>
          </cell>
        </row>
        <row r="119">
          <cell r="E119">
            <v>16</v>
          </cell>
          <cell r="G119">
            <v>2336</v>
          </cell>
          <cell r="J119">
            <v>7</v>
          </cell>
          <cell r="L119">
            <v>2520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63715</v>
          </cell>
          <cell r="V119">
            <v>0</v>
          </cell>
          <cell r="W119">
            <v>63715</v>
          </cell>
        </row>
        <row r="120">
          <cell r="E120">
            <v>10</v>
          </cell>
          <cell r="G120">
            <v>1460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60679</v>
          </cell>
          <cell r="V120">
            <v>124394</v>
          </cell>
          <cell r="W120">
            <v>0</v>
          </cell>
        </row>
        <row r="121">
          <cell r="E121">
            <v>10</v>
          </cell>
          <cell r="G121">
            <v>1460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60319</v>
          </cell>
          <cell r="V121">
            <v>60319</v>
          </cell>
          <cell r="W121">
            <v>0</v>
          </cell>
        </row>
        <row r="122">
          <cell r="E122">
            <v>18</v>
          </cell>
          <cell r="G122">
            <v>2628</v>
          </cell>
          <cell r="J122">
            <v>2</v>
          </cell>
          <cell r="L122">
            <v>720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62207</v>
          </cell>
          <cell r="V122">
            <v>0</v>
          </cell>
          <cell r="W122">
            <v>62207</v>
          </cell>
        </row>
        <row r="123">
          <cell r="E123">
            <v>15</v>
          </cell>
          <cell r="G123">
            <v>2190</v>
          </cell>
          <cell r="J123">
            <v>7</v>
          </cell>
          <cell r="L123">
            <v>2520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63569</v>
          </cell>
          <cell r="V123">
            <v>126000</v>
          </cell>
          <cell r="W123">
            <v>-224</v>
          </cell>
        </row>
        <row r="124">
          <cell r="E124">
            <v>17</v>
          </cell>
          <cell r="G124">
            <v>2482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61341</v>
          </cell>
          <cell r="V124">
            <v>0</v>
          </cell>
          <cell r="W124">
            <v>61117</v>
          </cell>
        </row>
        <row r="125">
          <cell r="E125">
            <v>15</v>
          </cell>
          <cell r="G125">
            <v>2190</v>
          </cell>
          <cell r="J125">
            <v>18</v>
          </cell>
          <cell r="L125">
            <v>6480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67529</v>
          </cell>
          <cell r="V125">
            <v>128646</v>
          </cell>
          <cell r="W125">
            <v>0</v>
          </cell>
        </row>
        <row r="126">
          <cell r="E126">
            <v>14</v>
          </cell>
          <cell r="G126">
            <v>2044</v>
          </cell>
          <cell r="J126">
            <v>5</v>
          </cell>
          <cell r="L126">
            <v>1800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62703</v>
          </cell>
          <cell r="V126">
            <v>0</v>
          </cell>
          <cell r="W126">
            <v>62703</v>
          </cell>
        </row>
        <row r="127">
          <cell r="E127">
            <v>48</v>
          </cell>
          <cell r="G127">
            <v>7008</v>
          </cell>
          <cell r="J127">
            <v>12</v>
          </cell>
          <cell r="L127">
            <v>4320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71062</v>
          </cell>
          <cell r="V127">
            <v>133765</v>
          </cell>
          <cell r="W127">
            <v>0</v>
          </cell>
        </row>
        <row r="128">
          <cell r="E128">
            <v>39</v>
          </cell>
          <cell r="G128">
            <v>5694</v>
          </cell>
          <cell r="J128">
            <v>7</v>
          </cell>
          <cell r="L128">
            <v>2520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67948</v>
          </cell>
          <cell r="V128">
            <v>0</v>
          </cell>
          <cell r="W128">
            <v>80236</v>
          </cell>
        </row>
        <row r="129">
          <cell r="E129">
            <v>14</v>
          </cell>
          <cell r="G129">
            <v>2044</v>
          </cell>
          <cell r="J129">
            <v>26</v>
          </cell>
          <cell r="L129">
            <v>9360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71138</v>
          </cell>
          <cell r="V129">
            <v>151374</v>
          </cell>
          <cell r="W129">
            <v>0</v>
          </cell>
        </row>
        <row r="130">
          <cell r="E130">
            <v>15</v>
          </cell>
          <cell r="G130">
            <v>2190</v>
          </cell>
          <cell r="J130">
            <v>15</v>
          </cell>
          <cell r="L130">
            <v>5400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67324</v>
          </cell>
          <cell r="V130">
            <v>0</v>
          </cell>
          <cell r="W130">
            <v>67324</v>
          </cell>
        </row>
        <row r="131">
          <cell r="E131">
            <v>10</v>
          </cell>
          <cell r="G131">
            <v>1460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12851</v>
          </cell>
          <cell r="S131">
            <v>61194</v>
          </cell>
          <cell r="V131">
            <v>141369</v>
          </cell>
          <cell r="W131">
            <v>0</v>
          </cell>
        </row>
        <row r="132">
          <cell r="E132">
            <v>11</v>
          </cell>
          <cell r="G132">
            <v>1606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61700</v>
          </cell>
          <cell r="V132">
            <v>0</v>
          </cell>
          <cell r="W132">
            <v>61700</v>
          </cell>
        </row>
        <row r="133">
          <cell r="E133">
            <v>1</v>
          </cell>
          <cell r="G133">
            <v>146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59880</v>
          </cell>
          <cell r="V133">
            <v>121580</v>
          </cell>
          <cell r="W133">
            <v>0</v>
          </cell>
        </row>
        <row r="134">
          <cell r="E134">
            <v>9</v>
          </cell>
          <cell r="G134">
            <v>1314</v>
          </cell>
          <cell r="J134">
            <v>2</v>
          </cell>
          <cell r="L134">
            <v>720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61768</v>
          </cell>
          <cell r="V134">
            <v>0</v>
          </cell>
          <cell r="W134">
            <v>61768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121502</v>
          </cell>
          <cell r="W135">
            <v>0</v>
          </cell>
        </row>
        <row r="136">
          <cell r="E136">
            <v>2</v>
          </cell>
          <cell r="G136">
            <v>292</v>
          </cell>
          <cell r="J136">
            <v>9</v>
          </cell>
          <cell r="L136">
            <v>3240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63266</v>
          </cell>
          <cell r="V136">
            <v>0</v>
          </cell>
          <cell r="W136">
            <v>63266</v>
          </cell>
        </row>
        <row r="137">
          <cell r="E137">
            <v>10</v>
          </cell>
          <cell r="G137">
            <v>1460</v>
          </cell>
          <cell r="J137">
            <v>9</v>
          </cell>
          <cell r="L137">
            <v>3240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64434</v>
          </cell>
          <cell r="V137">
            <v>127700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12</v>
          </cell>
          <cell r="L138">
            <v>4320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64054</v>
          </cell>
          <cell r="V138">
            <v>0</v>
          </cell>
          <cell r="W138">
            <v>84054</v>
          </cell>
        </row>
        <row r="139">
          <cell r="E139">
            <v>4</v>
          </cell>
          <cell r="G139">
            <v>584</v>
          </cell>
          <cell r="J139">
            <v>3</v>
          </cell>
          <cell r="L139">
            <v>1080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12725</v>
          </cell>
          <cell r="S139">
            <v>63200</v>
          </cell>
          <cell r="V139">
            <v>164979</v>
          </cell>
          <cell r="W139">
            <v>0</v>
          </cell>
        </row>
        <row r="140">
          <cell r="E140">
            <v>11</v>
          </cell>
          <cell r="G140">
            <v>1606</v>
          </cell>
          <cell r="J140">
            <v>9</v>
          </cell>
          <cell r="L140">
            <v>3240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66382</v>
          </cell>
          <cell r="V140">
            <v>71382</v>
          </cell>
          <cell r="W140">
            <v>0</v>
          </cell>
        </row>
        <row r="141">
          <cell r="E141">
            <v>51</v>
          </cell>
          <cell r="G141">
            <v>7446</v>
          </cell>
          <cell r="J141">
            <v>23</v>
          </cell>
          <cell r="L141">
            <v>8280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77262</v>
          </cell>
          <cell r="V141">
            <v>0</v>
          </cell>
          <cell r="W141">
            <v>82262</v>
          </cell>
        </row>
        <row r="142">
          <cell r="E142">
            <v>15</v>
          </cell>
          <cell r="G142">
            <v>2190</v>
          </cell>
          <cell r="J142">
            <v>6</v>
          </cell>
          <cell r="L142">
            <v>2160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65886</v>
          </cell>
          <cell r="V142">
            <v>153148</v>
          </cell>
          <cell r="W142">
            <v>0</v>
          </cell>
        </row>
        <row r="143">
          <cell r="E143">
            <v>11</v>
          </cell>
          <cell r="G143">
            <v>1606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63142</v>
          </cell>
          <cell r="V143">
            <v>68142</v>
          </cell>
          <cell r="W143">
            <v>0</v>
          </cell>
        </row>
        <row r="144">
          <cell r="E144">
            <v>8</v>
          </cell>
          <cell r="G144">
            <v>1168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62704</v>
          </cell>
          <cell r="V144">
            <v>0</v>
          </cell>
          <cell r="W144">
            <v>67704</v>
          </cell>
        </row>
        <row r="145">
          <cell r="E145">
            <v>57</v>
          </cell>
          <cell r="G145">
            <v>8322</v>
          </cell>
          <cell r="J145">
            <v>2</v>
          </cell>
          <cell r="L145">
            <v>720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70578</v>
          </cell>
          <cell r="V145">
            <v>100000</v>
          </cell>
          <cell r="W145">
            <v>43282</v>
          </cell>
        </row>
        <row r="146">
          <cell r="E146">
            <v>25</v>
          </cell>
          <cell r="G146">
            <v>3650</v>
          </cell>
          <cell r="J146">
            <v>2</v>
          </cell>
          <cell r="L146">
            <v>720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65906</v>
          </cell>
          <cell r="V146">
            <v>114188</v>
          </cell>
          <cell r="W146">
            <v>0</v>
          </cell>
        </row>
        <row r="147">
          <cell r="E147">
            <v>8</v>
          </cell>
          <cell r="G147">
            <v>1168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62704</v>
          </cell>
          <cell r="V147">
            <v>67704</v>
          </cell>
          <cell r="W147">
            <v>0</v>
          </cell>
        </row>
        <row r="148">
          <cell r="E148">
            <v>11</v>
          </cell>
          <cell r="G148">
            <v>1606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63142</v>
          </cell>
          <cell r="V148">
            <v>68142</v>
          </cell>
          <cell r="W148">
            <v>0</v>
          </cell>
        </row>
        <row r="149">
          <cell r="E149">
            <v>16</v>
          </cell>
          <cell r="G149">
            <v>2336</v>
          </cell>
          <cell r="J149">
            <v>7</v>
          </cell>
          <cell r="L149">
            <v>2520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66392</v>
          </cell>
          <cell r="V149">
            <v>0</v>
          </cell>
          <cell r="W149">
            <v>71392</v>
          </cell>
        </row>
        <row r="150">
          <cell r="E150">
            <v>15</v>
          </cell>
          <cell r="G150">
            <v>2190</v>
          </cell>
          <cell r="J150">
            <v>2</v>
          </cell>
          <cell r="L150">
            <v>720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64446</v>
          </cell>
          <cell r="V150">
            <v>142838</v>
          </cell>
          <cell r="W150">
            <v>0</v>
          </cell>
        </row>
        <row r="151">
          <cell r="E151">
            <v>73</v>
          </cell>
          <cell r="G151">
            <v>10658</v>
          </cell>
          <cell r="J151">
            <v>26</v>
          </cell>
          <cell r="L151">
            <v>9360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84413</v>
          </cell>
          <cell r="V151">
            <v>91413</v>
          </cell>
          <cell r="W151">
            <v>0</v>
          </cell>
        </row>
        <row r="152">
          <cell r="E152">
            <v>25</v>
          </cell>
          <cell r="G152">
            <v>3650</v>
          </cell>
          <cell r="J152">
            <v>25</v>
          </cell>
          <cell r="L152">
            <v>9000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77045</v>
          </cell>
          <cell r="V152">
            <v>84045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6</v>
          </cell>
          <cell r="L153">
            <v>2160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66555</v>
          </cell>
          <cell r="V153">
            <v>78514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64395</v>
          </cell>
          <cell r="V154">
            <v>76354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64395</v>
          </cell>
          <cell r="V155">
            <v>76354</v>
          </cell>
          <cell r="W155">
            <v>0</v>
          </cell>
        </row>
        <row r="156">
          <cell r="E156">
            <v>49</v>
          </cell>
          <cell r="G156">
            <v>7154</v>
          </cell>
          <cell r="J156">
            <v>12</v>
          </cell>
          <cell r="L156">
            <v>4320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75869</v>
          </cell>
          <cell r="V156">
            <v>0</v>
          </cell>
          <cell r="W156">
            <v>137794</v>
          </cell>
        </row>
        <row r="157">
          <cell r="E157">
            <v>1</v>
          </cell>
          <cell r="G157">
            <v>146</v>
          </cell>
          <cell r="J157">
            <v>5</v>
          </cell>
          <cell r="L157">
            <v>1800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66341</v>
          </cell>
          <cell r="V157">
            <v>0</v>
          </cell>
          <cell r="W157">
            <v>266267</v>
          </cell>
        </row>
        <row r="158">
          <cell r="E158">
            <v>6</v>
          </cell>
          <cell r="G158">
            <v>876</v>
          </cell>
          <cell r="J158">
            <v>2</v>
          </cell>
          <cell r="L158">
            <v>720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36000</v>
          </cell>
          <cell r="S158">
            <v>65991</v>
          </cell>
          <cell r="V158">
            <v>0</v>
          </cell>
          <cell r="W158">
            <v>380217</v>
          </cell>
        </row>
        <row r="159">
          <cell r="E159">
            <v>2</v>
          </cell>
          <cell r="G159">
            <v>292</v>
          </cell>
          <cell r="J159">
            <v>0</v>
          </cell>
          <cell r="L159">
            <v>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64687</v>
          </cell>
          <cell r="V159">
            <v>456863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64395</v>
          </cell>
          <cell r="V160">
            <v>76354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2</v>
          </cell>
          <cell r="L161">
            <v>720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65115</v>
          </cell>
          <cell r="V161">
            <v>77074</v>
          </cell>
          <cell r="W161">
            <v>0</v>
          </cell>
        </row>
        <row r="162">
          <cell r="E162">
            <v>3</v>
          </cell>
          <cell r="G162">
            <v>438</v>
          </cell>
          <cell r="J162">
            <v>7</v>
          </cell>
          <cell r="L162">
            <v>2520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67353</v>
          </cell>
          <cell r="V162">
            <v>79018</v>
          </cell>
          <cell r="W162">
            <v>0</v>
          </cell>
        </row>
        <row r="163">
          <cell r="E163">
            <v>10</v>
          </cell>
          <cell r="G163">
            <v>1460</v>
          </cell>
          <cell r="J163">
            <v>23</v>
          </cell>
          <cell r="L163">
            <v>8280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84135</v>
          </cell>
          <cell r="V163">
            <v>95800</v>
          </cell>
          <cell r="W163">
            <v>0</v>
          </cell>
        </row>
        <row r="164">
          <cell r="E164">
            <v>6</v>
          </cell>
          <cell r="G164">
            <v>876</v>
          </cell>
          <cell r="J164">
            <v>34</v>
          </cell>
          <cell r="L164">
            <v>12240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87511</v>
          </cell>
          <cell r="V164">
            <v>94312</v>
          </cell>
          <cell r="W164">
            <v>4864</v>
          </cell>
        </row>
        <row r="165">
          <cell r="E165">
            <v>22</v>
          </cell>
          <cell r="G165">
            <v>3212</v>
          </cell>
          <cell r="J165">
            <v>14</v>
          </cell>
          <cell r="L165">
            <v>5040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82647</v>
          </cell>
          <cell r="V165">
            <v>0</v>
          </cell>
          <cell r="W165">
            <v>99176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74395</v>
          </cell>
          <cell r="V166">
            <v>86104</v>
          </cell>
          <cell r="W166">
            <v>99176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74395</v>
          </cell>
          <cell r="V167">
            <v>99176</v>
          </cell>
          <cell r="W167">
            <v>86104</v>
          </cell>
        </row>
        <row r="168">
          <cell r="E168">
            <v>4</v>
          </cell>
          <cell r="G168">
            <v>584</v>
          </cell>
          <cell r="J168">
            <v>0</v>
          </cell>
          <cell r="L168">
            <v>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74979</v>
          </cell>
          <cell r="V168">
            <v>86104</v>
          </cell>
          <cell r="W168">
            <v>86688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74395</v>
          </cell>
          <cell r="V169">
            <v>86688</v>
          </cell>
          <cell r="W169">
            <v>85710</v>
          </cell>
        </row>
        <row r="170">
          <cell r="E170">
            <v>14</v>
          </cell>
          <cell r="G170">
            <v>2044</v>
          </cell>
          <cell r="J170">
            <v>2</v>
          </cell>
          <cell r="L170">
            <v>720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77159</v>
          </cell>
          <cell r="V170">
            <v>85710</v>
          </cell>
          <cell r="W170">
            <v>88474</v>
          </cell>
        </row>
        <row r="171">
          <cell r="E171">
            <v>2</v>
          </cell>
          <cell r="G171">
            <v>292</v>
          </cell>
          <cell r="J171">
            <v>1</v>
          </cell>
          <cell r="L171">
            <v>360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75047</v>
          </cell>
          <cell r="V171">
            <v>170521</v>
          </cell>
          <cell r="W171">
            <v>0</v>
          </cell>
        </row>
        <row r="172">
          <cell r="E172">
            <v>1</v>
          </cell>
          <cell r="G172">
            <v>146</v>
          </cell>
          <cell r="J172">
            <v>6</v>
          </cell>
          <cell r="L172">
            <v>2160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76701</v>
          </cell>
          <cell r="V172">
            <v>83701</v>
          </cell>
          <cell r="W172">
            <v>0</v>
          </cell>
        </row>
        <row r="173">
          <cell r="E173">
            <v>25</v>
          </cell>
          <cell r="G173">
            <v>3650</v>
          </cell>
          <cell r="J173">
            <v>9</v>
          </cell>
          <cell r="L173">
            <v>3240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81285</v>
          </cell>
          <cell r="V173">
            <v>88285</v>
          </cell>
          <cell r="W173">
            <v>0</v>
          </cell>
        </row>
        <row r="174">
          <cell r="E174">
            <v>40</v>
          </cell>
          <cell r="G174">
            <v>5840</v>
          </cell>
          <cell r="J174">
            <v>12</v>
          </cell>
          <cell r="L174">
            <v>4320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84555</v>
          </cell>
          <cell r="V174">
            <v>91555</v>
          </cell>
          <cell r="W174">
            <v>0</v>
          </cell>
        </row>
      </sheetData>
      <sheetData sheetId="5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39000</v>
          </cell>
          <cell r="R11">
            <v>0</v>
          </cell>
          <cell r="S11">
            <v>39000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39000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6060.1</v>
          </cell>
          <cell r="G14">
            <v>381786.30000000005</v>
          </cell>
          <cell r="J14">
            <v>3699.277</v>
          </cell>
          <cell r="L14">
            <v>1109783.1000000001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1530569.4000000001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514.29999999999927</v>
          </cell>
          <cell r="G16">
            <v>32400.899999999954</v>
          </cell>
          <cell r="J16">
            <v>675.82300000000032</v>
          </cell>
          <cell r="L16">
            <v>202746.90000000008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274147.80000000005</v>
          </cell>
          <cell r="V16">
            <v>0</v>
          </cell>
          <cell r="W16">
            <v>0</v>
          </cell>
        </row>
        <row r="17">
          <cell r="E17">
            <v>220.20000000000073</v>
          </cell>
          <cell r="G17">
            <v>13872.600000000046</v>
          </cell>
          <cell r="J17">
            <v>250.59999999999945</v>
          </cell>
          <cell r="L17">
            <v>75179.99999999984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128052.59999999989</v>
          </cell>
          <cell r="V17">
            <v>0</v>
          </cell>
          <cell r="W17">
            <v>0</v>
          </cell>
        </row>
        <row r="18">
          <cell r="E18">
            <v>334.59999999999945</v>
          </cell>
          <cell r="G18">
            <v>21079.799999999967</v>
          </cell>
          <cell r="J18">
            <v>300</v>
          </cell>
          <cell r="L18">
            <v>90000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150079.79999999996</v>
          </cell>
          <cell r="V18">
            <v>0</v>
          </cell>
          <cell r="W18">
            <v>0</v>
          </cell>
        </row>
        <row r="19">
          <cell r="E19">
            <v>374.19999999999982</v>
          </cell>
          <cell r="G19">
            <v>23574.599999999988</v>
          </cell>
          <cell r="J19">
            <v>275.30000000000018</v>
          </cell>
          <cell r="L19">
            <v>82590.000000000058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145164.60000000003</v>
          </cell>
          <cell r="V19">
            <v>0</v>
          </cell>
          <cell r="W19">
            <v>0</v>
          </cell>
        </row>
        <row r="20">
          <cell r="E20">
            <v>319.30000000000018</v>
          </cell>
          <cell r="G20">
            <v>20115.900000000012</v>
          </cell>
          <cell r="J20">
            <v>456.19999999999982</v>
          </cell>
          <cell r="L20">
            <v>164231.99999999994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223347.89999999997</v>
          </cell>
          <cell r="V20">
            <v>0</v>
          </cell>
          <cell r="W20">
            <v>0</v>
          </cell>
        </row>
        <row r="21">
          <cell r="E21">
            <v>256</v>
          </cell>
          <cell r="G21">
            <v>16128</v>
          </cell>
          <cell r="J21">
            <v>52.800000000000182</v>
          </cell>
          <cell r="L21">
            <v>19008.000000000065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74136.000000000058</v>
          </cell>
          <cell r="V21">
            <v>0</v>
          </cell>
          <cell r="W21">
            <v>0</v>
          </cell>
        </row>
        <row r="22">
          <cell r="E22">
            <v>232.90000000000055</v>
          </cell>
          <cell r="G22">
            <v>14672.700000000033</v>
          </cell>
          <cell r="J22">
            <v>40</v>
          </cell>
          <cell r="L22">
            <v>14400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68072.700000000041</v>
          </cell>
          <cell r="V22">
            <v>0</v>
          </cell>
          <cell r="W22">
            <v>0</v>
          </cell>
        </row>
        <row r="23">
          <cell r="E23">
            <v>281.5</v>
          </cell>
          <cell r="G23">
            <v>17734.5</v>
          </cell>
          <cell r="J23">
            <v>10</v>
          </cell>
          <cell r="L23">
            <v>3600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60334.5</v>
          </cell>
          <cell r="V23">
            <v>0</v>
          </cell>
          <cell r="W23">
            <v>0</v>
          </cell>
        </row>
        <row r="24">
          <cell r="E24">
            <v>261.89999999999964</v>
          </cell>
          <cell r="G24">
            <v>16499.699999999975</v>
          </cell>
          <cell r="J24">
            <v>41</v>
          </cell>
          <cell r="L24">
            <v>14760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70259.699999999983</v>
          </cell>
          <cell r="V24">
            <v>0</v>
          </cell>
          <cell r="W24">
            <v>0</v>
          </cell>
        </row>
        <row r="25">
          <cell r="E25">
            <v>323.29999999999927</v>
          </cell>
          <cell r="G25">
            <v>20367.899999999954</v>
          </cell>
          <cell r="J25">
            <v>59</v>
          </cell>
          <cell r="L25">
            <v>21240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80607.899999999951</v>
          </cell>
          <cell r="V25">
            <v>0</v>
          </cell>
          <cell r="W25">
            <v>0</v>
          </cell>
        </row>
        <row r="26">
          <cell r="E26">
            <v>296.5</v>
          </cell>
          <cell r="G26">
            <v>18679.5</v>
          </cell>
          <cell r="J26">
            <v>152.89999999999964</v>
          </cell>
          <cell r="L26">
            <v>55043.999999999869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112723.49999999987</v>
          </cell>
          <cell r="V26">
            <v>0</v>
          </cell>
          <cell r="W26">
            <v>0</v>
          </cell>
        </row>
        <row r="27">
          <cell r="E27">
            <v>377.20000000000073</v>
          </cell>
          <cell r="G27">
            <v>23763.600000000046</v>
          </cell>
          <cell r="J27">
            <v>182.10000000000036</v>
          </cell>
          <cell r="L27">
            <v>65556.000000000131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128319.60000000018</v>
          </cell>
          <cell r="V27">
            <v>0</v>
          </cell>
          <cell r="W27">
            <v>0</v>
          </cell>
        </row>
        <row r="28">
          <cell r="E28">
            <v>163</v>
          </cell>
          <cell r="G28">
            <v>10269</v>
          </cell>
          <cell r="J28">
            <v>168</v>
          </cell>
          <cell r="L28">
            <v>60480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109749</v>
          </cell>
          <cell r="V28">
            <v>452245</v>
          </cell>
          <cell r="W28">
            <v>0</v>
          </cell>
        </row>
        <row r="29">
          <cell r="E29">
            <v>287</v>
          </cell>
          <cell r="G29">
            <v>18081</v>
          </cell>
          <cell r="J29">
            <v>154</v>
          </cell>
          <cell r="L29">
            <v>55440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112521</v>
          </cell>
          <cell r="V29">
            <v>0</v>
          </cell>
          <cell r="W29">
            <v>0</v>
          </cell>
        </row>
        <row r="30">
          <cell r="E30">
            <v>463</v>
          </cell>
          <cell r="G30">
            <v>29169</v>
          </cell>
          <cell r="J30">
            <v>250</v>
          </cell>
          <cell r="L30">
            <v>90000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158169</v>
          </cell>
          <cell r="V30">
            <v>0</v>
          </cell>
          <cell r="W30">
            <v>0</v>
          </cell>
        </row>
        <row r="31">
          <cell r="E31">
            <v>344</v>
          </cell>
          <cell r="G31">
            <v>21672</v>
          </cell>
          <cell r="J31">
            <v>200</v>
          </cell>
          <cell r="L31">
            <v>72000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132672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273</v>
          </cell>
          <cell r="G33">
            <v>17199</v>
          </cell>
          <cell r="J33">
            <v>150</v>
          </cell>
          <cell r="L33">
            <v>54000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110199</v>
          </cell>
          <cell r="V33">
            <v>0</v>
          </cell>
          <cell r="W33">
            <v>0</v>
          </cell>
        </row>
        <row r="34">
          <cell r="E34">
            <v>424</v>
          </cell>
          <cell r="G34">
            <v>26712</v>
          </cell>
          <cell r="J34">
            <v>34</v>
          </cell>
          <cell r="L34">
            <v>12240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77952</v>
          </cell>
          <cell r="V34">
            <v>110199</v>
          </cell>
          <cell r="W34">
            <v>0</v>
          </cell>
        </row>
        <row r="35">
          <cell r="E35">
            <v>302</v>
          </cell>
          <cell r="G35">
            <v>19026</v>
          </cell>
          <cell r="J35">
            <v>8</v>
          </cell>
          <cell r="L35">
            <v>2880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60906</v>
          </cell>
          <cell r="V35">
            <v>110199</v>
          </cell>
          <cell r="W35">
            <v>0</v>
          </cell>
        </row>
        <row r="36">
          <cell r="E36">
            <v>304.60000000000036</v>
          </cell>
          <cell r="G36">
            <v>19189.800000000025</v>
          </cell>
          <cell r="J36">
            <v>11</v>
          </cell>
          <cell r="L36">
            <v>3960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62149.800000000025</v>
          </cell>
          <cell r="V36">
            <v>110199</v>
          </cell>
          <cell r="W36">
            <v>0</v>
          </cell>
        </row>
        <row r="37">
          <cell r="E37">
            <v>334.79999999999927</v>
          </cell>
          <cell r="G37">
            <v>21092.399999999954</v>
          </cell>
          <cell r="J37">
            <v>27</v>
          </cell>
          <cell r="L37">
            <v>9720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69812.399999999951</v>
          </cell>
          <cell r="V37">
            <v>0</v>
          </cell>
          <cell r="W37">
            <v>0</v>
          </cell>
        </row>
        <row r="38">
          <cell r="E38">
            <v>300.60000000000036</v>
          </cell>
          <cell r="G38">
            <v>18937.800000000025</v>
          </cell>
          <cell r="J38">
            <v>48</v>
          </cell>
          <cell r="L38">
            <v>17280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75217.800000000017</v>
          </cell>
          <cell r="V38">
            <v>69813</v>
          </cell>
          <cell r="W38">
            <v>0</v>
          </cell>
        </row>
        <row r="39">
          <cell r="E39">
            <v>301</v>
          </cell>
          <cell r="G39">
            <v>18963</v>
          </cell>
          <cell r="J39">
            <v>4</v>
          </cell>
          <cell r="L39">
            <v>1440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59403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134620</v>
          </cell>
          <cell r="W40">
            <v>0</v>
          </cell>
        </row>
        <row r="41">
          <cell r="E41">
            <v>250</v>
          </cell>
          <cell r="G41">
            <v>15750</v>
          </cell>
          <cell r="J41">
            <v>105</v>
          </cell>
          <cell r="L41">
            <v>37800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92550</v>
          </cell>
          <cell r="V41">
            <v>0</v>
          </cell>
          <cell r="W41">
            <v>625271.19999999995</v>
          </cell>
        </row>
        <row r="42">
          <cell r="E42">
            <v>367</v>
          </cell>
          <cell r="G42">
            <v>23121</v>
          </cell>
          <cell r="J42">
            <v>106</v>
          </cell>
          <cell r="L42">
            <v>38160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100281</v>
          </cell>
          <cell r="V42">
            <v>0</v>
          </cell>
          <cell r="W42">
            <v>725552.2</v>
          </cell>
        </row>
        <row r="43">
          <cell r="E43">
            <v>776</v>
          </cell>
          <cell r="G43">
            <v>48888</v>
          </cell>
          <cell r="J43">
            <v>434</v>
          </cell>
          <cell r="L43">
            <v>156240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244128</v>
          </cell>
          <cell r="V43">
            <v>0</v>
          </cell>
          <cell r="W43">
            <v>969680.2</v>
          </cell>
        </row>
        <row r="44">
          <cell r="E44">
            <v>48</v>
          </cell>
          <cell r="G44">
            <v>3024</v>
          </cell>
          <cell r="J44">
            <v>502</v>
          </cell>
          <cell r="L44">
            <v>180720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222744</v>
          </cell>
          <cell r="V44">
            <v>0</v>
          </cell>
          <cell r="W44">
            <v>1192424.2</v>
          </cell>
        </row>
        <row r="45">
          <cell r="E45">
            <v>306</v>
          </cell>
          <cell r="G45">
            <v>19278</v>
          </cell>
          <cell r="J45">
            <v>450</v>
          </cell>
          <cell r="L45">
            <v>162000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220278</v>
          </cell>
          <cell r="V45">
            <v>659703</v>
          </cell>
          <cell r="W45">
            <v>752999.2</v>
          </cell>
        </row>
        <row r="46">
          <cell r="E46">
            <v>328</v>
          </cell>
          <cell r="G46">
            <v>20664</v>
          </cell>
          <cell r="J46">
            <v>303</v>
          </cell>
          <cell r="L46">
            <v>109080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168744</v>
          </cell>
          <cell r="V46">
            <v>220278</v>
          </cell>
          <cell r="W46">
            <v>701465.2</v>
          </cell>
        </row>
        <row r="47">
          <cell r="E47">
            <v>62</v>
          </cell>
          <cell r="G47">
            <v>3906</v>
          </cell>
          <cell r="J47">
            <v>233</v>
          </cell>
          <cell r="L47">
            <v>83880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126786</v>
          </cell>
          <cell r="V47">
            <v>168744</v>
          </cell>
          <cell r="W47">
            <v>659507.19999999995</v>
          </cell>
        </row>
        <row r="48">
          <cell r="E48">
            <v>807</v>
          </cell>
          <cell r="G48">
            <v>50841</v>
          </cell>
          <cell r="J48">
            <v>10</v>
          </cell>
          <cell r="L48">
            <v>3600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93441</v>
          </cell>
          <cell r="V48">
            <v>126786</v>
          </cell>
          <cell r="W48">
            <v>626162.19999999995</v>
          </cell>
        </row>
        <row r="49">
          <cell r="E49">
            <v>219</v>
          </cell>
          <cell r="G49">
            <v>13797</v>
          </cell>
          <cell r="J49">
            <v>13</v>
          </cell>
          <cell r="L49">
            <v>4680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57477</v>
          </cell>
          <cell r="V49">
            <v>93441</v>
          </cell>
          <cell r="W49">
            <v>590198.19999999995</v>
          </cell>
        </row>
        <row r="50">
          <cell r="E50">
            <v>282</v>
          </cell>
          <cell r="G50">
            <v>17766</v>
          </cell>
          <cell r="J50">
            <v>10</v>
          </cell>
          <cell r="L50">
            <v>3600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60366</v>
          </cell>
          <cell r="V50">
            <v>57447</v>
          </cell>
          <cell r="W50">
            <v>593117.19999999995</v>
          </cell>
        </row>
        <row r="51">
          <cell r="E51">
            <v>255</v>
          </cell>
          <cell r="G51">
            <v>16065</v>
          </cell>
          <cell r="J51">
            <v>19</v>
          </cell>
          <cell r="L51">
            <v>6840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61905</v>
          </cell>
          <cell r="V51">
            <v>60366</v>
          </cell>
          <cell r="W51">
            <v>594656.19999999995</v>
          </cell>
        </row>
        <row r="52">
          <cell r="E52">
            <v>354</v>
          </cell>
          <cell r="G52">
            <v>22302</v>
          </cell>
          <cell r="J52">
            <v>217</v>
          </cell>
          <cell r="L52">
            <v>78120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139422</v>
          </cell>
          <cell r="V52">
            <v>61905</v>
          </cell>
          <cell r="W52">
            <v>672173.2</v>
          </cell>
        </row>
        <row r="53">
          <cell r="E53">
            <v>287</v>
          </cell>
          <cell r="G53">
            <v>18081</v>
          </cell>
          <cell r="J53">
            <v>472</v>
          </cell>
          <cell r="L53">
            <v>169920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227001</v>
          </cell>
          <cell r="V53">
            <v>139422</v>
          </cell>
          <cell r="W53">
            <v>759752.2</v>
          </cell>
        </row>
        <row r="54">
          <cell r="E54">
            <v>135</v>
          </cell>
          <cell r="G54">
            <v>8505</v>
          </cell>
          <cell r="J54">
            <v>328</v>
          </cell>
          <cell r="L54">
            <v>118080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165585</v>
          </cell>
          <cell r="V54">
            <v>0</v>
          </cell>
          <cell r="W54">
            <v>932337.2</v>
          </cell>
        </row>
        <row r="55">
          <cell r="E55">
            <v>526</v>
          </cell>
          <cell r="G55">
            <v>33138</v>
          </cell>
          <cell r="J55">
            <v>523</v>
          </cell>
          <cell r="L55">
            <v>188280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267418</v>
          </cell>
          <cell r="V55">
            <v>0</v>
          </cell>
          <cell r="W55">
            <v>1199755.2</v>
          </cell>
        </row>
        <row r="56">
          <cell r="E56">
            <v>505</v>
          </cell>
          <cell r="G56">
            <v>31815</v>
          </cell>
          <cell r="J56">
            <v>483</v>
          </cell>
          <cell r="L56">
            <v>173880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251695</v>
          </cell>
          <cell r="V56">
            <v>227001</v>
          </cell>
          <cell r="W56">
            <v>1224449.2</v>
          </cell>
        </row>
        <row r="57">
          <cell r="E57">
            <v>424</v>
          </cell>
          <cell r="G57">
            <v>26712</v>
          </cell>
          <cell r="J57">
            <v>454</v>
          </cell>
          <cell r="L57">
            <v>163440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236152</v>
          </cell>
          <cell r="V57">
            <v>0</v>
          </cell>
          <cell r="W57">
            <v>1460601.2</v>
          </cell>
        </row>
        <row r="58">
          <cell r="E58">
            <v>299</v>
          </cell>
          <cell r="G58">
            <v>18837</v>
          </cell>
          <cell r="J58">
            <v>436</v>
          </cell>
          <cell r="L58">
            <v>156960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221797</v>
          </cell>
          <cell r="V58">
            <v>0</v>
          </cell>
          <cell r="W58">
            <v>1682398.2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500000</v>
          </cell>
          <cell r="W59">
            <v>1228398.2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350000</v>
          </cell>
          <cell r="W60">
            <v>924398.2</v>
          </cell>
        </row>
        <row r="61">
          <cell r="E61">
            <v>59</v>
          </cell>
          <cell r="G61">
            <v>3717</v>
          </cell>
          <cell r="J61">
            <v>89</v>
          </cell>
          <cell r="L61">
            <v>32040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81757</v>
          </cell>
          <cell r="V61">
            <v>0</v>
          </cell>
          <cell r="W61">
            <v>1006155.2</v>
          </cell>
        </row>
        <row r="62">
          <cell r="E62">
            <v>0</v>
          </cell>
          <cell r="G62">
            <v>0</v>
          </cell>
          <cell r="J62">
            <v>9</v>
          </cell>
          <cell r="L62">
            <v>3240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49240</v>
          </cell>
          <cell r="V62">
            <v>0</v>
          </cell>
          <cell r="W62">
            <v>1055395.2</v>
          </cell>
        </row>
        <row r="63">
          <cell r="E63">
            <v>140</v>
          </cell>
          <cell r="G63">
            <v>8820</v>
          </cell>
          <cell r="J63">
            <v>82</v>
          </cell>
          <cell r="L63">
            <v>29520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84340</v>
          </cell>
          <cell r="V63">
            <v>1055395</v>
          </cell>
          <cell r="W63">
            <v>84340.199999999953</v>
          </cell>
        </row>
        <row r="64">
          <cell r="E64">
            <v>191</v>
          </cell>
          <cell r="G64">
            <v>15089</v>
          </cell>
          <cell r="J64">
            <v>287</v>
          </cell>
          <cell r="L64">
            <v>103320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164409</v>
          </cell>
          <cell r="V64">
            <v>0</v>
          </cell>
          <cell r="W64">
            <v>248749.19999999995</v>
          </cell>
        </row>
        <row r="65">
          <cell r="E65">
            <v>283</v>
          </cell>
          <cell r="G65">
            <v>22357</v>
          </cell>
          <cell r="J65">
            <v>488</v>
          </cell>
          <cell r="L65">
            <v>175680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244037</v>
          </cell>
          <cell r="V65">
            <v>84340</v>
          </cell>
          <cell r="W65">
            <v>408446.19999999995</v>
          </cell>
        </row>
        <row r="66">
          <cell r="E66">
            <v>135</v>
          </cell>
          <cell r="G66">
            <v>10665</v>
          </cell>
          <cell r="J66">
            <v>244</v>
          </cell>
          <cell r="L66">
            <v>87840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144505</v>
          </cell>
          <cell r="V66">
            <v>408446</v>
          </cell>
          <cell r="W66">
            <v>144505.19999999995</v>
          </cell>
        </row>
        <row r="67">
          <cell r="E67">
            <v>544</v>
          </cell>
          <cell r="G67">
            <v>47328</v>
          </cell>
          <cell r="J67">
            <v>861</v>
          </cell>
          <cell r="L67">
            <v>309960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403288</v>
          </cell>
          <cell r="V67">
            <v>0</v>
          </cell>
          <cell r="W67">
            <v>547793.19999999995</v>
          </cell>
        </row>
        <row r="68">
          <cell r="E68">
            <v>262</v>
          </cell>
          <cell r="G68">
            <v>22794</v>
          </cell>
          <cell r="J68">
            <v>342</v>
          </cell>
          <cell r="L68">
            <v>123120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191914</v>
          </cell>
          <cell r="V68">
            <v>0</v>
          </cell>
          <cell r="W68">
            <v>739707.2</v>
          </cell>
        </row>
        <row r="69">
          <cell r="E69">
            <v>137</v>
          </cell>
          <cell r="G69">
            <v>15207</v>
          </cell>
          <cell r="J69">
            <v>342</v>
          </cell>
          <cell r="L69">
            <v>123120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184327</v>
          </cell>
          <cell r="V69">
            <v>739707</v>
          </cell>
          <cell r="W69">
            <v>184327.19999999995</v>
          </cell>
        </row>
        <row r="70">
          <cell r="E70">
            <v>76</v>
          </cell>
          <cell r="G70">
            <v>9424</v>
          </cell>
          <cell r="J70">
            <v>438</v>
          </cell>
          <cell r="L70">
            <v>157680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213104</v>
          </cell>
          <cell r="V70">
            <v>0</v>
          </cell>
          <cell r="W70">
            <v>397431.19999999995</v>
          </cell>
        </row>
        <row r="71">
          <cell r="E71">
            <v>215</v>
          </cell>
          <cell r="G71">
            <v>21070</v>
          </cell>
          <cell r="J71">
            <v>65</v>
          </cell>
          <cell r="L71">
            <v>23400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90470</v>
          </cell>
          <cell r="V71">
            <v>0</v>
          </cell>
          <cell r="W71">
            <v>487901.19999999995</v>
          </cell>
        </row>
        <row r="72">
          <cell r="E72">
            <v>190</v>
          </cell>
          <cell r="G72">
            <v>19760</v>
          </cell>
          <cell r="J72">
            <v>5</v>
          </cell>
          <cell r="L72">
            <v>1800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67560</v>
          </cell>
          <cell r="V72">
            <v>0</v>
          </cell>
          <cell r="W72">
            <v>555461.19999999995</v>
          </cell>
        </row>
        <row r="73">
          <cell r="E73">
            <v>336</v>
          </cell>
          <cell r="G73">
            <v>37632</v>
          </cell>
          <cell r="J73">
            <v>12</v>
          </cell>
          <cell r="L73">
            <v>4320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87952</v>
          </cell>
          <cell r="V73">
            <v>300000</v>
          </cell>
          <cell r="W73">
            <v>343413.19999999995</v>
          </cell>
        </row>
        <row r="74">
          <cell r="E74">
            <v>366</v>
          </cell>
          <cell r="G74">
            <v>39162</v>
          </cell>
          <cell r="J74">
            <v>8</v>
          </cell>
          <cell r="L74">
            <v>2880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88042</v>
          </cell>
          <cell r="V74">
            <v>0</v>
          </cell>
          <cell r="W74">
            <v>431455.19999999995</v>
          </cell>
        </row>
        <row r="75">
          <cell r="E75">
            <v>97</v>
          </cell>
          <cell r="G75">
            <v>10670</v>
          </cell>
          <cell r="J75">
            <v>94</v>
          </cell>
          <cell r="L75">
            <v>33840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90510</v>
          </cell>
          <cell r="V75">
            <v>0</v>
          </cell>
          <cell r="W75">
            <v>521965.19999999995</v>
          </cell>
        </row>
        <row r="76">
          <cell r="E76">
            <v>36</v>
          </cell>
          <cell r="G76">
            <v>4536</v>
          </cell>
          <cell r="J76">
            <v>354</v>
          </cell>
          <cell r="L76">
            <v>127440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177976</v>
          </cell>
          <cell r="V76">
            <v>400000</v>
          </cell>
          <cell r="W76">
            <v>299941.19999999995</v>
          </cell>
        </row>
        <row r="77">
          <cell r="E77">
            <v>121</v>
          </cell>
          <cell r="G77">
            <v>14399</v>
          </cell>
          <cell r="J77">
            <v>432</v>
          </cell>
          <cell r="L77">
            <v>155520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215919</v>
          </cell>
          <cell r="V77">
            <v>0</v>
          </cell>
          <cell r="W77">
            <v>515860.19999999995</v>
          </cell>
        </row>
        <row r="78">
          <cell r="E78">
            <v>299</v>
          </cell>
          <cell r="G78">
            <v>32292</v>
          </cell>
          <cell r="J78">
            <v>250</v>
          </cell>
          <cell r="L78">
            <v>90000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168292</v>
          </cell>
          <cell r="V78">
            <v>0</v>
          </cell>
          <cell r="W78">
            <v>684152.2</v>
          </cell>
        </row>
        <row r="79">
          <cell r="E79">
            <v>347</v>
          </cell>
          <cell r="G79">
            <v>43028</v>
          </cell>
          <cell r="J79">
            <v>514</v>
          </cell>
          <cell r="L79">
            <v>185040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274068</v>
          </cell>
          <cell r="V79">
            <v>400000</v>
          </cell>
          <cell r="W79">
            <v>570220.19999999995</v>
          </cell>
        </row>
        <row r="80">
          <cell r="E80">
            <v>426</v>
          </cell>
          <cell r="G80">
            <v>55380</v>
          </cell>
          <cell r="J80">
            <v>208</v>
          </cell>
          <cell r="L80">
            <v>137520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238900</v>
          </cell>
          <cell r="V80">
            <v>0</v>
          </cell>
          <cell r="W80">
            <v>809120.2</v>
          </cell>
        </row>
        <row r="81">
          <cell r="E81">
            <v>369</v>
          </cell>
          <cell r="G81">
            <v>47970</v>
          </cell>
          <cell r="J81">
            <v>334</v>
          </cell>
          <cell r="L81">
            <v>180360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274330</v>
          </cell>
          <cell r="V81">
            <v>0</v>
          </cell>
          <cell r="W81">
            <v>1083450.2</v>
          </cell>
        </row>
        <row r="82">
          <cell r="E82">
            <v>279</v>
          </cell>
          <cell r="G82">
            <v>39060</v>
          </cell>
          <cell r="J82">
            <v>205</v>
          </cell>
          <cell r="L82">
            <v>110700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195760</v>
          </cell>
          <cell r="V82">
            <v>1070000</v>
          </cell>
          <cell r="W82">
            <v>213210.19999999995</v>
          </cell>
        </row>
        <row r="83">
          <cell r="E83">
            <v>199</v>
          </cell>
          <cell r="G83">
            <v>29054</v>
          </cell>
          <cell r="J83">
            <v>174</v>
          </cell>
          <cell r="L83">
            <v>62640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141694</v>
          </cell>
          <cell r="V83">
            <v>0</v>
          </cell>
          <cell r="W83">
            <v>354904.19999999995</v>
          </cell>
        </row>
        <row r="84">
          <cell r="E84">
            <v>266</v>
          </cell>
          <cell r="G84">
            <v>38836</v>
          </cell>
          <cell r="J84">
            <v>8</v>
          </cell>
          <cell r="L84">
            <v>2880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91716</v>
          </cell>
          <cell r="V84">
            <v>0</v>
          </cell>
          <cell r="W84">
            <v>446620.19999999995</v>
          </cell>
        </row>
        <row r="85">
          <cell r="E85">
            <v>470</v>
          </cell>
          <cell r="G85">
            <v>68620</v>
          </cell>
          <cell r="J85">
            <v>17</v>
          </cell>
          <cell r="L85">
            <v>6120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124740</v>
          </cell>
          <cell r="V85">
            <v>442600</v>
          </cell>
          <cell r="W85">
            <v>138760.19999999995</v>
          </cell>
        </row>
        <row r="86">
          <cell r="E86">
            <v>179</v>
          </cell>
          <cell r="G86">
            <v>26134</v>
          </cell>
          <cell r="J86">
            <v>3</v>
          </cell>
          <cell r="L86">
            <v>1080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87214</v>
          </cell>
          <cell r="V86">
            <v>138000</v>
          </cell>
          <cell r="W86">
            <v>77974.199999999953</v>
          </cell>
        </row>
        <row r="87">
          <cell r="E87">
            <v>305</v>
          </cell>
          <cell r="G87">
            <v>44530</v>
          </cell>
          <cell r="J87">
            <v>22</v>
          </cell>
          <cell r="L87">
            <v>7920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102450</v>
          </cell>
          <cell r="V87">
            <v>77947</v>
          </cell>
          <cell r="W87">
            <v>102477.19999999995</v>
          </cell>
        </row>
        <row r="88">
          <cell r="E88">
            <v>440</v>
          </cell>
          <cell r="G88">
            <v>64240</v>
          </cell>
          <cell r="J88">
            <v>366</v>
          </cell>
          <cell r="L88">
            <v>170640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284880</v>
          </cell>
          <cell r="V88">
            <v>100000</v>
          </cell>
          <cell r="W88">
            <v>287357.19999999995</v>
          </cell>
        </row>
        <row r="89">
          <cell r="E89">
            <v>351</v>
          </cell>
          <cell r="G89">
            <v>51246</v>
          </cell>
          <cell r="J89">
            <v>286</v>
          </cell>
          <cell r="L89">
            <v>127440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51604</v>
          </cell>
          <cell r="S89">
            <v>228686</v>
          </cell>
          <cell r="V89">
            <v>567000</v>
          </cell>
          <cell r="W89">
            <v>51604</v>
          </cell>
        </row>
        <row r="90">
          <cell r="E90">
            <v>506</v>
          </cell>
          <cell r="G90">
            <v>73876</v>
          </cell>
          <cell r="J90">
            <v>334</v>
          </cell>
          <cell r="L90">
            <v>189720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313596</v>
          </cell>
          <cell r="V90">
            <v>180000</v>
          </cell>
          <cell r="W90">
            <v>133596</v>
          </cell>
        </row>
        <row r="91">
          <cell r="E91">
            <v>442</v>
          </cell>
          <cell r="G91">
            <v>64532</v>
          </cell>
          <cell r="J91">
            <v>333</v>
          </cell>
          <cell r="L91">
            <v>188640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312172</v>
          </cell>
          <cell r="V91">
            <v>150000</v>
          </cell>
          <cell r="W91">
            <v>305768</v>
          </cell>
        </row>
        <row r="92">
          <cell r="E92">
            <v>442</v>
          </cell>
          <cell r="G92">
            <v>64532</v>
          </cell>
          <cell r="J92">
            <v>306</v>
          </cell>
          <cell r="L92">
            <v>159480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92878</v>
          </cell>
          <cell r="S92">
            <v>283012</v>
          </cell>
          <cell r="V92">
            <v>200000</v>
          </cell>
          <cell r="W92">
            <v>491658</v>
          </cell>
        </row>
        <row r="93">
          <cell r="E93">
            <v>442</v>
          </cell>
          <cell r="G93">
            <v>64532</v>
          </cell>
          <cell r="J93">
            <v>227</v>
          </cell>
          <cell r="L93">
            <v>100440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223972</v>
          </cell>
          <cell r="V93">
            <v>250000</v>
          </cell>
          <cell r="W93">
            <v>382752</v>
          </cell>
        </row>
        <row r="94">
          <cell r="E94">
            <v>509</v>
          </cell>
          <cell r="G94">
            <v>74314</v>
          </cell>
          <cell r="J94">
            <v>295</v>
          </cell>
          <cell r="L94">
            <v>149400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282714</v>
          </cell>
          <cell r="V94">
            <v>382752</v>
          </cell>
          <cell r="W94">
            <v>292714</v>
          </cell>
        </row>
        <row r="95">
          <cell r="E95">
            <v>488</v>
          </cell>
          <cell r="G95">
            <v>71248</v>
          </cell>
          <cell r="J95">
            <v>246</v>
          </cell>
          <cell r="L95">
            <v>114120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244368</v>
          </cell>
          <cell r="V95">
            <v>547082</v>
          </cell>
          <cell r="W95">
            <v>0</v>
          </cell>
        </row>
        <row r="96">
          <cell r="E96">
            <v>483</v>
          </cell>
          <cell r="G96">
            <v>70518</v>
          </cell>
          <cell r="J96">
            <v>37</v>
          </cell>
          <cell r="L96">
            <v>13320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142838</v>
          </cell>
          <cell r="V96">
            <v>142838</v>
          </cell>
          <cell r="W96">
            <v>0</v>
          </cell>
        </row>
        <row r="97">
          <cell r="E97">
            <v>502</v>
          </cell>
          <cell r="G97">
            <v>73292</v>
          </cell>
          <cell r="J97">
            <v>2</v>
          </cell>
          <cell r="L97">
            <v>720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133012</v>
          </cell>
          <cell r="V97">
            <v>150000</v>
          </cell>
          <cell r="W97">
            <v>-16988</v>
          </cell>
        </row>
        <row r="98">
          <cell r="E98">
            <v>768</v>
          </cell>
          <cell r="G98">
            <v>112128</v>
          </cell>
          <cell r="J98">
            <v>11</v>
          </cell>
          <cell r="L98">
            <v>3960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175088</v>
          </cell>
          <cell r="V98">
            <v>0</v>
          </cell>
          <cell r="W98">
            <v>158100</v>
          </cell>
        </row>
        <row r="99">
          <cell r="E99">
            <v>806</v>
          </cell>
          <cell r="G99">
            <v>117676</v>
          </cell>
          <cell r="J99">
            <v>133</v>
          </cell>
          <cell r="L99">
            <v>47880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38265</v>
          </cell>
          <cell r="S99">
            <v>224556</v>
          </cell>
          <cell r="V99">
            <v>180000</v>
          </cell>
          <cell r="W99">
            <v>240921</v>
          </cell>
        </row>
        <row r="100">
          <cell r="E100">
            <v>743</v>
          </cell>
          <cell r="G100">
            <v>108478</v>
          </cell>
          <cell r="J100">
            <v>285</v>
          </cell>
          <cell r="L100">
            <v>142200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309678</v>
          </cell>
          <cell r="V100">
            <v>240920</v>
          </cell>
          <cell r="W100">
            <v>309679</v>
          </cell>
        </row>
        <row r="101">
          <cell r="E101">
            <v>409</v>
          </cell>
          <cell r="G101">
            <v>59714</v>
          </cell>
          <cell r="J101">
            <v>339</v>
          </cell>
          <cell r="L101">
            <v>195120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30967</v>
          </cell>
          <cell r="S101">
            <v>313834</v>
          </cell>
          <cell r="V101">
            <v>660000</v>
          </cell>
          <cell r="W101">
            <v>-5520</v>
          </cell>
        </row>
        <row r="102">
          <cell r="E102">
            <v>368</v>
          </cell>
          <cell r="G102">
            <v>53728</v>
          </cell>
          <cell r="J102">
            <v>325</v>
          </cell>
          <cell r="L102">
            <v>180000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292728</v>
          </cell>
          <cell r="V102">
            <v>265000</v>
          </cell>
          <cell r="W102">
            <v>22208</v>
          </cell>
        </row>
        <row r="103">
          <cell r="E103">
            <v>324</v>
          </cell>
          <cell r="G103">
            <v>47304</v>
          </cell>
          <cell r="J103">
            <v>453</v>
          </cell>
          <cell r="L103">
            <v>318240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0</v>
          </cell>
          <cell r="S103">
            <v>426194</v>
          </cell>
          <cell r="V103">
            <v>310000</v>
          </cell>
          <cell r="W103">
            <v>138402</v>
          </cell>
        </row>
        <row r="104">
          <cell r="E104">
            <v>373</v>
          </cell>
          <cell r="G104">
            <v>54458</v>
          </cell>
          <cell r="J104">
            <v>310</v>
          </cell>
          <cell r="L104">
            <v>163800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278908</v>
          </cell>
          <cell r="V104">
            <v>350000</v>
          </cell>
          <cell r="W104">
            <v>67310</v>
          </cell>
        </row>
        <row r="105">
          <cell r="E105">
            <v>390</v>
          </cell>
          <cell r="G105">
            <v>56940</v>
          </cell>
          <cell r="J105">
            <v>359</v>
          </cell>
          <cell r="L105">
            <v>216720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40162</v>
          </cell>
          <cell r="S105">
            <v>334310</v>
          </cell>
          <cell r="V105">
            <v>435000</v>
          </cell>
          <cell r="W105">
            <v>6782</v>
          </cell>
        </row>
        <row r="106">
          <cell r="E106">
            <v>441</v>
          </cell>
          <cell r="G106">
            <v>64386</v>
          </cell>
          <cell r="J106">
            <v>424</v>
          </cell>
          <cell r="L106">
            <v>286920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411956</v>
          </cell>
          <cell r="V106">
            <v>418000</v>
          </cell>
          <cell r="W106">
            <v>738</v>
          </cell>
        </row>
        <row r="107">
          <cell r="E107">
            <v>304</v>
          </cell>
          <cell r="G107">
            <v>44384</v>
          </cell>
          <cell r="J107">
            <v>281</v>
          </cell>
          <cell r="L107">
            <v>139320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244354</v>
          </cell>
          <cell r="V107">
            <v>230000</v>
          </cell>
          <cell r="W107">
            <v>15092</v>
          </cell>
        </row>
        <row r="108">
          <cell r="E108">
            <v>188</v>
          </cell>
          <cell r="G108">
            <v>27448</v>
          </cell>
          <cell r="J108">
            <v>99</v>
          </cell>
          <cell r="L108">
            <v>35640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123738</v>
          </cell>
          <cell r="V108">
            <v>0</v>
          </cell>
          <cell r="W108">
            <v>138830</v>
          </cell>
        </row>
        <row r="109">
          <cell r="E109">
            <v>153</v>
          </cell>
          <cell r="G109">
            <v>22338</v>
          </cell>
          <cell r="J109">
            <v>2</v>
          </cell>
          <cell r="L109">
            <v>720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83708</v>
          </cell>
          <cell r="V109">
            <v>200000</v>
          </cell>
          <cell r="W109">
            <v>22538</v>
          </cell>
        </row>
        <row r="110">
          <cell r="E110">
            <v>270</v>
          </cell>
          <cell r="G110">
            <v>39420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100430</v>
          </cell>
          <cell r="V110">
            <v>170000</v>
          </cell>
          <cell r="W110">
            <v>-47032</v>
          </cell>
        </row>
        <row r="111">
          <cell r="E111">
            <v>306</v>
          </cell>
          <cell r="G111">
            <v>44676</v>
          </cell>
          <cell r="J111">
            <v>23</v>
          </cell>
          <cell r="L111">
            <v>8280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113606</v>
          </cell>
          <cell r="V111">
            <v>0</v>
          </cell>
          <cell r="W111">
            <v>66574</v>
          </cell>
        </row>
        <row r="112">
          <cell r="E112">
            <v>289</v>
          </cell>
          <cell r="G112">
            <v>42194</v>
          </cell>
          <cell r="J112">
            <v>164</v>
          </cell>
          <cell r="L112">
            <v>61560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164404</v>
          </cell>
          <cell r="V112">
            <v>200000</v>
          </cell>
          <cell r="W112">
            <v>30978</v>
          </cell>
        </row>
        <row r="113">
          <cell r="E113">
            <v>353</v>
          </cell>
          <cell r="G113">
            <v>51538</v>
          </cell>
          <cell r="J113">
            <v>267</v>
          </cell>
          <cell r="L113">
            <v>129240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241428</v>
          </cell>
          <cell r="V113">
            <v>200000</v>
          </cell>
          <cell r="W113">
            <v>72406</v>
          </cell>
        </row>
        <row r="114">
          <cell r="E114">
            <v>405</v>
          </cell>
          <cell r="G114">
            <v>59130</v>
          </cell>
          <cell r="J114">
            <v>429</v>
          </cell>
          <cell r="L114">
            <v>292320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412100</v>
          </cell>
          <cell r="V114">
            <v>365000</v>
          </cell>
          <cell r="W114">
            <v>119506</v>
          </cell>
        </row>
        <row r="115">
          <cell r="E115">
            <v>316</v>
          </cell>
          <cell r="G115">
            <v>46136</v>
          </cell>
          <cell r="J115">
            <v>353</v>
          </cell>
          <cell r="L115">
            <v>210240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319235</v>
          </cell>
          <cell r="V115">
            <v>200000</v>
          </cell>
          <cell r="W115">
            <v>238741</v>
          </cell>
        </row>
        <row r="116">
          <cell r="E116">
            <v>291</v>
          </cell>
          <cell r="G116">
            <v>42486</v>
          </cell>
          <cell r="J116">
            <v>227</v>
          </cell>
          <cell r="L116">
            <v>100440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24453</v>
          </cell>
          <cell r="S116">
            <v>205785</v>
          </cell>
          <cell r="V116">
            <v>200000</v>
          </cell>
          <cell r="W116">
            <v>268979</v>
          </cell>
        </row>
        <row r="117">
          <cell r="E117">
            <v>347</v>
          </cell>
          <cell r="G117">
            <v>50662</v>
          </cell>
          <cell r="J117">
            <v>293</v>
          </cell>
          <cell r="L117">
            <v>147960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261481</v>
          </cell>
          <cell r="V117">
            <v>468979</v>
          </cell>
          <cell r="W117">
            <v>61481</v>
          </cell>
        </row>
        <row r="118">
          <cell r="E118">
            <v>311</v>
          </cell>
          <cell r="G118">
            <v>45406</v>
          </cell>
          <cell r="J118">
            <v>283</v>
          </cell>
          <cell r="L118">
            <v>140760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31050</v>
          </cell>
          <cell r="S118">
            <v>249025</v>
          </cell>
          <cell r="V118">
            <v>200000</v>
          </cell>
          <cell r="W118">
            <v>141556</v>
          </cell>
        </row>
        <row r="119">
          <cell r="E119">
            <v>318</v>
          </cell>
          <cell r="G119">
            <v>46428</v>
          </cell>
          <cell r="J119">
            <v>516</v>
          </cell>
          <cell r="L119">
            <v>386280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495567</v>
          </cell>
          <cell r="V119">
            <v>440000</v>
          </cell>
          <cell r="W119">
            <v>197123</v>
          </cell>
        </row>
        <row r="120">
          <cell r="E120">
            <v>12</v>
          </cell>
          <cell r="G120">
            <v>1752</v>
          </cell>
          <cell r="J120">
            <v>11</v>
          </cell>
          <cell r="L120">
            <v>3960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68571</v>
          </cell>
          <cell r="V120">
            <v>0</v>
          </cell>
          <cell r="W120">
            <v>265694</v>
          </cell>
        </row>
        <row r="121">
          <cell r="E121">
            <v>82</v>
          </cell>
          <cell r="G121">
            <v>11972</v>
          </cell>
          <cell r="J121">
            <v>1</v>
          </cell>
          <cell r="L121">
            <v>360</v>
          </cell>
          <cell r="M121">
            <v>0</v>
          </cell>
          <cell r="N121">
            <v>63432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75191</v>
          </cell>
          <cell r="V121">
            <v>400000</v>
          </cell>
          <cell r="W121">
            <v>4317</v>
          </cell>
        </row>
        <row r="122">
          <cell r="E122">
            <v>126</v>
          </cell>
          <cell r="G122">
            <v>18396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87255</v>
          </cell>
          <cell r="V122">
            <v>0</v>
          </cell>
          <cell r="W122">
            <v>91572</v>
          </cell>
        </row>
        <row r="123">
          <cell r="E123">
            <v>56</v>
          </cell>
          <cell r="G123">
            <v>8176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16861</v>
          </cell>
          <cell r="S123">
            <v>77035</v>
          </cell>
          <cell r="V123">
            <v>185500</v>
          </cell>
          <cell r="W123">
            <v>-32</v>
          </cell>
        </row>
        <row r="124">
          <cell r="E124">
            <v>78</v>
          </cell>
          <cell r="G124">
            <v>11388</v>
          </cell>
          <cell r="J124">
            <v>95</v>
          </cell>
          <cell r="L124">
            <v>34200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114447</v>
          </cell>
          <cell r="V124">
            <v>0</v>
          </cell>
          <cell r="W124">
            <v>114415</v>
          </cell>
        </row>
        <row r="125">
          <cell r="E125">
            <v>83</v>
          </cell>
          <cell r="G125">
            <v>12118</v>
          </cell>
          <cell r="J125">
            <v>775</v>
          </cell>
          <cell r="L125">
            <v>666000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86139</v>
          </cell>
          <cell r="S125">
            <v>746977</v>
          </cell>
          <cell r="V125">
            <v>0</v>
          </cell>
          <cell r="W125">
            <v>947531</v>
          </cell>
        </row>
        <row r="126">
          <cell r="E126">
            <v>89</v>
          </cell>
          <cell r="G126">
            <v>12994</v>
          </cell>
          <cell r="J126">
            <v>175</v>
          </cell>
          <cell r="L126">
            <v>67500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149353</v>
          </cell>
          <cell r="V126">
            <v>1096884</v>
          </cell>
          <cell r="W126">
            <v>0</v>
          </cell>
        </row>
        <row r="127">
          <cell r="E127">
            <v>103</v>
          </cell>
          <cell r="G127">
            <v>15038</v>
          </cell>
          <cell r="J127">
            <v>369</v>
          </cell>
          <cell r="L127">
            <v>227520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312292</v>
          </cell>
          <cell r="V127">
            <v>0</v>
          </cell>
          <cell r="W127">
            <v>312292</v>
          </cell>
        </row>
        <row r="128">
          <cell r="E128">
            <v>473</v>
          </cell>
          <cell r="G128">
            <v>69058</v>
          </cell>
          <cell r="J128">
            <v>361</v>
          </cell>
          <cell r="L128">
            <v>218880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68225</v>
          </cell>
          <cell r="S128">
            <v>357672</v>
          </cell>
          <cell r="V128">
            <v>0</v>
          </cell>
          <cell r="W128">
            <v>750477</v>
          </cell>
        </row>
        <row r="129">
          <cell r="E129">
            <v>313</v>
          </cell>
          <cell r="G129">
            <v>45698</v>
          </cell>
          <cell r="J129">
            <v>646</v>
          </cell>
          <cell r="L129">
            <v>526680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642112</v>
          </cell>
          <cell r="V129">
            <v>1392589</v>
          </cell>
          <cell r="W129">
            <v>0</v>
          </cell>
        </row>
        <row r="130">
          <cell r="E130">
            <v>251</v>
          </cell>
          <cell r="G130">
            <v>36646</v>
          </cell>
          <cell r="J130">
            <v>333</v>
          </cell>
          <cell r="L130">
            <v>188640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295020</v>
          </cell>
          <cell r="V130">
            <v>0</v>
          </cell>
          <cell r="W130">
            <v>295020</v>
          </cell>
        </row>
        <row r="131">
          <cell r="E131">
            <v>253</v>
          </cell>
          <cell r="G131">
            <v>36938</v>
          </cell>
          <cell r="J131">
            <v>198</v>
          </cell>
          <cell r="L131">
            <v>79920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47161</v>
          </cell>
          <cell r="S131">
            <v>176592</v>
          </cell>
          <cell r="V131">
            <v>0</v>
          </cell>
          <cell r="W131">
            <v>518773</v>
          </cell>
        </row>
        <row r="132">
          <cell r="E132">
            <v>205</v>
          </cell>
          <cell r="G132">
            <v>29930</v>
          </cell>
          <cell r="J132">
            <v>8</v>
          </cell>
          <cell r="L132">
            <v>2880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92544</v>
          </cell>
          <cell r="V132">
            <v>992160</v>
          </cell>
          <cell r="W132">
            <v>-380843</v>
          </cell>
        </row>
        <row r="133">
          <cell r="E133">
            <v>123</v>
          </cell>
          <cell r="G133">
            <v>17958</v>
          </cell>
          <cell r="J133">
            <v>3</v>
          </cell>
          <cell r="L133">
            <v>1080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78772</v>
          </cell>
          <cell r="V133">
            <v>0</v>
          </cell>
          <cell r="W133">
            <v>-302071</v>
          </cell>
        </row>
        <row r="134">
          <cell r="E134">
            <v>107</v>
          </cell>
          <cell r="G134">
            <v>15622</v>
          </cell>
          <cell r="J134">
            <v>37</v>
          </cell>
          <cell r="L134">
            <v>13320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88676</v>
          </cell>
          <cell r="V134">
            <v>0</v>
          </cell>
          <cell r="W134">
            <v>-213395</v>
          </cell>
        </row>
        <row r="135">
          <cell r="E135">
            <v>35</v>
          </cell>
          <cell r="G135">
            <v>5110</v>
          </cell>
          <cell r="J135">
            <v>5</v>
          </cell>
          <cell r="L135">
            <v>1800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66644</v>
          </cell>
          <cell r="V135">
            <v>0</v>
          </cell>
          <cell r="W135">
            <v>-146751</v>
          </cell>
        </row>
        <row r="136">
          <cell r="E136">
            <v>242</v>
          </cell>
          <cell r="G136">
            <v>35332</v>
          </cell>
          <cell r="J136">
            <v>328</v>
          </cell>
          <cell r="L136">
            <v>183240</v>
          </cell>
          <cell r="M136">
            <v>0</v>
          </cell>
          <cell r="N136">
            <v>12570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278306</v>
          </cell>
          <cell r="V136">
            <v>0</v>
          </cell>
          <cell r="W136">
            <v>144125</v>
          </cell>
        </row>
        <row r="137">
          <cell r="E137">
            <v>256</v>
          </cell>
          <cell r="G137">
            <v>37376</v>
          </cell>
          <cell r="J137">
            <v>459</v>
          </cell>
          <cell r="L137">
            <v>324720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421830</v>
          </cell>
          <cell r="V137">
            <v>0</v>
          </cell>
          <cell r="W137">
            <v>565955</v>
          </cell>
        </row>
        <row r="138">
          <cell r="E138">
            <v>245</v>
          </cell>
          <cell r="G138">
            <v>35770</v>
          </cell>
          <cell r="J138">
            <v>491</v>
          </cell>
          <cell r="L138">
            <v>359280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454784</v>
          </cell>
          <cell r="V138">
            <v>741300</v>
          </cell>
          <cell r="W138">
            <v>299439</v>
          </cell>
        </row>
        <row r="139">
          <cell r="E139">
            <v>315</v>
          </cell>
          <cell r="G139">
            <v>45990</v>
          </cell>
          <cell r="J139">
            <v>389</v>
          </cell>
          <cell r="L139">
            <v>521640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629166</v>
          </cell>
          <cell r="V139">
            <v>549000</v>
          </cell>
          <cell r="W139">
            <v>384605</v>
          </cell>
        </row>
        <row r="140">
          <cell r="E140">
            <v>295</v>
          </cell>
          <cell r="G140">
            <v>43070</v>
          </cell>
          <cell r="J140">
            <v>336</v>
          </cell>
          <cell r="L140">
            <v>407160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511766</v>
          </cell>
          <cell r="V140">
            <v>669600</v>
          </cell>
          <cell r="W140">
            <v>231771</v>
          </cell>
        </row>
        <row r="141">
          <cell r="E141">
            <v>258</v>
          </cell>
          <cell r="G141">
            <v>37668</v>
          </cell>
          <cell r="J141">
            <v>399</v>
          </cell>
          <cell r="L141">
            <v>543240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642444</v>
          </cell>
          <cell r="V141">
            <v>166260</v>
          </cell>
          <cell r="W141">
            <v>712955</v>
          </cell>
        </row>
        <row r="142">
          <cell r="E142">
            <v>303</v>
          </cell>
          <cell r="G142">
            <v>44238</v>
          </cell>
          <cell r="J142">
            <v>86</v>
          </cell>
          <cell r="L142">
            <v>30960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136734</v>
          </cell>
          <cell r="V142">
            <v>164610</v>
          </cell>
          <cell r="W142">
            <v>690079</v>
          </cell>
        </row>
        <row r="143">
          <cell r="E143">
            <v>293</v>
          </cell>
          <cell r="G143">
            <v>42778</v>
          </cell>
          <cell r="J143">
            <v>9</v>
          </cell>
          <cell r="L143">
            <v>3240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107554</v>
          </cell>
          <cell r="V143">
            <v>165000</v>
          </cell>
          <cell r="W143">
            <v>637633</v>
          </cell>
        </row>
        <row r="144">
          <cell r="E144">
            <v>216</v>
          </cell>
          <cell r="G144">
            <v>31536</v>
          </cell>
          <cell r="J144">
            <v>22</v>
          </cell>
          <cell r="L144">
            <v>7920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100992</v>
          </cell>
          <cell r="V144">
            <v>164550</v>
          </cell>
          <cell r="W144">
            <v>579075</v>
          </cell>
        </row>
        <row r="145">
          <cell r="E145">
            <v>70</v>
          </cell>
          <cell r="G145">
            <v>10220</v>
          </cell>
          <cell r="J145">
            <v>1</v>
          </cell>
          <cell r="L145">
            <v>360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72116</v>
          </cell>
          <cell r="V145">
            <v>340000</v>
          </cell>
          <cell r="W145">
            <v>316191</v>
          </cell>
        </row>
        <row r="146">
          <cell r="E146">
            <v>60</v>
          </cell>
          <cell r="G146">
            <v>8760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39148</v>
          </cell>
          <cell r="S146">
            <v>70296</v>
          </cell>
          <cell r="V146">
            <v>200000</v>
          </cell>
          <cell r="W146">
            <v>230635</v>
          </cell>
        </row>
        <row r="147">
          <cell r="E147">
            <v>211</v>
          </cell>
          <cell r="G147">
            <v>30806</v>
          </cell>
          <cell r="J147">
            <v>17</v>
          </cell>
          <cell r="L147">
            <v>6120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98462</v>
          </cell>
          <cell r="V147">
            <v>334097</v>
          </cell>
          <cell r="W147">
            <v>0</v>
          </cell>
        </row>
        <row r="148">
          <cell r="E148">
            <v>189</v>
          </cell>
          <cell r="G148">
            <v>27594</v>
          </cell>
          <cell r="J148">
            <v>65</v>
          </cell>
          <cell r="L148">
            <v>23400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112530</v>
          </cell>
          <cell r="V148">
            <v>200000</v>
          </cell>
          <cell r="W148">
            <v>-82470</v>
          </cell>
        </row>
        <row r="149">
          <cell r="E149">
            <v>348</v>
          </cell>
          <cell r="G149">
            <v>50808</v>
          </cell>
          <cell r="J149">
            <v>357</v>
          </cell>
          <cell r="L149">
            <v>452520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564864</v>
          </cell>
          <cell r="V149">
            <v>400000</v>
          </cell>
          <cell r="W149">
            <v>87394</v>
          </cell>
        </row>
        <row r="150">
          <cell r="E150">
            <v>269</v>
          </cell>
          <cell r="G150">
            <v>39274</v>
          </cell>
          <cell r="J150">
            <v>179</v>
          </cell>
          <cell r="L150">
            <v>90720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191530</v>
          </cell>
          <cell r="V150">
            <v>250000</v>
          </cell>
          <cell r="W150">
            <v>35924</v>
          </cell>
        </row>
        <row r="151">
          <cell r="E151">
            <v>325</v>
          </cell>
          <cell r="G151">
            <v>47450</v>
          </cell>
          <cell r="J151">
            <v>251</v>
          </cell>
          <cell r="L151">
            <v>223560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335405</v>
          </cell>
          <cell r="V151">
            <v>400000</v>
          </cell>
          <cell r="W151">
            <v>-21671</v>
          </cell>
        </row>
        <row r="152">
          <cell r="E152">
            <v>356</v>
          </cell>
          <cell r="G152">
            <v>51976</v>
          </cell>
          <cell r="J152">
            <v>200</v>
          </cell>
          <cell r="L152">
            <v>113400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229771</v>
          </cell>
          <cell r="V152">
            <v>250000</v>
          </cell>
          <cell r="W152">
            <v>-34900</v>
          </cell>
        </row>
        <row r="153">
          <cell r="E153">
            <v>209</v>
          </cell>
          <cell r="G153">
            <v>30514</v>
          </cell>
          <cell r="J153">
            <v>149</v>
          </cell>
          <cell r="L153">
            <v>58860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153769</v>
          </cell>
          <cell r="V153">
            <v>200000</v>
          </cell>
          <cell r="W153">
            <v>-69172</v>
          </cell>
        </row>
        <row r="154">
          <cell r="E154">
            <v>160</v>
          </cell>
          <cell r="G154">
            <v>23360</v>
          </cell>
          <cell r="J154">
            <v>197</v>
          </cell>
          <cell r="L154">
            <v>110160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197915</v>
          </cell>
          <cell r="V154">
            <v>150000</v>
          </cell>
          <cell r="W154">
            <v>-9298</v>
          </cell>
        </row>
        <row r="155">
          <cell r="E155">
            <v>306</v>
          </cell>
          <cell r="G155">
            <v>44676</v>
          </cell>
          <cell r="J155">
            <v>106</v>
          </cell>
          <cell r="L155">
            <v>38160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147231</v>
          </cell>
          <cell r="V155">
            <v>150000</v>
          </cell>
          <cell r="W155">
            <v>-108</v>
          </cell>
        </row>
        <row r="156">
          <cell r="E156">
            <v>170</v>
          </cell>
          <cell r="G156">
            <v>24820</v>
          </cell>
          <cell r="J156">
            <v>11</v>
          </cell>
          <cell r="L156">
            <v>3960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93175</v>
          </cell>
          <cell r="V156">
            <v>110000</v>
          </cell>
          <cell r="W156">
            <v>-4974</v>
          </cell>
        </row>
        <row r="157">
          <cell r="E157">
            <v>249</v>
          </cell>
          <cell r="G157">
            <v>36354</v>
          </cell>
          <cell r="J157">
            <v>19</v>
          </cell>
          <cell r="L157">
            <v>6840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107589</v>
          </cell>
          <cell r="V157">
            <v>120000</v>
          </cell>
          <cell r="W157">
            <v>-5426</v>
          </cell>
        </row>
        <row r="158">
          <cell r="E158">
            <v>213</v>
          </cell>
          <cell r="G158">
            <v>31098</v>
          </cell>
          <cell r="J158">
            <v>3</v>
          </cell>
          <cell r="L158">
            <v>1080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96573</v>
          </cell>
          <cell r="V158">
            <v>130000</v>
          </cell>
          <cell r="W158">
            <v>-26894</v>
          </cell>
        </row>
        <row r="159">
          <cell r="E159">
            <v>382</v>
          </cell>
          <cell r="G159">
            <v>55772</v>
          </cell>
          <cell r="J159">
            <v>32</v>
          </cell>
          <cell r="L159">
            <v>11520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131687</v>
          </cell>
          <cell r="V159">
            <v>120000</v>
          </cell>
          <cell r="W159">
            <v>-3248</v>
          </cell>
        </row>
        <row r="160">
          <cell r="E160">
            <v>354</v>
          </cell>
          <cell r="G160">
            <v>51684</v>
          </cell>
          <cell r="J160">
            <v>17</v>
          </cell>
          <cell r="L160">
            <v>6120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122199</v>
          </cell>
          <cell r="V160">
            <v>140000</v>
          </cell>
          <cell r="W160">
            <v>-9090</v>
          </cell>
        </row>
        <row r="161">
          <cell r="E161">
            <v>254</v>
          </cell>
          <cell r="G161">
            <v>37084</v>
          </cell>
          <cell r="J161">
            <v>33</v>
          </cell>
          <cell r="L161">
            <v>11880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113359</v>
          </cell>
          <cell r="V161">
            <v>150000</v>
          </cell>
          <cell r="W161">
            <v>-33772</v>
          </cell>
        </row>
        <row r="162">
          <cell r="E162">
            <v>388</v>
          </cell>
          <cell r="G162">
            <v>56648</v>
          </cell>
          <cell r="J162">
            <v>93</v>
          </cell>
          <cell r="L162">
            <v>33480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154523</v>
          </cell>
          <cell r="V162">
            <v>150000</v>
          </cell>
          <cell r="W162">
            <v>-17584</v>
          </cell>
        </row>
        <row r="163">
          <cell r="E163">
            <v>353</v>
          </cell>
          <cell r="G163">
            <v>51538</v>
          </cell>
          <cell r="J163">
            <v>64</v>
          </cell>
          <cell r="L163">
            <v>23040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148973</v>
          </cell>
          <cell r="V163">
            <v>150000</v>
          </cell>
          <cell r="W163">
            <v>-6946</v>
          </cell>
        </row>
        <row r="164">
          <cell r="E164">
            <v>389</v>
          </cell>
          <cell r="G164">
            <v>56794</v>
          </cell>
          <cell r="J164">
            <v>114</v>
          </cell>
          <cell r="L164">
            <v>41040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172229</v>
          </cell>
          <cell r="V164">
            <v>150000</v>
          </cell>
          <cell r="W164">
            <v>26948</v>
          </cell>
        </row>
        <row r="165">
          <cell r="E165">
            <v>290</v>
          </cell>
          <cell r="G165">
            <v>42340</v>
          </cell>
          <cell r="J165">
            <v>74</v>
          </cell>
          <cell r="L165">
            <v>26640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143375</v>
          </cell>
          <cell r="V165">
            <v>190000</v>
          </cell>
          <cell r="W165">
            <v>-8012</v>
          </cell>
        </row>
        <row r="166">
          <cell r="E166">
            <v>162</v>
          </cell>
          <cell r="G166">
            <v>23652</v>
          </cell>
          <cell r="J166">
            <v>29</v>
          </cell>
          <cell r="L166">
            <v>10440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108487</v>
          </cell>
          <cell r="V166">
            <v>113000</v>
          </cell>
          <cell r="W166">
            <v>-816</v>
          </cell>
        </row>
        <row r="167">
          <cell r="E167">
            <v>189</v>
          </cell>
          <cell r="G167">
            <v>27594</v>
          </cell>
          <cell r="J167">
            <v>10</v>
          </cell>
          <cell r="L167">
            <v>3600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105589</v>
          </cell>
          <cell r="V167">
            <v>117000</v>
          </cell>
          <cell r="W167">
            <v>-518</v>
          </cell>
        </row>
        <row r="168">
          <cell r="E168">
            <v>311</v>
          </cell>
          <cell r="G168">
            <v>45406</v>
          </cell>
          <cell r="J168">
            <v>13</v>
          </cell>
          <cell r="L168">
            <v>4680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124481</v>
          </cell>
          <cell r="V168">
            <v>136000</v>
          </cell>
          <cell r="W168">
            <v>-328</v>
          </cell>
        </row>
        <row r="169">
          <cell r="E169">
            <v>227</v>
          </cell>
          <cell r="G169">
            <v>33142</v>
          </cell>
          <cell r="J169">
            <v>8</v>
          </cell>
          <cell r="L169">
            <v>2880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110417</v>
          </cell>
          <cell r="V169">
            <v>150000</v>
          </cell>
          <cell r="W169">
            <v>-28596</v>
          </cell>
        </row>
        <row r="170">
          <cell r="E170">
            <v>384</v>
          </cell>
          <cell r="G170">
            <v>56064</v>
          </cell>
          <cell r="J170">
            <v>29</v>
          </cell>
          <cell r="L170">
            <v>10440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140899</v>
          </cell>
          <cell r="V170">
            <v>124000</v>
          </cell>
          <cell r="W170">
            <v>-382</v>
          </cell>
        </row>
        <row r="171">
          <cell r="E171">
            <v>384</v>
          </cell>
          <cell r="G171">
            <v>56064</v>
          </cell>
          <cell r="J171">
            <v>59</v>
          </cell>
          <cell r="L171">
            <v>21240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151699</v>
          </cell>
          <cell r="V171">
            <v>160000</v>
          </cell>
          <cell r="W171">
            <v>-1683</v>
          </cell>
        </row>
        <row r="172">
          <cell r="E172">
            <v>263</v>
          </cell>
          <cell r="G172">
            <v>38398</v>
          </cell>
          <cell r="J172">
            <v>40</v>
          </cell>
          <cell r="L172">
            <v>14400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127193</v>
          </cell>
          <cell r="V172">
            <v>150000</v>
          </cell>
          <cell r="W172">
            <v>-17490</v>
          </cell>
        </row>
        <row r="173">
          <cell r="E173">
            <v>262</v>
          </cell>
          <cell r="G173">
            <v>38252</v>
          </cell>
          <cell r="J173">
            <v>99</v>
          </cell>
          <cell r="L173">
            <v>35640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148287</v>
          </cell>
          <cell r="V173">
            <v>137797</v>
          </cell>
          <cell r="W173">
            <v>0</v>
          </cell>
        </row>
        <row r="174">
          <cell r="E174">
            <v>327</v>
          </cell>
          <cell r="G174">
            <v>47742</v>
          </cell>
          <cell r="J174">
            <v>143</v>
          </cell>
          <cell r="L174">
            <v>55620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177757</v>
          </cell>
          <cell r="V174">
            <v>184757</v>
          </cell>
          <cell r="W174">
            <v>0</v>
          </cell>
        </row>
      </sheetData>
      <sheetData sheetId="5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39000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39000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39000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172.9</v>
          </cell>
          <cell r="G16">
            <v>10892.7</v>
          </cell>
          <cell r="J16">
            <v>117.66</v>
          </cell>
          <cell r="L16">
            <v>35298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39000</v>
          </cell>
          <cell r="R16">
            <v>0</v>
          </cell>
          <cell r="S16">
            <v>85190.7</v>
          </cell>
          <cell r="V16">
            <v>0</v>
          </cell>
          <cell r="W16">
            <v>0</v>
          </cell>
        </row>
        <row r="17">
          <cell r="E17">
            <v>87.799999999999983</v>
          </cell>
          <cell r="G17">
            <v>5531.3999999999987</v>
          </cell>
          <cell r="J17">
            <v>30.061000000000007</v>
          </cell>
          <cell r="L17">
            <v>9018.3000000000029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39000</v>
          </cell>
          <cell r="R17">
            <v>0</v>
          </cell>
          <cell r="S17">
            <v>53549.700000000004</v>
          </cell>
          <cell r="V17">
            <v>0</v>
          </cell>
          <cell r="W17">
            <v>0</v>
          </cell>
        </row>
        <row r="18">
          <cell r="E18">
            <v>134.30000000000001</v>
          </cell>
          <cell r="G18">
            <v>8460.9000000000015</v>
          </cell>
          <cell r="J18">
            <v>50.378999999999991</v>
          </cell>
          <cell r="L18">
            <v>15113.699999999997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39000</v>
          </cell>
          <cell r="R18">
            <v>0</v>
          </cell>
          <cell r="S18">
            <v>62574.6</v>
          </cell>
          <cell r="V18">
            <v>0</v>
          </cell>
          <cell r="W18">
            <v>0</v>
          </cell>
        </row>
        <row r="19">
          <cell r="E19">
            <v>53.100000000000023</v>
          </cell>
          <cell r="G19">
            <v>3345.3000000000015</v>
          </cell>
          <cell r="J19">
            <v>27.800000000000011</v>
          </cell>
          <cell r="L19">
            <v>8340.0000000000036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39000</v>
          </cell>
          <cell r="R19">
            <v>0</v>
          </cell>
          <cell r="S19">
            <v>50685.3</v>
          </cell>
          <cell r="V19">
            <v>0</v>
          </cell>
          <cell r="W19">
            <v>0</v>
          </cell>
        </row>
        <row r="20">
          <cell r="E20">
            <v>43.599999999999966</v>
          </cell>
          <cell r="G20">
            <v>2746.7999999999979</v>
          </cell>
          <cell r="J20">
            <v>13.599999999999994</v>
          </cell>
          <cell r="L20">
            <v>4079.9999999999982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39000</v>
          </cell>
          <cell r="R20">
            <v>0</v>
          </cell>
          <cell r="S20">
            <v>45826.799999999996</v>
          </cell>
          <cell r="V20">
            <v>0</v>
          </cell>
          <cell r="W20">
            <v>0</v>
          </cell>
        </row>
        <row r="21">
          <cell r="E21">
            <v>134.09999999999997</v>
          </cell>
          <cell r="G21">
            <v>8448.2999999999975</v>
          </cell>
          <cell r="J21">
            <v>41.399999999999977</v>
          </cell>
          <cell r="L21">
            <v>12419.999999999993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39000</v>
          </cell>
          <cell r="R21">
            <v>0</v>
          </cell>
          <cell r="S21">
            <v>59868.299999999988</v>
          </cell>
          <cell r="V21">
            <v>0</v>
          </cell>
          <cell r="W21">
            <v>0</v>
          </cell>
        </row>
        <row r="22">
          <cell r="E22">
            <v>130.80000000000007</v>
          </cell>
          <cell r="G22">
            <v>8240.4000000000051</v>
          </cell>
          <cell r="J22">
            <v>14.400000000000034</v>
          </cell>
          <cell r="L22">
            <v>5184.0000000000127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39000</v>
          </cell>
          <cell r="R22">
            <v>0</v>
          </cell>
          <cell r="S22">
            <v>52424.400000000023</v>
          </cell>
          <cell r="V22">
            <v>0</v>
          </cell>
          <cell r="W22">
            <v>0</v>
          </cell>
        </row>
        <row r="23">
          <cell r="E23">
            <v>63.600000000000023</v>
          </cell>
          <cell r="G23">
            <v>4006.8000000000015</v>
          </cell>
          <cell r="J23">
            <v>9.8999999999999773</v>
          </cell>
          <cell r="L23">
            <v>3563.9999999999918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46570.799999999996</v>
          </cell>
          <cell r="V23">
            <v>0</v>
          </cell>
          <cell r="W23">
            <v>0</v>
          </cell>
        </row>
        <row r="24">
          <cell r="E24">
            <v>116.5</v>
          </cell>
          <cell r="G24">
            <v>7339.5</v>
          </cell>
          <cell r="J24">
            <v>2.6000000000000227</v>
          </cell>
          <cell r="L24">
            <v>936.00000000000819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47275.500000000007</v>
          </cell>
          <cell r="V24">
            <v>0</v>
          </cell>
          <cell r="W24">
            <v>0</v>
          </cell>
        </row>
        <row r="25">
          <cell r="E25">
            <v>165.89999999999986</v>
          </cell>
          <cell r="G25">
            <v>10451.699999999992</v>
          </cell>
          <cell r="J25">
            <v>8.5999999999999659</v>
          </cell>
          <cell r="L25">
            <v>3095.9999999999877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52547.699999999975</v>
          </cell>
          <cell r="V25">
            <v>0</v>
          </cell>
          <cell r="W25">
            <v>52547.699999999975</v>
          </cell>
        </row>
        <row r="26">
          <cell r="E26">
            <v>26.200000000000045</v>
          </cell>
          <cell r="G26">
            <v>1650.6000000000029</v>
          </cell>
          <cell r="J26">
            <v>0.80000000000001137</v>
          </cell>
          <cell r="L26">
            <v>288.00000000000409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40938.600000000013</v>
          </cell>
          <cell r="V26">
            <v>0</v>
          </cell>
          <cell r="W26">
            <v>93486.299999999988</v>
          </cell>
        </row>
        <row r="27">
          <cell r="E27">
            <v>22.900000000000091</v>
          </cell>
          <cell r="G27">
            <v>1442.7000000000057</v>
          </cell>
          <cell r="J27">
            <v>0.10000000000002274</v>
          </cell>
          <cell r="L27">
            <v>36.000000000008185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40478.700000000012</v>
          </cell>
          <cell r="V27">
            <v>0</v>
          </cell>
          <cell r="W27">
            <v>133965</v>
          </cell>
        </row>
        <row r="28">
          <cell r="E28">
            <v>21.399999999999864</v>
          </cell>
          <cell r="G28">
            <v>1348.1999999999914</v>
          </cell>
          <cell r="J28">
            <v>2</v>
          </cell>
          <cell r="L28">
            <v>720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41068.19999999999</v>
          </cell>
          <cell r="V28">
            <v>0</v>
          </cell>
          <cell r="W28">
            <v>122485.19999999998</v>
          </cell>
        </row>
        <row r="29">
          <cell r="E29">
            <v>29.600000000000136</v>
          </cell>
          <cell r="G29">
            <v>1864.8000000000086</v>
          </cell>
          <cell r="J29">
            <v>5.3999999999999773</v>
          </cell>
          <cell r="L29">
            <v>1943.9999999999918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42808.800000000003</v>
          </cell>
          <cell r="V29">
            <v>0</v>
          </cell>
          <cell r="W29">
            <v>165294</v>
          </cell>
        </row>
        <row r="30">
          <cell r="E30">
            <v>28.200000000000045</v>
          </cell>
          <cell r="G30">
            <v>1776.6000000000029</v>
          </cell>
          <cell r="J30">
            <v>0.5</v>
          </cell>
          <cell r="L30">
            <v>180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40956.600000000006</v>
          </cell>
          <cell r="V30">
            <v>0</v>
          </cell>
          <cell r="W30">
            <v>206250.6</v>
          </cell>
        </row>
        <row r="31">
          <cell r="E31">
            <v>38.099999999999909</v>
          </cell>
          <cell r="G31">
            <v>2400.2999999999943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80400.299999999988</v>
          </cell>
          <cell r="V31">
            <v>0</v>
          </cell>
          <cell r="W31">
            <v>80399.900000000023</v>
          </cell>
        </row>
        <row r="32">
          <cell r="E32">
            <v>43</v>
          </cell>
          <cell r="G32">
            <v>2709</v>
          </cell>
          <cell r="J32">
            <v>1.8000000000000114</v>
          </cell>
          <cell r="L32">
            <v>648.00000000000409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42357.000000000007</v>
          </cell>
          <cell r="V32">
            <v>0</v>
          </cell>
          <cell r="W32">
            <v>122756.90000000002</v>
          </cell>
        </row>
        <row r="33">
          <cell r="E33">
            <v>32</v>
          </cell>
          <cell r="G33">
            <v>2016</v>
          </cell>
          <cell r="J33">
            <v>108</v>
          </cell>
          <cell r="L33">
            <v>38880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79896</v>
          </cell>
          <cell r="V33">
            <v>0</v>
          </cell>
          <cell r="W33">
            <v>79896.900000000023</v>
          </cell>
        </row>
        <row r="34">
          <cell r="E34">
            <v>55</v>
          </cell>
          <cell r="G34">
            <v>3465</v>
          </cell>
          <cell r="J34">
            <v>6</v>
          </cell>
          <cell r="L34">
            <v>2160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44625</v>
          </cell>
          <cell r="V34">
            <v>0</v>
          </cell>
          <cell r="W34">
            <v>44625.900000000023</v>
          </cell>
        </row>
        <row r="35">
          <cell r="E35">
            <v>1</v>
          </cell>
          <cell r="G35">
            <v>63</v>
          </cell>
          <cell r="J35">
            <v>1</v>
          </cell>
          <cell r="L35">
            <v>360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39000</v>
          </cell>
          <cell r="R35">
            <v>0</v>
          </cell>
          <cell r="S35">
            <v>39423</v>
          </cell>
          <cell r="V35">
            <v>0</v>
          </cell>
          <cell r="W35">
            <v>39423.900000000023</v>
          </cell>
        </row>
        <row r="36">
          <cell r="E36">
            <v>60</v>
          </cell>
          <cell r="G36">
            <v>3780</v>
          </cell>
          <cell r="J36">
            <v>8</v>
          </cell>
          <cell r="L36">
            <v>2880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39000</v>
          </cell>
          <cell r="R36">
            <v>0</v>
          </cell>
          <cell r="S36">
            <v>45660</v>
          </cell>
          <cell r="V36">
            <v>0</v>
          </cell>
          <cell r="W36">
            <v>45659.900000000023</v>
          </cell>
        </row>
        <row r="37">
          <cell r="E37">
            <v>220</v>
          </cell>
          <cell r="G37">
            <v>13860</v>
          </cell>
          <cell r="J37">
            <v>20</v>
          </cell>
          <cell r="L37">
            <v>7200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39000</v>
          </cell>
          <cell r="R37">
            <v>0</v>
          </cell>
          <cell r="S37">
            <v>60060</v>
          </cell>
          <cell r="V37">
            <v>0</v>
          </cell>
          <cell r="W37">
            <v>105719.90000000002</v>
          </cell>
        </row>
        <row r="38">
          <cell r="E38">
            <v>10</v>
          </cell>
          <cell r="G38">
            <v>630</v>
          </cell>
          <cell r="J38">
            <v>1</v>
          </cell>
          <cell r="L38">
            <v>360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39000</v>
          </cell>
          <cell r="R38">
            <v>0</v>
          </cell>
          <cell r="S38">
            <v>39990</v>
          </cell>
          <cell r="V38">
            <v>0</v>
          </cell>
          <cell r="W38">
            <v>100049.90000000002</v>
          </cell>
        </row>
        <row r="39">
          <cell r="E39">
            <v>8</v>
          </cell>
          <cell r="G39">
            <v>504</v>
          </cell>
          <cell r="J39">
            <v>5</v>
          </cell>
          <cell r="L39">
            <v>1800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39000</v>
          </cell>
          <cell r="R39">
            <v>0</v>
          </cell>
          <cell r="S39">
            <v>41304</v>
          </cell>
          <cell r="V39">
            <v>0</v>
          </cell>
          <cell r="W39">
            <v>141353.90000000002</v>
          </cell>
        </row>
        <row r="40">
          <cell r="E40">
            <v>-127</v>
          </cell>
          <cell r="G40">
            <v>-8001</v>
          </cell>
          <cell r="J40">
            <v>-12</v>
          </cell>
          <cell r="L40">
            <v>-4320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26679</v>
          </cell>
          <cell r="V40">
            <v>0</v>
          </cell>
          <cell r="W40">
            <v>168032.90000000002</v>
          </cell>
        </row>
        <row r="41">
          <cell r="E41">
            <v>61</v>
          </cell>
          <cell r="G41">
            <v>3843</v>
          </cell>
          <cell r="J41">
            <v>13</v>
          </cell>
          <cell r="L41">
            <v>4680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47523</v>
          </cell>
          <cell r="V41">
            <v>0</v>
          </cell>
          <cell r="W41">
            <v>215555.90000000002</v>
          </cell>
        </row>
        <row r="42">
          <cell r="E42">
            <v>8</v>
          </cell>
          <cell r="G42">
            <v>504</v>
          </cell>
          <cell r="J42">
            <v>4</v>
          </cell>
          <cell r="L42">
            <v>1440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40944</v>
          </cell>
          <cell r="V42">
            <v>0</v>
          </cell>
          <cell r="W42">
            <v>88467.900000000023</v>
          </cell>
        </row>
        <row r="43">
          <cell r="E43">
            <v>6</v>
          </cell>
          <cell r="G43">
            <v>378</v>
          </cell>
          <cell r="J43">
            <v>9</v>
          </cell>
          <cell r="L43">
            <v>3240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42618</v>
          </cell>
          <cell r="V43">
            <v>0</v>
          </cell>
          <cell r="W43">
            <v>83562.900000000023</v>
          </cell>
        </row>
        <row r="44">
          <cell r="E44">
            <v>9</v>
          </cell>
          <cell r="G44">
            <v>567</v>
          </cell>
          <cell r="J44">
            <v>6</v>
          </cell>
          <cell r="L44">
            <v>2160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41727</v>
          </cell>
          <cell r="V44">
            <v>0</v>
          </cell>
          <cell r="W44">
            <v>125289.90000000002</v>
          </cell>
        </row>
        <row r="45">
          <cell r="E45">
            <v>5</v>
          </cell>
          <cell r="G45">
            <v>315</v>
          </cell>
          <cell r="J45">
            <v>3</v>
          </cell>
          <cell r="L45">
            <v>1080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40395</v>
          </cell>
          <cell r="V45">
            <v>0</v>
          </cell>
          <cell r="W45">
            <v>165684.90000000002</v>
          </cell>
        </row>
        <row r="46">
          <cell r="E46">
            <v>3</v>
          </cell>
          <cell r="G46">
            <v>189</v>
          </cell>
          <cell r="J46">
            <v>4</v>
          </cell>
          <cell r="L46">
            <v>1440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40629</v>
          </cell>
          <cell r="V46">
            <v>0</v>
          </cell>
          <cell r="W46">
            <v>206313.90000000002</v>
          </cell>
        </row>
        <row r="47">
          <cell r="E47">
            <v>6</v>
          </cell>
          <cell r="G47">
            <v>378</v>
          </cell>
          <cell r="J47">
            <v>3</v>
          </cell>
          <cell r="L47">
            <v>1080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40458</v>
          </cell>
          <cell r="V47">
            <v>0</v>
          </cell>
          <cell r="W47">
            <v>81086.900000000023</v>
          </cell>
        </row>
        <row r="48">
          <cell r="E48">
            <v>2</v>
          </cell>
          <cell r="G48">
            <v>126</v>
          </cell>
          <cell r="J48">
            <v>1</v>
          </cell>
          <cell r="L48">
            <v>360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39486</v>
          </cell>
          <cell r="V48">
            <v>0</v>
          </cell>
          <cell r="W48">
            <v>120572.90000000002</v>
          </cell>
        </row>
        <row r="49">
          <cell r="E49">
            <v>2</v>
          </cell>
          <cell r="G49">
            <v>126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39126</v>
          </cell>
          <cell r="V49">
            <v>0</v>
          </cell>
          <cell r="W49">
            <v>39126.900000000023</v>
          </cell>
        </row>
        <row r="50">
          <cell r="E50">
            <v>3</v>
          </cell>
          <cell r="G50">
            <v>189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39189</v>
          </cell>
          <cell r="V50">
            <v>0</v>
          </cell>
          <cell r="W50">
            <v>78315.900000000023</v>
          </cell>
        </row>
        <row r="51">
          <cell r="E51">
            <v>2</v>
          </cell>
          <cell r="G51">
            <v>126</v>
          </cell>
          <cell r="J51">
            <v>2</v>
          </cell>
          <cell r="L51">
            <v>720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39846</v>
          </cell>
          <cell r="V51">
            <v>0</v>
          </cell>
          <cell r="W51">
            <v>118161.90000000002</v>
          </cell>
        </row>
        <row r="52">
          <cell r="E52">
            <v>420</v>
          </cell>
          <cell r="G52">
            <v>26460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65460</v>
          </cell>
          <cell r="V52">
            <v>0</v>
          </cell>
          <cell r="W52">
            <v>105305.90000000002</v>
          </cell>
        </row>
        <row r="53">
          <cell r="E53">
            <v>3</v>
          </cell>
          <cell r="G53">
            <v>189</v>
          </cell>
          <cell r="J53">
            <v>2</v>
          </cell>
          <cell r="L53">
            <v>720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39909</v>
          </cell>
          <cell r="V53">
            <v>0</v>
          </cell>
          <cell r="W53">
            <v>145214.90000000002</v>
          </cell>
        </row>
        <row r="54">
          <cell r="E54">
            <v>1</v>
          </cell>
          <cell r="G54">
            <v>63</v>
          </cell>
          <cell r="J54">
            <v>7</v>
          </cell>
          <cell r="L54">
            <v>2520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48583</v>
          </cell>
          <cell r="V54">
            <v>0</v>
          </cell>
          <cell r="W54">
            <v>88492.900000000023</v>
          </cell>
        </row>
        <row r="55">
          <cell r="E55">
            <v>0</v>
          </cell>
          <cell r="G55">
            <v>0</v>
          </cell>
          <cell r="J55">
            <v>5</v>
          </cell>
          <cell r="L55">
            <v>1800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47800</v>
          </cell>
          <cell r="V55">
            <v>0</v>
          </cell>
          <cell r="W55">
            <v>136292.90000000002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182292.90000000002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228292.90000000002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46000</v>
          </cell>
          <cell r="V58">
            <v>0</v>
          </cell>
          <cell r="W58">
            <v>274292.90000000002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320292.90000000002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46000</v>
          </cell>
          <cell r="V60">
            <v>0</v>
          </cell>
          <cell r="W60">
            <v>91999.900000000023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137999.90000000002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183999.90000000002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229999.90000000002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0</v>
          </cell>
          <cell r="W64">
            <v>275999.90000000002</v>
          </cell>
        </row>
        <row r="65">
          <cell r="E65">
            <v>2</v>
          </cell>
          <cell r="G65">
            <v>158</v>
          </cell>
          <cell r="J65">
            <v>11</v>
          </cell>
          <cell r="L65">
            <v>3960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50118</v>
          </cell>
          <cell r="V65">
            <v>0</v>
          </cell>
          <cell r="W65">
            <v>326117.90000000002</v>
          </cell>
        </row>
        <row r="66">
          <cell r="E66">
            <v>3</v>
          </cell>
          <cell r="G66">
            <v>237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46237</v>
          </cell>
          <cell r="V66">
            <v>0</v>
          </cell>
          <cell r="W66">
            <v>372354.9</v>
          </cell>
        </row>
        <row r="67">
          <cell r="E67">
            <v>158</v>
          </cell>
          <cell r="G67">
            <v>13746</v>
          </cell>
          <cell r="J67">
            <v>25</v>
          </cell>
          <cell r="L67">
            <v>9000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68746</v>
          </cell>
          <cell r="V67">
            <v>0</v>
          </cell>
          <cell r="W67">
            <v>441100.9</v>
          </cell>
        </row>
        <row r="68">
          <cell r="E68">
            <v>0</v>
          </cell>
          <cell r="G68">
            <v>0</v>
          </cell>
          <cell r="J68">
            <v>1</v>
          </cell>
          <cell r="L68">
            <v>360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46360</v>
          </cell>
          <cell r="V68">
            <v>0</v>
          </cell>
          <cell r="W68">
            <v>487460.9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533460.9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579460.9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625460.9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671460.9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717460.9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763460.9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809460.9</v>
          </cell>
        </row>
        <row r="76">
          <cell r="E76">
            <v>1</v>
          </cell>
          <cell r="G76">
            <v>126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46126</v>
          </cell>
          <cell r="V76">
            <v>0</v>
          </cell>
          <cell r="W76">
            <v>855586.9</v>
          </cell>
        </row>
        <row r="77">
          <cell r="E77">
            <v>0</v>
          </cell>
          <cell r="G77">
            <v>0</v>
          </cell>
          <cell r="J77">
            <v>1</v>
          </cell>
          <cell r="L77">
            <v>360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46360</v>
          </cell>
          <cell r="V77">
            <v>0</v>
          </cell>
          <cell r="W77">
            <v>901946.9</v>
          </cell>
        </row>
        <row r="78">
          <cell r="E78">
            <v>0</v>
          </cell>
          <cell r="G78">
            <v>0</v>
          </cell>
          <cell r="J78">
            <v>2</v>
          </cell>
          <cell r="L78">
            <v>720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46720</v>
          </cell>
          <cell r="V78">
            <v>94866.69</v>
          </cell>
          <cell r="W78">
            <v>1043533.5900000001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-0.40999999991618097</v>
          </cell>
        </row>
        <row r="80">
          <cell r="E80">
            <v>21</v>
          </cell>
          <cell r="G80">
            <v>2730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48730</v>
          </cell>
          <cell r="V80">
            <v>0</v>
          </cell>
          <cell r="W80">
            <v>48729.590000000084</v>
          </cell>
        </row>
        <row r="81">
          <cell r="E81">
            <v>0</v>
          </cell>
          <cell r="G81">
            <v>0</v>
          </cell>
          <cell r="J81">
            <v>1</v>
          </cell>
          <cell r="L81">
            <v>360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46360</v>
          </cell>
          <cell r="V81">
            <v>0</v>
          </cell>
          <cell r="W81">
            <v>95089.590000000084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14108.95900000001</v>
          </cell>
          <cell r="W82">
            <v>155198.54900000009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201198.54900000009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0</v>
          </cell>
          <cell r="W84">
            <v>247198.54900000009</v>
          </cell>
        </row>
        <row r="85">
          <cell r="E85">
            <v>2</v>
          </cell>
          <cell r="G85">
            <v>292</v>
          </cell>
          <cell r="J85">
            <v>1</v>
          </cell>
          <cell r="L85">
            <v>360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56652</v>
          </cell>
          <cell r="V85">
            <v>0</v>
          </cell>
          <cell r="W85">
            <v>56651.549000000115</v>
          </cell>
        </row>
        <row r="86">
          <cell r="E86">
            <v>6</v>
          </cell>
          <cell r="G86">
            <v>876</v>
          </cell>
          <cell r="J86">
            <v>4</v>
          </cell>
          <cell r="L86">
            <v>1440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48316</v>
          </cell>
          <cell r="V86">
            <v>0</v>
          </cell>
          <cell r="W86">
            <v>104967.54900000012</v>
          </cell>
        </row>
        <row r="87">
          <cell r="E87">
            <v>3</v>
          </cell>
          <cell r="G87">
            <v>438</v>
          </cell>
          <cell r="J87">
            <v>4</v>
          </cell>
          <cell r="L87">
            <v>1440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47878</v>
          </cell>
          <cell r="V87">
            <v>15284</v>
          </cell>
          <cell r="W87">
            <v>168129.54900000012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214129.54900000012</v>
          </cell>
        </row>
        <row r="89">
          <cell r="E89">
            <v>1</v>
          </cell>
          <cell r="G89">
            <v>146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46146</v>
          </cell>
          <cell r="V89">
            <v>26027</v>
          </cell>
          <cell r="W89">
            <v>286302.54900000012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332302.54900000012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39730</v>
          </cell>
          <cell r="W91">
            <v>437032.54900000012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502032.54900000012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56703</v>
          </cell>
          <cell r="W93">
            <v>623735.54900000012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688735.54900000012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75373</v>
          </cell>
          <cell r="W95">
            <v>829108.54900000012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884108.54900000012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93910</v>
          </cell>
          <cell r="S97">
            <v>148910</v>
          </cell>
          <cell r="V97">
            <v>0</v>
          </cell>
          <cell r="W97">
            <v>1033018.5490000001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1088016</v>
          </cell>
          <cell r="W98">
            <v>2.549000000115484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55002.549000000115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110003</v>
          </cell>
          <cell r="W100">
            <v>-0.450999999884516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-0.450999999884516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-0.450999999884516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56649.549000000115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113300</v>
          </cell>
          <cell r="W104">
            <v>-0.450999999884516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56649.549000000115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11330</v>
          </cell>
          <cell r="S106">
            <v>67980</v>
          </cell>
          <cell r="V106">
            <v>0</v>
          </cell>
          <cell r="W106">
            <v>124629.54900000012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181279.54900000012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0</v>
          </cell>
          <cell r="W108">
            <v>237929.54900000012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294580</v>
          </cell>
          <cell r="W109">
            <v>-0.450999999884516</v>
          </cell>
        </row>
        <row r="110">
          <cell r="E110">
            <v>0</v>
          </cell>
          <cell r="G110">
            <v>0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57010</v>
          </cell>
          <cell r="V110">
            <v>0</v>
          </cell>
          <cell r="W110">
            <v>57009.549000000115</v>
          </cell>
        </row>
        <row r="111">
          <cell r="E111">
            <v>0</v>
          </cell>
          <cell r="G111">
            <v>0</v>
          </cell>
          <cell r="J111">
            <v>1</v>
          </cell>
          <cell r="L111">
            <v>360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57010</v>
          </cell>
          <cell r="V111">
            <v>0</v>
          </cell>
          <cell r="W111">
            <v>114019.54900000012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0</v>
          </cell>
          <cell r="W112">
            <v>170669.54900000012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227319.54900000012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0</v>
          </cell>
          <cell r="W114">
            <v>283969.54900000012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342828.54900000012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401687.54900000012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460546.54900000012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519405.54900000012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0</v>
          </cell>
          <cell r="W119">
            <v>578264.54900000012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637123.54900000012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695983</v>
          </cell>
          <cell r="W121">
            <v>-0.450999999884516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58858.549000000115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11771</v>
          </cell>
          <cell r="S123">
            <v>70630</v>
          </cell>
          <cell r="V123">
            <v>0</v>
          </cell>
          <cell r="W123">
            <v>129488.54900000012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188347.54900000012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24720</v>
          </cell>
          <cell r="S125">
            <v>83579</v>
          </cell>
          <cell r="V125">
            <v>0</v>
          </cell>
          <cell r="W125">
            <v>271926.54900000012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330785.54900000012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390520</v>
          </cell>
          <cell r="W127">
            <v>-0.450999999884516</v>
          </cell>
        </row>
        <row r="128">
          <cell r="E128">
            <v>2</v>
          </cell>
          <cell r="G128">
            <v>292</v>
          </cell>
          <cell r="J128">
            <v>1</v>
          </cell>
          <cell r="L128">
            <v>360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72674</v>
          </cell>
          <cell r="V128">
            <v>72674</v>
          </cell>
          <cell r="W128">
            <v>-0.450999999884516</v>
          </cell>
        </row>
        <row r="129">
          <cell r="E129">
            <v>67</v>
          </cell>
          <cell r="G129">
            <v>9782</v>
          </cell>
          <cell r="J129">
            <v>2</v>
          </cell>
          <cell r="L129">
            <v>720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70236</v>
          </cell>
          <cell r="V129">
            <v>70236</v>
          </cell>
          <cell r="W129">
            <v>-0.450999999884516</v>
          </cell>
        </row>
        <row r="130">
          <cell r="E130">
            <v>0</v>
          </cell>
          <cell r="G130">
            <v>0</v>
          </cell>
          <cell r="J130">
            <v>1</v>
          </cell>
          <cell r="L130">
            <v>360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60094</v>
          </cell>
          <cell r="V130">
            <v>60094</v>
          </cell>
          <cell r="W130">
            <v>-0.450999999884516</v>
          </cell>
        </row>
        <row r="131">
          <cell r="E131">
            <v>122</v>
          </cell>
          <cell r="G131">
            <v>17812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77546</v>
          </cell>
          <cell r="V131">
            <v>77546</v>
          </cell>
          <cell r="W131">
            <v>-0.450999999884516</v>
          </cell>
        </row>
        <row r="132">
          <cell r="E132">
            <v>29</v>
          </cell>
          <cell r="G132">
            <v>4234</v>
          </cell>
          <cell r="J132">
            <v>1</v>
          </cell>
          <cell r="L132">
            <v>360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64328</v>
          </cell>
          <cell r="V132">
            <v>60500</v>
          </cell>
          <cell r="W132">
            <v>3827.5490000001155</v>
          </cell>
        </row>
        <row r="133">
          <cell r="E133">
            <v>41</v>
          </cell>
          <cell r="G133">
            <v>5986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65720</v>
          </cell>
          <cell r="V133">
            <v>0</v>
          </cell>
          <cell r="W133">
            <v>69547.549000000115</v>
          </cell>
        </row>
        <row r="134">
          <cell r="E134">
            <v>25</v>
          </cell>
          <cell r="G134">
            <v>3650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63384</v>
          </cell>
          <cell r="V134">
            <v>132932</v>
          </cell>
          <cell r="W134">
            <v>-0.450999999884516</v>
          </cell>
        </row>
        <row r="135">
          <cell r="E135">
            <v>42</v>
          </cell>
          <cell r="G135">
            <v>6132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65866</v>
          </cell>
          <cell r="V135">
            <v>65866</v>
          </cell>
          <cell r="W135">
            <v>-0.450999999884516</v>
          </cell>
        </row>
        <row r="136">
          <cell r="E136">
            <v>64</v>
          </cell>
          <cell r="G136">
            <v>9344</v>
          </cell>
          <cell r="J136">
            <v>2</v>
          </cell>
          <cell r="L136">
            <v>720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69798</v>
          </cell>
          <cell r="V136">
            <v>0</v>
          </cell>
          <cell r="W136">
            <v>69797.549000000115</v>
          </cell>
        </row>
        <row r="137">
          <cell r="E137">
            <v>69</v>
          </cell>
          <cell r="G137">
            <v>10074</v>
          </cell>
          <cell r="J137">
            <v>5</v>
          </cell>
          <cell r="L137">
            <v>1800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14140</v>
          </cell>
          <cell r="S137">
            <v>85748</v>
          </cell>
          <cell r="V137">
            <v>0</v>
          </cell>
          <cell r="W137">
            <v>155545.54900000012</v>
          </cell>
        </row>
        <row r="138">
          <cell r="E138">
            <v>65</v>
          </cell>
          <cell r="G138">
            <v>9490</v>
          </cell>
          <cell r="J138">
            <v>6</v>
          </cell>
          <cell r="L138">
            <v>2160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91384</v>
          </cell>
          <cell r="V138">
            <v>246930</v>
          </cell>
          <cell r="W138">
            <v>-0.450999999884516</v>
          </cell>
        </row>
        <row r="139">
          <cell r="E139">
            <v>82</v>
          </cell>
          <cell r="G139">
            <v>11972</v>
          </cell>
          <cell r="J139">
            <v>4</v>
          </cell>
          <cell r="L139">
            <v>1440</v>
          </cell>
          <cell r="M139">
            <v>0</v>
          </cell>
          <cell r="N139">
            <v>5000</v>
          </cell>
          <cell r="O139">
            <v>33082</v>
          </cell>
          <cell r="P139">
            <v>0</v>
          </cell>
          <cell r="Q139">
            <v>61536</v>
          </cell>
          <cell r="R139">
            <v>0</v>
          </cell>
          <cell r="S139">
            <v>113030</v>
          </cell>
          <cell r="V139">
            <v>113030</v>
          </cell>
          <cell r="W139">
            <v>-0.450999999884516</v>
          </cell>
        </row>
        <row r="140">
          <cell r="E140">
            <v>66</v>
          </cell>
          <cell r="G140">
            <v>9636</v>
          </cell>
          <cell r="J140">
            <v>2</v>
          </cell>
          <cell r="L140">
            <v>720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76892</v>
          </cell>
          <cell r="V140">
            <v>76892</v>
          </cell>
          <cell r="W140">
            <v>-0.450999999884516</v>
          </cell>
        </row>
        <row r="141">
          <cell r="E141">
            <v>63</v>
          </cell>
          <cell r="G141">
            <v>9198</v>
          </cell>
          <cell r="J141">
            <v>6</v>
          </cell>
          <cell r="L141">
            <v>2160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77894</v>
          </cell>
          <cell r="V141">
            <v>0</v>
          </cell>
          <cell r="W141">
            <v>77893.549000000115</v>
          </cell>
        </row>
        <row r="142">
          <cell r="E142">
            <v>46</v>
          </cell>
          <cell r="G142">
            <v>6716</v>
          </cell>
          <cell r="J142">
            <v>11</v>
          </cell>
          <cell r="L142">
            <v>3960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15510</v>
          </cell>
          <cell r="S142">
            <v>92722</v>
          </cell>
          <cell r="V142">
            <v>0</v>
          </cell>
          <cell r="W142">
            <v>170615.54900000012</v>
          </cell>
        </row>
        <row r="143">
          <cell r="E143">
            <v>42</v>
          </cell>
          <cell r="G143">
            <v>6132</v>
          </cell>
          <cell r="J143">
            <v>7</v>
          </cell>
          <cell r="L143">
            <v>2520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75188</v>
          </cell>
          <cell r="V143">
            <v>245804</v>
          </cell>
          <cell r="W143">
            <v>-0.450999999884516</v>
          </cell>
        </row>
        <row r="144">
          <cell r="E144">
            <v>30</v>
          </cell>
          <cell r="G144">
            <v>4380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70916</v>
          </cell>
          <cell r="V144">
            <v>70916</v>
          </cell>
          <cell r="W144">
            <v>-0.450999999884516</v>
          </cell>
        </row>
        <row r="145">
          <cell r="E145">
            <v>29</v>
          </cell>
          <cell r="G145">
            <v>4234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70770</v>
          </cell>
          <cell r="V145">
            <v>70770</v>
          </cell>
          <cell r="W145">
            <v>-0.450999999884516</v>
          </cell>
        </row>
        <row r="146">
          <cell r="E146">
            <v>33</v>
          </cell>
          <cell r="G146">
            <v>4818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71354</v>
          </cell>
          <cell r="V146">
            <v>71354</v>
          </cell>
          <cell r="W146">
            <v>-0.450999999884516</v>
          </cell>
        </row>
        <row r="147">
          <cell r="E147">
            <v>55</v>
          </cell>
          <cell r="G147">
            <v>8030</v>
          </cell>
          <cell r="J147">
            <v>2</v>
          </cell>
          <cell r="L147">
            <v>720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75286</v>
          </cell>
          <cell r="V147">
            <v>75286</v>
          </cell>
          <cell r="W147">
            <v>-0.450999999884516</v>
          </cell>
        </row>
        <row r="148">
          <cell r="E148">
            <v>51</v>
          </cell>
          <cell r="G148">
            <v>7446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73982</v>
          </cell>
          <cell r="V148">
            <v>73982</v>
          </cell>
          <cell r="W148">
            <v>-0.450999999884516</v>
          </cell>
        </row>
        <row r="149">
          <cell r="E149">
            <v>64</v>
          </cell>
          <cell r="G149">
            <v>9344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75880</v>
          </cell>
          <cell r="V149">
            <v>75880</v>
          </cell>
          <cell r="W149">
            <v>-0.450999999884516</v>
          </cell>
        </row>
        <row r="150">
          <cell r="E150">
            <v>62</v>
          </cell>
          <cell r="G150">
            <v>9052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77588</v>
          </cell>
          <cell r="V150">
            <v>77588</v>
          </cell>
          <cell r="W150">
            <v>-0.450999999884516</v>
          </cell>
        </row>
        <row r="151">
          <cell r="E151">
            <v>75</v>
          </cell>
          <cell r="G151">
            <v>10950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82345</v>
          </cell>
          <cell r="V151">
            <v>82345</v>
          </cell>
          <cell r="W151">
            <v>-0.450999999884516</v>
          </cell>
        </row>
        <row r="152">
          <cell r="E152">
            <v>85</v>
          </cell>
          <cell r="G152">
            <v>12410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83805</v>
          </cell>
          <cell r="V152">
            <v>83805</v>
          </cell>
          <cell r="W152">
            <v>-0.450999999884516</v>
          </cell>
        </row>
        <row r="153">
          <cell r="E153">
            <v>72</v>
          </cell>
          <cell r="G153">
            <v>10512</v>
          </cell>
          <cell r="J153">
            <v>1</v>
          </cell>
          <cell r="L153">
            <v>360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87226</v>
          </cell>
          <cell r="V153">
            <v>87226</v>
          </cell>
          <cell r="W153">
            <v>-0.450999999884516</v>
          </cell>
        </row>
        <row r="154">
          <cell r="E154">
            <v>62</v>
          </cell>
          <cell r="G154">
            <v>9052</v>
          </cell>
          <cell r="J154">
            <v>0</v>
          </cell>
          <cell r="L154">
            <v>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85406</v>
          </cell>
          <cell r="V154">
            <v>85406</v>
          </cell>
          <cell r="W154">
            <v>-0.450999999884516</v>
          </cell>
        </row>
        <row r="155">
          <cell r="E155">
            <v>44</v>
          </cell>
          <cell r="G155">
            <v>6424</v>
          </cell>
          <cell r="J155">
            <v>0</v>
          </cell>
          <cell r="L155">
            <v>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82778</v>
          </cell>
          <cell r="V155">
            <v>82778</v>
          </cell>
          <cell r="W155">
            <v>-0.450999999884516</v>
          </cell>
        </row>
        <row r="156">
          <cell r="E156">
            <v>36</v>
          </cell>
          <cell r="G156">
            <v>5256</v>
          </cell>
          <cell r="J156">
            <v>0</v>
          </cell>
          <cell r="L156">
            <v>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81610</v>
          </cell>
          <cell r="V156">
            <v>81610</v>
          </cell>
          <cell r="W156">
            <v>-0.450999999884516</v>
          </cell>
        </row>
        <row r="157">
          <cell r="E157">
            <v>39</v>
          </cell>
          <cell r="G157">
            <v>5694</v>
          </cell>
          <cell r="J157">
            <v>0</v>
          </cell>
          <cell r="L157">
            <v>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82048</v>
          </cell>
          <cell r="V157">
            <v>82048</v>
          </cell>
          <cell r="W157">
            <v>-0.450999999884516</v>
          </cell>
        </row>
        <row r="158">
          <cell r="E158">
            <v>36</v>
          </cell>
          <cell r="G158">
            <v>5256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81610</v>
          </cell>
          <cell r="V158">
            <v>0</v>
          </cell>
          <cell r="W158">
            <v>81609.549000000115</v>
          </cell>
        </row>
        <row r="159">
          <cell r="E159">
            <v>44</v>
          </cell>
          <cell r="G159">
            <v>6424</v>
          </cell>
          <cell r="J159">
            <v>0</v>
          </cell>
          <cell r="L159">
            <v>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82778</v>
          </cell>
          <cell r="V159">
            <v>164388</v>
          </cell>
          <cell r="W159">
            <v>-0.450999999884516</v>
          </cell>
        </row>
        <row r="160">
          <cell r="E160">
            <v>42</v>
          </cell>
          <cell r="G160">
            <v>6132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82486</v>
          </cell>
          <cell r="V160">
            <v>82486</v>
          </cell>
          <cell r="W160">
            <v>-0.450999999884516</v>
          </cell>
        </row>
        <row r="161">
          <cell r="E161">
            <v>97</v>
          </cell>
          <cell r="G161">
            <v>14162</v>
          </cell>
          <cell r="J161">
            <v>8</v>
          </cell>
          <cell r="L161">
            <v>2880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93396</v>
          </cell>
          <cell r="V161">
            <v>0</v>
          </cell>
          <cell r="W161">
            <v>93395.549000000115</v>
          </cell>
        </row>
        <row r="162">
          <cell r="E162">
            <v>77</v>
          </cell>
          <cell r="G162">
            <v>11242</v>
          </cell>
          <cell r="J162">
            <v>10</v>
          </cell>
          <cell r="L162">
            <v>3600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90902</v>
          </cell>
          <cell r="V162">
            <v>184298</v>
          </cell>
          <cell r="W162">
            <v>-0.450999999884516</v>
          </cell>
        </row>
        <row r="163">
          <cell r="E163">
            <v>67</v>
          </cell>
          <cell r="G163">
            <v>9782</v>
          </cell>
          <cell r="J163">
            <v>14</v>
          </cell>
          <cell r="L163">
            <v>5040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100882</v>
          </cell>
          <cell r="V163">
            <v>100882</v>
          </cell>
          <cell r="W163">
            <v>-0.450999999884516</v>
          </cell>
        </row>
        <row r="164">
          <cell r="E164">
            <v>76</v>
          </cell>
          <cell r="G164">
            <v>11096</v>
          </cell>
          <cell r="J164">
            <v>1</v>
          </cell>
          <cell r="L164">
            <v>360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97516</v>
          </cell>
          <cell r="V164">
            <v>97516</v>
          </cell>
          <cell r="W164">
            <v>-0.450999999884516</v>
          </cell>
        </row>
        <row r="165">
          <cell r="E165">
            <v>70</v>
          </cell>
          <cell r="G165">
            <v>10220</v>
          </cell>
          <cell r="J165">
            <v>0</v>
          </cell>
          <cell r="L165">
            <v>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96280</v>
          </cell>
          <cell r="V165">
            <v>96280</v>
          </cell>
          <cell r="W165">
            <v>-0.450999999884516</v>
          </cell>
        </row>
        <row r="166">
          <cell r="E166">
            <v>43</v>
          </cell>
          <cell r="G166">
            <v>6278</v>
          </cell>
          <cell r="J166">
            <v>1</v>
          </cell>
          <cell r="L166">
            <v>360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92742</v>
          </cell>
          <cell r="V166">
            <v>0</v>
          </cell>
          <cell r="W166">
            <v>92741.549000000115</v>
          </cell>
        </row>
        <row r="167">
          <cell r="E167">
            <v>40</v>
          </cell>
          <cell r="G167">
            <v>5840</v>
          </cell>
          <cell r="J167">
            <v>1</v>
          </cell>
          <cell r="L167">
            <v>360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92304</v>
          </cell>
          <cell r="V167">
            <v>185046</v>
          </cell>
          <cell r="W167">
            <v>-0.450999999884516</v>
          </cell>
        </row>
        <row r="168">
          <cell r="E168">
            <v>38</v>
          </cell>
          <cell r="G168">
            <v>5548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92372</v>
          </cell>
          <cell r="V168">
            <v>92372</v>
          </cell>
          <cell r="W168">
            <v>-0.450999999884516</v>
          </cell>
        </row>
        <row r="169">
          <cell r="E169">
            <v>32</v>
          </cell>
          <cell r="G169">
            <v>4672</v>
          </cell>
          <cell r="J169">
            <v>0</v>
          </cell>
          <cell r="L169">
            <v>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90382</v>
          </cell>
          <cell r="V169">
            <v>90382</v>
          </cell>
          <cell r="W169">
            <v>-0.450999999884516</v>
          </cell>
        </row>
        <row r="170">
          <cell r="E170">
            <v>38</v>
          </cell>
          <cell r="G170">
            <v>5548</v>
          </cell>
          <cell r="J170">
            <v>0</v>
          </cell>
          <cell r="L170">
            <v>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91258</v>
          </cell>
          <cell r="V170">
            <v>91258</v>
          </cell>
          <cell r="W170">
            <v>-0.450999999884516</v>
          </cell>
        </row>
        <row r="171">
          <cell r="E171">
            <v>49</v>
          </cell>
          <cell r="G171">
            <v>7154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88549</v>
          </cell>
          <cell r="V171">
            <v>88549</v>
          </cell>
          <cell r="W171">
            <v>-0.450999999884516</v>
          </cell>
        </row>
        <row r="172">
          <cell r="E172">
            <v>47</v>
          </cell>
          <cell r="G172">
            <v>6862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88257</v>
          </cell>
          <cell r="V172">
            <v>0</v>
          </cell>
          <cell r="W172">
            <v>88256.549000000115</v>
          </cell>
        </row>
        <row r="173">
          <cell r="E173">
            <v>65</v>
          </cell>
          <cell r="G173">
            <v>9490</v>
          </cell>
          <cell r="J173">
            <v>1</v>
          </cell>
          <cell r="L173">
            <v>360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91245</v>
          </cell>
          <cell r="V173">
            <v>179502</v>
          </cell>
          <cell r="W173">
            <v>-0.450999999884516</v>
          </cell>
        </row>
        <row r="174">
          <cell r="E174">
            <v>78</v>
          </cell>
          <cell r="G174">
            <v>11388</v>
          </cell>
          <cell r="J174">
            <v>3</v>
          </cell>
          <cell r="L174">
            <v>1080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93863</v>
          </cell>
          <cell r="V174">
            <v>94000</v>
          </cell>
          <cell r="W174">
            <v>-137.45099999988452</v>
          </cell>
        </row>
      </sheetData>
      <sheetData sheetId="59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39000</v>
          </cell>
          <cell r="R40">
            <v>0</v>
          </cell>
          <cell r="S40">
            <v>78000</v>
          </cell>
          <cell r="V40">
            <v>0</v>
          </cell>
          <cell r="W40">
            <v>78000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117000</v>
          </cell>
        </row>
        <row r="42">
          <cell r="E42">
            <v>63</v>
          </cell>
          <cell r="G42">
            <v>3969</v>
          </cell>
          <cell r="J42">
            <v>87</v>
          </cell>
          <cell r="L42">
            <v>31320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39000</v>
          </cell>
          <cell r="R42">
            <v>0</v>
          </cell>
          <cell r="S42">
            <v>74289</v>
          </cell>
          <cell r="V42">
            <v>0</v>
          </cell>
          <cell r="W42">
            <v>191289</v>
          </cell>
        </row>
        <row r="43">
          <cell r="E43">
            <v>1</v>
          </cell>
          <cell r="G43">
            <v>63</v>
          </cell>
          <cell r="J43">
            <v>119</v>
          </cell>
          <cell r="L43">
            <v>42840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39000</v>
          </cell>
          <cell r="R43">
            <v>0</v>
          </cell>
          <cell r="S43">
            <v>81903</v>
          </cell>
          <cell r="V43">
            <v>0</v>
          </cell>
          <cell r="W43">
            <v>273192</v>
          </cell>
        </row>
        <row r="44">
          <cell r="E44">
            <v>26</v>
          </cell>
          <cell r="G44">
            <v>1638</v>
          </cell>
          <cell r="J44">
            <v>80</v>
          </cell>
          <cell r="L44">
            <v>28800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39000</v>
          </cell>
          <cell r="R44">
            <v>0</v>
          </cell>
          <cell r="S44">
            <v>69438</v>
          </cell>
          <cell r="V44">
            <v>0</v>
          </cell>
          <cell r="W44">
            <v>342630</v>
          </cell>
        </row>
        <row r="45">
          <cell r="E45">
            <v>60</v>
          </cell>
          <cell r="G45">
            <v>3780</v>
          </cell>
          <cell r="J45">
            <v>116</v>
          </cell>
          <cell r="L45">
            <v>41760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39000</v>
          </cell>
          <cell r="R45">
            <v>0</v>
          </cell>
          <cell r="S45">
            <v>84540</v>
          </cell>
          <cell r="V45">
            <v>342630</v>
          </cell>
          <cell r="W45">
            <v>84540</v>
          </cell>
        </row>
        <row r="46">
          <cell r="E46">
            <v>435</v>
          </cell>
          <cell r="G46">
            <v>27405</v>
          </cell>
          <cell r="J46">
            <v>333</v>
          </cell>
          <cell r="L46">
            <v>119880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39000</v>
          </cell>
          <cell r="R46">
            <v>0</v>
          </cell>
          <cell r="S46">
            <v>186285</v>
          </cell>
          <cell r="V46">
            <v>0</v>
          </cell>
          <cell r="W46">
            <v>270825</v>
          </cell>
        </row>
        <row r="47">
          <cell r="E47">
            <v>402</v>
          </cell>
          <cell r="G47">
            <v>25326</v>
          </cell>
          <cell r="J47">
            <v>90</v>
          </cell>
          <cell r="L47">
            <v>32400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39000</v>
          </cell>
          <cell r="R47">
            <v>0</v>
          </cell>
          <cell r="S47">
            <v>96726</v>
          </cell>
          <cell r="V47">
            <v>0</v>
          </cell>
          <cell r="W47">
            <v>367551</v>
          </cell>
        </row>
        <row r="48">
          <cell r="E48">
            <v>415</v>
          </cell>
          <cell r="G48">
            <v>26145</v>
          </cell>
          <cell r="J48">
            <v>31</v>
          </cell>
          <cell r="L48">
            <v>11160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39000</v>
          </cell>
          <cell r="R48">
            <v>0</v>
          </cell>
          <cell r="S48">
            <v>76305</v>
          </cell>
          <cell r="V48">
            <v>270825</v>
          </cell>
          <cell r="W48">
            <v>173031</v>
          </cell>
        </row>
        <row r="49">
          <cell r="E49">
            <v>441</v>
          </cell>
          <cell r="G49">
            <v>27783</v>
          </cell>
          <cell r="J49">
            <v>98</v>
          </cell>
          <cell r="L49">
            <v>35280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39000</v>
          </cell>
          <cell r="R49">
            <v>0</v>
          </cell>
          <cell r="S49">
            <v>102063</v>
          </cell>
          <cell r="V49">
            <v>173031</v>
          </cell>
          <cell r="W49">
            <v>102063</v>
          </cell>
        </row>
        <row r="50">
          <cell r="E50">
            <v>117</v>
          </cell>
          <cell r="G50">
            <v>7371</v>
          </cell>
          <cell r="J50">
            <v>12</v>
          </cell>
          <cell r="L50">
            <v>4320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39000</v>
          </cell>
          <cell r="R50">
            <v>0</v>
          </cell>
          <cell r="S50">
            <v>50691</v>
          </cell>
          <cell r="V50">
            <v>0</v>
          </cell>
          <cell r="W50">
            <v>152754</v>
          </cell>
        </row>
        <row r="51">
          <cell r="E51">
            <v>945</v>
          </cell>
          <cell r="G51">
            <v>59535</v>
          </cell>
          <cell r="J51">
            <v>83</v>
          </cell>
          <cell r="L51">
            <v>29880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39000</v>
          </cell>
          <cell r="R51">
            <v>0</v>
          </cell>
          <cell r="S51">
            <v>128415</v>
          </cell>
          <cell r="V51">
            <v>152754</v>
          </cell>
          <cell r="W51">
            <v>128415</v>
          </cell>
        </row>
        <row r="52">
          <cell r="E52">
            <v>590</v>
          </cell>
          <cell r="G52">
            <v>37170</v>
          </cell>
          <cell r="J52">
            <v>59</v>
          </cell>
          <cell r="L52">
            <v>21240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39000</v>
          </cell>
          <cell r="R52">
            <v>0</v>
          </cell>
          <cell r="S52">
            <v>97410</v>
          </cell>
          <cell r="V52">
            <v>128415</v>
          </cell>
          <cell r="W52">
            <v>97410</v>
          </cell>
        </row>
        <row r="53">
          <cell r="E53">
            <v>700</v>
          </cell>
          <cell r="G53">
            <v>44100</v>
          </cell>
          <cell r="J53">
            <v>200</v>
          </cell>
          <cell r="L53">
            <v>72000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39000</v>
          </cell>
          <cell r="R53">
            <v>0</v>
          </cell>
          <cell r="S53">
            <v>155100</v>
          </cell>
          <cell r="V53">
            <v>0</v>
          </cell>
          <cell r="W53">
            <v>252510</v>
          </cell>
        </row>
        <row r="54">
          <cell r="E54">
            <v>242</v>
          </cell>
          <cell r="G54">
            <v>15246</v>
          </cell>
          <cell r="J54">
            <v>105</v>
          </cell>
          <cell r="L54">
            <v>37800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39000</v>
          </cell>
          <cell r="R54">
            <v>0</v>
          </cell>
          <cell r="S54">
            <v>99046</v>
          </cell>
          <cell r="V54">
            <v>252510</v>
          </cell>
          <cell r="W54">
            <v>99046</v>
          </cell>
        </row>
        <row r="55">
          <cell r="E55">
            <v>642</v>
          </cell>
          <cell r="G55">
            <v>40446</v>
          </cell>
          <cell r="J55">
            <v>450</v>
          </cell>
          <cell r="L55">
            <v>162000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46000</v>
          </cell>
          <cell r="R55">
            <v>0</v>
          </cell>
          <cell r="S55">
            <v>248446</v>
          </cell>
          <cell r="V55">
            <v>0</v>
          </cell>
          <cell r="W55">
            <v>347492</v>
          </cell>
        </row>
        <row r="56">
          <cell r="E56">
            <v>639</v>
          </cell>
          <cell r="G56">
            <v>40257</v>
          </cell>
          <cell r="J56">
            <v>558</v>
          </cell>
          <cell r="L56">
            <v>200880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46000</v>
          </cell>
          <cell r="R56">
            <v>0</v>
          </cell>
          <cell r="S56">
            <v>287137</v>
          </cell>
          <cell r="V56">
            <v>99046</v>
          </cell>
          <cell r="W56">
            <v>535583</v>
          </cell>
        </row>
        <row r="57">
          <cell r="E57">
            <v>500</v>
          </cell>
          <cell r="G57">
            <v>31500</v>
          </cell>
          <cell r="J57">
            <v>331</v>
          </cell>
          <cell r="L57">
            <v>119160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46000</v>
          </cell>
          <cell r="R57">
            <v>0</v>
          </cell>
          <cell r="S57">
            <v>196660</v>
          </cell>
          <cell r="V57">
            <v>0</v>
          </cell>
          <cell r="W57">
            <v>732243</v>
          </cell>
        </row>
        <row r="58">
          <cell r="E58">
            <v>257</v>
          </cell>
          <cell r="G58">
            <v>16191</v>
          </cell>
          <cell r="J58">
            <v>178</v>
          </cell>
          <cell r="L58">
            <v>64080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46000</v>
          </cell>
          <cell r="R58">
            <v>0</v>
          </cell>
          <cell r="S58">
            <v>126271</v>
          </cell>
          <cell r="V58">
            <v>489585</v>
          </cell>
          <cell r="W58">
            <v>368929</v>
          </cell>
        </row>
        <row r="59">
          <cell r="E59">
            <v>594</v>
          </cell>
          <cell r="G59">
            <v>37422</v>
          </cell>
          <cell r="J59">
            <v>147</v>
          </cell>
          <cell r="L59">
            <v>52920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46000</v>
          </cell>
          <cell r="R59">
            <v>0</v>
          </cell>
          <cell r="S59">
            <v>136342</v>
          </cell>
          <cell r="V59">
            <v>0</v>
          </cell>
          <cell r="W59">
            <v>505271</v>
          </cell>
        </row>
        <row r="60">
          <cell r="E60">
            <v>558</v>
          </cell>
          <cell r="G60">
            <v>35154</v>
          </cell>
          <cell r="J60">
            <v>44</v>
          </cell>
          <cell r="L60">
            <v>15840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46000</v>
          </cell>
          <cell r="R60">
            <v>0</v>
          </cell>
          <cell r="S60">
            <v>96994</v>
          </cell>
          <cell r="V60">
            <v>0</v>
          </cell>
          <cell r="W60">
            <v>602265</v>
          </cell>
        </row>
        <row r="61">
          <cell r="E61">
            <v>126</v>
          </cell>
          <cell r="G61">
            <v>7938</v>
          </cell>
          <cell r="J61">
            <v>1</v>
          </cell>
          <cell r="L61">
            <v>360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46000</v>
          </cell>
          <cell r="R61">
            <v>0</v>
          </cell>
          <cell r="S61">
            <v>54298</v>
          </cell>
          <cell r="V61">
            <v>602265</v>
          </cell>
          <cell r="W61">
            <v>54298</v>
          </cell>
        </row>
        <row r="62">
          <cell r="E62">
            <v>181</v>
          </cell>
          <cell r="G62">
            <v>11403</v>
          </cell>
          <cell r="J62">
            <v>8</v>
          </cell>
          <cell r="L62">
            <v>2880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60283</v>
          </cell>
          <cell r="V62">
            <v>0</v>
          </cell>
          <cell r="W62">
            <v>114581</v>
          </cell>
        </row>
        <row r="63">
          <cell r="E63">
            <v>361</v>
          </cell>
          <cell r="G63">
            <v>22743</v>
          </cell>
          <cell r="J63">
            <v>100</v>
          </cell>
          <cell r="L63">
            <v>36000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104743</v>
          </cell>
          <cell r="V63">
            <v>0</v>
          </cell>
          <cell r="W63">
            <v>219324</v>
          </cell>
        </row>
        <row r="64">
          <cell r="E64">
            <v>382</v>
          </cell>
          <cell r="G64">
            <v>30178</v>
          </cell>
          <cell r="J64">
            <v>139</v>
          </cell>
          <cell r="L64">
            <v>50040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126218</v>
          </cell>
          <cell r="V64">
            <v>219324</v>
          </cell>
          <cell r="W64">
            <v>126218</v>
          </cell>
        </row>
        <row r="65">
          <cell r="E65">
            <v>776</v>
          </cell>
          <cell r="G65">
            <v>61304</v>
          </cell>
          <cell r="J65">
            <v>315</v>
          </cell>
          <cell r="L65">
            <v>113400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220704</v>
          </cell>
          <cell r="V65">
            <v>126218</v>
          </cell>
          <cell r="W65">
            <v>220704</v>
          </cell>
        </row>
        <row r="66">
          <cell r="E66">
            <v>361</v>
          </cell>
          <cell r="G66">
            <v>28519</v>
          </cell>
          <cell r="J66">
            <v>211</v>
          </cell>
          <cell r="L66">
            <v>75960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150479</v>
          </cell>
          <cell r="V66">
            <v>0</v>
          </cell>
          <cell r="W66">
            <v>371183</v>
          </cell>
        </row>
        <row r="67">
          <cell r="E67">
            <v>891</v>
          </cell>
          <cell r="G67">
            <v>77517</v>
          </cell>
          <cell r="J67">
            <v>460</v>
          </cell>
          <cell r="L67">
            <v>165600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289117</v>
          </cell>
          <cell r="V67">
            <v>373183</v>
          </cell>
          <cell r="W67">
            <v>287117</v>
          </cell>
        </row>
        <row r="68">
          <cell r="E68">
            <v>361</v>
          </cell>
          <cell r="G68">
            <v>31407</v>
          </cell>
          <cell r="J68">
            <v>196</v>
          </cell>
          <cell r="L68">
            <v>70560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147967</v>
          </cell>
          <cell r="V68">
            <v>0</v>
          </cell>
          <cell r="W68">
            <v>435084</v>
          </cell>
        </row>
        <row r="69">
          <cell r="E69">
            <v>467</v>
          </cell>
          <cell r="G69">
            <v>51837</v>
          </cell>
          <cell r="J69">
            <v>296</v>
          </cell>
          <cell r="L69">
            <v>106560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204397</v>
          </cell>
          <cell r="V69">
            <v>287117</v>
          </cell>
          <cell r="W69">
            <v>352364</v>
          </cell>
        </row>
        <row r="70">
          <cell r="E70">
            <v>634</v>
          </cell>
          <cell r="G70">
            <v>78616</v>
          </cell>
          <cell r="J70">
            <v>207</v>
          </cell>
          <cell r="L70">
            <v>74520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199136</v>
          </cell>
          <cell r="V70">
            <v>352364</v>
          </cell>
          <cell r="W70">
            <v>199136</v>
          </cell>
        </row>
        <row r="71">
          <cell r="E71">
            <v>284</v>
          </cell>
          <cell r="G71">
            <v>27832</v>
          </cell>
          <cell r="J71">
            <v>24</v>
          </cell>
          <cell r="L71">
            <v>8640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82472</v>
          </cell>
          <cell r="V71">
            <v>0</v>
          </cell>
          <cell r="W71">
            <v>281608</v>
          </cell>
        </row>
        <row r="72">
          <cell r="E72">
            <v>341</v>
          </cell>
          <cell r="G72">
            <v>35464</v>
          </cell>
          <cell r="J72">
            <v>16</v>
          </cell>
          <cell r="L72">
            <v>5760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87224</v>
          </cell>
          <cell r="V72">
            <v>281608</v>
          </cell>
          <cell r="W72">
            <v>87224</v>
          </cell>
        </row>
        <row r="73">
          <cell r="E73">
            <v>421</v>
          </cell>
          <cell r="G73">
            <v>47152</v>
          </cell>
          <cell r="J73">
            <v>12</v>
          </cell>
          <cell r="L73">
            <v>4320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97472</v>
          </cell>
          <cell r="V73">
            <v>87224</v>
          </cell>
          <cell r="W73">
            <v>97472</v>
          </cell>
        </row>
        <row r="74">
          <cell r="E74">
            <v>199</v>
          </cell>
          <cell r="G74">
            <v>21293</v>
          </cell>
          <cell r="J74">
            <v>2</v>
          </cell>
          <cell r="L74">
            <v>720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68013</v>
          </cell>
          <cell r="V74">
            <v>0</v>
          </cell>
          <cell r="W74">
            <v>165485</v>
          </cell>
        </row>
        <row r="75">
          <cell r="E75">
            <v>400</v>
          </cell>
          <cell r="G75">
            <v>44000</v>
          </cell>
          <cell r="J75">
            <v>37</v>
          </cell>
          <cell r="L75">
            <v>13320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103320</v>
          </cell>
          <cell r="V75">
            <v>165485</v>
          </cell>
          <cell r="W75">
            <v>103320</v>
          </cell>
        </row>
        <row r="76">
          <cell r="E76">
            <v>407</v>
          </cell>
          <cell r="G76">
            <v>51282</v>
          </cell>
          <cell r="J76">
            <v>274</v>
          </cell>
          <cell r="L76">
            <v>98640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195922</v>
          </cell>
          <cell r="V76">
            <v>299242</v>
          </cell>
          <cell r="W76">
            <v>0</v>
          </cell>
        </row>
        <row r="77">
          <cell r="E77">
            <v>593</v>
          </cell>
          <cell r="G77">
            <v>70567</v>
          </cell>
          <cell r="J77">
            <v>167</v>
          </cell>
          <cell r="L77">
            <v>60120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176687</v>
          </cell>
          <cell r="V77">
            <v>0</v>
          </cell>
          <cell r="W77">
            <v>176687</v>
          </cell>
        </row>
        <row r="78">
          <cell r="E78">
            <v>830</v>
          </cell>
          <cell r="G78">
            <v>89640</v>
          </cell>
          <cell r="J78">
            <v>400</v>
          </cell>
          <cell r="L78">
            <v>144000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279640</v>
          </cell>
          <cell r="V78">
            <v>176687</v>
          </cell>
          <cell r="W78">
            <v>279640</v>
          </cell>
        </row>
        <row r="79">
          <cell r="E79">
            <v>493</v>
          </cell>
          <cell r="G79">
            <v>61132</v>
          </cell>
          <cell r="J79">
            <v>228</v>
          </cell>
          <cell r="L79">
            <v>82080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189212</v>
          </cell>
          <cell r="V79">
            <v>0</v>
          </cell>
          <cell r="W79">
            <v>468852</v>
          </cell>
        </row>
        <row r="80">
          <cell r="E80">
            <v>773</v>
          </cell>
          <cell r="G80">
            <v>100490</v>
          </cell>
          <cell r="J80">
            <v>216</v>
          </cell>
          <cell r="L80">
            <v>126360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272850</v>
          </cell>
          <cell r="V80">
            <v>480852</v>
          </cell>
          <cell r="W80">
            <v>260850</v>
          </cell>
        </row>
        <row r="81">
          <cell r="E81">
            <v>778</v>
          </cell>
          <cell r="G81">
            <v>101140</v>
          </cell>
          <cell r="J81">
            <v>297</v>
          </cell>
          <cell r="L81">
            <v>160380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307520</v>
          </cell>
          <cell r="V81">
            <v>272850</v>
          </cell>
          <cell r="W81">
            <v>295520</v>
          </cell>
        </row>
        <row r="82">
          <cell r="E82">
            <v>481</v>
          </cell>
          <cell r="G82">
            <v>67340</v>
          </cell>
          <cell r="J82">
            <v>144</v>
          </cell>
          <cell r="L82">
            <v>51840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169180</v>
          </cell>
          <cell r="V82">
            <v>295520</v>
          </cell>
          <cell r="W82">
            <v>169180</v>
          </cell>
        </row>
        <row r="83">
          <cell r="E83">
            <v>455</v>
          </cell>
          <cell r="G83">
            <v>66430</v>
          </cell>
          <cell r="J83">
            <v>62</v>
          </cell>
          <cell r="L83">
            <v>22320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46000</v>
          </cell>
          <cell r="R83">
            <v>0</v>
          </cell>
          <cell r="S83">
            <v>138750</v>
          </cell>
          <cell r="V83">
            <v>169180</v>
          </cell>
          <cell r="W83">
            <v>138750</v>
          </cell>
        </row>
        <row r="84">
          <cell r="E84">
            <v>446</v>
          </cell>
          <cell r="G84">
            <v>65116</v>
          </cell>
          <cell r="J84">
            <v>55</v>
          </cell>
          <cell r="L84">
            <v>19800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46000</v>
          </cell>
          <cell r="R84">
            <v>0</v>
          </cell>
          <cell r="S84">
            <v>134916</v>
          </cell>
          <cell r="V84">
            <v>138750</v>
          </cell>
          <cell r="W84">
            <v>134916</v>
          </cell>
        </row>
        <row r="85">
          <cell r="E85">
            <v>180</v>
          </cell>
          <cell r="G85">
            <v>26280</v>
          </cell>
          <cell r="J85">
            <v>12</v>
          </cell>
          <cell r="L85">
            <v>4320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90600</v>
          </cell>
          <cell r="V85">
            <v>134916</v>
          </cell>
          <cell r="W85">
            <v>90600</v>
          </cell>
        </row>
        <row r="86">
          <cell r="E86">
            <v>115</v>
          </cell>
          <cell r="G86">
            <v>16790</v>
          </cell>
          <cell r="J86">
            <v>8</v>
          </cell>
          <cell r="L86">
            <v>2880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56000</v>
          </cell>
          <cell r="R86">
            <v>0</v>
          </cell>
          <cell r="S86">
            <v>69670</v>
          </cell>
          <cell r="V86">
            <v>90600</v>
          </cell>
          <cell r="W86">
            <v>69670</v>
          </cell>
        </row>
        <row r="87">
          <cell r="E87">
            <v>144</v>
          </cell>
          <cell r="G87">
            <v>21024</v>
          </cell>
          <cell r="J87">
            <v>7</v>
          </cell>
          <cell r="L87">
            <v>2520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46000</v>
          </cell>
          <cell r="R87">
            <v>0</v>
          </cell>
          <cell r="S87">
            <v>73544</v>
          </cell>
          <cell r="V87">
            <v>143214</v>
          </cell>
          <cell r="W87">
            <v>0</v>
          </cell>
        </row>
        <row r="88">
          <cell r="E88">
            <v>164</v>
          </cell>
          <cell r="G88">
            <v>23944</v>
          </cell>
          <cell r="J88">
            <v>157</v>
          </cell>
          <cell r="L88">
            <v>58320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46000</v>
          </cell>
          <cell r="R88">
            <v>0</v>
          </cell>
          <cell r="S88">
            <v>132264</v>
          </cell>
          <cell r="V88">
            <v>0</v>
          </cell>
          <cell r="W88">
            <v>132264</v>
          </cell>
        </row>
        <row r="89">
          <cell r="E89">
            <v>351</v>
          </cell>
          <cell r="G89">
            <v>51246</v>
          </cell>
          <cell r="J89">
            <v>79</v>
          </cell>
          <cell r="L89">
            <v>28440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46000</v>
          </cell>
          <cell r="R89">
            <v>0</v>
          </cell>
          <cell r="S89">
            <v>129686</v>
          </cell>
          <cell r="V89">
            <v>261950</v>
          </cell>
          <cell r="W89">
            <v>0</v>
          </cell>
        </row>
        <row r="90">
          <cell r="E90">
            <v>678</v>
          </cell>
          <cell r="G90">
            <v>98988</v>
          </cell>
          <cell r="J90">
            <v>333</v>
          </cell>
          <cell r="L90">
            <v>188640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46000</v>
          </cell>
          <cell r="R90">
            <v>0</v>
          </cell>
          <cell r="S90">
            <v>337628</v>
          </cell>
          <cell r="V90">
            <v>337628</v>
          </cell>
          <cell r="W90">
            <v>0</v>
          </cell>
        </row>
        <row r="91">
          <cell r="E91">
            <v>418</v>
          </cell>
          <cell r="G91">
            <v>61028</v>
          </cell>
          <cell r="J91">
            <v>125</v>
          </cell>
          <cell r="L91">
            <v>45000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55000</v>
          </cell>
          <cell r="R91">
            <v>0</v>
          </cell>
          <cell r="S91">
            <v>175028</v>
          </cell>
          <cell r="V91">
            <v>0</v>
          </cell>
          <cell r="W91">
            <v>175028</v>
          </cell>
        </row>
        <row r="92">
          <cell r="E92">
            <v>560</v>
          </cell>
          <cell r="G92">
            <v>81760</v>
          </cell>
          <cell r="J92">
            <v>174</v>
          </cell>
          <cell r="L92">
            <v>66960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55000</v>
          </cell>
          <cell r="R92">
            <v>0</v>
          </cell>
          <cell r="S92">
            <v>217720</v>
          </cell>
          <cell r="V92">
            <v>392748</v>
          </cell>
          <cell r="W92">
            <v>0</v>
          </cell>
        </row>
        <row r="93">
          <cell r="E93">
            <v>143</v>
          </cell>
          <cell r="G93">
            <v>20878</v>
          </cell>
          <cell r="J93">
            <v>145</v>
          </cell>
          <cell r="L93">
            <v>52200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55000</v>
          </cell>
          <cell r="R93">
            <v>0</v>
          </cell>
          <cell r="S93">
            <v>142078</v>
          </cell>
          <cell r="V93">
            <v>142078</v>
          </cell>
          <cell r="W93">
            <v>0</v>
          </cell>
        </row>
        <row r="94">
          <cell r="E94">
            <v>42</v>
          </cell>
          <cell r="G94">
            <v>6132</v>
          </cell>
          <cell r="J94">
            <v>45</v>
          </cell>
          <cell r="L94">
            <v>16200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55000</v>
          </cell>
          <cell r="R94">
            <v>0</v>
          </cell>
          <cell r="S94">
            <v>91332</v>
          </cell>
          <cell r="V94">
            <v>0</v>
          </cell>
          <cell r="W94">
            <v>91332</v>
          </cell>
        </row>
        <row r="95">
          <cell r="E95">
            <v>37</v>
          </cell>
          <cell r="G95">
            <v>5402</v>
          </cell>
          <cell r="J95">
            <v>9</v>
          </cell>
          <cell r="L95">
            <v>3240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55000</v>
          </cell>
          <cell r="R95">
            <v>0</v>
          </cell>
          <cell r="S95">
            <v>77642</v>
          </cell>
          <cell r="V95">
            <v>0</v>
          </cell>
          <cell r="W95">
            <v>168974</v>
          </cell>
        </row>
        <row r="96">
          <cell r="E96">
            <v>35</v>
          </cell>
          <cell r="G96">
            <v>5110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55000</v>
          </cell>
          <cell r="R96">
            <v>0</v>
          </cell>
          <cell r="S96">
            <v>64110</v>
          </cell>
          <cell r="V96">
            <v>233084</v>
          </cell>
          <cell r="W96">
            <v>0</v>
          </cell>
        </row>
        <row r="97">
          <cell r="E97">
            <v>68</v>
          </cell>
          <cell r="G97">
            <v>9928</v>
          </cell>
          <cell r="J97">
            <v>1</v>
          </cell>
          <cell r="L97">
            <v>360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55000</v>
          </cell>
          <cell r="R97">
            <v>0</v>
          </cell>
          <cell r="S97">
            <v>69288</v>
          </cell>
          <cell r="V97">
            <v>0</v>
          </cell>
          <cell r="W97">
            <v>69288</v>
          </cell>
        </row>
        <row r="98">
          <cell r="E98">
            <v>57</v>
          </cell>
          <cell r="G98">
            <v>8322</v>
          </cell>
          <cell r="J98">
            <v>1</v>
          </cell>
          <cell r="L98">
            <v>360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55000</v>
          </cell>
          <cell r="R98">
            <v>0</v>
          </cell>
          <cell r="S98">
            <v>67682</v>
          </cell>
          <cell r="V98">
            <v>136970</v>
          </cell>
          <cell r="W98">
            <v>0</v>
          </cell>
        </row>
        <row r="99">
          <cell r="E99">
            <v>189</v>
          </cell>
          <cell r="G99">
            <v>27594</v>
          </cell>
          <cell r="J99">
            <v>72</v>
          </cell>
          <cell r="L99">
            <v>25920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55000</v>
          </cell>
          <cell r="R99">
            <v>0</v>
          </cell>
          <cell r="S99">
            <v>112514</v>
          </cell>
          <cell r="V99">
            <v>0</v>
          </cell>
          <cell r="W99">
            <v>112514</v>
          </cell>
        </row>
        <row r="100">
          <cell r="E100">
            <v>50</v>
          </cell>
          <cell r="G100">
            <v>7300</v>
          </cell>
          <cell r="J100">
            <v>108</v>
          </cell>
          <cell r="L100">
            <v>38880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55000</v>
          </cell>
          <cell r="R100">
            <v>0</v>
          </cell>
          <cell r="S100">
            <v>105180</v>
          </cell>
          <cell r="V100">
            <v>217694</v>
          </cell>
          <cell r="W100">
            <v>0</v>
          </cell>
        </row>
        <row r="101">
          <cell r="E101">
            <v>67</v>
          </cell>
          <cell r="G101">
            <v>9782</v>
          </cell>
          <cell r="J101">
            <v>228</v>
          </cell>
          <cell r="L101">
            <v>101160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55000</v>
          </cell>
          <cell r="R101">
            <v>0</v>
          </cell>
          <cell r="S101">
            <v>169942</v>
          </cell>
          <cell r="V101">
            <v>169942</v>
          </cell>
          <cell r="W101">
            <v>0</v>
          </cell>
        </row>
        <row r="102">
          <cell r="E102">
            <v>109</v>
          </cell>
          <cell r="G102">
            <v>15914</v>
          </cell>
          <cell r="J102">
            <v>311</v>
          </cell>
          <cell r="L102">
            <v>164880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55000</v>
          </cell>
          <cell r="R102">
            <v>0</v>
          </cell>
          <cell r="S102">
            <v>239794</v>
          </cell>
          <cell r="V102">
            <v>239794</v>
          </cell>
          <cell r="W102">
            <v>0</v>
          </cell>
        </row>
        <row r="103">
          <cell r="E103">
            <v>67</v>
          </cell>
          <cell r="G103">
            <v>9782</v>
          </cell>
          <cell r="J103">
            <v>312</v>
          </cell>
          <cell r="L103">
            <v>165960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56650</v>
          </cell>
          <cell r="R103">
            <v>47618</v>
          </cell>
          <cell r="S103">
            <v>284010</v>
          </cell>
          <cell r="V103">
            <v>284010</v>
          </cell>
          <cell r="W103">
            <v>0</v>
          </cell>
        </row>
        <row r="104">
          <cell r="E104">
            <v>159</v>
          </cell>
          <cell r="G104">
            <v>23214</v>
          </cell>
          <cell r="J104">
            <v>293</v>
          </cell>
          <cell r="L104">
            <v>147960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56650</v>
          </cell>
          <cell r="R104">
            <v>0</v>
          </cell>
          <cell r="S104">
            <v>231824</v>
          </cell>
          <cell r="V104">
            <v>231824</v>
          </cell>
          <cell r="W104">
            <v>0</v>
          </cell>
        </row>
        <row r="105">
          <cell r="E105">
            <v>75</v>
          </cell>
          <cell r="G105">
            <v>10950</v>
          </cell>
          <cell r="J105">
            <v>192</v>
          </cell>
          <cell r="L105">
            <v>76680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56650</v>
          </cell>
          <cell r="R105">
            <v>0</v>
          </cell>
          <cell r="S105">
            <v>148280</v>
          </cell>
          <cell r="V105">
            <v>0</v>
          </cell>
          <cell r="W105">
            <v>148280</v>
          </cell>
        </row>
        <row r="106">
          <cell r="E106">
            <v>100</v>
          </cell>
          <cell r="G106">
            <v>14600</v>
          </cell>
          <cell r="J106">
            <v>146</v>
          </cell>
          <cell r="L106">
            <v>52560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56650</v>
          </cell>
          <cell r="R106">
            <v>0</v>
          </cell>
          <cell r="S106">
            <v>127810</v>
          </cell>
          <cell r="V106">
            <v>276090</v>
          </cell>
          <cell r="W106">
            <v>0</v>
          </cell>
        </row>
        <row r="107">
          <cell r="E107">
            <v>54</v>
          </cell>
          <cell r="G107">
            <v>7884</v>
          </cell>
          <cell r="J107">
            <v>10</v>
          </cell>
          <cell r="L107">
            <v>3600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56650</v>
          </cell>
          <cell r="R107">
            <v>0</v>
          </cell>
          <cell r="S107">
            <v>72134</v>
          </cell>
          <cell r="V107">
            <v>72134</v>
          </cell>
          <cell r="W107">
            <v>0</v>
          </cell>
        </row>
        <row r="108">
          <cell r="E108">
            <v>67</v>
          </cell>
          <cell r="G108">
            <v>9782</v>
          </cell>
          <cell r="J108">
            <v>17</v>
          </cell>
          <cell r="L108">
            <v>6120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56650</v>
          </cell>
          <cell r="R108">
            <v>0</v>
          </cell>
          <cell r="S108">
            <v>76552</v>
          </cell>
          <cell r="V108">
            <v>76552</v>
          </cell>
          <cell r="W108">
            <v>0</v>
          </cell>
        </row>
        <row r="109">
          <cell r="E109">
            <v>226</v>
          </cell>
          <cell r="G109">
            <v>32996</v>
          </cell>
          <cell r="J109">
            <v>12</v>
          </cell>
          <cell r="L109">
            <v>4320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56650</v>
          </cell>
          <cell r="R109">
            <v>0</v>
          </cell>
          <cell r="S109">
            <v>97966</v>
          </cell>
          <cell r="V109">
            <v>98000</v>
          </cell>
          <cell r="W109">
            <v>-34</v>
          </cell>
        </row>
        <row r="110">
          <cell r="E110">
            <v>246</v>
          </cell>
          <cell r="G110">
            <v>35916</v>
          </cell>
          <cell r="J110">
            <v>15</v>
          </cell>
          <cell r="L110">
            <v>5400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56650</v>
          </cell>
          <cell r="R110">
            <v>0</v>
          </cell>
          <cell r="S110">
            <v>101966</v>
          </cell>
          <cell r="V110">
            <v>102000</v>
          </cell>
          <cell r="W110">
            <v>-68</v>
          </cell>
        </row>
        <row r="111">
          <cell r="E111">
            <v>229</v>
          </cell>
          <cell r="G111">
            <v>33434</v>
          </cell>
          <cell r="J111">
            <v>39</v>
          </cell>
          <cell r="L111">
            <v>14040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56650</v>
          </cell>
          <cell r="R111">
            <v>0</v>
          </cell>
          <cell r="S111">
            <v>108124</v>
          </cell>
          <cell r="V111">
            <v>105000</v>
          </cell>
          <cell r="W111">
            <v>3056</v>
          </cell>
        </row>
        <row r="112">
          <cell r="E112">
            <v>141</v>
          </cell>
          <cell r="G112">
            <v>20586</v>
          </cell>
          <cell r="J112">
            <v>93</v>
          </cell>
          <cell r="L112">
            <v>33480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56650</v>
          </cell>
          <cell r="R112">
            <v>0</v>
          </cell>
          <cell r="S112">
            <v>114716</v>
          </cell>
          <cell r="V112">
            <v>120000</v>
          </cell>
          <cell r="W112">
            <v>-2228</v>
          </cell>
        </row>
        <row r="113">
          <cell r="E113">
            <v>195</v>
          </cell>
          <cell r="G113">
            <v>28470</v>
          </cell>
          <cell r="J113">
            <v>304</v>
          </cell>
          <cell r="L113">
            <v>157320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56650</v>
          </cell>
          <cell r="R113">
            <v>0</v>
          </cell>
          <cell r="S113">
            <v>246440</v>
          </cell>
          <cell r="V113">
            <v>245000</v>
          </cell>
          <cell r="W113">
            <v>-788</v>
          </cell>
        </row>
        <row r="114">
          <cell r="E114">
            <v>248</v>
          </cell>
          <cell r="G114">
            <v>36208</v>
          </cell>
          <cell r="J114">
            <v>402</v>
          </cell>
          <cell r="L114">
            <v>263160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56650</v>
          </cell>
          <cell r="R114">
            <v>0</v>
          </cell>
          <cell r="S114">
            <v>360018</v>
          </cell>
          <cell r="V114">
            <v>360000</v>
          </cell>
          <cell r="W114">
            <v>-770</v>
          </cell>
        </row>
        <row r="115">
          <cell r="E115">
            <v>462</v>
          </cell>
          <cell r="G115">
            <v>67452</v>
          </cell>
          <cell r="J115">
            <v>390</v>
          </cell>
          <cell r="L115">
            <v>250200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58859</v>
          </cell>
          <cell r="R115">
            <v>0</v>
          </cell>
          <cell r="S115">
            <v>380511</v>
          </cell>
          <cell r="V115">
            <v>381000</v>
          </cell>
          <cell r="W115">
            <v>-1259</v>
          </cell>
        </row>
        <row r="116">
          <cell r="E116">
            <v>431</v>
          </cell>
          <cell r="G116">
            <v>62926</v>
          </cell>
          <cell r="J116">
            <v>307</v>
          </cell>
          <cell r="L116">
            <v>160560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58859</v>
          </cell>
          <cell r="R116">
            <v>0</v>
          </cell>
          <cell r="S116">
            <v>286345</v>
          </cell>
          <cell r="V116">
            <v>286500</v>
          </cell>
          <cell r="W116">
            <v>-1414</v>
          </cell>
        </row>
        <row r="117">
          <cell r="E117">
            <v>360</v>
          </cell>
          <cell r="G117">
            <v>52560</v>
          </cell>
          <cell r="J117">
            <v>211</v>
          </cell>
          <cell r="L117">
            <v>88920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58859</v>
          </cell>
          <cell r="R117">
            <v>0</v>
          </cell>
          <cell r="S117">
            <v>204339</v>
          </cell>
          <cell r="V117">
            <v>204500</v>
          </cell>
          <cell r="W117">
            <v>-1575</v>
          </cell>
        </row>
        <row r="118">
          <cell r="E118">
            <v>243</v>
          </cell>
          <cell r="G118">
            <v>35478</v>
          </cell>
          <cell r="J118">
            <v>104</v>
          </cell>
          <cell r="L118">
            <v>37440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58859</v>
          </cell>
          <cell r="R118">
            <v>0</v>
          </cell>
          <cell r="S118">
            <v>135777</v>
          </cell>
          <cell r="V118">
            <v>134500</v>
          </cell>
          <cell r="W118">
            <v>-298</v>
          </cell>
        </row>
        <row r="119">
          <cell r="E119">
            <v>636</v>
          </cell>
          <cell r="G119">
            <v>92856</v>
          </cell>
          <cell r="J119">
            <v>189</v>
          </cell>
          <cell r="L119">
            <v>75060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58859</v>
          </cell>
          <cell r="R119">
            <v>0</v>
          </cell>
          <cell r="S119">
            <v>230775</v>
          </cell>
          <cell r="V119">
            <v>230500</v>
          </cell>
          <cell r="W119">
            <v>-23</v>
          </cell>
        </row>
        <row r="120">
          <cell r="E120">
            <v>307</v>
          </cell>
          <cell r="G120">
            <v>44822</v>
          </cell>
          <cell r="J120">
            <v>5</v>
          </cell>
          <cell r="L120">
            <v>1800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58859</v>
          </cell>
          <cell r="R120">
            <v>0</v>
          </cell>
          <cell r="S120">
            <v>109481</v>
          </cell>
          <cell r="V120">
            <v>110000</v>
          </cell>
          <cell r="W120">
            <v>-542</v>
          </cell>
        </row>
        <row r="121">
          <cell r="E121">
            <v>280</v>
          </cell>
          <cell r="G121">
            <v>40880</v>
          </cell>
          <cell r="J121">
            <v>11</v>
          </cell>
          <cell r="L121">
            <v>3960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58859</v>
          </cell>
          <cell r="R121">
            <v>0</v>
          </cell>
          <cell r="S121">
            <v>107699</v>
          </cell>
          <cell r="V121">
            <v>110000</v>
          </cell>
          <cell r="W121">
            <v>-2843</v>
          </cell>
        </row>
        <row r="122">
          <cell r="E122">
            <v>312</v>
          </cell>
          <cell r="G122">
            <v>45552</v>
          </cell>
          <cell r="J122">
            <v>5</v>
          </cell>
          <cell r="L122">
            <v>1800</v>
          </cell>
          <cell r="M122">
            <v>0</v>
          </cell>
          <cell r="N122">
            <v>0</v>
          </cell>
          <cell r="O122">
            <v>0</v>
          </cell>
          <cell r="P122">
            <v>10000</v>
          </cell>
          <cell r="Q122">
            <v>58859</v>
          </cell>
          <cell r="R122">
            <v>0</v>
          </cell>
          <cell r="S122">
            <v>116211</v>
          </cell>
          <cell r="V122">
            <v>116000</v>
          </cell>
          <cell r="W122">
            <v>-2632</v>
          </cell>
        </row>
        <row r="123">
          <cell r="E123">
            <v>342</v>
          </cell>
          <cell r="G123">
            <v>49932</v>
          </cell>
          <cell r="J123">
            <v>51</v>
          </cell>
          <cell r="L123">
            <v>18360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137151</v>
          </cell>
          <cell r="V123">
            <v>138000</v>
          </cell>
          <cell r="W123">
            <v>-3481</v>
          </cell>
        </row>
        <row r="124">
          <cell r="E124">
            <v>353</v>
          </cell>
          <cell r="G124">
            <v>51538</v>
          </cell>
          <cell r="J124">
            <v>63</v>
          </cell>
          <cell r="L124">
            <v>22680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143077</v>
          </cell>
          <cell r="V124">
            <v>145000</v>
          </cell>
          <cell r="W124">
            <v>-5404</v>
          </cell>
        </row>
        <row r="125">
          <cell r="E125">
            <v>392</v>
          </cell>
          <cell r="G125">
            <v>57232</v>
          </cell>
          <cell r="J125">
            <v>161</v>
          </cell>
          <cell r="L125">
            <v>59940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186031</v>
          </cell>
          <cell r="V125">
            <v>186000</v>
          </cell>
          <cell r="W125">
            <v>-5373</v>
          </cell>
        </row>
        <row r="126">
          <cell r="E126">
            <v>346</v>
          </cell>
          <cell r="G126">
            <v>50516</v>
          </cell>
          <cell r="J126">
            <v>200</v>
          </cell>
          <cell r="L126">
            <v>81000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200375</v>
          </cell>
          <cell r="V126">
            <v>196000</v>
          </cell>
          <cell r="W126">
            <v>-998</v>
          </cell>
        </row>
        <row r="127">
          <cell r="E127">
            <v>459</v>
          </cell>
          <cell r="G127">
            <v>67014</v>
          </cell>
          <cell r="J127">
            <v>237</v>
          </cell>
          <cell r="L127">
            <v>107640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244388</v>
          </cell>
          <cell r="V127">
            <v>245000</v>
          </cell>
          <cell r="W127">
            <v>-1610</v>
          </cell>
        </row>
        <row r="128">
          <cell r="E128">
            <v>409</v>
          </cell>
          <cell r="G128">
            <v>59714</v>
          </cell>
          <cell r="J128">
            <v>219</v>
          </cell>
          <cell r="L128">
            <v>94680</v>
          </cell>
          <cell r="M128">
            <v>0</v>
          </cell>
          <cell r="N128">
            <v>12288</v>
          </cell>
          <cell r="O128">
            <v>0</v>
          </cell>
          <cell r="P128">
            <v>10000</v>
          </cell>
          <cell r="Q128">
            <v>59734</v>
          </cell>
          <cell r="R128">
            <v>0</v>
          </cell>
          <cell r="S128">
            <v>236416</v>
          </cell>
          <cell r="V128">
            <v>235000</v>
          </cell>
          <cell r="W128">
            <v>-194</v>
          </cell>
        </row>
        <row r="129">
          <cell r="E129">
            <v>341</v>
          </cell>
          <cell r="G129">
            <v>49786</v>
          </cell>
          <cell r="J129">
            <v>157</v>
          </cell>
          <cell r="L129">
            <v>57780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177300</v>
          </cell>
          <cell r="V129">
            <v>180000</v>
          </cell>
          <cell r="W129">
            <v>-2894</v>
          </cell>
        </row>
        <row r="130">
          <cell r="E130">
            <v>205</v>
          </cell>
          <cell r="G130">
            <v>29930</v>
          </cell>
          <cell r="J130">
            <v>203</v>
          </cell>
          <cell r="L130">
            <v>83160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182824</v>
          </cell>
          <cell r="V130">
            <v>0</v>
          </cell>
          <cell r="W130">
            <v>179930</v>
          </cell>
        </row>
        <row r="131">
          <cell r="E131">
            <v>225</v>
          </cell>
          <cell r="G131">
            <v>32850</v>
          </cell>
          <cell r="J131">
            <v>95</v>
          </cell>
          <cell r="L131">
            <v>34200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31671</v>
          </cell>
          <cell r="S131">
            <v>168455</v>
          </cell>
          <cell r="V131">
            <v>350000</v>
          </cell>
          <cell r="W131">
            <v>-1615</v>
          </cell>
        </row>
        <row r="132">
          <cell r="E132">
            <v>208</v>
          </cell>
          <cell r="G132">
            <v>30368</v>
          </cell>
          <cell r="J132">
            <v>26</v>
          </cell>
          <cell r="L132">
            <v>9360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109462</v>
          </cell>
          <cell r="V132">
            <v>110000</v>
          </cell>
          <cell r="W132">
            <v>-2153</v>
          </cell>
        </row>
        <row r="133">
          <cell r="E133">
            <v>218</v>
          </cell>
          <cell r="G133">
            <v>31828</v>
          </cell>
          <cell r="J133">
            <v>12</v>
          </cell>
          <cell r="L133">
            <v>4320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105882</v>
          </cell>
          <cell r="V133">
            <v>110000</v>
          </cell>
          <cell r="W133">
            <v>-6271</v>
          </cell>
        </row>
        <row r="134">
          <cell r="E134">
            <v>176</v>
          </cell>
          <cell r="G134">
            <v>25696</v>
          </cell>
          <cell r="J134">
            <v>41</v>
          </cell>
          <cell r="L134">
            <v>14760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110190</v>
          </cell>
          <cell r="V134">
            <v>105000</v>
          </cell>
          <cell r="W134">
            <v>-1081</v>
          </cell>
        </row>
        <row r="135">
          <cell r="E135">
            <v>245</v>
          </cell>
          <cell r="G135">
            <v>35770</v>
          </cell>
          <cell r="J135">
            <v>67</v>
          </cell>
          <cell r="L135">
            <v>24120</v>
          </cell>
          <cell r="M135">
            <v>0</v>
          </cell>
          <cell r="N135">
            <v>0</v>
          </cell>
          <cell r="O135">
            <v>0</v>
          </cell>
          <cell r="P135">
            <v>10000</v>
          </cell>
          <cell r="Q135">
            <v>59734</v>
          </cell>
          <cell r="R135">
            <v>0</v>
          </cell>
          <cell r="S135">
            <v>129624</v>
          </cell>
          <cell r="V135">
            <v>130000</v>
          </cell>
          <cell r="W135">
            <v>-1457</v>
          </cell>
        </row>
        <row r="136">
          <cell r="E136">
            <v>289</v>
          </cell>
          <cell r="G136">
            <v>42194</v>
          </cell>
          <cell r="J136">
            <v>189</v>
          </cell>
          <cell r="L136">
            <v>75060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186988</v>
          </cell>
          <cell r="V136">
            <v>186000</v>
          </cell>
          <cell r="W136">
            <v>-469</v>
          </cell>
        </row>
        <row r="137">
          <cell r="E137">
            <v>272</v>
          </cell>
          <cell r="G137">
            <v>39712</v>
          </cell>
          <cell r="J137">
            <v>216</v>
          </cell>
          <cell r="L137">
            <v>92520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201966</v>
          </cell>
          <cell r="V137">
            <v>202000</v>
          </cell>
          <cell r="W137">
            <v>-503</v>
          </cell>
        </row>
        <row r="138">
          <cell r="E138">
            <v>250</v>
          </cell>
          <cell r="G138">
            <v>36500</v>
          </cell>
          <cell r="J138">
            <v>276</v>
          </cell>
          <cell r="L138">
            <v>135720</v>
          </cell>
          <cell r="M138">
            <v>0</v>
          </cell>
          <cell r="N138">
            <v>20000</v>
          </cell>
          <cell r="O138">
            <v>0</v>
          </cell>
          <cell r="P138">
            <v>10000</v>
          </cell>
          <cell r="Q138">
            <v>59734</v>
          </cell>
          <cell r="R138">
            <v>0</v>
          </cell>
          <cell r="S138">
            <v>261954</v>
          </cell>
          <cell r="V138">
            <v>262000</v>
          </cell>
          <cell r="W138">
            <v>-549</v>
          </cell>
        </row>
        <row r="139">
          <cell r="E139">
            <v>408</v>
          </cell>
          <cell r="G139">
            <v>59568</v>
          </cell>
          <cell r="J139">
            <v>282</v>
          </cell>
          <cell r="L139">
            <v>290520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426624</v>
          </cell>
          <cell r="V139">
            <v>430000</v>
          </cell>
          <cell r="W139">
            <v>-3925</v>
          </cell>
        </row>
        <row r="140">
          <cell r="E140">
            <v>375</v>
          </cell>
          <cell r="G140">
            <v>54750</v>
          </cell>
          <cell r="J140">
            <v>183</v>
          </cell>
          <cell r="L140">
            <v>95040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226326</v>
          </cell>
          <cell r="V140">
            <v>231000</v>
          </cell>
          <cell r="W140">
            <v>-8599</v>
          </cell>
        </row>
        <row r="141">
          <cell r="E141">
            <v>355</v>
          </cell>
          <cell r="G141">
            <v>51830</v>
          </cell>
          <cell r="J141">
            <v>174</v>
          </cell>
          <cell r="L141">
            <v>85320</v>
          </cell>
          <cell r="M141">
            <v>0</v>
          </cell>
          <cell r="N141">
            <v>5000</v>
          </cell>
          <cell r="O141">
            <v>16541</v>
          </cell>
          <cell r="P141">
            <v>10000</v>
          </cell>
          <cell r="Q141">
            <v>61536</v>
          </cell>
          <cell r="R141">
            <v>0</v>
          </cell>
          <cell r="S141">
            <v>230227</v>
          </cell>
          <cell r="V141">
            <v>225000</v>
          </cell>
          <cell r="W141">
            <v>-3372</v>
          </cell>
        </row>
        <row r="142">
          <cell r="E142">
            <v>507</v>
          </cell>
          <cell r="G142">
            <v>74022</v>
          </cell>
          <cell r="J142">
            <v>119</v>
          </cell>
          <cell r="L142">
            <v>42840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193398</v>
          </cell>
          <cell r="V142">
            <v>191000</v>
          </cell>
          <cell r="W142">
            <v>-974</v>
          </cell>
        </row>
        <row r="143">
          <cell r="E143">
            <v>355</v>
          </cell>
          <cell r="G143">
            <v>51830</v>
          </cell>
          <cell r="J143">
            <v>57</v>
          </cell>
          <cell r="L143">
            <v>20520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148886</v>
          </cell>
          <cell r="V143">
            <v>150000</v>
          </cell>
          <cell r="W143">
            <v>-2088</v>
          </cell>
        </row>
        <row r="144">
          <cell r="E144">
            <v>267</v>
          </cell>
          <cell r="G144">
            <v>38982</v>
          </cell>
          <cell r="J144">
            <v>3</v>
          </cell>
          <cell r="L144">
            <v>1080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116598</v>
          </cell>
          <cell r="V144">
            <v>115000</v>
          </cell>
          <cell r="W144">
            <v>-490</v>
          </cell>
        </row>
        <row r="145">
          <cell r="E145">
            <v>273</v>
          </cell>
          <cell r="G145">
            <v>39858</v>
          </cell>
          <cell r="J145">
            <v>3</v>
          </cell>
          <cell r="L145">
            <v>1080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117474</v>
          </cell>
          <cell r="V145">
            <v>120000</v>
          </cell>
          <cell r="W145">
            <v>-3016</v>
          </cell>
        </row>
        <row r="146">
          <cell r="E146">
            <v>134</v>
          </cell>
          <cell r="G146">
            <v>19564</v>
          </cell>
          <cell r="J146">
            <v>8</v>
          </cell>
          <cell r="L146">
            <v>2880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98980</v>
          </cell>
          <cell r="V146">
            <v>100000</v>
          </cell>
          <cell r="W146">
            <v>-4036</v>
          </cell>
        </row>
        <row r="147">
          <cell r="E147">
            <v>222</v>
          </cell>
          <cell r="G147">
            <v>32412</v>
          </cell>
          <cell r="J147">
            <v>5</v>
          </cell>
          <cell r="L147">
            <v>1800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110748</v>
          </cell>
          <cell r="V147">
            <v>107000</v>
          </cell>
          <cell r="W147">
            <v>-288</v>
          </cell>
        </row>
        <row r="148">
          <cell r="E148">
            <v>378</v>
          </cell>
          <cell r="G148">
            <v>55188</v>
          </cell>
          <cell r="J148">
            <v>14</v>
          </cell>
          <cell r="L148">
            <v>5040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136764</v>
          </cell>
          <cell r="V148">
            <v>137000</v>
          </cell>
          <cell r="W148">
            <v>-524</v>
          </cell>
        </row>
        <row r="149">
          <cell r="E149">
            <v>294</v>
          </cell>
          <cell r="G149">
            <v>42924</v>
          </cell>
          <cell r="J149">
            <v>178</v>
          </cell>
          <cell r="L149">
            <v>89640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209100</v>
          </cell>
          <cell r="V149">
            <v>210000</v>
          </cell>
          <cell r="W149">
            <v>-1424</v>
          </cell>
        </row>
        <row r="150">
          <cell r="E150">
            <v>302</v>
          </cell>
          <cell r="G150">
            <v>44092</v>
          </cell>
          <cell r="J150">
            <v>163</v>
          </cell>
          <cell r="L150">
            <v>73440</v>
          </cell>
          <cell r="M150">
            <v>0</v>
          </cell>
          <cell r="N150">
            <v>7000</v>
          </cell>
          <cell r="O150">
            <v>0</v>
          </cell>
          <cell r="P150">
            <v>5000</v>
          </cell>
          <cell r="Q150">
            <v>61536</v>
          </cell>
          <cell r="R150">
            <v>0</v>
          </cell>
          <cell r="S150">
            <v>191068</v>
          </cell>
          <cell r="V150">
            <v>200000</v>
          </cell>
          <cell r="W150">
            <v>-10356</v>
          </cell>
        </row>
        <row r="151">
          <cell r="E151">
            <v>326</v>
          </cell>
          <cell r="G151">
            <v>47596</v>
          </cell>
          <cell r="J151">
            <v>235</v>
          </cell>
          <cell r="L151">
            <v>189000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307991</v>
          </cell>
          <cell r="V151">
            <v>300000</v>
          </cell>
          <cell r="W151">
            <v>-2365</v>
          </cell>
        </row>
        <row r="152">
          <cell r="E152">
            <v>336</v>
          </cell>
          <cell r="G152">
            <v>49056</v>
          </cell>
          <cell r="J152">
            <v>209</v>
          </cell>
          <cell r="L152">
            <v>132840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253291</v>
          </cell>
          <cell r="V152">
            <v>260000</v>
          </cell>
          <cell r="W152">
            <v>-9074</v>
          </cell>
        </row>
        <row r="153">
          <cell r="E153">
            <v>291</v>
          </cell>
          <cell r="G153">
            <v>42486</v>
          </cell>
          <cell r="J153">
            <v>201</v>
          </cell>
          <cell r="L153">
            <v>115560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234400</v>
          </cell>
          <cell r="V153">
            <v>226000</v>
          </cell>
          <cell r="W153">
            <v>-674</v>
          </cell>
        </row>
        <row r="154">
          <cell r="E154">
            <v>306</v>
          </cell>
          <cell r="G154">
            <v>44676</v>
          </cell>
          <cell r="J154">
            <v>150</v>
          </cell>
          <cell r="L154">
            <v>59400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180430</v>
          </cell>
          <cell r="V154">
            <v>180000</v>
          </cell>
          <cell r="W154">
            <v>-244</v>
          </cell>
        </row>
        <row r="155">
          <cell r="E155">
            <v>254</v>
          </cell>
          <cell r="G155">
            <v>37084</v>
          </cell>
          <cell r="J155">
            <v>151</v>
          </cell>
          <cell r="L155">
            <v>60480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173918</v>
          </cell>
          <cell r="V155">
            <v>174000</v>
          </cell>
          <cell r="W155">
            <v>-326</v>
          </cell>
        </row>
        <row r="156">
          <cell r="E156">
            <v>164</v>
          </cell>
          <cell r="G156">
            <v>23944</v>
          </cell>
          <cell r="J156">
            <v>16</v>
          </cell>
          <cell r="L156">
            <v>5760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106058</v>
          </cell>
          <cell r="V156">
            <v>110000</v>
          </cell>
          <cell r="W156">
            <v>-4268</v>
          </cell>
        </row>
        <row r="157">
          <cell r="E157">
            <v>178</v>
          </cell>
          <cell r="G157">
            <v>25988</v>
          </cell>
          <cell r="J157">
            <v>6</v>
          </cell>
          <cell r="L157">
            <v>2160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104502</v>
          </cell>
          <cell r="V157">
            <v>105000</v>
          </cell>
          <cell r="W157">
            <v>-4766</v>
          </cell>
        </row>
        <row r="158">
          <cell r="E158">
            <v>130</v>
          </cell>
          <cell r="G158">
            <v>18980</v>
          </cell>
          <cell r="J158">
            <v>2</v>
          </cell>
          <cell r="L158">
            <v>720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96054</v>
          </cell>
          <cell r="V158">
            <v>100000</v>
          </cell>
          <cell r="W158">
            <v>-8712</v>
          </cell>
        </row>
        <row r="159">
          <cell r="E159">
            <v>201</v>
          </cell>
          <cell r="G159">
            <v>29346</v>
          </cell>
          <cell r="J159">
            <v>9</v>
          </cell>
          <cell r="L159">
            <v>3240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108940</v>
          </cell>
          <cell r="V159">
            <v>105000</v>
          </cell>
          <cell r="W159">
            <v>-4772</v>
          </cell>
        </row>
        <row r="160">
          <cell r="E160">
            <v>230</v>
          </cell>
          <cell r="G160">
            <v>33580</v>
          </cell>
          <cell r="J160">
            <v>6</v>
          </cell>
          <cell r="L160">
            <v>2160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112094</v>
          </cell>
          <cell r="V160">
            <v>112000</v>
          </cell>
          <cell r="W160">
            <v>-4678</v>
          </cell>
        </row>
        <row r="161">
          <cell r="E161">
            <v>234</v>
          </cell>
          <cell r="G161">
            <v>34164</v>
          </cell>
          <cell r="J161">
            <v>23</v>
          </cell>
          <cell r="L161">
            <v>8280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118798</v>
          </cell>
          <cell r="V161">
            <v>115000</v>
          </cell>
          <cell r="W161">
            <v>-880</v>
          </cell>
        </row>
        <row r="162">
          <cell r="E162">
            <v>321</v>
          </cell>
          <cell r="G162">
            <v>46866</v>
          </cell>
          <cell r="J162">
            <v>124</v>
          </cell>
          <cell r="L162">
            <v>45360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168286</v>
          </cell>
          <cell r="V162">
            <v>170000</v>
          </cell>
          <cell r="W162">
            <v>-2594</v>
          </cell>
        </row>
        <row r="163">
          <cell r="E163">
            <v>332</v>
          </cell>
          <cell r="G163">
            <v>48472</v>
          </cell>
          <cell r="J163">
            <v>146</v>
          </cell>
          <cell r="L163">
            <v>57240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191772</v>
          </cell>
          <cell r="V163">
            <v>190000</v>
          </cell>
          <cell r="W163">
            <v>-822</v>
          </cell>
        </row>
        <row r="164">
          <cell r="E164">
            <v>273</v>
          </cell>
          <cell r="G164">
            <v>39858</v>
          </cell>
          <cell r="J164">
            <v>99</v>
          </cell>
          <cell r="L164">
            <v>35640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161558</v>
          </cell>
          <cell r="V164">
            <v>161000</v>
          </cell>
          <cell r="W164">
            <v>-264</v>
          </cell>
        </row>
        <row r="165">
          <cell r="E165">
            <v>333</v>
          </cell>
          <cell r="G165">
            <v>48618</v>
          </cell>
          <cell r="J165">
            <v>155</v>
          </cell>
          <cell r="L165">
            <v>64800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199478</v>
          </cell>
          <cell r="V165">
            <v>200000</v>
          </cell>
          <cell r="W165">
            <v>-786</v>
          </cell>
        </row>
        <row r="166">
          <cell r="E166">
            <v>264</v>
          </cell>
          <cell r="G166">
            <v>38544</v>
          </cell>
          <cell r="J166">
            <v>76</v>
          </cell>
          <cell r="L166">
            <v>27360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152008</v>
          </cell>
          <cell r="V166">
            <v>155000</v>
          </cell>
          <cell r="W166">
            <v>-3778</v>
          </cell>
        </row>
        <row r="167">
          <cell r="E167">
            <v>236</v>
          </cell>
          <cell r="G167">
            <v>34456</v>
          </cell>
          <cell r="J167">
            <v>23</v>
          </cell>
          <cell r="L167">
            <v>8280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128840</v>
          </cell>
          <cell r="V167">
            <v>126000</v>
          </cell>
          <cell r="W167">
            <v>-938</v>
          </cell>
        </row>
        <row r="168">
          <cell r="E168">
            <v>241</v>
          </cell>
          <cell r="G168">
            <v>35186</v>
          </cell>
          <cell r="J168">
            <v>29</v>
          </cell>
          <cell r="L168">
            <v>10440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131730</v>
          </cell>
          <cell r="V168">
            <v>132000</v>
          </cell>
          <cell r="W168">
            <v>-1208</v>
          </cell>
        </row>
        <row r="169">
          <cell r="E169">
            <v>203</v>
          </cell>
          <cell r="G169">
            <v>29638</v>
          </cell>
          <cell r="J169">
            <v>34</v>
          </cell>
          <cell r="L169">
            <v>12240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127588</v>
          </cell>
          <cell r="V169">
            <v>130000</v>
          </cell>
          <cell r="W169">
            <v>-3620</v>
          </cell>
        </row>
        <row r="170">
          <cell r="E170">
            <v>218</v>
          </cell>
          <cell r="G170">
            <v>31828</v>
          </cell>
          <cell r="J170">
            <v>27</v>
          </cell>
          <cell r="L170">
            <v>9720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127258</v>
          </cell>
          <cell r="V170">
            <v>130000</v>
          </cell>
          <cell r="W170">
            <v>-6362</v>
          </cell>
        </row>
        <row r="171">
          <cell r="E171">
            <v>275</v>
          </cell>
          <cell r="G171">
            <v>40150</v>
          </cell>
          <cell r="J171">
            <v>25</v>
          </cell>
          <cell r="L171">
            <v>9000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130545</v>
          </cell>
          <cell r="V171">
            <v>130000</v>
          </cell>
          <cell r="W171">
            <v>-5817</v>
          </cell>
        </row>
        <row r="172">
          <cell r="E172">
            <v>211</v>
          </cell>
          <cell r="G172">
            <v>30806</v>
          </cell>
          <cell r="J172">
            <v>64</v>
          </cell>
          <cell r="L172">
            <v>23040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135241</v>
          </cell>
          <cell r="V172">
            <v>130000</v>
          </cell>
          <cell r="W172">
            <v>-576</v>
          </cell>
        </row>
        <row r="173">
          <cell r="E173">
            <v>277</v>
          </cell>
          <cell r="G173">
            <v>40442</v>
          </cell>
          <cell r="J173">
            <v>71</v>
          </cell>
          <cell r="L173">
            <v>25560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147397</v>
          </cell>
          <cell r="V173">
            <v>150000</v>
          </cell>
          <cell r="W173">
            <v>-3179</v>
          </cell>
        </row>
        <row r="174">
          <cell r="E174">
            <v>285</v>
          </cell>
          <cell r="G174">
            <v>41610</v>
          </cell>
          <cell r="J174">
            <v>128</v>
          </cell>
          <cell r="L174">
            <v>47520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170525</v>
          </cell>
          <cell r="V174">
            <v>170000</v>
          </cell>
          <cell r="W174">
            <v>-2654</v>
          </cell>
        </row>
      </sheetData>
      <sheetData sheetId="60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O97">
            <v>55000</v>
          </cell>
          <cell r="P97">
            <v>0</v>
          </cell>
          <cell r="Q97">
            <v>55000</v>
          </cell>
          <cell r="R97">
            <v>0</v>
          </cell>
          <cell r="S97">
            <v>110000</v>
          </cell>
          <cell r="V97">
            <v>110000</v>
          </cell>
          <cell r="W97">
            <v>0</v>
          </cell>
        </row>
        <row r="98">
          <cell r="E98">
            <v>32</v>
          </cell>
          <cell r="G98">
            <v>4672</v>
          </cell>
          <cell r="J98">
            <v>20</v>
          </cell>
          <cell r="L98">
            <v>7200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66872</v>
          </cell>
          <cell r="V98">
            <v>66872</v>
          </cell>
          <cell r="W98">
            <v>0</v>
          </cell>
        </row>
        <row r="99">
          <cell r="E99">
            <v>23</v>
          </cell>
          <cell r="G99">
            <v>3358</v>
          </cell>
          <cell r="J99">
            <v>10</v>
          </cell>
          <cell r="L99">
            <v>3600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61958</v>
          </cell>
          <cell r="V99">
            <v>62000</v>
          </cell>
          <cell r="W99">
            <v>-42</v>
          </cell>
        </row>
        <row r="100">
          <cell r="E100">
            <v>102</v>
          </cell>
          <cell r="G100">
            <v>14892</v>
          </cell>
          <cell r="J100">
            <v>56</v>
          </cell>
          <cell r="L100">
            <v>20160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90052</v>
          </cell>
          <cell r="V100">
            <v>90010</v>
          </cell>
          <cell r="W100">
            <v>0</v>
          </cell>
        </row>
        <row r="101">
          <cell r="E101">
            <v>68</v>
          </cell>
          <cell r="G101">
            <v>9928</v>
          </cell>
          <cell r="J101">
            <v>68</v>
          </cell>
          <cell r="L101">
            <v>24480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89408</v>
          </cell>
          <cell r="V101">
            <v>89408</v>
          </cell>
          <cell r="W101">
            <v>0</v>
          </cell>
        </row>
        <row r="102">
          <cell r="E102">
            <v>26</v>
          </cell>
          <cell r="G102">
            <v>3796</v>
          </cell>
          <cell r="J102">
            <v>29</v>
          </cell>
          <cell r="L102">
            <v>10440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69236</v>
          </cell>
          <cell r="V102">
            <v>70000</v>
          </cell>
          <cell r="W102">
            <v>-764</v>
          </cell>
        </row>
        <row r="103">
          <cell r="E103">
            <v>4</v>
          </cell>
          <cell r="G103">
            <v>584</v>
          </cell>
          <cell r="J103">
            <v>47</v>
          </cell>
          <cell r="L103">
            <v>16920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74154</v>
          </cell>
          <cell r="V103">
            <v>73390</v>
          </cell>
          <cell r="W103">
            <v>0</v>
          </cell>
        </row>
        <row r="104">
          <cell r="E104">
            <v>37</v>
          </cell>
          <cell r="G104">
            <v>5402</v>
          </cell>
          <cell r="J104">
            <v>15</v>
          </cell>
          <cell r="L104">
            <v>5400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67452</v>
          </cell>
          <cell r="V104">
            <v>67500</v>
          </cell>
          <cell r="W104">
            <v>-48</v>
          </cell>
        </row>
        <row r="105">
          <cell r="E105">
            <v>19</v>
          </cell>
          <cell r="G105">
            <v>2774</v>
          </cell>
          <cell r="J105">
            <v>6</v>
          </cell>
          <cell r="L105">
            <v>2160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61584</v>
          </cell>
          <cell r="V105">
            <v>65000</v>
          </cell>
          <cell r="W105">
            <v>-3464</v>
          </cell>
        </row>
        <row r="106">
          <cell r="E106">
            <v>63</v>
          </cell>
          <cell r="G106">
            <v>9198</v>
          </cell>
          <cell r="J106">
            <v>10</v>
          </cell>
          <cell r="L106">
            <v>3600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69448</v>
          </cell>
          <cell r="V106">
            <v>65984</v>
          </cell>
          <cell r="W106">
            <v>0</v>
          </cell>
        </row>
        <row r="107">
          <cell r="E107">
            <v>9</v>
          </cell>
          <cell r="G107">
            <v>1314</v>
          </cell>
          <cell r="J107">
            <v>2</v>
          </cell>
          <cell r="L107">
            <v>720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58684</v>
          </cell>
          <cell r="V107">
            <v>58684</v>
          </cell>
          <cell r="W107">
            <v>0</v>
          </cell>
        </row>
        <row r="108">
          <cell r="E108">
            <v>27</v>
          </cell>
          <cell r="G108">
            <v>3942</v>
          </cell>
          <cell r="J108">
            <v>4</v>
          </cell>
          <cell r="L108">
            <v>1440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62032</v>
          </cell>
          <cell r="V108">
            <v>62032</v>
          </cell>
          <cell r="W108">
            <v>0</v>
          </cell>
        </row>
        <row r="109">
          <cell r="E109">
            <v>54</v>
          </cell>
          <cell r="G109">
            <v>7884</v>
          </cell>
          <cell r="J109">
            <v>8</v>
          </cell>
          <cell r="L109">
            <v>2880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67414</v>
          </cell>
          <cell r="V109">
            <v>67414</v>
          </cell>
          <cell r="W109">
            <v>0</v>
          </cell>
        </row>
        <row r="110">
          <cell r="E110">
            <v>41</v>
          </cell>
          <cell r="G110">
            <v>5986</v>
          </cell>
          <cell r="J110">
            <v>4</v>
          </cell>
          <cell r="L110">
            <v>1440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64076</v>
          </cell>
          <cell r="V110">
            <v>64076</v>
          </cell>
          <cell r="W110">
            <v>0</v>
          </cell>
        </row>
        <row r="111">
          <cell r="E111">
            <v>38</v>
          </cell>
          <cell r="G111">
            <v>5548</v>
          </cell>
          <cell r="J111">
            <v>8</v>
          </cell>
          <cell r="L111">
            <v>2880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65078</v>
          </cell>
          <cell r="V111">
            <v>65078</v>
          </cell>
          <cell r="W111">
            <v>0</v>
          </cell>
        </row>
        <row r="112">
          <cell r="E112">
            <v>19</v>
          </cell>
          <cell r="G112">
            <v>2774</v>
          </cell>
          <cell r="J112">
            <v>5</v>
          </cell>
          <cell r="L112">
            <v>1800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61224</v>
          </cell>
          <cell r="V112">
            <v>61224</v>
          </cell>
          <cell r="W112">
            <v>0</v>
          </cell>
        </row>
        <row r="113">
          <cell r="E113">
            <v>108</v>
          </cell>
          <cell r="G113">
            <v>15768</v>
          </cell>
          <cell r="J113">
            <v>74</v>
          </cell>
          <cell r="L113">
            <v>26640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99058</v>
          </cell>
          <cell r="V113">
            <v>99048</v>
          </cell>
          <cell r="W113">
            <v>10</v>
          </cell>
        </row>
        <row r="114">
          <cell r="E114">
            <v>155</v>
          </cell>
          <cell r="G114">
            <v>22630</v>
          </cell>
          <cell r="J114">
            <v>160</v>
          </cell>
          <cell r="L114">
            <v>59400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138680</v>
          </cell>
          <cell r="V114">
            <v>138690</v>
          </cell>
          <cell r="W114">
            <v>0</v>
          </cell>
        </row>
        <row r="115">
          <cell r="E115">
            <v>315</v>
          </cell>
          <cell r="G115">
            <v>45990</v>
          </cell>
          <cell r="J115">
            <v>226</v>
          </cell>
          <cell r="L115">
            <v>99720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204569</v>
          </cell>
          <cell r="V115">
            <v>205000</v>
          </cell>
          <cell r="W115">
            <v>-431</v>
          </cell>
        </row>
        <row r="116">
          <cell r="E116">
            <v>262</v>
          </cell>
          <cell r="G116">
            <v>38252</v>
          </cell>
          <cell r="J116">
            <v>142</v>
          </cell>
          <cell r="L116">
            <v>51120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148231</v>
          </cell>
          <cell r="V116">
            <v>147800</v>
          </cell>
          <cell r="W116">
            <v>0</v>
          </cell>
        </row>
        <row r="117">
          <cell r="E117">
            <v>240</v>
          </cell>
          <cell r="G117">
            <v>35040</v>
          </cell>
          <cell r="J117">
            <v>174</v>
          </cell>
          <cell r="L117">
            <v>66960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160859</v>
          </cell>
          <cell r="V117">
            <v>160862</v>
          </cell>
          <cell r="W117">
            <v>-3</v>
          </cell>
        </row>
        <row r="118">
          <cell r="E118">
            <v>266</v>
          </cell>
          <cell r="G118">
            <v>38836</v>
          </cell>
          <cell r="J118">
            <v>104</v>
          </cell>
          <cell r="L118">
            <v>37440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135135</v>
          </cell>
          <cell r="V118">
            <v>135139</v>
          </cell>
          <cell r="W118">
            <v>-7</v>
          </cell>
        </row>
        <row r="119">
          <cell r="E119">
            <v>250</v>
          </cell>
          <cell r="G119">
            <v>36500</v>
          </cell>
          <cell r="J119">
            <v>151</v>
          </cell>
          <cell r="L119">
            <v>54360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149719</v>
          </cell>
          <cell r="V119">
            <v>254788</v>
          </cell>
          <cell r="W119">
            <v>-105076</v>
          </cell>
        </row>
        <row r="120">
          <cell r="E120">
            <v>172</v>
          </cell>
          <cell r="G120">
            <v>25112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83971</v>
          </cell>
          <cell r="V120">
            <v>83977</v>
          </cell>
          <cell r="W120">
            <v>-105082</v>
          </cell>
        </row>
        <row r="121">
          <cell r="E121">
            <v>118</v>
          </cell>
          <cell r="G121">
            <v>17228</v>
          </cell>
          <cell r="J121">
            <v>6</v>
          </cell>
          <cell r="L121">
            <v>2160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78247</v>
          </cell>
          <cell r="V121">
            <v>78248</v>
          </cell>
          <cell r="W121">
            <v>-105083</v>
          </cell>
        </row>
        <row r="122">
          <cell r="E122">
            <v>85</v>
          </cell>
          <cell r="G122">
            <v>12410</v>
          </cell>
          <cell r="J122">
            <v>17</v>
          </cell>
          <cell r="L122">
            <v>6120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77389</v>
          </cell>
          <cell r="V122">
            <v>77397</v>
          </cell>
          <cell r="W122">
            <v>-105091</v>
          </cell>
        </row>
        <row r="123">
          <cell r="E123">
            <v>131</v>
          </cell>
          <cell r="G123">
            <v>19126</v>
          </cell>
          <cell r="J123">
            <v>59</v>
          </cell>
          <cell r="L123">
            <v>21240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99225</v>
          </cell>
          <cell r="V123">
            <v>99225</v>
          </cell>
          <cell r="W123">
            <v>-105091</v>
          </cell>
        </row>
        <row r="124">
          <cell r="E124">
            <v>137</v>
          </cell>
          <cell r="G124">
            <v>20002</v>
          </cell>
          <cell r="J124">
            <v>77</v>
          </cell>
          <cell r="L124">
            <v>27720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106581</v>
          </cell>
          <cell r="V124">
            <v>106573</v>
          </cell>
          <cell r="W124">
            <v>-105083</v>
          </cell>
        </row>
        <row r="125">
          <cell r="E125">
            <v>183</v>
          </cell>
          <cell r="G125">
            <v>26718</v>
          </cell>
          <cell r="J125">
            <v>188</v>
          </cell>
          <cell r="L125">
            <v>74520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160097</v>
          </cell>
          <cell r="V125">
            <v>55021</v>
          </cell>
          <cell r="W125">
            <v>-7</v>
          </cell>
        </row>
        <row r="126">
          <cell r="E126">
            <v>224</v>
          </cell>
          <cell r="G126">
            <v>32704</v>
          </cell>
          <cell r="J126">
            <v>142</v>
          </cell>
          <cell r="L126">
            <v>51120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142683</v>
          </cell>
          <cell r="V126">
            <v>142683</v>
          </cell>
          <cell r="W126">
            <v>-7</v>
          </cell>
        </row>
        <row r="127">
          <cell r="E127">
            <v>256</v>
          </cell>
          <cell r="G127">
            <v>37376</v>
          </cell>
          <cell r="J127">
            <v>196</v>
          </cell>
          <cell r="L127">
            <v>78840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175950</v>
          </cell>
          <cell r="V127">
            <v>175943</v>
          </cell>
          <cell r="W127">
            <v>0</v>
          </cell>
        </row>
        <row r="128">
          <cell r="E128">
            <v>317</v>
          </cell>
          <cell r="G128">
            <v>46282</v>
          </cell>
          <cell r="J128">
            <v>135</v>
          </cell>
          <cell r="L128">
            <v>48600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166904</v>
          </cell>
          <cell r="V128">
            <v>154617</v>
          </cell>
          <cell r="W128">
            <v>12287</v>
          </cell>
        </row>
        <row r="129">
          <cell r="E129">
            <v>216</v>
          </cell>
          <cell r="G129">
            <v>31536</v>
          </cell>
          <cell r="J129">
            <v>143</v>
          </cell>
          <cell r="L129">
            <v>51480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142750</v>
          </cell>
          <cell r="V129">
            <v>142752</v>
          </cell>
          <cell r="W129">
            <v>12285</v>
          </cell>
        </row>
        <row r="130">
          <cell r="E130">
            <v>219</v>
          </cell>
          <cell r="G130">
            <v>31974</v>
          </cell>
          <cell r="J130">
            <v>95</v>
          </cell>
          <cell r="L130">
            <v>34200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125908</v>
          </cell>
          <cell r="V130">
            <v>138199</v>
          </cell>
          <cell r="W130">
            <v>-6</v>
          </cell>
        </row>
        <row r="131">
          <cell r="E131">
            <v>201</v>
          </cell>
          <cell r="G131">
            <v>29346</v>
          </cell>
          <cell r="J131">
            <v>50</v>
          </cell>
          <cell r="L131">
            <v>18000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107080</v>
          </cell>
          <cell r="V131">
            <v>107040</v>
          </cell>
          <cell r="W131">
            <v>34</v>
          </cell>
        </row>
        <row r="132">
          <cell r="E132">
            <v>123</v>
          </cell>
          <cell r="G132">
            <v>17958</v>
          </cell>
          <cell r="J132">
            <v>41</v>
          </cell>
          <cell r="L132">
            <v>14760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92452</v>
          </cell>
          <cell r="V132">
            <v>92486</v>
          </cell>
          <cell r="W132">
            <v>0</v>
          </cell>
        </row>
        <row r="133">
          <cell r="E133">
            <v>107</v>
          </cell>
          <cell r="G133">
            <v>15622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77516</v>
          </cell>
          <cell r="V133">
            <v>77516</v>
          </cell>
          <cell r="W133">
            <v>0</v>
          </cell>
        </row>
        <row r="134">
          <cell r="E134">
            <v>113</v>
          </cell>
          <cell r="G134">
            <v>16498</v>
          </cell>
          <cell r="J134">
            <v>27</v>
          </cell>
          <cell r="L134">
            <v>9720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85952</v>
          </cell>
          <cell r="V134">
            <v>85952</v>
          </cell>
          <cell r="W134">
            <v>0</v>
          </cell>
        </row>
        <row r="135">
          <cell r="E135">
            <v>114</v>
          </cell>
          <cell r="G135">
            <v>16644</v>
          </cell>
          <cell r="J135">
            <v>66</v>
          </cell>
          <cell r="L135">
            <v>23760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100138</v>
          </cell>
          <cell r="V135">
            <v>100138</v>
          </cell>
          <cell r="W135">
            <v>0</v>
          </cell>
        </row>
        <row r="136">
          <cell r="E136">
            <v>84</v>
          </cell>
          <cell r="G136">
            <v>12264</v>
          </cell>
          <cell r="J136">
            <v>170</v>
          </cell>
          <cell r="L136">
            <v>64800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136798</v>
          </cell>
          <cell r="V136">
            <v>136798</v>
          </cell>
          <cell r="W136">
            <v>0</v>
          </cell>
        </row>
        <row r="137">
          <cell r="E137">
            <v>270</v>
          </cell>
          <cell r="G137">
            <v>39420</v>
          </cell>
          <cell r="J137">
            <v>118</v>
          </cell>
          <cell r="L137">
            <v>42480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141634</v>
          </cell>
          <cell r="V137">
            <v>141634</v>
          </cell>
          <cell r="W137">
            <v>0</v>
          </cell>
        </row>
        <row r="138">
          <cell r="E138">
            <v>173</v>
          </cell>
          <cell r="G138">
            <v>25258</v>
          </cell>
          <cell r="J138">
            <v>315</v>
          </cell>
          <cell r="L138">
            <v>113400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218392</v>
          </cell>
          <cell r="V138">
            <v>218392</v>
          </cell>
          <cell r="W138">
            <v>0</v>
          </cell>
        </row>
        <row r="139">
          <cell r="E139">
            <v>181</v>
          </cell>
          <cell r="G139">
            <v>26426</v>
          </cell>
          <cell r="J139">
            <v>135</v>
          </cell>
          <cell r="L139">
            <v>51300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144262</v>
          </cell>
          <cell r="V139">
            <v>144262</v>
          </cell>
          <cell r="W139">
            <v>0</v>
          </cell>
        </row>
        <row r="140">
          <cell r="E140">
            <v>281</v>
          </cell>
          <cell r="G140">
            <v>41026</v>
          </cell>
          <cell r="J140">
            <v>94</v>
          </cell>
          <cell r="L140">
            <v>33840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141402</v>
          </cell>
          <cell r="V140">
            <v>141402</v>
          </cell>
          <cell r="W140">
            <v>0</v>
          </cell>
        </row>
        <row r="141">
          <cell r="E141">
            <v>93</v>
          </cell>
          <cell r="G141">
            <v>13578</v>
          </cell>
          <cell r="J141">
            <v>104</v>
          </cell>
          <cell r="L141">
            <v>37440</v>
          </cell>
          <cell r="M141">
            <v>0</v>
          </cell>
          <cell r="N141">
            <v>5000</v>
          </cell>
          <cell r="O141">
            <v>0</v>
          </cell>
          <cell r="P141">
            <v>5000</v>
          </cell>
          <cell r="Q141">
            <v>61536</v>
          </cell>
          <cell r="R141">
            <v>0</v>
          </cell>
          <cell r="S141">
            <v>122554</v>
          </cell>
          <cell r="V141">
            <v>122554</v>
          </cell>
          <cell r="W141">
            <v>0</v>
          </cell>
        </row>
        <row r="142">
          <cell r="E142">
            <v>145</v>
          </cell>
          <cell r="G142">
            <v>21170</v>
          </cell>
          <cell r="J142">
            <v>82</v>
          </cell>
          <cell r="L142">
            <v>29520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117226</v>
          </cell>
          <cell r="V142">
            <v>117226</v>
          </cell>
          <cell r="W142">
            <v>0</v>
          </cell>
        </row>
        <row r="143">
          <cell r="E143">
            <v>108</v>
          </cell>
          <cell r="G143">
            <v>15768</v>
          </cell>
          <cell r="J143">
            <v>20</v>
          </cell>
          <cell r="L143">
            <v>7200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89504</v>
          </cell>
          <cell r="V143">
            <v>89504</v>
          </cell>
          <cell r="W143">
            <v>0</v>
          </cell>
        </row>
        <row r="144">
          <cell r="E144">
            <v>101</v>
          </cell>
          <cell r="G144">
            <v>14746</v>
          </cell>
          <cell r="J144">
            <v>3</v>
          </cell>
          <cell r="L144">
            <v>1080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92362</v>
          </cell>
          <cell r="V144">
            <v>92362</v>
          </cell>
          <cell r="W144">
            <v>0</v>
          </cell>
        </row>
        <row r="145">
          <cell r="E145">
            <v>94</v>
          </cell>
          <cell r="G145">
            <v>13724</v>
          </cell>
          <cell r="J145">
            <v>11</v>
          </cell>
          <cell r="L145">
            <v>3960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94220</v>
          </cell>
          <cell r="V145">
            <v>84220</v>
          </cell>
          <cell r="W145">
            <v>10000</v>
          </cell>
        </row>
        <row r="146">
          <cell r="E146">
            <v>72</v>
          </cell>
          <cell r="G146">
            <v>10512</v>
          </cell>
          <cell r="J146">
            <v>13</v>
          </cell>
          <cell r="L146">
            <v>4680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91728</v>
          </cell>
          <cell r="V146">
            <v>101728</v>
          </cell>
          <cell r="W146">
            <v>0</v>
          </cell>
        </row>
        <row r="147">
          <cell r="E147">
            <v>123</v>
          </cell>
          <cell r="G147">
            <v>17958</v>
          </cell>
          <cell r="J147">
            <v>25</v>
          </cell>
          <cell r="L147">
            <v>9000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103494</v>
          </cell>
          <cell r="V147">
            <v>103494</v>
          </cell>
          <cell r="W147">
            <v>0</v>
          </cell>
        </row>
        <row r="148">
          <cell r="E148">
            <v>105</v>
          </cell>
          <cell r="G148">
            <v>15330</v>
          </cell>
          <cell r="J148">
            <v>60</v>
          </cell>
          <cell r="L148">
            <v>21600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113466</v>
          </cell>
          <cell r="V148">
            <v>113466</v>
          </cell>
          <cell r="W148">
            <v>0</v>
          </cell>
        </row>
        <row r="149">
          <cell r="E149">
            <v>105</v>
          </cell>
          <cell r="G149">
            <v>15330</v>
          </cell>
          <cell r="J149">
            <v>177</v>
          </cell>
          <cell r="L149">
            <v>63720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155586</v>
          </cell>
          <cell r="V149">
            <v>180426</v>
          </cell>
          <cell r="W149">
            <v>-24840</v>
          </cell>
        </row>
        <row r="150">
          <cell r="E150">
            <v>98</v>
          </cell>
          <cell r="G150">
            <v>14308</v>
          </cell>
          <cell r="J150">
            <v>68</v>
          </cell>
          <cell r="L150">
            <v>24480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117324</v>
          </cell>
          <cell r="V150">
            <v>117324</v>
          </cell>
          <cell r="W150">
            <v>-24840</v>
          </cell>
        </row>
        <row r="151">
          <cell r="E151">
            <v>270</v>
          </cell>
          <cell r="G151">
            <v>39420</v>
          </cell>
          <cell r="J151">
            <v>124</v>
          </cell>
          <cell r="L151">
            <v>45360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166175</v>
          </cell>
          <cell r="V151">
            <v>166175</v>
          </cell>
          <cell r="W151">
            <v>-24840</v>
          </cell>
        </row>
        <row r="152">
          <cell r="E152">
            <v>195</v>
          </cell>
          <cell r="G152">
            <v>28470</v>
          </cell>
          <cell r="J152">
            <v>97</v>
          </cell>
          <cell r="L152">
            <v>34920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144785</v>
          </cell>
          <cell r="V152">
            <v>144785</v>
          </cell>
          <cell r="W152">
            <v>-24840</v>
          </cell>
        </row>
        <row r="153">
          <cell r="E153">
            <v>151</v>
          </cell>
          <cell r="G153">
            <v>22046</v>
          </cell>
          <cell r="J153">
            <v>89</v>
          </cell>
          <cell r="L153">
            <v>32040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140440</v>
          </cell>
          <cell r="V153">
            <v>115600</v>
          </cell>
          <cell r="W153">
            <v>0</v>
          </cell>
        </row>
        <row r="154">
          <cell r="E154">
            <v>162</v>
          </cell>
          <cell r="G154">
            <v>23652</v>
          </cell>
          <cell r="J154">
            <v>53</v>
          </cell>
          <cell r="L154">
            <v>19080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129086</v>
          </cell>
          <cell r="V154">
            <v>129086</v>
          </cell>
          <cell r="W154">
            <v>0</v>
          </cell>
        </row>
        <row r="155">
          <cell r="E155">
            <v>157</v>
          </cell>
          <cell r="G155">
            <v>22922</v>
          </cell>
          <cell r="J155">
            <v>79</v>
          </cell>
          <cell r="L155">
            <v>28440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137716</v>
          </cell>
          <cell r="V155">
            <v>137716</v>
          </cell>
          <cell r="W155">
            <v>0</v>
          </cell>
        </row>
        <row r="156">
          <cell r="E156">
            <v>152</v>
          </cell>
          <cell r="G156">
            <v>22192</v>
          </cell>
          <cell r="J156">
            <v>27</v>
          </cell>
          <cell r="L156">
            <v>9720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118266</v>
          </cell>
          <cell r="V156">
            <v>118266</v>
          </cell>
          <cell r="W156">
            <v>0</v>
          </cell>
        </row>
        <row r="157">
          <cell r="E157">
            <v>236</v>
          </cell>
          <cell r="G157">
            <v>34456</v>
          </cell>
          <cell r="J157">
            <v>32</v>
          </cell>
          <cell r="L157">
            <v>11520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132330</v>
          </cell>
          <cell r="V157">
            <v>132330</v>
          </cell>
          <cell r="W157">
            <v>0</v>
          </cell>
        </row>
        <row r="158">
          <cell r="E158">
            <v>152</v>
          </cell>
          <cell r="G158">
            <v>22192</v>
          </cell>
          <cell r="J158">
            <v>0</v>
          </cell>
          <cell r="L158">
            <v>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108546</v>
          </cell>
          <cell r="V158">
            <v>108546</v>
          </cell>
          <cell r="W158">
            <v>0</v>
          </cell>
        </row>
        <row r="159">
          <cell r="E159">
            <v>205</v>
          </cell>
          <cell r="G159">
            <v>29930</v>
          </cell>
          <cell r="J159">
            <v>9</v>
          </cell>
          <cell r="L159">
            <v>3240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119524</v>
          </cell>
          <cell r="V159">
            <v>119524</v>
          </cell>
          <cell r="W159">
            <v>0</v>
          </cell>
        </row>
        <row r="160">
          <cell r="E160">
            <v>116</v>
          </cell>
          <cell r="G160">
            <v>16936</v>
          </cell>
          <cell r="J160">
            <v>0</v>
          </cell>
          <cell r="L160">
            <v>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103290</v>
          </cell>
          <cell r="V160">
            <v>103290</v>
          </cell>
          <cell r="W160">
            <v>0</v>
          </cell>
        </row>
        <row r="161">
          <cell r="E161">
            <v>123</v>
          </cell>
          <cell r="G161">
            <v>17958</v>
          </cell>
          <cell r="J161">
            <v>43</v>
          </cell>
          <cell r="L161">
            <v>15480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119792</v>
          </cell>
          <cell r="V161">
            <v>119792</v>
          </cell>
          <cell r="W161">
            <v>0</v>
          </cell>
        </row>
        <row r="162">
          <cell r="E162">
            <v>166</v>
          </cell>
          <cell r="G162">
            <v>24236</v>
          </cell>
          <cell r="J162">
            <v>106</v>
          </cell>
          <cell r="L162">
            <v>38160</v>
          </cell>
          <cell r="M162">
            <v>0</v>
          </cell>
          <cell r="N162">
            <v>11665</v>
          </cell>
          <cell r="O162">
            <v>0</v>
          </cell>
          <cell r="P162">
            <v>10000</v>
          </cell>
          <cell r="Q162">
            <v>64395</v>
          </cell>
          <cell r="R162">
            <v>0</v>
          </cell>
          <cell r="S162">
            <v>148456</v>
          </cell>
          <cell r="V162">
            <v>148456</v>
          </cell>
          <cell r="W162">
            <v>0</v>
          </cell>
        </row>
        <row r="163">
          <cell r="E163">
            <v>136</v>
          </cell>
          <cell r="G163">
            <v>19856</v>
          </cell>
          <cell r="J163">
            <v>123</v>
          </cell>
          <cell r="L163">
            <v>44820</v>
          </cell>
          <cell r="M163">
            <v>0</v>
          </cell>
          <cell r="N163">
            <v>11665</v>
          </cell>
          <cell r="O163">
            <v>0</v>
          </cell>
          <cell r="P163">
            <v>10000</v>
          </cell>
          <cell r="Q163">
            <v>74395</v>
          </cell>
          <cell r="R163">
            <v>0</v>
          </cell>
          <cell r="S163">
            <v>160736</v>
          </cell>
          <cell r="V163">
            <v>160736</v>
          </cell>
          <cell r="W163">
            <v>0</v>
          </cell>
        </row>
        <row r="164">
          <cell r="E164">
            <v>273</v>
          </cell>
          <cell r="G164">
            <v>39858</v>
          </cell>
          <cell r="J164">
            <v>87</v>
          </cell>
          <cell r="L164">
            <v>31320</v>
          </cell>
          <cell r="M164">
            <v>0</v>
          </cell>
          <cell r="N164">
            <v>11665</v>
          </cell>
          <cell r="O164">
            <v>0</v>
          </cell>
          <cell r="P164">
            <v>10000</v>
          </cell>
          <cell r="Q164">
            <v>74395</v>
          </cell>
          <cell r="R164">
            <v>0</v>
          </cell>
          <cell r="S164">
            <v>167238</v>
          </cell>
          <cell r="V164">
            <v>167238</v>
          </cell>
          <cell r="W164">
            <v>0</v>
          </cell>
        </row>
        <row r="165">
          <cell r="E165">
            <v>390</v>
          </cell>
          <cell r="G165">
            <v>56940</v>
          </cell>
          <cell r="J165">
            <v>36</v>
          </cell>
          <cell r="L165">
            <v>12960</v>
          </cell>
          <cell r="M165">
            <v>0</v>
          </cell>
          <cell r="N165">
            <v>11665</v>
          </cell>
          <cell r="O165">
            <v>0</v>
          </cell>
          <cell r="P165">
            <v>10000</v>
          </cell>
          <cell r="Q165">
            <v>74395</v>
          </cell>
          <cell r="R165">
            <v>0</v>
          </cell>
          <cell r="S165">
            <v>165960</v>
          </cell>
          <cell r="V165">
            <v>165960</v>
          </cell>
          <cell r="W165">
            <v>0</v>
          </cell>
        </row>
        <row r="166">
          <cell r="E166">
            <v>149</v>
          </cell>
          <cell r="G166">
            <v>21754</v>
          </cell>
          <cell r="J166">
            <v>43</v>
          </cell>
          <cell r="L166">
            <v>15480</v>
          </cell>
          <cell r="M166">
            <v>0</v>
          </cell>
          <cell r="N166">
            <v>11709</v>
          </cell>
          <cell r="O166">
            <v>0</v>
          </cell>
          <cell r="P166">
            <v>10000</v>
          </cell>
          <cell r="Q166">
            <v>74395</v>
          </cell>
          <cell r="R166">
            <v>0</v>
          </cell>
          <cell r="S166">
            <v>133338</v>
          </cell>
          <cell r="V166">
            <v>133338</v>
          </cell>
          <cell r="W166">
            <v>0</v>
          </cell>
        </row>
        <row r="167">
          <cell r="E167">
            <v>100</v>
          </cell>
          <cell r="G167">
            <v>14600</v>
          </cell>
          <cell r="J167">
            <v>1</v>
          </cell>
          <cell r="L167">
            <v>360</v>
          </cell>
          <cell r="M167">
            <v>0</v>
          </cell>
          <cell r="N167">
            <v>11709</v>
          </cell>
          <cell r="O167">
            <v>0</v>
          </cell>
          <cell r="P167">
            <v>10000</v>
          </cell>
          <cell r="Q167">
            <v>74395</v>
          </cell>
          <cell r="R167">
            <v>0</v>
          </cell>
          <cell r="S167">
            <v>111064</v>
          </cell>
          <cell r="V167">
            <v>111064</v>
          </cell>
          <cell r="W167">
            <v>0</v>
          </cell>
        </row>
        <row r="168">
          <cell r="E168">
            <v>150</v>
          </cell>
          <cell r="G168">
            <v>21900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10000</v>
          </cell>
          <cell r="Q168">
            <v>74395</v>
          </cell>
          <cell r="R168">
            <v>0</v>
          </cell>
          <cell r="S168">
            <v>118724</v>
          </cell>
          <cell r="V168">
            <v>118724</v>
          </cell>
          <cell r="W168">
            <v>0</v>
          </cell>
        </row>
        <row r="169">
          <cell r="E169">
            <v>119</v>
          </cell>
          <cell r="G169">
            <v>17374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10000</v>
          </cell>
          <cell r="Q169">
            <v>74395</v>
          </cell>
          <cell r="R169">
            <v>0</v>
          </cell>
          <cell r="S169">
            <v>113804</v>
          </cell>
          <cell r="V169">
            <v>113804</v>
          </cell>
          <cell r="W169">
            <v>0</v>
          </cell>
        </row>
        <row r="170">
          <cell r="E170">
            <v>92</v>
          </cell>
          <cell r="G170">
            <v>13432</v>
          </cell>
          <cell r="J170">
            <v>3</v>
          </cell>
          <cell r="L170">
            <v>1080</v>
          </cell>
          <cell r="M170">
            <v>0</v>
          </cell>
          <cell r="N170">
            <v>11315</v>
          </cell>
          <cell r="O170">
            <v>0</v>
          </cell>
          <cell r="P170">
            <v>10000</v>
          </cell>
          <cell r="Q170">
            <v>74395</v>
          </cell>
          <cell r="R170">
            <v>0</v>
          </cell>
          <cell r="S170">
            <v>110222</v>
          </cell>
          <cell r="V170">
            <v>110222</v>
          </cell>
          <cell r="W170">
            <v>0</v>
          </cell>
        </row>
        <row r="171">
          <cell r="E171">
            <v>101</v>
          </cell>
          <cell r="G171">
            <v>14746</v>
          </cell>
          <cell r="J171">
            <v>84</v>
          </cell>
          <cell r="L171">
            <v>30240</v>
          </cell>
          <cell r="M171">
            <v>0</v>
          </cell>
          <cell r="N171">
            <v>7000</v>
          </cell>
          <cell r="O171">
            <v>0</v>
          </cell>
          <cell r="P171">
            <v>10000</v>
          </cell>
          <cell r="Q171">
            <v>74395</v>
          </cell>
          <cell r="R171">
            <v>0</v>
          </cell>
          <cell r="S171">
            <v>136381</v>
          </cell>
          <cell r="V171">
            <v>136381</v>
          </cell>
          <cell r="W171">
            <v>0</v>
          </cell>
        </row>
        <row r="172">
          <cell r="E172">
            <v>208</v>
          </cell>
          <cell r="G172">
            <v>30368</v>
          </cell>
          <cell r="J172">
            <v>99</v>
          </cell>
          <cell r="L172">
            <v>35640</v>
          </cell>
          <cell r="M172">
            <v>0</v>
          </cell>
          <cell r="N172">
            <v>7000</v>
          </cell>
          <cell r="O172">
            <v>0</v>
          </cell>
          <cell r="P172">
            <v>10000</v>
          </cell>
          <cell r="Q172">
            <v>74395</v>
          </cell>
          <cell r="R172">
            <v>0</v>
          </cell>
          <cell r="S172">
            <v>157403</v>
          </cell>
          <cell r="V172">
            <v>157403</v>
          </cell>
          <cell r="W172">
            <v>0</v>
          </cell>
        </row>
        <row r="173">
          <cell r="E173">
            <v>243</v>
          </cell>
          <cell r="G173">
            <v>35478</v>
          </cell>
          <cell r="J173">
            <v>179</v>
          </cell>
          <cell r="L173">
            <v>90720</v>
          </cell>
          <cell r="M173">
            <v>0</v>
          </cell>
          <cell r="N173">
            <v>7000</v>
          </cell>
          <cell r="O173">
            <v>0</v>
          </cell>
          <cell r="P173">
            <v>10000</v>
          </cell>
          <cell r="Q173">
            <v>74395</v>
          </cell>
          <cell r="R173">
            <v>0</v>
          </cell>
          <cell r="S173">
            <v>217593</v>
          </cell>
          <cell r="V173">
            <v>217593</v>
          </cell>
          <cell r="W173">
            <v>0</v>
          </cell>
        </row>
        <row r="174">
          <cell r="E174">
            <v>403</v>
          </cell>
          <cell r="G174">
            <v>58838</v>
          </cell>
          <cell r="J174">
            <v>165</v>
          </cell>
          <cell r="L174">
            <v>75600</v>
          </cell>
          <cell r="M174">
            <v>0</v>
          </cell>
          <cell r="N174">
            <v>7000</v>
          </cell>
          <cell r="O174">
            <v>0</v>
          </cell>
          <cell r="P174">
            <v>10000</v>
          </cell>
          <cell r="Q174">
            <v>74395</v>
          </cell>
          <cell r="R174">
            <v>0</v>
          </cell>
          <cell r="S174">
            <v>225833</v>
          </cell>
          <cell r="V174">
            <v>225833</v>
          </cell>
          <cell r="W174">
            <v>0</v>
          </cell>
        </row>
      </sheetData>
      <sheetData sheetId="61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56</v>
          </cell>
          <cell r="G64">
            <v>3528</v>
          </cell>
          <cell r="J64">
            <v>86</v>
          </cell>
          <cell r="L64">
            <v>30960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34488</v>
          </cell>
          <cell r="S64">
            <v>34488</v>
          </cell>
          <cell r="V64">
            <v>0</v>
          </cell>
          <cell r="W64">
            <v>34488</v>
          </cell>
        </row>
        <row r="65">
          <cell r="E65">
            <v>111</v>
          </cell>
          <cell r="G65">
            <v>6993</v>
          </cell>
          <cell r="J65">
            <v>114</v>
          </cell>
          <cell r="L65">
            <v>41040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48033</v>
          </cell>
          <cell r="S65">
            <v>48033</v>
          </cell>
          <cell r="V65">
            <v>0</v>
          </cell>
          <cell r="W65">
            <v>82521</v>
          </cell>
        </row>
        <row r="66">
          <cell r="E66">
            <v>138</v>
          </cell>
          <cell r="G66">
            <v>8694</v>
          </cell>
          <cell r="J66">
            <v>59</v>
          </cell>
          <cell r="L66">
            <v>21240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75934</v>
          </cell>
          <cell r="S66">
            <v>29934</v>
          </cell>
          <cell r="V66">
            <v>0</v>
          </cell>
          <cell r="W66">
            <v>158455</v>
          </cell>
        </row>
        <row r="67">
          <cell r="E67">
            <v>26</v>
          </cell>
          <cell r="G67">
            <v>2262</v>
          </cell>
          <cell r="J67">
            <v>94</v>
          </cell>
          <cell r="L67">
            <v>33840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82102</v>
          </cell>
          <cell r="S67">
            <v>82102</v>
          </cell>
          <cell r="V67">
            <v>0</v>
          </cell>
          <cell r="W67">
            <v>240557</v>
          </cell>
        </row>
        <row r="68">
          <cell r="E68">
            <v>63</v>
          </cell>
          <cell r="G68">
            <v>5481</v>
          </cell>
          <cell r="J68">
            <v>37</v>
          </cell>
          <cell r="L68">
            <v>13320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64801</v>
          </cell>
          <cell r="S68">
            <v>64801</v>
          </cell>
          <cell r="V68">
            <v>158455</v>
          </cell>
          <cell r="W68">
            <v>146903</v>
          </cell>
        </row>
        <row r="69">
          <cell r="E69">
            <v>136</v>
          </cell>
          <cell r="G69">
            <v>15096</v>
          </cell>
          <cell r="J69">
            <v>36</v>
          </cell>
          <cell r="L69">
            <v>12960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74056</v>
          </cell>
          <cell r="S69">
            <v>74056</v>
          </cell>
          <cell r="V69">
            <v>145391</v>
          </cell>
          <cell r="W69">
            <v>75568</v>
          </cell>
        </row>
        <row r="70">
          <cell r="E70">
            <v>233</v>
          </cell>
          <cell r="G70">
            <v>28892</v>
          </cell>
          <cell r="J70">
            <v>22</v>
          </cell>
          <cell r="L70">
            <v>7920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82812</v>
          </cell>
          <cell r="S70">
            <v>82812</v>
          </cell>
          <cell r="V70">
            <v>75568</v>
          </cell>
          <cell r="W70">
            <v>82812</v>
          </cell>
        </row>
        <row r="71">
          <cell r="E71">
            <v>110</v>
          </cell>
          <cell r="G71">
            <v>10780</v>
          </cell>
          <cell r="J71">
            <v>9</v>
          </cell>
          <cell r="L71">
            <v>3240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60020</v>
          </cell>
          <cell r="S71">
            <v>60020</v>
          </cell>
          <cell r="V71">
            <v>0</v>
          </cell>
          <cell r="W71">
            <v>142832</v>
          </cell>
        </row>
        <row r="72">
          <cell r="E72">
            <v>122</v>
          </cell>
          <cell r="G72">
            <v>12688</v>
          </cell>
          <cell r="J72">
            <v>18</v>
          </cell>
          <cell r="L72">
            <v>6480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65168</v>
          </cell>
          <cell r="S72">
            <v>65168</v>
          </cell>
          <cell r="V72">
            <v>142832</v>
          </cell>
          <cell r="W72">
            <v>65168</v>
          </cell>
        </row>
        <row r="73">
          <cell r="E73">
            <v>215</v>
          </cell>
          <cell r="G73">
            <v>24080</v>
          </cell>
          <cell r="J73">
            <v>28</v>
          </cell>
          <cell r="L73">
            <v>10080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80160</v>
          </cell>
          <cell r="S73">
            <v>80160</v>
          </cell>
          <cell r="V73">
            <v>65168</v>
          </cell>
          <cell r="W73">
            <v>80160</v>
          </cell>
        </row>
        <row r="74">
          <cell r="E74">
            <v>178</v>
          </cell>
          <cell r="G74">
            <v>19046</v>
          </cell>
          <cell r="J74">
            <v>90</v>
          </cell>
          <cell r="L74">
            <v>32400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97446</v>
          </cell>
          <cell r="S74">
            <v>97446</v>
          </cell>
          <cell r="V74">
            <v>0</v>
          </cell>
          <cell r="W74">
            <v>177606</v>
          </cell>
        </row>
        <row r="75">
          <cell r="E75">
            <v>286</v>
          </cell>
          <cell r="G75">
            <v>31460</v>
          </cell>
          <cell r="J75">
            <v>34</v>
          </cell>
          <cell r="L75">
            <v>12240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89700</v>
          </cell>
          <cell r="S75">
            <v>89700</v>
          </cell>
          <cell r="V75">
            <v>80160</v>
          </cell>
          <cell r="W75">
            <v>187146</v>
          </cell>
        </row>
        <row r="76">
          <cell r="E76">
            <v>229</v>
          </cell>
          <cell r="G76">
            <v>28854</v>
          </cell>
          <cell r="J76">
            <v>79</v>
          </cell>
          <cell r="L76">
            <v>28440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103294</v>
          </cell>
          <cell r="S76">
            <v>103294</v>
          </cell>
          <cell r="V76">
            <v>106986</v>
          </cell>
          <cell r="W76">
            <v>183454</v>
          </cell>
        </row>
        <row r="77">
          <cell r="E77">
            <v>183</v>
          </cell>
          <cell r="G77">
            <v>21777</v>
          </cell>
          <cell r="J77">
            <v>135</v>
          </cell>
          <cell r="L77">
            <v>48600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116377</v>
          </cell>
          <cell r="S77">
            <v>116377</v>
          </cell>
          <cell r="V77">
            <v>0</v>
          </cell>
          <cell r="W77">
            <v>299831</v>
          </cell>
        </row>
        <row r="78">
          <cell r="E78">
            <v>167</v>
          </cell>
          <cell r="G78">
            <v>18036</v>
          </cell>
          <cell r="J78">
            <v>73</v>
          </cell>
          <cell r="L78">
            <v>26280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90316</v>
          </cell>
          <cell r="S78">
            <v>90316</v>
          </cell>
          <cell r="V78">
            <v>183454</v>
          </cell>
          <cell r="W78">
            <v>206693</v>
          </cell>
        </row>
        <row r="79">
          <cell r="E79">
            <v>614</v>
          </cell>
          <cell r="G79">
            <v>76136</v>
          </cell>
          <cell r="J79">
            <v>18</v>
          </cell>
          <cell r="L79">
            <v>6480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128616</v>
          </cell>
          <cell r="S79">
            <v>128616</v>
          </cell>
          <cell r="V79">
            <v>206000</v>
          </cell>
          <cell r="W79">
            <v>129309</v>
          </cell>
        </row>
        <row r="80">
          <cell r="E80">
            <v>550</v>
          </cell>
          <cell r="G80">
            <v>71500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171500</v>
          </cell>
          <cell r="S80">
            <v>171500</v>
          </cell>
          <cell r="V80">
            <v>135309</v>
          </cell>
          <cell r="W80">
            <v>165500</v>
          </cell>
        </row>
        <row r="81">
          <cell r="E81">
            <v>222</v>
          </cell>
          <cell r="G81">
            <v>28860</v>
          </cell>
          <cell r="J81">
            <v>139</v>
          </cell>
          <cell r="L81">
            <v>50040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124900</v>
          </cell>
          <cell r="S81">
            <v>124900</v>
          </cell>
          <cell r="V81">
            <v>290400</v>
          </cell>
          <cell r="W81">
            <v>0</v>
          </cell>
        </row>
        <row r="82">
          <cell r="E82">
            <v>260</v>
          </cell>
          <cell r="G82">
            <v>36400</v>
          </cell>
          <cell r="J82">
            <v>150</v>
          </cell>
          <cell r="L82">
            <v>54000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136400</v>
          </cell>
          <cell r="S82">
            <v>136400</v>
          </cell>
          <cell r="V82">
            <v>0</v>
          </cell>
          <cell r="W82">
            <v>136400</v>
          </cell>
        </row>
        <row r="83">
          <cell r="E83">
            <v>159</v>
          </cell>
          <cell r="G83">
            <v>23214</v>
          </cell>
          <cell r="J83">
            <v>53</v>
          </cell>
          <cell r="L83">
            <v>19080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88294</v>
          </cell>
          <cell r="S83">
            <v>88294</v>
          </cell>
          <cell r="V83">
            <v>136400</v>
          </cell>
          <cell r="W83">
            <v>88294</v>
          </cell>
        </row>
        <row r="84">
          <cell r="E84">
            <v>159</v>
          </cell>
          <cell r="G84">
            <v>23214</v>
          </cell>
          <cell r="J84">
            <v>5</v>
          </cell>
          <cell r="L84">
            <v>1800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71014</v>
          </cell>
          <cell r="S84">
            <v>71014</v>
          </cell>
          <cell r="V84">
            <v>159308</v>
          </cell>
          <cell r="W84">
            <v>0</v>
          </cell>
        </row>
        <row r="85">
          <cell r="E85">
            <v>288</v>
          </cell>
          <cell r="G85">
            <v>42048</v>
          </cell>
          <cell r="J85">
            <v>20</v>
          </cell>
          <cell r="L85">
            <v>7200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105248</v>
          </cell>
          <cell r="S85">
            <v>99248</v>
          </cell>
          <cell r="V85">
            <v>105248</v>
          </cell>
          <cell r="W85">
            <v>0</v>
          </cell>
        </row>
        <row r="86">
          <cell r="E86">
            <v>319</v>
          </cell>
          <cell r="G86">
            <v>46574</v>
          </cell>
          <cell r="J86">
            <v>25</v>
          </cell>
          <cell r="L86">
            <v>9000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101574</v>
          </cell>
          <cell r="S86">
            <v>111574</v>
          </cell>
          <cell r="V86">
            <v>101574</v>
          </cell>
          <cell r="W86">
            <v>0</v>
          </cell>
        </row>
        <row r="87">
          <cell r="E87">
            <v>357</v>
          </cell>
          <cell r="G87">
            <v>52122</v>
          </cell>
          <cell r="J87">
            <v>18</v>
          </cell>
          <cell r="L87">
            <v>6480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104602</v>
          </cell>
          <cell r="S87">
            <v>104602</v>
          </cell>
          <cell r="V87">
            <v>104602</v>
          </cell>
          <cell r="W87">
            <v>0</v>
          </cell>
        </row>
        <row r="88">
          <cell r="E88">
            <v>239</v>
          </cell>
          <cell r="G88">
            <v>34894</v>
          </cell>
          <cell r="J88">
            <v>77</v>
          </cell>
          <cell r="L88">
            <v>27720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108614</v>
          </cell>
          <cell r="S88">
            <v>108614</v>
          </cell>
          <cell r="V88">
            <v>108614</v>
          </cell>
          <cell r="W88">
            <v>0</v>
          </cell>
        </row>
        <row r="89">
          <cell r="E89">
            <v>226</v>
          </cell>
          <cell r="G89">
            <v>32996</v>
          </cell>
          <cell r="J89">
            <v>143</v>
          </cell>
          <cell r="L89">
            <v>51480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130476</v>
          </cell>
          <cell r="S89">
            <v>130476</v>
          </cell>
          <cell r="V89">
            <v>131000</v>
          </cell>
          <cell r="W89">
            <v>-524</v>
          </cell>
        </row>
        <row r="90">
          <cell r="E90">
            <v>236</v>
          </cell>
          <cell r="G90">
            <v>34456</v>
          </cell>
          <cell r="J90">
            <v>160</v>
          </cell>
          <cell r="L90">
            <v>59400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139856</v>
          </cell>
          <cell r="S90">
            <v>139856</v>
          </cell>
          <cell r="V90">
            <v>139856</v>
          </cell>
          <cell r="W90">
            <v>-524</v>
          </cell>
        </row>
        <row r="91">
          <cell r="E91">
            <v>291</v>
          </cell>
          <cell r="G91">
            <v>42486</v>
          </cell>
          <cell r="J91">
            <v>276</v>
          </cell>
          <cell r="L91">
            <v>135720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243206</v>
          </cell>
          <cell r="S91">
            <v>233206</v>
          </cell>
          <cell r="V91">
            <v>243206</v>
          </cell>
          <cell r="W91">
            <v>-524</v>
          </cell>
        </row>
        <row r="92">
          <cell r="E92">
            <v>277</v>
          </cell>
          <cell r="G92">
            <v>40442</v>
          </cell>
          <cell r="J92">
            <v>254</v>
          </cell>
          <cell r="L92">
            <v>119880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225322</v>
          </cell>
          <cell r="S92">
            <v>215322</v>
          </cell>
          <cell r="V92">
            <v>225000</v>
          </cell>
          <cell r="W92">
            <v>-202</v>
          </cell>
        </row>
        <row r="93">
          <cell r="E93">
            <v>93</v>
          </cell>
          <cell r="G93">
            <v>13578</v>
          </cell>
          <cell r="J93">
            <v>162</v>
          </cell>
          <cell r="L93">
            <v>60480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139058</v>
          </cell>
          <cell r="S93">
            <v>129058</v>
          </cell>
          <cell r="V93">
            <v>0</v>
          </cell>
          <cell r="W93">
            <v>138856</v>
          </cell>
        </row>
        <row r="94">
          <cell r="E94">
            <v>150</v>
          </cell>
          <cell r="G94">
            <v>21900</v>
          </cell>
          <cell r="J94">
            <v>142</v>
          </cell>
          <cell r="L94">
            <v>51120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138020</v>
          </cell>
          <cell r="S94">
            <v>128020</v>
          </cell>
          <cell r="V94">
            <v>276876</v>
          </cell>
          <cell r="W94">
            <v>0</v>
          </cell>
        </row>
        <row r="95">
          <cell r="E95">
            <v>134</v>
          </cell>
          <cell r="G95">
            <v>19564</v>
          </cell>
          <cell r="J95">
            <v>54</v>
          </cell>
          <cell r="L95">
            <v>19440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104004</v>
          </cell>
          <cell r="S95">
            <v>94004</v>
          </cell>
          <cell r="V95">
            <v>0</v>
          </cell>
          <cell r="W95">
            <v>104004</v>
          </cell>
        </row>
        <row r="96">
          <cell r="E96">
            <v>112</v>
          </cell>
          <cell r="G96">
            <v>16352</v>
          </cell>
          <cell r="J96">
            <v>1</v>
          </cell>
          <cell r="L96">
            <v>360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71712</v>
          </cell>
          <cell r="S96">
            <v>71712</v>
          </cell>
          <cell r="V96">
            <v>175716</v>
          </cell>
          <cell r="W96">
            <v>0</v>
          </cell>
        </row>
        <row r="97">
          <cell r="E97">
            <v>141</v>
          </cell>
          <cell r="G97">
            <v>20586</v>
          </cell>
          <cell r="J97">
            <v>2</v>
          </cell>
          <cell r="L97">
            <v>720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76306</v>
          </cell>
          <cell r="V97">
            <v>76306</v>
          </cell>
          <cell r="W97">
            <v>0</v>
          </cell>
        </row>
        <row r="98">
          <cell r="E98">
            <v>113</v>
          </cell>
          <cell r="G98">
            <v>16498</v>
          </cell>
          <cell r="J98">
            <v>12</v>
          </cell>
          <cell r="L98">
            <v>4320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75818</v>
          </cell>
          <cell r="V98">
            <v>0</v>
          </cell>
          <cell r="W98">
            <v>75818</v>
          </cell>
        </row>
        <row r="99">
          <cell r="E99">
            <v>166</v>
          </cell>
          <cell r="G99">
            <v>24236</v>
          </cell>
          <cell r="J99">
            <v>80</v>
          </cell>
          <cell r="L99">
            <v>28800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108036</v>
          </cell>
          <cell r="V99">
            <v>128854</v>
          </cell>
          <cell r="W99">
            <v>55000</v>
          </cell>
        </row>
        <row r="100">
          <cell r="E100">
            <v>118</v>
          </cell>
          <cell r="G100">
            <v>17228</v>
          </cell>
          <cell r="J100">
            <v>127</v>
          </cell>
          <cell r="L100">
            <v>45720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117948</v>
          </cell>
          <cell r="V100">
            <v>0</v>
          </cell>
          <cell r="W100">
            <v>172948</v>
          </cell>
        </row>
        <row r="101">
          <cell r="E101">
            <v>104</v>
          </cell>
          <cell r="G101">
            <v>15184</v>
          </cell>
          <cell r="J101">
            <v>192</v>
          </cell>
          <cell r="L101">
            <v>76680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146864</v>
          </cell>
          <cell r="V101">
            <v>320000</v>
          </cell>
          <cell r="W101">
            <v>-188</v>
          </cell>
        </row>
        <row r="102">
          <cell r="E102">
            <v>123</v>
          </cell>
          <cell r="G102">
            <v>17958</v>
          </cell>
          <cell r="J102">
            <v>451</v>
          </cell>
          <cell r="L102">
            <v>316080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389038</v>
          </cell>
          <cell r="V102">
            <v>390000</v>
          </cell>
          <cell r="W102">
            <v>-1150</v>
          </cell>
        </row>
        <row r="103">
          <cell r="E103">
            <v>223</v>
          </cell>
          <cell r="G103">
            <v>32558</v>
          </cell>
          <cell r="J103">
            <v>252</v>
          </cell>
          <cell r="L103">
            <v>118440</v>
          </cell>
          <cell r="M103">
            <v>29649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237297</v>
          </cell>
          <cell r="V103">
            <v>220000</v>
          </cell>
          <cell r="W103">
            <v>16147</v>
          </cell>
        </row>
        <row r="104">
          <cell r="E104">
            <v>203</v>
          </cell>
          <cell r="G104">
            <v>29638</v>
          </cell>
          <cell r="J104">
            <v>410</v>
          </cell>
          <cell r="L104">
            <v>271800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358088</v>
          </cell>
          <cell r="V104">
            <v>300000</v>
          </cell>
          <cell r="W104">
            <v>74235</v>
          </cell>
        </row>
        <row r="105">
          <cell r="E105">
            <v>171</v>
          </cell>
          <cell r="G105">
            <v>24966</v>
          </cell>
          <cell r="J105">
            <v>216</v>
          </cell>
          <cell r="L105">
            <v>92520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174136</v>
          </cell>
          <cell r="V105">
            <v>200000</v>
          </cell>
          <cell r="W105">
            <v>48371</v>
          </cell>
        </row>
        <row r="106">
          <cell r="E106">
            <v>152</v>
          </cell>
          <cell r="G106">
            <v>22192</v>
          </cell>
          <cell r="J106">
            <v>144</v>
          </cell>
          <cell r="L106">
            <v>51840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130682</v>
          </cell>
          <cell r="V106">
            <v>180000</v>
          </cell>
          <cell r="W106">
            <v>-947</v>
          </cell>
        </row>
        <row r="107">
          <cell r="E107">
            <v>154</v>
          </cell>
          <cell r="G107">
            <v>22484</v>
          </cell>
          <cell r="J107">
            <v>28</v>
          </cell>
          <cell r="L107">
            <v>10080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89214</v>
          </cell>
          <cell r="V107">
            <v>0</v>
          </cell>
          <cell r="W107">
            <v>88267</v>
          </cell>
        </row>
        <row r="108">
          <cell r="E108">
            <v>93</v>
          </cell>
          <cell r="G108">
            <v>13578</v>
          </cell>
          <cell r="J108">
            <v>204</v>
          </cell>
          <cell r="L108">
            <v>73440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143668</v>
          </cell>
          <cell r="V108">
            <v>200000</v>
          </cell>
          <cell r="W108">
            <v>31935</v>
          </cell>
        </row>
        <row r="109">
          <cell r="E109">
            <v>134</v>
          </cell>
          <cell r="G109">
            <v>19564</v>
          </cell>
          <cell r="J109">
            <v>1</v>
          </cell>
          <cell r="L109">
            <v>360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76574</v>
          </cell>
          <cell r="V109">
            <v>110000</v>
          </cell>
          <cell r="W109">
            <v>-1491</v>
          </cell>
        </row>
        <row r="110">
          <cell r="E110">
            <v>134</v>
          </cell>
          <cell r="G110">
            <v>19564</v>
          </cell>
          <cell r="J110">
            <v>1</v>
          </cell>
          <cell r="L110">
            <v>360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76574</v>
          </cell>
          <cell r="V110">
            <v>100000</v>
          </cell>
          <cell r="W110">
            <v>-24917</v>
          </cell>
        </row>
        <row r="111">
          <cell r="E111">
            <v>162</v>
          </cell>
          <cell r="G111">
            <v>23652</v>
          </cell>
          <cell r="J111">
            <v>43</v>
          </cell>
          <cell r="L111">
            <v>15480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95782</v>
          </cell>
          <cell r="V111">
            <v>0</v>
          </cell>
          <cell r="W111">
            <v>70865</v>
          </cell>
        </row>
        <row r="112">
          <cell r="E112">
            <v>142</v>
          </cell>
          <cell r="G112">
            <v>20732</v>
          </cell>
          <cell r="J112">
            <v>143</v>
          </cell>
          <cell r="L112">
            <v>51480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128862</v>
          </cell>
          <cell r="V112">
            <v>240000</v>
          </cell>
          <cell r="W112">
            <v>-40273</v>
          </cell>
        </row>
        <row r="113">
          <cell r="E113">
            <v>156</v>
          </cell>
          <cell r="G113">
            <v>22776</v>
          </cell>
          <cell r="J113">
            <v>235</v>
          </cell>
          <cell r="L113">
            <v>106200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185626</v>
          </cell>
          <cell r="V113">
            <v>180000</v>
          </cell>
          <cell r="W113">
            <v>-34647</v>
          </cell>
        </row>
        <row r="114">
          <cell r="E114">
            <v>192</v>
          </cell>
          <cell r="G114">
            <v>28032</v>
          </cell>
          <cell r="J114">
            <v>374</v>
          </cell>
          <cell r="L114">
            <v>232920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317602</v>
          </cell>
          <cell r="V114">
            <v>300000</v>
          </cell>
          <cell r="W114">
            <v>-17045</v>
          </cell>
        </row>
        <row r="115">
          <cell r="E115">
            <v>237</v>
          </cell>
          <cell r="G115">
            <v>34602</v>
          </cell>
          <cell r="J115">
            <v>257</v>
          </cell>
          <cell r="L115">
            <v>122040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215501</v>
          </cell>
          <cell r="V115">
            <v>200000</v>
          </cell>
          <cell r="W115">
            <v>-1544</v>
          </cell>
        </row>
        <row r="116">
          <cell r="E116">
            <v>199</v>
          </cell>
          <cell r="G116">
            <v>29054</v>
          </cell>
          <cell r="J116">
            <v>388</v>
          </cell>
          <cell r="L116">
            <v>248040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335953</v>
          </cell>
          <cell r="V116">
            <v>100000</v>
          </cell>
          <cell r="W116">
            <v>234409</v>
          </cell>
        </row>
        <row r="117">
          <cell r="E117">
            <v>217</v>
          </cell>
          <cell r="G117">
            <v>31682</v>
          </cell>
          <cell r="J117">
            <v>273</v>
          </cell>
          <cell r="L117">
            <v>133560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224101</v>
          </cell>
          <cell r="V117">
            <v>460000</v>
          </cell>
          <cell r="W117">
            <v>-1490</v>
          </cell>
        </row>
        <row r="118">
          <cell r="E118">
            <v>193</v>
          </cell>
          <cell r="G118">
            <v>28178</v>
          </cell>
          <cell r="J118">
            <v>197</v>
          </cell>
          <cell r="L118">
            <v>79380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166417</v>
          </cell>
          <cell r="V118">
            <v>300000</v>
          </cell>
          <cell r="W118">
            <v>-135073</v>
          </cell>
        </row>
        <row r="119">
          <cell r="E119">
            <v>414</v>
          </cell>
          <cell r="G119">
            <v>60444</v>
          </cell>
          <cell r="J119">
            <v>375</v>
          </cell>
          <cell r="L119">
            <v>234000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353303</v>
          </cell>
          <cell r="V119">
            <v>0</v>
          </cell>
          <cell r="W119">
            <v>218230</v>
          </cell>
        </row>
        <row r="120">
          <cell r="E120">
            <v>109</v>
          </cell>
          <cell r="G120">
            <v>15914</v>
          </cell>
          <cell r="J120">
            <v>1</v>
          </cell>
          <cell r="L120">
            <v>360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75133</v>
          </cell>
          <cell r="V120">
            <v>300000</v>
          </cell>
          <cell r="W120">
            <v>-6637</v>
          </cell>
        </row>
        <row r="121">
          <cell r="E121">
            <v>201</v>
          </cell>
          <cell r="G121">
            <v>29346</v>
          </cell>
          <cell r="J121">
            <v>6</v>
          </cell>
          <cell r="L121">
            <v>2160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90365</v>
          </cell>
          <cell r="V121">
            <v>90000</v>
          </cell>
          <cell r="W121">
            <v>-6272</v>
          </cell>
        </row>
        <row r="122">
          <cell r="E122">
            <v>235</v>
          </cell>
          <cell r="G122">
            <v>34310</v>
          </cell>
          <cell r="J122">
            <v>1</v>
          </cell>
          <cell r="L122">
            <v>360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93529</v>
          </cell>
          <cell r="V122">
            <v>90000</v>
          </cell>
          <cell r="W122">
            <v>-2743</v>
          </cell>
        </row>
        <row r="123">
          <cell r="E123">
            <v>165</v>
          </cell>
          <cell r="G123">
            <v>24090</v>
          </cell>
          <cell r="J123">
            <v>31</v>
          </cell>
          <cell r="L123">
            <v>11160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94109</v>
          </cell>
          <cell r="V123">
            <v>95000</v>
          </cell>
          <cell r="W123">
            <v>-3634</v>
          </cell>
        </row>
        <row r="124">
          <cell r="E124">
            <v>138</v>
          </cell>
          <cell r="G124">
            <v>20148</v>
          </cell>
          <cell r="J124">
            <v>71</v>
          </cell>
          <cell r="L124">
            <v>25560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104567</v>
          </cell>
          <cell r="V124">
            <v>110000</v>
          </cell>
          <cell r="W124">
            <v>-9067</v>
          </cell>
        </row>
        <row r="125">
          <cell r="E125">
            <v>148</v>
          </cell>
          <cell r="G125">
            <v>21608</v>
          </cell>
          <cell r="J125">
            <v>259</v>
          </cell>
          <cell r="L125">
            <v>123480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203947</v>
          </cell>
          <cell r="V125">
            <v>200000</v>
          </cell>
          <cell r="W125">
            <v>-5120</v>
          </cell>
        </row>
        <row r="126">
          <cell r="E126">
            <v>143</v>
          </cell>
          <cell r="G126">
            <v>20878</v>
          </cell>
          <cell r="J126">
            <v>208</v>
          </cell>
          <cell r="L126">
            <v>86760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166497</v>
          </cell>
          <cell r="V126">
            <v>200000</v>
          </cell>
          <cell r="W126">
            <v>-38623</v>
          </cell>
        </row>
        <row r="127">
          <cell r="E127">
            <v>192</v>
          </cell>
          <cell r="G127">
            <v>28032</v>
          </cell>
          <cell r="J127">
            <v>236</v>
          </cell>
          <cell r="L127">
            <v>106920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194686</v>
          </cell>
          <cell r="V127">
            <v>200000</v>
          </cell>
          <cell r="W127">
            <v>-43937</v>
          </cell>
        </row>
        <row r="128">
          <cell r="E128">
            <v>277</v>
          </cell>
          <cell r="G128">
            <v>40442</v>
          </cell>
          <cell r="J128">
            <v>180</v>
          </cell>
          <cell r="L128">
            <v>70200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182664</v>
          </cell>
          <cell r="V128">
            <v>0</v>
          </cell>
          <cell r="W128">
            <v>138727</v>
          </cell>
        </row>
        <row r="129">
          <cell r="E129">
            <v>214</v>
          </cell>
          <cell r="G129">
            <v>31244</v>
          </cell>
          <cell r="J129">
            <v>162</v>
          </cell>
          <cell r="L129">
            <v>60480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151458</v>
          </cell>
          <cell r="V129">
            <v>230000</v>
          </cell>
          <cell r="W129">
            <v>60185</v>
          </cell>
        </row>
        <row r="130">
          <cell r="E130">
            <v>233</v>
          </cell>
          <cell r="G130">
            <v>34018</v>
          </cell>
          <cell r="J130">
            <v>171</v>
          </cell>
          <cell r="L130">
            <v>65340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159092</v>
          </cell>
          <cell r="V130">
            <v>250000</v>
          </cell>
          <cell r="W130">
            <v>-30723</v>
          </cell>
        </row>
        <row r="131">
          <cell r="E131">
            <v>249</v>
          </cell>
          <cell r="G131">
            <v>36354</v>
          </cell>
          <cell r="J131">
            <v>101</v>
          </cell>
          <cell r="L131">
            <v>36360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132448</v>
          </cell>
          <cell r="V131">
            <v>105000</v>
          </cell>
          <cell r="W131">
            <v>-3275</v>
          </cell>
        </row>
        <row r="132">
          <cell r="E132">
            <v>95</v>
          </cell>
          <cell r="G132">
            <v>13870</v>
          </cell>
          <cell r="J132">
            <v>3</v>
          </cell>
          <cell r="L132">
            <v>1080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74684</v>
          </cell>
          <cell r="V132">
            <v>100000</v>
          </cell>
          <cell r="W132">
            <v>-28591</v>
          </cell>
        </row>
        <row r="133">
          <cell r="E133">
            <v>158</v>
          </cell>
          <cell r="G133">
            <v>23068</v>
          </cell>
          <cell r="J133">
            <v>4</v>
          </cell>
          <cell r="L133">
            <v>1440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84242</v>
          </cell>
          <cell r="V133">
            <v>0</v>
          </cell>
          <cell r="W133">
            <v>55651</v>
          </cell>
        </row>
        <row r="134">
          <cell r="E134">
            <v>225</v>
          </cell>
          <cell r="G134">
            <v>32850</v>
          </cell>
          <cell r="J134">
            <v>7</v>
          </cell>
          <cell r="L134">
            <v>2520</v>
          </cell>
          <cell r="M134">
            <v>15075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110179</v>
          </cell>
          <cell r="V134">
            <v>200000</v>
          </cell>
          <cell r="W134">
            <v>-34170</v>
          </cell>
        </row>
        <row r="135">
          <cell r="E135">
            <v>133</v>
          </cell>
          <cell r="G135">
            <v>19418</v>
          </cell>
          <cell r="J135">
            <v>32</v>
          </cell>
          <cell r="L135">
            <v>11520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90672</v>
          </cell>
          <cell r="V135">
            <v>0</v>
          </cell>
          <cell r="W135">
            <v>56502</v>
          </cell>
        </row>
        <row r="136">
          <cell r="E136">
            <v>110</v>
          </cell>
          <cell r="G136">
            <v>16060</v>
          </cell>
          <cell r="J136">
            <v>85</v>
          </cell>
          <cell r="L136">
            <v>30600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106394</v>
          </cell>
          <cell r="V136">
            <v>260000</v>
          </cell>
          <cell r="W136">
            <v>-97104</v>
          </cell>
        </row>
        <row r="137">
          <cell r="E137">
            <v>93</v>
          </cell>
          <cell r="G137">
            <v>13578</v>
          </cell>
          <cell r="J137">
            <v>159</v>
          </cell>
          <cell r="L137">
            <v>58860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132172</v>
          </cell>
          <cell r="V137">
            <v>50000</v>
          </cell>
          <cell r="W137">
            <v>-14932</v>
          </cell>
        </row>
        <row r="138">
          <cell r="E138">
            <v>90</v>
          </cell>
          <cell r="G138">
            <v>13140</v>
          </cell>
          <cell r="J138">
            <v>187</v>
          </cell>
          <cell r="L138">
            <v>73980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166854</v>
          </cell>
          <cell r="V138">
            <v>200000</v>
          </cell>
          <cell r="W138">
            <v>-48078</v>
          </cell>
        </row>
        <row r="139">
          <cell r="E139">
            <v>215</v>
          </cell>
          <cell r="G139">
            <v>31390</v>
          </cell>
          <cell r="J139">
            <v>238</v>
          </cell>
          <cell r="L139">
            <v>195480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293406</v>
          </cell>
          <cell r="V139">
            <v>0</v>
          </cell>
          <cell r="W139">
            <v>245328</v>
          </cell>
        </row>
        <row r="140">
          <cell r="E140">
            <v>280</v>
          </cell>
          <cell r="G140">
            <v>40880</v>
          </cell>
          <cell r="J140">
            <v>112</v>
          </cell>
          <cell r="L140">
            <v>40320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147736</v>
          </cell>
          <cell r="V140">
            <v>400000</v>
          </cell>
          <cell r="W140">
            <v>-6936</v>
          </cell>
        </row>
        <row r="141">
          <cell r="E141">
            <v>217</v>
          </cell>
          <cell r="G141">
            <v>31682</v>
          </cell>
          <cell r="J141">
            <v>141</v>
          </cell>
          <cell r="L141">
            <v>54540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152758</v>
          </cell>
          <cell r="V141">
            <v>146000</v>
          </cell>
          <cell r="W141">
            <v>-178</v>
          </cell>
        </row>
        <row r="142">
          <cell r="E142">
            <v>160</v>
          </cell>
          <cell r="G142">
            <v>23360</v>
          </cell>
          <cell r="J142">
            <v>127</v>
          </cell>
          <cell r="L142">
            <v>46980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136876</v>
          </cell>
          <cell r="V142">
            <v>140000</v>
          </cell>
          <cell r="W142">
            <v>-3302</v>
          </cell>
        </row>
        <row r="143">
          <cell r="E143">
            <v>139</v>
          </cell>
          <cell r="G143">
            <v>20294</v>
          </cell>
          <cell r="J143">
            <v>38</v>
          </cell>
          <cell r="L143">
            <v>13680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100510</v>
          </cell>
          <cell r="V143">
            <v>100000</v>
          </cell>
          <cell r="W143">
            <v>-2792</v>
          </cell>
        </row>
        <row r="144">
          <cell r="E144">
            <v>88</v>
          </cell>
          <cell r="G144">
            <v>12848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79384</v>
          </cell>
          <cell r="V144">
            <v>100000</v>
          </cell>
          <cell r="W144">
            <v>-23408</v>
          </cell>
        </row>
        <row r="145">
          <cell r="E145">
            <v>123</v>
          </cell>
          <cell r="G145">
            <v>17958</v>
          </cell>
          <cell r="J145">
            <v>4</v>
          </cell>
          <cell r="L145">
            <v>1440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85934</v>
          </cell>
          <cell r="V145">
            <v>100000</v>
          </cell>
          <cell r="W145">
            <v>-37474</v>
          </cell>
        </row>
        <row r="146">
          <cell r="E146">
            <v>101</v>
          </cell>
          <cell r="G146">
            <v>14746</v>
          </cell>
          <cell r="J146">
            <v>6</v>
          </cell>
          <cell r="L146">
            <v>2160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83442</v>
          </cell>
          <cell r="V146">
            <v>50000</v>
          </cell>
          <cell r="W146">
            <v>-4032</v>
          </cell>
        </row>
        <row r="147">
          <cell r="E147">
            <v>144</v>
          </cell>
          <cell r="G147">
            <v>21024</v>
          </cell>
          <cell r="J147">
            <v>22</v>
          </cell>
          <cell r="L147">
            <v>7920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95480</v>
          </cell>
          <cell r="V147">
            <v>100000</v>
          </cell>
          <cell r="W147">
            <v>-8552</v>
          </cell>
        </row>
        <row r="148">
          <cell r="E148">
            <v>89</v>
          </cell>
          <cell r="G148">
            <v>12994</v>
          </cell>
          <cell r="J148">
            <v>43</v>
          </cell>
          <cell r="L148">
            <v>15480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95010</v>
          </cell>
          <cell r="V148">
            <v>100000</v>
          </cell>
          <cell r="W148">
            <v>-13542</v>
          </cell>
        </row>
        <row r="149">
          <cell r="E149">
            <v>149</v>
          </cell>
          <cell r="G149">
            <v>21754</v>
          </cell>
          <cell r="J149">
            <v>209</v>
          </cell>
          <cell r="L149">
            <v>132840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221130</v>
          </cell>
          <cell r="V149">
            <v>210000</v>
          </cell>
          <cell r="W149">
            <v>-2412</v>
          </cell>
        </row>
        <row r="150">
          <cell r="E150">
            <v>217</v>
          </cell>
          <cell r="G150">
            <v>31682</v>
          </cell>
          <cell r="J150">
            <v>264</v>
          </cell>
          <cell r="L150">
            <v>251640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351858</v>
          </cell>
          <cell r="V150">
            <v>350000</v>
          </cell>
          <cell r="W150">
            <v>-554</v>
          </cell>
        </row>
        <row r="151">
          <cell r="E151">
            <v>225</v>
          </cell>
          <cell r="G151">
            <v>32850</v>
          </cell>
          <cell r="J151">
            <v>217</v>
          </cell>
          <cell r="L151">
            <v>150120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254365</v>
          </cell>
          <cell r="V151">
            <v>260000</v>
          </cell>
          <cell r="W151">
            <v>-6189</v>
          </cell>
        </row>
        <row r="152">
          <cell r="E152">
            <v>320</v>
          </cell>
          <cell r="G152">
            <v>46720</v>
          </cell>
          <cell r="J152">
            <v>270</v>
          </cell>
          <cell r="L152">
            <v>264600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382715</v>
          </cell>
          <cell r="V152">
            <v>377000</v>
          </cell>
          <cell r="W152">
            <v>-474</v>
          </cell>
        </row>
        <row r="153">
          <cell r="E153">
            <v>200</v>
          </cell>
          <cell r="G153">
            <v>29200</v>
          </cell>
          <cell r="J153">
            <v>125</v>
          </cell>
          <cell r="L153">
            <v>45900</v>
          </cell>
          <cell r="M153">
            <v>0</v>
          </cell>
          <cell r="N153">
            <v>11959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151454</v>
          </cell>
          <cell r="V153">
            <v>151000</v>
          </cell>
          <cell r="W153">
            <v>-20</v>
          </cell>
        </row>
        <row r="154">
          <cell r="E154">
            <v>201</v>
          </cell>
          <cell r="G154">
            <v>29346</v>
          </cell>
          <cell r="J154">
            <v>80</v>
          </cell>
          <cell r="L154">
            <v>28800</v>
          </cell>
          <cell r="M154">
            <v>0</v>
          </cell>
          <cell r="N154">
            <v>11959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134500</v>
          </cell>
          <cell r="V154">
            <v>134480</v>
          </cell>
          <cell r="W154">
            <v>0</v>
          </cell>
        </row>
        <row r="155">
          <cell r="E155">
            <v>164</v>
          </cell>
          <cell r="G155">
            <v>23944</v>
          </cell>
          <cell r="J155">
            <v>416</v>
          </cell>
          <cell r="L155">
            <v>144990</v>
          </cell>
          <cell r="M155">
            <v>0</v>
          </cell>
          <cell r="N155">
            <v>11959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245288</v>
          </cell>
          <cell r="V155">
            <v>245288</v>
          </cell>
          <cell r="W155">
            <v>0</v>
          </cell>
        </row>
        <row r="156">
          <cell r="E156">
            <v>128</v>
          </cell>
          <cell r="G156">
            <v>18688</v>
          </cell>
          <cell r="J156">
            <v>16</v>
          </cell>
          <cell r="L156">
            <v>150750</v>
          </cell>
          <cell r="M156">
            <v>0</v>
          </cell>
          <cell r="N156">
            <v>11959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245792</v>
          </cell>
          <cell r="V156">
            <v>0</v>
          </cell>
          <cell r="W156">
            <v>245792</v>
          </cell>
        </row>
        <row r="157">
          <cell r="E157">
            <v>179</v>
          </cell>
          <cell r="G157">
            <v>26134</v>
          </cell>
          <cell r="J157">
            <v>18</v>
          </cell>
          <cell r="L157">
            <v>151470</v>
          </cell>
          <cell r="M157">
            <v>0</v>
          </cell>
          <cell r="N157">
            <v>11959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253958</v>
          </cell>
          <cell r="V157">
            <v>499750</v>
          </cell>
          <cell r="W157">
            <v>0</v>
          </cell>
        </row>
        <row r="158">
          <cell r="E158">
            <v>133</v>
          </cell>
          <cell r="G158">
            <v>19418</v>
          </cell>
          <cell r="J158">
            <v>0</v>
          </cell>
          <cell r="L158">
            <v>144990</v>
          </cell>
          <cell r="M158">
            <v>0</v>
          </cell>
          <cell r="N158">
            <v>11959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240762</v>
          </cell>
          <cell r="V158">
            <v>240762</v>
          </cell>
          <cell r="W158">
            <v>0</v>
          </cell>
        </row>
        <row r="159">
          <cell r="E159">
            <v>122</v>
          </cell>
          <cell r="G159">
            <v>17812</v>
          </cell>
          <cell r="J159">
            <v>11</v>
          </cell>
          <cell r="L159">
            <v>3960</v>
          </cell>
          <cell r="M159">
            <v>0</v>
          </cell>
          <cell r="N159">
            <v>11959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98126</v>
          </cell>
          <cell r="V159">
            <v>98126</v>
          </cell>
          <cell r="W159">
            <v>0</v>
          </cell>
        </row>
        <row r="160">
          <cell r="E160">
            <v>65</v>
          </cell>
          <cell r="G160">
            <v>9490</v>
          </cell>
          <cell r="J160">
            <v>95</v>
          </cell>
          <cell r="L160">
            <v>34200</v>
          </cell>
          <cell r="M160">
            <v>0</v>
          </cell>
          <cell r="N160">
            <v>11959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120044</v>
          </cell>
          <cell r="V160">
            <v>120044</v>
          </cell>
          <cell r="W160">
            <v>0</v>
          </cell>
        </row>
        <row r="161">
          <cell r="E161">
            <v>128</v>
          </cell>
          <cell r="G161">
            <v>18688</v>
          </cell>
          <cell r="J161">
            <v>46</v>
          </cell>
          <cell r="L161">
            <v>16560</v>
          </cell>
          <cell r="M161">
            <v>0</v>
          </cell>
          <cell r="N161">
            <v>11959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111602</v>
          </cell>
          <cell r="V161">
            <v>111602</v>
          </cell>
          <cell r="W161">
            <v>0</v>
          </cell>
        </row>
        <row r="162">
          <cell r="E162">
            <v>172</v>
          </cell>
          <cell r="G162">
            <v>25112</v>
          </cell>
          <cell r="J162">
            <v>141</v>
          </cell>
          <cell r="L162">
            <v>54540</v>
          </cell>
          <cell r="M162">
            <v>0</v>
          </cell>
          <cell r="N162">
            <v>11665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155712</v>
          </cell>
          <cell r="V162">
            <v>155712</v>
          </cell>
          <cell r="W162">
            <v>0</v>
          </cell>
        </row>
        <row r="163">
          <cell r="E163">
            <v>267</v>
          </cell>
          <cell r="G163">
            <v>38982</v>
          </cell>
          <cell r="J163">
            <v>125</v>
          </cell>
          <cell r="L163">
            <v>45900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170942</v>
          </cell>
          <cell r="V163">
            <v>0</v>
          </cell>
          <cell r="W163">
            <v>170942</v>
          </cell>
        </row>
        <row r="164">
          <cell r="E164">
            <v>282</v>
          </cell>
          <cell r="G164">
            <v>41172</v>
          </cell>
          <cell r="J164">
            <v>103</v>
          </cell>
          <cell r="L164">
            <v>37080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164312</v>
          </cell>
          <cell r="V164">
            <v>335254</v>
          </cell>
          <cell r="W164">
            <v>0</v>
          </cell>
        </row>
        <row r="165">
          <cell r="E165">
            <v>210</v>
          </cell>
          <cell r="G165">
            <v>30660</v>
          </cell>
          <cell r="J165">
            <v>145</v>
          </cell>
          <cell r="L165">
            <v>56700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173420</v>
          </cell>
          <cell r="V165">
            <v>173420</v>
          </cell>
          <cell r="W165">
            <v>0</v>
          </cell>
        </row>
        <row r="166">
          <cell r="E166">
            <v>155</v>
          </cell>
          <cell r="G166">
            <v>22630</v>
          </cell>
          <cell r="J166">
            <v>83</v>
          </cell>
          <cell r="L166">
            <v>29880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138614</v>
          </cell>
          <cell r="V166">
            <v>0</v>
          </cell>
          <cell r="W166">
            <v>138614</v>
          </cell>
        </row>
        <row r="167">
          <cell r="E167">
            <v>130</v>
          </cell>
          <cell r="G167">
            <v>18980</v>
          </cell>
          <cell r="J167">
            <v>2</v>
          </cell>
          <cell r="L167">
            <v>720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105804</v>
          </cell>
          <cell r="V167">
            <v>244418</v>
          </cell>
          <cell r="W167">
            <v>0</v>
          </cell>
        </row>
        <row r="168">
          <cell r="E168">
            <v>154</v>
          </cell>
          <cell r="G168">
            <v>22484</v>
          </cell>
          <cell r="J168">
            <v>1</v>
          </cell>
          <cell r="L168">
            <v>360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108948</v>
          </cell>
          <cell r="V168">
            <v>108948</v>
          </cell>
          <cell r="W168">
            <v>0</v>
          </cell>
        </row>
        <row r="169">
          <cell r="E169">
            <v>151</v>
          </cell>
          <cell r="G169">
            <v>22046</v>
          </cell>
          <cell r="J169">
            <v>2</v>
          </cell>
          <cell r="L169">
            <v>720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108476</v>
          </cell>
          <cell r="V169">
            <v>0</v>
          </cell>
          <cell r="W169">
            <v>108476</v>
          </cell>
        </row>
        <row r="170">
          <cell r="E170">
            <v>164</v>
          </cell>
          <cell r="G170">
            <v>23944</v>
          </cell>
          <cell r="J170">
            <v>16</v>
          </cell>
          <cell r="L170">
            <v>5760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115414</v>
          </cell>
          <cell r="V170">
            <v>223890</v>
          </cell>
          <cell r="W170">
            <v>0</v>
          </cell>
        </row>
        <row r="171">
          <cell r="E171">
            <v>141</v>
          </cell>
          <cell r="G171">
            <v>20586</v>
          </cell>
          <cell r="J171">
            <v>89</v>
          </cell>
          <cell r="L171">
            <v>32040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134021</v>
          </cell>
          <cell r="V171">
            <v>134021</v>
          </cell>
          <cell r="W171">
            <v>0</v>
          </cell>
        </row>
        <row r="172">
          <cell r="E172">
            <v>142</v>
          </cell>
          <cell r="G172">
            <v>20732</v>
          </cell>
          <cell r="J172">
            <v>55</v>
          </cell>
          <cell r="L172">
            <v>19800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121927</v>
          </cell>
          <cell r="V172">
            <v>121927</v>
          </cell>
          <cell r="W172">
            <v>0</v>
          </cell>
        </row>
        <row r="173">
          <cell r="E173">
            <v>176</v>
          </cell>
          <cell r="G173">
            <v>25696</v>
          </cell>
          <cell r="J173">
            <v>109</v>
          </cell>
          <cell r="L173">
            <v>39240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146331</v>
          </cell>
          <cell r="V173">
            <v>146331</v>
          </cell>
          <cell r="W173">
            <v>0</v>
          </cell>
        </row>
        <row r="174">
          <cell r="E174">
            <v>168</v>
          </cell>
          <cell r="G174">
            <v>24528</v>
          </cell>
          <cell r="J174">
            <v>165</v>
          </cell>
          <cell r="L174">
            <v>75600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181523</v>
          </cell>
          <cell r="V174">
            <v>146331</v>
          </cell>
          <cell r="W174">
            <v>35192</v>
          </cell>
        </row>
      </sheetData>
      <sheetData sheetId="62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46000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31</v>
          </cell>
          <cell r="G64">
            <v>1953</v>
          </cell>
          <cell r="J64">
            <v>9</v>
          </cell>
          <cell r="L64">
            <v>3240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51193</v>
          </cell>
          <cell r="V64">
            <v>0</v>
          </cell>
          <cell r="W64">
            <v>143193</v>
          </cell>
        </row>
        <row r="65">
          <cell r="E65">
            <v>66</v>
          </cell>
          <cell r="G65">
            <v>4158</v>
          </cell>
          <cell r="J65">
            <v>29</v>
          </cell>
          <cell r="L65">
            <v>10440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60598</v>
          </cell>
          <cell r="V65">
            <v>0</v>
          </cell>
          <cell r="W65">
            <v>203791</v>
          </cell>
        </row>
        <row r="66">
          <cell r="E66">
            <v>18</v>
          </cell>
          <cell r="G66">
            <v>1134</v>
          </cell>
          <cell r="J66">
            <v>24</v>
          </cell>
          <cell r="L66">
            <v>8640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55774</v>
          </cell>
          <cell r="V66">
            <v>0</v>
          </cell>
          <cell r="W66">
            <v>259565</v>
          </cell>
        </row>
        <row r="67">
          <cell r="E67">
            <v>39</v>
          </cell>
          <cell r="G67">
            <v>3393</v>
          </cell>
          <cell r="J67">
            <v>26</v>
          </cell>
          <cell r="L67">
            <v>9360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58753</v>
          </cell>
          <cell r="V67">
            <v>75565</v>
          </cell>
          <cell r="W67">
            <v>242753</v>
          </cell>
        </row>
        <row r="68">
          <cell r="E68">
            <v>42</v>
          </cell>
          <cell r="G68">
            <v>3654</v>
          </cell>
          <cell r="J68">
            <v>9</v>
          </cell>
          <cell r="L68">
            <v>3240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52894</v>
          </cell>
          <cell r="V68">
            <v>58753</v>
          </cell>
          <cell r="W68">
            <v>236894</v>
          </cell>
        </row>
        <row r="69">
          <cell r="E69">
            <v>16</v>
          </cell>
          <cell r="G69">
            <v>1776</v>
          </cell>
          <cell r="J69">
            <v>2</v>
          </cell>
          <cell r="L69">
            <v>720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48496</v>
          </cell>
          <cell r="V69">
            <v>98894</v>
          </cell>
          <cell r="W69">
            <v>186496</v>
          </cell>
        </row>
        <row r="70">
          <cell r="E70">
            <v>95</v>
          </cell>
          <cell r="G70">
            <v>11780</v>
          </cell>
          <cell r="J70">
            <v>5</v>
          </cell>
          <cell r="L70">
            <v>1800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59580</v>
          </cell>
          <cell r="V70">
            <v>94496</v>
          </cell>
          <cell r="W70">
            <v>151580</v>
          </cell>
        </row>
        <row r="71">
          <cell r="E71">
            <v>92</v>
          </cell>
          <cell r="G71">
            <v>9016</v>
          </cell>
          <cell r="J71">
            <v>5</v>
          </cell>
          <cell r="L71">
            <v>1800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56816</v>
          </cell>
          <cell r="V71">
            <v>105580</v>
          </cell>
          <cell r="W71">
            <v>102816</v>
          </cell>
        </row>
        <row r="72">
          <cell r="E72">
            <v>218</v>
          </cell>
          <cell r="G72">
            <v>22672</v>
          </cell>
          <cell r="J72">
            <v>10</v>
          </cell>
          <cell r="L72">
            <v>3600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72272</v>
          </cell>
          <cell r="V72">
            <v>102816</v>
          </cell>
          <cell r="W72">
            <v>72272</v>
          </cell>
        </row>
        <row r="73">
          <cell r="E73">
            <v>202</v>
          </cell>
          <cell r="G73">
            <v>22624</v>
          </cell>
          <cell r="J73">
            <v>6</v>
          </cell>
          <cell r="L73">
            <v>2160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70784</v>
          </cell>
          <cell r="V73">
            <v>72272</v>
          </cell>
          <cell r="W73">
            <v>70784</v>
          </cell>
        </row>
        <row r="74">
          <cell r="E74">
            <v>27</v>
          </cell>
          <cell r="G74">
            <v>2889</v>
          </cell>
          <cell r="J74">
            <v>14</v>
          </cell>
          <cell r="L74">
            <v>5040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53929</v>
          </cell>
          <cell r="V74">
            <v>70784</v>
          </cell>
          <cell r="W74">
            <v>53929</v>
          </cell>
        </row>
        <row r="75">
          <cell r="E75">
            <v>13</v>
          </cell>
          <cell r="G75">
            <v>1430</v>
          </cell>
          <cell r="J75">
            <v>4</v>
          </cell>
          <cell r="L75">
            <v>1440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48870</v>
          </cell>
          <cell r="V75">
            <v>53929</v>
          </cell>
          <cell r="W75">
            <v>48870</v>
          </cell>
        </row>
        <row r="76">
          <cell r="E76">
            <v>12</v>
          </cell>
          <cell r="G76">
            <v>1512</v>
          </cell>
          <cell r="J76">
            <v>3</v>
          </cell>
          <cell r="L76">
            <v>1080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48592</v>
          </cell>
          <cell r="V76">
            <v>48870</v>
          </cell>
          <cell r="W76">
            <v>48592</v>
          </cell>
        </row>
        <row r="77">
          <cell r="E77">
            <v>22</v>
          </cell>
          <cell r="G77">
            <v>2618</v>
          </cell>
          <cell r="J77">
            <v>2</v>
          </cell>
          <cell r="L77">
            <v>720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49338</v>
          </cell>
          <cell r="V77">
            <v>48592</v>
          </cell>
          <cell r="W77">
            <v>49338</v>
          </cell>
        </row>
        <row r="78">
          <cell r="E78">
            <v>253</v>
          </cell>
          <cell r="G78">
            <v>27324</v>
          </cell>
          <cell r="J78">
            <v>33</v>
          </cell>
          <cell r="L78">
            <v>11880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85204</v>
          </cell>
          <cell r="V78">
            <v>49338</v>
          </cell>
          <cell r="W78">
            <v>85204</v>
          </cell>
        </row>
        <row r="79">
          <cell r="E79">
            <v>94</v>
          </cell>
          <cell r="G79">
            <v>11656</v>
          </cell>
          <cell r="J79">
            <v>17</v>
          </cell>
          <cell r="L79">
            <v>6120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63776</v>
          </cell>
          <cell r="V79">
            <v>85204</v>
          </cell>
          <cell r="W79">
            <v>63776</v>
          </cell>
        </row>
        <row r="80">
          <cell r="E80">
            <v>198</v>
          </cell>
          <cell r="G80">
            <v>25740</v>
          </cell>
          <cell r="J80">
            <v>24</v>
          </cell>
          <cell r="L80">
            <v>8640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80380</v>
          </cell>
          <cell r="V80">
            <v>63775</v>
          </cell>
          <cell r="W80">
            <v>80381</v>
          </cell>
        </row>
        <row r="81">
          <cell r="E81">
            <v>172</v>
          </cell>
          <cell r="G81">
            <v>22360</v>
          </cell>
          <cell r="J81">
            <v>17</v>
          </cell>
          <cell r="L81">
            <v>6120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74480</v>
          </cell>
          <cell r="V81">
            <v>80381</v>
          </cell>
          <cell r="W81">
            <v>74480</v>
          </cell>
        </row>
        <row r="82">
          <cell r="E82">
            <v>108</v>
          </cell>
          <cell r="G82">
            <v>15120</v>
          </cell>
          <cell r="J82">
            <v>10</v>
          </cell>
          <cell r="L82">
            <v>3600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64720</v>
          </cell>
          <cell r="V82">
            <v>74480</v>
          </cell>
          <cell r="W82">
            <v>64720</v>
          </cell>
        </row>
        <row r="83">
          <cell r="E83">
            <v>119</v>
          </cell>
          <cell r="G83">
            <v>17374</v>
          </cell>
          <cell r="J83">
            <v>8</v>
          </cell>
          <cell r="L83">
            <v>2880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66254</v>
          </cell>
          <cell r="V83">
            <v>64720</v>
          </cell>
          <cell r="W83">
            <v>66254</v>
          </cell>
        </row>
        <row r="84">
          <cell r="E84">
            <v>197</v>
          </cell>
          <cell r="G84">
            <v>28762</v>
          </cell>
          <cell r="J84">
            <v>8</v>
          </cell>
          <cell r="L84">
            <v>2880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77642</v>
          </cell>
          <cell r="V84">
            <v>66000</v>
          </cell>
          <cell r="W84">
            <v>77896</v>
          </cell>
        </row>
        <row r="85">
          <cell r="E85">
            <v>208</v>
          </cell>
          <cell r="G85">
            <v>30368</v>
          </cell>
          <cell r="J85">
            <v>9</v>
          </cell>
          <cell r="L85">
            <v>3240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46000</v>
          </cell>
          <cell r="R85">
            <v>0</v>
          </cell>
          <cell r="S85">
            <v>89608</v>
          </cell>
          <cell r="V85">
            <v>89608</v>
          </cell>
          <cell r="W85">
            <v>77896</v>
          </cell>
        </row>
        <row r="86">
          <cell r="E86">
            <v>184</v>
          </cell>
          <cell r="G86">
            <v>26864</v>
          </cell>
          <cell r="J86">
            <v>10</v>
          </cell>
          <cell r="L86">
            <v>3600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76464</v>
          </cell>
          <cell r="V86">
            <v>89608</v>
          </cell>
          <cell r="W86">
            <v>64752</v>
          </cell>
        </row>
        <row r="87">
          <cell r="E87">
            <v>243</v>
          </cell>
          <cell r="G87">
            <v>35478</v>
          </cell>
          <cell r="J87">
            <v>16</v>
          </cell>
          <cell r="L87">
            <v>5760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87238</v>
          </cell>
          <cell r="V87">
            <v>0</v>
          </cell>
          <cell r="W87">
            <v>151990</v>
          </cell>
        </row>
        <row r="88">
          <cell r="E88">
            <v>166</v>
          </cell>
          <cell r="G88">
            <v>24236</v>
          </cell>
          <cell r="J88">
            <v>12</v>
          </cell>
          <cell r="L88">
            <v>4320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74556</v>
          </cell>
          <cell r="V88">
            <v>249200</v>
          </cell>
          <cell r="W88">
            <v>0</v>
          </cell>
        </row>
        <row r="89">
          <cell r="E89">
            <v>137</v>
          </cell>
          <cell r="G89">
            <v>20002</v>
          </cell>
          <cell r="J89">
            <v>7</v>
          </cell>
          <cell r="L89">
            <v>2520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68522</v>
          </cell>
          <cell r="V89">
            <v>68522</v>
          </cell>
          <cell r="W89">
            <v>0</v>
          </cell>
        </row>
        <row r="90">
          <cell r="E90">
            <v>160</v>
          </cell>
          <cell r="G90">
            <v>23360</v>
          </cell>
          <cell r="J90">
            <v>24</v>
          </cell>
          <cell r="L90">
            <v>8640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78000</v>
          </cell>
          <cell r="V90">
            <v>78000</v>
          </cell>
          <cell r="W90">
            <v>0</v>
          </cell>
        </row>
        <row r="91">
          <cell r="E91">
            <v>147</v>
          </cell>
          <cell r="G91">
            <v>21462</v>
          </cell>
          <cell r="J91">
            <v>6</v>
          </cell>
          <cell r="L91">
            <v>2160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88622</v>
          </cell>
          <cell r="V91">
            <v>88622</v>
          </cell>
          <cell r="W91">
            <v>0</v>
          </cell>
        </row>
        <row r="92">
          <cell r="E92">
            <v>179</v>
          </cell>
          <cell r="G92">
            <v>26134</v>
          </cell>
          <cell r="J92">
            <v>22</v>
          </cell>
          <cell r="L92">
            <v>7920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99054</v>
          </cell>
          <cell r="V92">
            <v>80000</v>
          </cell>
          <cell r="W92">
            <v>19054</v>
          </cell>
        </row>
        <row r="93">
          <cell r="E93">
            <v>33</v>
          </cell>
          <cell r="G93">
            <v>4818</v>
          </cell>
          <cell r="J93">
            <v>4</v>
          </cell>
          <cell r="L93">
            <v>1440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71258</v>
          </cell>
          <cell r="V93">
            <v>0</v>
          </cell>
          <cell r="W93">
            <v>90312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155312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220312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0</v>
          </cell>
          <cell r="W96">
            <v>55000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110000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165000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0</v>
          </cell>
          <cell r="W99">
            <v>55000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110000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0</v>
          </cell>
          <cell r="W101">
            <v>165000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0</v>
          </cell>
          <cell r="W102">
            <v>220000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0</v>
          </cell>
          <cell r="W103">
            <v>276650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0</v>
          </cell>
          <cell r="W104">
            <v>333300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0</v>
          </cell>
          <cell r="W105">
            <v>389950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0</v>
          </cell>
          <cell r="W106">
            <v>446600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0</v>
          </cell>
          <cell r="W107">
            <v>503250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43780</v>
          </cell>
          <cell r="S108">
            <v>100430</v>
          </cell>
          <cell r="V108">
            <v>0</v>
          </cell>
          <cell r="W108">
            <v>603680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43894</v>
          </cell>
          <cell r="S109">
            <v>100544</v>
          </cell>
          <cell r="V109">
            <v>0</v>
          </cell>
          <cell r="W109">
            <v>704224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43951</v>
          </cell>
          <cell r="S110">
            <v>100601</v>
          </cell>
          <cell r="V110">
            <v>0</v>
          </cell>
          <cell r="W110">
            <v>804825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44025</v>
          </cell>
          <cell r="S111">
            <v>100675</v>
          </cell>
          <cell r="V111">
            <v>0</v>
          </cell>
          <cell r="W111">
            <v>905500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44225</v>
          </cell>
          <cell r="S112">
            <v>100875</v>
          </cell>
          <cell r="V112">
            <v>0</v>
          </cell>
          <cell r="W112">
            <v>1006375</v>
          </cell>
        </row>
        <row r="113">
          <cell r="E113">
            <v>0</v>
          </cell>
          <cell r="G113">
            <v>0</v>
          </cell>
          <cell r="J113">
            <v>-375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44425</v>
          </cell>
          <cell r="S113">
            <v>101075</v>
          </cell>
          <cell r="V113">
            <v>0</v>
          </cell>
          <cell r="W113">
            <v>1107450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43000</v>
          </cell>
          <cell r="S114">
            <v>99650</v>
          </cell>
          <cell r="V114">
            <v>1207100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0</v>
          </cell>
          <cell r="W115">
            <v>58859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11771</v>
          </cell>
          <cell r="S116">
            <v>70630</v>
          </cell>
          <cell r="V116">
            <v>129489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0</v>
          </cell>
          <cell r="W117">
            <v>58859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117718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17657</v>
          </cell>
          <cell r="S119">
            <v>76516</v>
          </cell>
          <cell r="V119">
            <v>0</v>
          </cell>
          <cell r="W119">
            <v>194234</v>
          </cell>
        </row>
        <row r="120">
          <cell r="E120">
            <v>-2672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0</v>
          </cell>
          <cell r="W120">
            <v>253093</v>
          </cell>
        </row>
        <row r="121">
          <cell r="E121">
            <v>2672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0</v>
          </cell>
          <cell r="W121">
            <v>311952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37081</v>
          </cell>
          <cell r="S122">
            <v>95940</v>
          </cell>
          <cell r="V122">
            <v>0</v>
          </cell>
          <cell r="W122">
            <v>407892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0</v>
          </cell>
          <cell r="W123">
            <v>466751</v>
          </cell>
        </row>
        <row r="124">
          <cell r="E124">
            <v>-2672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0</v>
          </cell>
          <cell r="W124">
            <v>525610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58446</v>
          </cell>
          <cell r="S125">
            <v>117305</v>
          </cell>
          <cell r="V125">
            <v>0</v>
          </cell>
          <cell r="W125">
            <v>642915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0</v>
          </cell>
          <cell r="W126">
            <v>701774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76150</v>
          </cell>
          <cell r="S127">
            <v>135884</v>
          </cell>
          <cell r="V127">
            <v>0</v>
          </cell>
          <cell r="W127">
            <v>837658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909680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96941</v>
          </cell>
          <cell r="S129">
            <v>156675</v>
          </cell>
          <cell r="V129">
            <v>0</v>
          </cell>
          <cell r="W129">
            <v>1066355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300000</v>
          </cell>
          <cell r="W130">
            <v>826089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0</v>
          </cell>
          <cell r="W131">
            <v>885823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94555</v>
          </cell>
          <cell r="S132">
            <v>154289</v>
          </cell>
          <cell r="V132">
            <v>0</v>
          </cell>
          <cell r="W132">
            <v>1040112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1099846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115958</v>
          </cell>
          <cell r="S134">
            <v>175692</v>
          </cell>
          <cell r="V134">
            <v>0</v>
          </cell>
          <cell r="W134">
            <v>1275538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1335272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0</v>
          </cell>
          <cell r="W136">
            <v>59734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11946</v>
          </cell>
          <cell r="S137">
            <v>71680</v>
          </cell>
          <cell r="V137">
            <v>0</v>
          </cell>
          <cell r="W137">
            <v>131414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0</v>
          </cell>
          <cell r="W138">
            <v>211148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25268</v>
          </cell>
          <cell r="S139">
            <v>91804</v>
          </cell>
          <cell r="V139">
            <v>302952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0</v>
          </cell>
          <cell r="S140">
            <v>66536</v>
          </cell>
          <cell r="V140">
            <v>0</v>
          </cell>
          <cell r="W140">
            <v>66536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43602</v>
          </cell>
          <cell r="S141">
            <v>110138</v>
          </cell>
          <cell r="V141">
            <v>0</v>
          </cell>
          <cell r="W141">
            <v>176674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0</v>
          </cell>
          <cell r="W142">
            <v>243210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30974</v>
          </cell>
          <cell r="S143">
            <v>97510</v>
          </cell>
          <cell r="V143">
            <v>0</v>
          </cell>
          <cell r="W143">
            <v>340720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407256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47379</v>
          </cell>
          <cell r="S145">
            <v>113915</v>
          </cell>
          <cell r="V145">
            <v>150000</v>
          </cell>
          <cell r="W145">
            <v>371171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0</v>
          </cell>
          <cell r="W146">
            <v>437707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504240</v>
          </cell>
          <cell r="W147">
            <v>3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66539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115643</v>
          </cell>
          <cell r="V149">
            <v>0</v>
          </cell>
          <cell r="W149">
            <v>115643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117790</v>
          </cell>
          <cell r="V150">
            <v>0</v>
          </cell>
          <cell r="W150">
            <v>233433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120509</v>
          </cell>
          <cell r="V151">
            <v>0</v>
          </cell>
          <cell r="W151">
            <v>353942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0</v>
          </cell>
          <cell r="W152">
            <v>425337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496732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121205</v>
          </cell>
          <cell r="V155">
            <v>0</v>
          </cell>
          <cell r="W155">
            <v>121205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121361</v>
          </cell>
          <cell r="V156">
            <v>0</v>
          </cell>
          <cell r="W156">
            <v>242566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121568</v>
          </cell>
          <cell r="V157">
            <v>0</v>
          </cell>
          <cell r="W157">
            <v>364134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121783</v>
          </cell>
          <cell r="V158">
            <v>0</v>
          </cell>
          <cell r="W158">
            <v>485917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122089</v>
          </cell>
          <cell r="V159">
            <v>0</v>
          </cell>
          <cell r="W159">
            <v>608006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679401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122592</v>
          </cell>
          <cell r="V161">
            <v>0</v>
          </cell>
          <cell r="W161">
            <v>122592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122653</v>
          </cell>
          <cell r="V162">
            <v>0</v>
          </cell>
          <cell r="W162">
            <v>245245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132653</v>
          </cell>
          <cell r="V163">
            <v>0</v>
          </cell>
          <cell r="W163">
            <v>377898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132830</v>
          </cell>
          <cell r="V164">
            <v>0</v>
          </cell>
          <cell r="W164">
            <v>510728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133019</v>
          </cell>
          <cell r="V165">
            <v>0</v>
          </cell>
          <cell r="W165">
            <v>643747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200000</v>
          </cell>
          <cell r="W166">
            <v>525142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133381</v>
          </cell>
          <cell r="V167">
            <v>120000</v>
          </cell>
          <cell r="W167">
            <v>538523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133499</v>
          </cell>
          <cell r="V168">
            <v>0</v>
          </cell>
          <cell r="W168">
            <v>672022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133678</v>
          </cell>
          <cell r="V169">
            <v>0</v>
          </cell>
          <cell r="W169">
            <v>805700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133813</v>
          </cell>
          <cell r="V170">
            <v>0</v>
          </cell>
          <cell r="W170">
            <v>939513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133843</v>
          </cell>
          <cell r="V171">
            <v>0</v>
          </cell>
          <cell r="W171">
            <v>1073356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1154751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52627</v>
          </cell>
          <cell r="S173">
            <v>134022</v>
          </cell>
          <cell r="V173">
            <v>0</v>
          </cell>
          <cell r="W173">
            <v>134022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52696</v>
          </cell>
          <cell r="S174">
            <v>134091</v>
          </cell>
          <cell r="V174">
            <v>0</v>
          </cell>
          <cell r="W174">
            <v>268113</v>
          </cell>
        </row>
      </sheetData>
      <sheetData sheetId="63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46000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0</v>
          </cell>
          <cell r="W78">
            <v>92000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0</v>
          </cell>
          <cell r="S79">
            <v>46000</v>
          </cell>
          <cell r="V79">
            <v>0</v>
          </cell>
          <cell r="W79">
            <v>138000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177000</v>
          </cell>
          <cell r="W80">
            <v>7000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0</v>
          </cell>
          <cell r="W81">
            <v>53000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0</v>
          </cell>
          <cell r="W82">
            <v>99000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145000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191000</v>
          </cell>
          <cell r="W84">
            <v>-46000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0</v>
          </cell>
          <cell r="W85">
            <v>10000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0</v>
          </cell>
          <cell r="W86">
            <v>56000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102000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0</v>
          </cell>
          <cell r="W88">
            <v>46000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0</v>
          </cell>
          <cell r="W89">
            <v>92000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13800</v>
          </cell>
          <cell r="S90">
            <v>46000</v>
          </cell>
          <cell r="V90">
            <v>0</v>
          </cell>
          <cell r="W90">
            <v>151800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216800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65000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13000</v>
          </cell>
          <cell r="S93">
            <v>65000</v>
          </cell>
          <cell r="V93">
            <v>0</v>
          </cell>
          <cell r="W93">
            <v>143000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0</v>
          </cell>
          <cell r="W94">
            <v>208000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27300</v>
          </cell>
          <cell r="S95">
            <v>65000</v>
          </cell>
          <cell r="V95">
            <v>300300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0</v>
          </cell>
          <cell r="W98">
            <v>110000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16500</v>
          </cell>
          <cell r="S99">
            <v>71500</v>
          </cell>
          <cell r="V99">
            <v>0</v>
          </cell>
          <cell r="W99">
            <v>181500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0</v>
          </cell>
          <cell r="W100">
            <v>236500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291500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56650</v>
          </cell>
          <cell r="V111">
            <v>0</v>
          </cell>
          <cell r="W111">
            <v>56650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113300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0</v>
          </cell>
          <cell r="W113">
            <v>56650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11330</v>
          </cell>
          <cell r="S114">
            <v>67980</v>
          </cell>
          <cell r="V114">
            <v>0</v>
          </cell>
          <cell r="W114">
            <v>124630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183489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58859</v>
          </cell>
          <cell r="V116">
            <v>0</v>
          </cell>
          <cell r="W116">
            <v>58859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58859</v>
          </cell>
          <cell r="V117">
            <v>117718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58859</v>
          </cell>
          <cell r="V118">
            <v>0</v>
          </cell>
          <cell r="W118">
            <v>58859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58859</v>
          </cell>
          <cell r="V119">
            <v>117718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58859</v>
          </cell>
          <cell r="V120">
            <v>58859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58859</v>
          </cell>
          <cell r="V121">
            <v>58859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58859</v>
          </cell>
          <cell r="V122">
            <v>0</v>
          </cell>
          <cell r="W122">
            <v>58859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0</v>
          </cell>
          <cell r="S123">
            <v>58859</v>
          </cell>
          <cell r="V123">
            <v>117718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0</v>
          </cell>
          <cell r="S124">
            <v>58859</v>
          </cell>
          <cell r="V124">
            <v>58859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0</v>
          </cell>
          <cell r="S125">
            <v>58859</v>
          </cell>
          <cell r="V125">
            <v>58859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0</v>
          </cell>
          <cell r="S126">
            <v>58859</v>
          </cell>
          <cell r="V126">
            <v>58859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0</v>
          </cell>
          <cell r="S127">
            <v>59734</v>
          </cell>
          <cell r="V127">
            <v>59734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0</v>
          </cell>
          <cell r="S128">
            <v>72022</v>
          </cell>
          <cell r="V128">
            <v>0</v>
          </cell>
          <cell r="W128">
            <v>72022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0</v>
          </cell>
          <cell r="S129">
            <v>59734</v>
          </cell>
          <cell r="V129">
            <v>131756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0</v>
          </cell>
          <cell r="S130">
            <v>59734</v>
          </cell>
          <cell r="V130">
            <v>59734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0</v>
          </cell>
          <cell r="S131">
            <v>59734</v>
          </cell>
          <cell r="V131">
            <v>59734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0</v>
          </cell>
          <cell r="S132">
            <v>59734</v>
          </cell>
          <cell r="V132">
            <v>59734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0</v>
          </cell>
          <cell r="S133">
            <v>59734</v>
          </cell>
          <cell r="V133">
            <v>0</v>
          </cell>
          <cell r="W133">
            <v>59734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0</v>
          </cell>
          <cell r="S134">
            <v>59734</v>
          </cell>
          <cell r="V134">
            <v>119468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0</v>
          </cell>
          <cell r="S135">
            <v>59734</v>
          </cell>
          <cell r="V135">
            <v>59734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0</v>
          </cell>
          <cell r="S136">
            <v>59734</v>
          </cell>
          <cell r="V136">
            <v>59734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0</v>
          </cell>
          <cell r="S137">
            <v>59734</v>
          </cell>
          <cell r="V137">
            <v>59734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20000</v>
          </cell>
          <cell r="O138">
            <v>0</v>
          </cell>
          <cell r="P138">
            <v>0</v>
          </cell>
          <cell r="Q138">
            <v>59734</v>
          </cell>
          <cell r="R138">
            <v>0</v>
          </cell>
          <cell r="S138">
            <v>79734</v>
          </cell>
          <cell r="V138">
            <v>79734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5000</v>
          </cell>
          <cell r="O139">
            <v>0</v>
          </cell>
          <cell r="P139">
            <v>0</v>
          </cell>
          <cell r="Q139">
            <v>61536</v>
          </cell>
          <cell r="R139">
            <v>0</v>
          </cell>
          <cell r="S139">
            <v>66536</v>
          </cell>
          <cell r="V139">
            <v>0</v>
          </cell>
          <cell r="W139">
            <v>66536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5000</v>
          </cell>
          <cell r="O140">
            <v>0</v>
          </cell>
          <cell r="P140">
            <v>0</v>
          </cell>
          <cell r="Q140">
            <v>61536</v>
          </cell>
          <cell r="R140">
            <v>13307</v>
          </cell>
          <cell r="S140">
            <v>79843</v>
          </cell>
          <cell r="V140">
            <v>0</v>
          </cell>
          <cell r="W140">
            <v>146379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5000</v>
          </cell>
          <cell r="O141">
            <v>0</v>
          </cell>
          <cell r="P141">
            <v>0</v>
          </cell>
          <cell r="Q141">
            <v>61536</v>
          </cell>
          <cell r="R141">
            <v>0</v>
          </cell>
          <cell r="S141">
            <v>66536</v>
          </cell>
          <cell r="V141">
            <v>212915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5000</v>
          </cell>
          <cell r="O142">
            <v>0</v>
          </cell>
          <cell r="P142">
            <v>0</v>
          </cell>
          <cell r="Q142">
            <v>61536</v>
          </cell>
          <cell r="R142">
            <v>0</v>
          </cell>
          <cell r="S142">
            <v>66536</v>
          </cell>
          <cell r="V142">
            <v>66536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5000</v>
          </cell>
          <cell r="O143">
            <v>0</v>
          </cell>
          <cell r="P143">
            <v>0</v>
          </cell>
          <cell r="Q143">
            <v>61536</v>
          </cell>
          <cell r="R143">
            <v>0</v>
          </cell>
          <cell r="S143">
            <v>66536</v>
          </cell>
          <cell r="V143">
            <v>66536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5000</v>
          </cell>
          <cell r="O144">
            <v>0</v>
          </cell>
          <cell r="P144">
            <v>0</v>
          </cell>
          <cell r="Q144">
            <v>61536</v>
          </cell>
          <cell r="R144">
            <v>0</v>
          </cell>
          <cell r="S144">
            <v>66536</v>
          </cell>
          <cell r="V144">
            <v>0</v>
          </cell>
          <cell r="W144">
            <v>66536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5000</v>
          </cell>
          <cell r="O145">
            <v>0</v>
          </cell>
          <cell r="P145">
            <v>0</v>
          </cell>
          <cell r="Q145">
            <v>61536</v>
          </cell>
          <cell r="R145">
            <v>0</v>
          </cell>
          <cell r="S145">
            <v>66536</v>
          </cell>
          <cell r="V145">
            <v>133072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5000</v>
          </cell>
          <cell r="O146">
            <v>0</v>
          </cell>
          <cell r="P146">
            <v>0</v>
          </cell>
          <cell r="Q146">
            <v>61536</v>
          </cell>
          <cell r="R146">
            <v>0</v>
          </cell>
          <cell r="S146">
            <v>66536</v>
          </cell>
          <cell r="V146">
            <v>66536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5000</v>
          </cell>
          <cell r="O147">
            <v>0</v>
          </cell>
          <cell r="P147">
            <v>0</v>
          </cell>
          <cell r="Q147">
            <v>61536</v>
          </cell>
          <cell r="R147">
            <v>0</v>
          </cell>
          <cell r="S147">
            <v>66536</v>
          </cell>
          <cell r="V147">
            <v>66536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5000</v>
          </cell>
          <cell r="O148">
            <v>0</v>
          </cell>
          <cell r="P148">
            <v>0</v>
          </cell>
          <cell r="Q148">
            <v>61536</v>
          </cell>
          <cell r="R148">
            <v>0</v>
          </cell>
          <cell r="S148">
            <v>66536</v>
          </cell>
          <cell r="V148">
            <v>66536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5000</v>
          </cell>
          <cell r="O149">
            <v>0</v>
          </cell>
          <cell r="P149">
            <v>0</v>
          </cell>
          <cell r="Q149">
            <v>61536</v>
          </cell>
          <cell r="R149">
            <v>0</v>
          </cell>
          <cell r="S149">
            <v>66536</v>
          </cell>
          <cell r="V149">
            <v>66536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7000</v>
          </cell>
          <cell r="O150">
            <v>0</v>
          </cell>
          <cell r="P150">
            <v>0</v>
          </cell>
          <cell r="Q150">
            <v>61536</v>
          </cell>
          <cell r="R150">
            <v>0</v>
          </cell>
          <cell r="S150">
            <v>68536</v>
          </cell>
          <cell r="V150">
            <v>68536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7000</v>
          </cell>
          <cell r="O151">
            <v>0</v>
          </cell>
          <cell r="P151">
            <v>0</v>
          </cell>
          <cell r="Q151">
            <v>64395</v>
          </cell>
          <cell r="R151">
            <v>0</v>
          </cell>
          <cell r="S151">
            <v>71395</v>
          </cell>
          <cell r="V151">
            <v>71395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7000</v>
          </cell>
          <cell r="O152">
            <v>0</v>
          </cell>
          <cell r="P152">
            <v>0</v>
          </cell>
          <cell r="Q152">
            <v>64395</v>
          </cell>
          <cell r="R152">
            <v>0</v>
          </cell>
          <cell r="S152">
            <v>71395</v>
          </cell>
          <cell r="V152">
            <v>0</v>
          </cell>
          <cell r="W152">
            <v>71395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7000</v>
          </cell>
          <cell r="O153">
            <v>0</v>
          </cell>
          <cell r="P153">
            <v>0</v>
          </cell>
          <cell r="Q153">
            <v>64395</v>
          </cell>
          <cell r="R153">
            <v>0</v>
          </cell>
          <cell r="S153">
            <v>71395</v>
          </cell>
          <cell r="V153">
            <v>142790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7000</v>
          </cell>
          <cell r="O154">
            <v>0</v>
          </cell>
          <cell r="P154">
            <v>0</v>
          </cell>
          <cell r="Q154">
            <v>64395</v>
          </cell>
          <cell r="R154">
            <v>0</v>
          </cell>
          <cell r="S154">
            <v>71395</v>
          </cell>
          <cell r="V154">
            <v>71395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7000</v>
          </cell>
          <cell r="O155">
            <v>0</v>
          </cell>
          <cell r="P155">
            <v>0</v>
          </cell>
          <cell r="Q155">
            <v>64395</v>
          </cell>
          <cell r="R155">
            <v>0</v>
          </cell>
          <cell r="S155">
            <v>71395</v>
          </cell>
          <cell r="V155">
            <v>71395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7000</v>
          </cell>
          <cell r="O156">
            <v>0</v>
          </cell>
          <cell r="P156">
            <v>0</v>
          </cell>
          <cell r="Q156">
            <v>64395</v>
          </cell>
          <cell r="R156">
            <v>0</v>
          </cell>
          <cell r="S156">
            <v>71395</v>
          </cell>
          <cell r="V156">
            <v>71395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7000</v>
          </cell>
          <cell r="O157">
            <v>0</v>
          </cell>
          <cell r="P157">
            <v>0</v>
          </cell>
          <cell r="Q157">
            <v>64395</v>
          </cell>
          <cell r="R157">
            <v>0</v>
          </cell>
          <cell r="S157">
            <v>71395</v>
          </cell>
          <cell r="V157">
            <v>71395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7000</v>
          </cell>
          <cell r="O158">
            <v>0</v>
          </cell>
          <cell r="P158">
            <v>0</v>
          </cell>
          <cell r="Q158">
            <v>64395</v>
          </cell>
          <cell r="R158">
            <v>0</v>
          </cell>
          <cell r="S158">
            <v>71395</v>
          </cell>
          <cell r="V158">
            <v>71395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7000</v>
          </cell>
          <cell r="O159">
            <v>0</v>
          </cell>
          <cell r="P159">
            <v>0</v>
          </cell>
          <cell r="Q159">
            <v>64395</v>
          </cell>
          <cell r="R159">
            <v>0</v>
          </cell>
          <cell r="S159">
            <v>71395</v>
          </cell>
          <cell r="V159">
            <v>71395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7000</v>
          </cell>
          <cell r="O160">
            <v>0</v>
          </cell>
          <cell r="P160">
            <v>0</v>
          </cell>
          <cell r="Q160">
            <v>64395</v>
          </cell>
          <cell r="R160">
            <v>0</v>
          </cell>
          <cell r="S160">
            <v>71395</v>
          </cell>
          <cell r="V160">
            <v>71395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7000</v>
          </cell>
          <cell r="O161">
            <v>0</v>
          </cell>
          <cell r="P161">
            <v>0</v>
          </cell>
          <cell r="Q161">
            <v>64395</v>
          </cell>
          <cell r="R161">
            <v>0</v>
          </cell>
          <cell r="S161">
            <v>71395</v>
          </cell>
          <cell r="V161">
            <v>71395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7000</v>
          </cell>
          <cell r="O162">
            <v>0</v>
          </cell>
          <cell r="P162">
            <v>0</v>
          </cell>
          <cell r="Q162">
            <v>64395</v>
          </cell>
          <cell r="R162">
            <v>0</v>
          </cell>
          <cell r="S162">
            <v>71395</v>
          </cell>
          <cell r="V162">
            <v>71395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7000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81395</v>
          </cell>
          <cell r="V163">
            <v>81395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7000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81395</v>
          </cell>
          <cell r="V164">
            <v>0</v>
          </cell>
          <cell r="W164">
            <v>81395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7000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81395</v>
          </cell>
          <cell r="V165">
            <v>162790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7000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81395</v>
          </cell>
          <cell r="V166">
            <v>0</v>
          </cell>
          <cell r="W166">
            <v>81395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7000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81395</v>
          </cell>
          <cell r="V167">
            <v>0</v>
          </cell>
          <cell r="W167">
            <v>162790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7000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81395</v>
          </cell>
          <cell r="V168">
            <v>0</v>
          </cell>
          <cell r="W168">
            <v>244185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7000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81395</v>
          </cell>
          <cell r="V169">
            <v>0</v>
          </cell>
          <cell r="W169">
            <v>325580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7000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81395</v>
          </cell>
          <cell r="V170">
            <v>0</v>
          </cell>
          <cell r="W170">
            <v>406975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81395</v>
          </cell>
          <cell r="V171">
            <v>0</v>
          </cell>
          <cell r="W171">
            <v>488370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81395</v>
          </cell>
          <cell r="V172">
            <v>580000</v>
          </cell>
          <cell r="W172">
            <v>-10235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81395</v>
          </cell>
          <cell r="V173">
            <v>0</v>
          </cell>
          <cell r="W173">
            <v>71160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81395</v>
          </cell>
          <cell r="V174">
            <v>150000</v>
          </cell>
          <cell r="W174">
            <v>2555</v>
          </cell>
        </row>
      </sheetData>
      <sheetData sheetId="64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39000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39000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39000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39000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39000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39000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39000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51360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39270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39000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39000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39000</v>
          </cell>
          <cell r="R23">
            <v>0</v>
          </cell>
          <cell r="S23">
            <v>39000</v>
          </cell>
          <cell r="V23">
            <v>0</v>
          </cell>
          <cell r="W23">
            <v>39000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39000</v>
          </cell>
          <cell r="R24">
            <v>0</v>
          </cell>
          <cell r="S24">
            <v>39000</v>
          </cell>
          <cell r="V24">
            <v>0</v>
          </cell>
          <cell r="W24">
            <v>78000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39000</v>
          </cell>
          <cell r="R25">
            <v>0</v>
          </cell>
          <cell r="S25">
            <v>39000</v>
          </cell>
          <cell r="V25">
            <v>78000</v>
          </cell>
          <cell r="W25">
            <v>39000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39000</v>
          </cell>
          <cell r="R26">
            <v>0</v>
          </cell>
          <cell r="S26">
            <v>39000</v>
          </cell>
          <cell r="V26">
            <v>39000</v>
          </cell>
          <cell r="W26">
            <v>39000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39000</v>
          </cell>
          <cell r="R27">
            <v>0</v>
          </cell>
          <cell r="S27">
            <v>39000</v>
          </cell>
          <cell r="V27">
            <v>0</v>
          </cell>
          <cell r="W27">
            <v>78000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39000</v>
          </cell>
          <cell r="R28">
            <v>0</v>
          </cell>
          <cell r="S28">
            <v>39000</v>
          </cell>
          <cell r="V28">
            <v>117000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39000</v>
          </cell>
          <cell r="R29">
            <v>0</v>
          </cell>
          <cell r="S29">
            <v>39000</v>
          </cell>
          <cell r="V29">
            <v>0</v>
          </cell>
          <cell r="W29">
            <v>39000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39000</v>
          </cell>
          <cell r="R30">
            <v>0</v>
          </cell>
          <cell r="S30">
            <v>39000</v>
          </cell>
          <cell r="V30">
            <v>78000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39000</v>
          </cell>
          <cell r="R31">
            <v>0</v>
          </cell>
          <cell r="S31">
            <v>78000</v>
          </cell>
          <cell r="V31">
            <v>39000</v>
          </cell>
          <cell r="W31">
            <v>39000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39000</v>
          </cell>
          <cell r="R32">
            <v>0</v>
          </cell>
          <cell r="S32">
            <v>39000</v>
          </cell>
          <cell r="V32">
            <v>39000</v>
          </cell>
          <cell r="W32">
            <v>39000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39000</v>
          </cell>
          <cell r="R33">
            <v>0</v>
          </cell>
          <cell r="S33">
            <v>39000</v>
          </cell>
          <cell r="V33">
            <v>39000</v>
          </cell>
          <cell r="W33">
            <v>39000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39000</v>
          </cell>
          <cell r="R34">
            <v>0</v>
          </cell>
          <cell r="S34">
            <v>39000</v>
          </cell>
          <cell r="V34">
            <v>0</v>
          </cell>
          <cell r="W34">
            <v>78000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4000</v>
          </cell>
          <cell r="Q35">
            <v>39000</v>
          </cell>
          <cell r="R35">
            <v>0</v>
          </cell>
          <cell r="S35">
            <v>39000</v>
          </cell>
          <cell r="V35">
            <v>39000</v>
          </cell>
          <cell r="W35">
            <v>78000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4000</v>
          </cell>
          <cell r="Q36">
            <v>39000</v>
          </cell>
          <cell r="R36">
            <v>0</v>
          </cell>
          <cell r="S36">
            <v>39000</v>
          </cell>
          <cell r="V36">
            <v>39000</v>
          </cell>
          <cell r="W36">
            <v>78000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4000</v>
          </cell>
          <cell r="Q37">
            <v>39000</v>
          </cell>
          <cell r="R37">
            <v>0</v>
          </cell>
          <cell r="S37">
            <v>39000</v>
          </cell>
          <cell r="V37">
            <v>0</v>
          </cell>
          <cell r="W37">
            <v>117000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4000</v>
          </cell>
          <cell r="Q38">
            <v>39000</v>
          </cell>
          <cell r="R38">
            <v>0</v>
          </cell>
          <cell r="S38">
            <v>39000</v>
          </cell>
          <cell r="V38">
            <v>117000</v>
          </cell>
          <cell r="W38">
            <v>39000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4000</v>
          </cell>
          <cell r="Q39">
            <v>39000</v>
          </cell>
          <cell r="R39">
            <v>0</v>
          </cell>
          <cell r="S39">
            <v>39000</v>
          </cell>
          <cell r="V39">
            <v>0</v>
          </cell>
          <cell r="W39">
            <v>78000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4000</v>
          </cell>
          <cell r="Q40">
            <v>39000</v>
          </cell>
          <cell r="R40">
            <v>0</v>
          </cell>
          <cell r="S40">
            <v>39000</v>
          </cell>
          <cell r="V40">
            <v>0</v>
          </cell>
          <cell r="W40">
            <v>117000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4000</v>
          </cell>
          <cell r="Q41">
            <v>39000</v>
          </cell>
          <cell r="R41">
            <v>0</v>
          </cell>
          <cell r="S41">
            <v>39000</v>
          </cell>
          <cell r="V41">
            <v>0</v>
          </cell>
          <cell r="W41">
            <v>156000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4000</v>
          </cell>
          <cell r="Q42">
            <v>39000</v>
          </cell>
          <cell r="R42">
            <v>0</v>
          </cell>
          <cell r="S42">
            <v>39000</v>
          </cell>
          <cell r="V42">
            <v>156000</v>
          </cell>
          <cell r="W42">
            <v>39000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4000</v>
          </cell>
          <cell r="Q43">
            <v>39000</v>
          </cell>
          <cell r="R43">
            <v>0</v>
          </cell>
          <cell r="S43">
            <v>39000</v>
          </cell>
          <cell r="V43">
            <v>39000</v>
          </cell>
          <cell r="W43">
            <v>39000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4000</v>
          </cell>
          <cell r="Q44">
            <v>39000</v>
          </cell>
          <cell r="R44">
            <v>0</v>
          </cell>
          <cell r="S44">
            <v>39000</v>
          </cell>
          <cell r="V44">
            <v>0</v>
          </cell>
          <cell r="W44">
            <v>78000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4000</v>
          </cell>
          <cell r="Q45">
            <v>39000</v>
          </cell>
          <cell r="R45">
            <v>0</v>
          </cell>
          <cell r="S45">
            <v>39000</v>
          </cell>
          <cell r="V45">
            <v>0</v>
          </cell>
          <cell r="W45">
            <v>117000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4000</v>
          </cell>
          <cell r="Q46">
            <v>39000</v>
          </cell>
          <cell r="R46">
            <v>0</v>
          </cell>
          <cell r="S46">
            <v>39000</v>
          </cell>
          <cell r="V46">
            <v>0</v>
          </cell>
          <cell r="W46">
            <v>156000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4000</v>
          </cell>
          <cell r="Q47">
            <v>39000</v>
          </cell>
          <cell r="R47">
            <v>0</v>
          </cell>
          <cell r="S47">
            <v>39000</v>
          </cell>
          <cell r="V47">
            <v>0</v>
          </cell>
          <cell r="W47">
            <v>195000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4000</v>
          </cell>
          <cell r="Q48">
            <v>39000</v>
          </cell>
          <cell r="R48">
            <v>0</v>
          </cell>
          <cell r="S48">
            <v>39000</v>
          </cell>
          <cell r="V48">
            <v>0</v>
          </cell>
          <cell r="W48">
            <v>234000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4000</v>
          </cell>
          <cell r="Q49">
            <v>39000</v>
          </cell>
          <cell r="R49">
            <v>0</v>
          </cell>
          <cell r="S49">
            <v>39000</v>
          </cell>
          <cell r="V49">
            <v>234000</v>
          </cell>
          <cell r="W49">
            <v>39000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4000</v>
          </cell>
          <cell r="Q50">
            <v>39000</v>
          </cell>
          <cell r="R50">
            <v>0</v>
          </cell>
          <cell r="S50">
            <v>39000</v>
          </cell>
          <cell r="V50">
            <v>0</v>
          </cell>
          <cell r="W50">
            <v>78000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4000</v>
          </cell>
          <cell r="Q51">
            <v>39000</v>
          </cell>
          <cell r="R51">
            <v>0</v>
          </cell>
          <cell r="S51">
            <v>39000</v>
          </cell>
          <cell r="V51">
            <v>0</v>
          </cell>
          <cell r="W51">
            <v>117000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4000</v>
          </cell>
          <cell r="Q52">
            <v>39000</v>
          </cell>
          <cell r="R52">
            <v>0</v>
          </cell>
          <cell r="S52">
            <v>39000</v>
          </cell>
          <cell r="V52">
            <v>78000</v>
          </cell>
          <cell r="W52">
            <v>78000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4000</v>
          </cell>
          <cell r="Q53">
            <v>39000</v>
          </cell>
          <cell r="R53">
            <v>0</v>
          </cell>
          <cell r="S53">
            <v>39000</v>
          </cell>
          <cell r="V53">
            <v>0</v>
          </cell>
          <cell r="W53">
            <v>117000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4000</v>
          </cell>
          <cell r="Q54">
            <v>39000</v>
          </cell>
          <cell r="R54">
            <v>0</v>
          </cell>
          <cell r="S54">
            <v>46000</v>
          </cell>
          <cell r="V54">
            <v>78000</v>
          </cell>
          <cell r="W54">
            <v>85000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4000</v>
          </cell>
          <cell r="Q55">
            <v>46000</v>
          </cell>
          <cell r="R55">
            <v>0</v>
          </cell>
          <cell r="S55">
            <v>46000</v>
          </cell>
          <cell r="V55">
            <v>85000</v>
          </cell>
          <cell r="W55">
            <v>46000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4000</v>
          </cell>
          <cell r="Q56">
            <v>46000</v>
          </cell>
          <cell r="R56">
            <v>0</v>
          </cell>
          <cell r="S56">
            <v>46000</v>
          </cell>
          <cell r="V56">
            <v>0</v>
          </cell>
          <cell r="W56">
            <v>92000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4000</v>
          </cell>
          <cell r="Q57">
            <v>46000</v>
          </cell>
          <cell r="R57">
            <v>0</v>
          </cell>
          <cell r="S57">
            <v>46000</v>
          </cell>
          <cell r="V57">
            <v>0</v>
          </cell>
          <cell r="W57">
            <v>138000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4000</v>
          </cell>
          <cell r="Q58">
            <v>46000</v>
          </cell>
          <cell r="R58">
            <v>0</v>
          </cell>
          <cell r="S58">
            <v>46000</v>
          </cell>
          <cell r="V58">
            <v>92000</v>
          </cell>
          <cell r="W58">
            <v>92000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4000</v>
          </cell>
          <cell r="Q59">
            <v>46000</v>
          </cell>
          <cell r="R59">
            <v>0</v>
          </cell>
          <cell r="S59">
            <v>46000</v>
          </cell>
          <cell r="V59">
            <v>0</v>
          </cell>
          <cell r="W59">
            <v>138000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4000</v>
          </cell>
          <cell r="Q60">
            <v>46000</v>
          </cell>
          <cell r="R60">
            <v>0</v>
          </cell>
          <cell r="S60">
            <v>46000</v>
          </cell>
          <cell r="V60">
            <v>92000</v>
          </cell>
          <cell r="W60">
            <v>92000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4000</v>
          </cell>
          <cell r="Q61">
            <v>46000</v>
          </cell>
          <cell r="R61">
            <v>0</v>
          </cell>
          <cell r="S61">
            <v>46000</v>
          </cell>
          <cell r="V61">
            <v>0</v>
          </cell>
          <cell r="W61">
            <v>138000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46000</v>
          </cell>
          <cell r="R62">
            <v>0</v>
          </cell>
          <cell r="S62">
            <v>46000</v>
          </cell>
          <cell r="V62">
            <v>138000</v>
          </cell>
          <cell r="W62">
            <v>46000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46000</v>
          </cell>
          <cell r="R63">
            <v>0</v>
          </cell>
          <cell r="S63">
            <v>46000</v>
          </cell>
          <cell r="V63">
            <v>0</v>
          </cell>
          <cell r="W63">
            <v>92000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46000</v>
          </cell>
          <cell r="R64">
            <v>0</v>
          </cell>
          <cell r="S64">
            <v>46000</v>
          </cell>
          <cell r="V64">
            <v>92000</v>
          </cell>
          <cell r="W64">
            <v>46000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46000</v>
          </cell>
          <cell r="R65">
            <v>0</v>
          </cell>
          <cell r="S65">
            <v>46000</v>
          </cell>
          <cell r="V65">
            <v>0</v>
          </cell>
          <cell r="W65">
            <v>92000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46000</v>
          </cell>
          <cell r="R66">
            <v>0</v>
          </cell>
          <cell r="S66">
            <v>46000</v>
          </cell>
          <cell r="V66">
            <v>0</v>
          </cell>
          <cell r="W66">
            <v>138000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46000</v>
          </cell>
          <cell r="R67">
            <v>0</v>
          </cell>
          <cell r="S67">
            <v>46000</v>
          </cell>
          <cell r="V67">
            <v>138000</v>
          </cell>
          <cell r="W67">
            <v>46000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46000</v>
          </cell>
          <cell r="R68">
            <v>0</v>
          </cell>
          <cell r="S68">
            <v>46000</v>
          </cell>
          <cell r="V68">
            <v>46000</v>
          </cell>
          <cell r="W68">
            <v>46000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46000</v>
          </cell>
          <cell r="R69">
            <v>0</v>
          </cell>
          <cell r="S69">
            <v>46000</v>
          </cell>
          <cell r="V69">
            <v>0</v>
          </cell>
          <cell r="W69">
            <v>92000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46000</v>
          </cell>
          <cell r="R70">
            <v>0</v>
          </cell>
          <cell r="S70">
            <v>46000</v>
          </cell>
          <cell r="V70">
            <v>92000</v>
          </cell>
          <cell r="W70">
            <v>46000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46000</v>
          </cell>
          <cell r="R71">
            <v>0</v>
          </cell>
          <cell r="S71">
            <v>46000</v>
          </cell>
          <cell r="V71">
            <v>46000</v>
          </cell>
          <cell r="W71">
            <v>46000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46000</v>
          </cell>
          <cell r="R72">
            <v>0</v>
          </cell>
          <cell r="S72">
            <v>46000</v>
          </cell>
          <cell r="V72">
            <v>0</v>
          </cell>
          <cell r="W72">
            <v>92000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46000</v>
          </cell>
          <cell r="R73">
            <v>0</v>
          </cell>
          <cell r="S73">
            <v>46000</v>
          </cell>
          <cell r="V73">
            <v>92000</v>
          </cell>
          <cell r="W73">
            <v>46000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46000</v>
          </cell>
          <cell r="R74">
            <v>0</v>
          </cell>
          <cell r="S74">
            <v>46000</v>
          </cell>
          <cell r="V74">
            <v>0</v>
          </cell>
          <cell r="W74">
            <v>92000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46000</v>
          </cell>
          <cell r="R75">
            <v>0</v>
          </cell>
          <cell r="S75">
            <v>46000</v>
          </cell>
          <cell r="V75">
            <v>92000</v>
          </cell>
          <cell r="W75">
            <v>46000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46000</v>
          </cell>
          <cell r="R76">
            <v>0</v>
          </cell>
          <cell r="S76">
            <v>46000</v>
          </cell>
          <cell r="V76">
            <v>46000</v>
          </cell>
          <cell r="W76">
            <v>46000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46000</v>
          </cell>
          <cell r="R77">
            <v>0</v>
          </cell>
          <cell r="S77">
            <v>46000</v>
          </cell>
          <cell r="V77">
            <v>0</v>
          </cell>
          <cell r="W77">
            <v>92000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46000</v>
          </cell>
          <cell r="R78">
            <v>0</v>
          </cell>
          <cell r="S78">
            <v>46000</v>
          </cell>
          <cell r="V78">
            <v>92000</v>
          </cell>
          <cell r="W78">
            <v>46000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46000</v>
          </cell>
          <cell r="R79">
            <v>9200</v>
          </cell>
          <cell r="S79">
            <v>46000</v>
          </cell>
          <cell r="V79">
            <v>0</v>
          </cell>
          <cell r="W79">
            <v>101200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46000</v>
          </cell>
          <cell r="R80">
            <v>0</v>
          </cell>
          <cell r="S80">
            <v>46000</v>
          </cell>
          <cell r="V80">
            <v>0</v>
          </cell>
          <cell r="W80">
            <v>147200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46000</v>
          </cell>
          <cell r="R81">
            <v>0</v>
          </cell>
          <cell r="S81">
            <v>46000</v>
          </cell>
          <cell r="V81">
            <v>138000</v>
          </cell>
          <cell r="W81">
            <v>55200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46000</v>
          </cell>
          <cell r="R82">
            <v>0</v>
          </cell>
          <cell r="S82">
            <v>46000</v>
          </cell>
          <cell r="V82">
            <v>46000</v>
          </cell>
          <cell r="W82">
            <v>55200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46000</v>
          </cell>
          <cell r="R83">
            <v>0</v>
          </cell>
          <cell r="S83">
            <v>46000</v>
          </cell>
          <cell r="V83">
            <v>0</v>
          </cell>
          <cell r="W83">
            <v>101200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46000</v>
          </cell>
          <cell r="R84">
            <v>0</v>
          </cell>
          <cell r="S84">
            <v>46000</v>
          </cell>
          <cell r="V84">
            <v>92000</v>
          </cell>
          <cell r="W84">
            <v>55200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46000</v>
          </cell>
          <cell r="R85">
            <v>0</v>
          </cell>
          <cell r="S85">
            <v>56000</v>
          </cell>
          <cell r="V85">
            <v>55200</v>
          </cell>
          <cell r="W85">
            <v>56000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56000</v>
          </cell>
          <cell r="R86">
            <v>0</v>
          </cell>
          <cell r="S86">
            <v>46000</v>
          </cell>
          <cell r="V86">
            <v>56000</v>
          </cell>
          <cell r="W86">
            <v>46000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46000</v>
          </cell>
          <cell r="R87">
            <v>0</v>
          </cell>
          <cell r="S87">
            <v>46000</v>
          </cell>
          <cell r="V87">
            <v>46000</v>
          </cell>
          <cell r="W87">
            <v>46000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46000</v>
          </cell>
          <cell r="R88">
            <v>0</v>
          </cell>
          <cell r="S88">
            <v>46000</v>
          </cell>
          <cell r="V88">
            <v>92000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46000</v>
          </cell>
          <cell r="R89">
            <v>0</v>
          </cell>
          <cell r="S89">
            <v>46000</v>
          </cell>
          <cell r="V89">
            <v>46000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46000</v>
          </cell>
          <cell r="R90">
            <v>0</v>
          </cell>
          <cell r="S90">
            <v>46000</v>
          </cell>
          <cell r="V90">
            <v>0</v>
          </cell>
          <cell r="W90">
            <v>46000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55000</v>
          </cell>
          <cell r="R91">
            <v>0</v>
          </cell>
          <cell r="S91">
            <v>65000</v>
          </cell>
          <cell r="V91">
            <v>101000</v>
          </cell>
          <cell r="W91">
            <v>10000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55000</v>
          </cell>
          <cell r="R92">
            <v>0</v>
          </cell>
          <cell r="S92">
            <v>65000</v>
          </cell>
          <cell r="V92">
            <v>0</v>
          </cell>
          <cell r="W92">
            <v>75000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55000</v>
          </cell>
          <cell r="R93">
            <v>0</v>
          </cell>
          <cell r="S93">
            <v>65000</v>
          </cell>
          <cell r="V93">
            <v>110000</v>
          </cell>
          <cell r="W93">
            <v>30000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55000</v>
          </cell>
          <cell r="R94">
            <v>0</v>
          </cell>
          <cell r="S94">
            <v>65000</v>
          </cell>
          <cell r="V94">
            <v>55000</v>
          </cell>
          <cell r="W94">
            <v>40000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55000</v>
          </cell>
          <cell r="R95">
            <v>0</v>
          </cell>
          <cell r="S95">
            <v>65000</v>
          </cell>
          <cell r="V95">
            <v>55000</v>
          </cell>
          <cell r="W95">
            <v>50000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55000</v>
          </cell>
          <cell r="R96">
            <v>0</v>
          </cell>
          <cell r="S96">
            <v>55000</v>
          </cell>
          <cell r="V96">
            <v>55000</v>
          </cell>
          <cell r="W96">
            <v>50000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0</v>
          </cell>
          <cell r="W97">
            <v>55000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55000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110000</v>
          </cell>
          <cell r="V98">
            <v>110000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55000</v>
          </cell>
          <cell r="V100">
            <v>55000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55000</v>
          </cell>
          <cell r="V101">
            <v>55000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55000</v>
          </cell>
          <cell r="V102">
            <v>55000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56650</v>
          </cell>
          <cell r="V103">
            <v>56650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56650</v>
          </cell>
          <cell r="V104">
            <v>56650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56650</v>
          </cell>
          <cell r="V105">
            <v>56650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56650</v>
          </cell>
          <cell r="V106">
            <v>56650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56650</v>
          </cell>
          <cell r="V107">
            <v>56650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56650</v>
          </cell>
          <cell r="V108">
            <v>56650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56650</v>
          </cell>
          <cell r="V109">
            <v>56650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56650</v>
          </cell>
          <cell r="V110">
            <v>56650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11330</v>
          </cell>
          <cell r="S111">
            <v>67980</v>
          </cell>
          <cell r="V111">
            <v>67980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56650</v>
          </cell>
          <cell r="V112">
            <v>56650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56650</v>
          </cell>
          <cell r="V113">
            <v>56650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56650</v>
          </cell>
          <cell r="V114">
            <v>56650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58859</v>
          </cell>
          <cell r="R115">
            <v>0</v>
          </cell>
          <cell r="S115">
            <v>58859</v>
          </cell>
          <cell r="V115">
            <v>58859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44926</v>
          </cell>
          <cell r="S116">
            <v>103785</v>
          </cell>
          <cell r="V116">
            <v>0</v>
          </cell>
          <cell r="W116">
            <v>103785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45067</v>
          </cell>
          <cell r="S117">
            <v>103926</v>
          </cell>
          <cell r="V117">
            <v>0</v>
          </cell>
          <cell r="W117">
            <v>207711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45182</v>
          </cell>
          <cell r="S118">
            <v>104041</v>
          </cell>
          <cell r="V118">
            <v>0</v>
          </cell>
          <cell r="W118">
            <v>311752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45242</v>
          </cell>
          <cell r="S119">
            <v>104101</v>
          </cell>
          <cell r="V119">
            <v>0</v>
          </cell>
          <cell r="W119">
            <v>415853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45255</v>
          </cell>
          <cell r="S120">
            <v>104114</v>
          </cell>
          <cell r="V120">
            <v>0</v>
          </cell>
          <cell r="W120">
            <v>519967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45158</v>
          </cell>
          <cell r="S121">
            <v>104017</v>
          </cell>
          <cell r="V121">
            <v>0</v>
          </cell>
          <cell r="W121">
            <v>623984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45119</v>
          </cell>
          <cell r="S122">
            <v>103978</v>
          </cell>
          <cell r="V122">
            <v>0</v>
          </cell>
          <cell r="W122">
            <v>727962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58859</v>
          </cell>
          <cell r="R123">
            <v>45182</v>
          </cell>
          <cell r="S123">
            <v>104041</v>
          </cell>
          <cell r="V123">
            <v>0</v>
          </cell>
          <cell r="W123">
            <v>832003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58859</v>
          </cell>
          <cell r="R124">
            <v>45466</v>
          </cell>
          <cell r="S124">
            <v>104325</v>
          </cell>
          <cell r="V124">
            <v>0</v>
          </cell>
          <cell r="W124">
            <v>936328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58859</v>
          </cell>
          <cell r="R125">
            <v>45762</v>
          </cell>
          <cell r="S125">
            <v>104621</v>
          </cell>
          <cell r="V125">
            <v>0</v>
          </cell>
          <cell r="W125">
            <v>1040949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58859</v>
          </cell>
          <cell r="R126">
            <v>45682</v>
          </cell>
          <cell r="S126">
            <v>104541</v>
          </cell>
          <cell r="V126">
            <v>0</v>
          </cell>
          <cell r="W126">
            <v>1145490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59734</v>
          </cell>
          <cell r="R127">
            <v>45615</v>
          </cell>
          <cell r="S127">
            <v>105349</v>
          </cell>
          <cell r="V127">
            <v>0</v>
          </cell>
          <cell r="W127">
            <v>1250839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12288</v>
          </cell>
          <cell r="O128">
            <v>0</v>
          </cell>
          <cell r="P128">
            <v>0</v>
          </cell>
          <cell r="Q128">
            <v>59734</v>
          </cell>
          <cell r="R128">
            <v>45677</v>
          </cell>
          <cell r="S128">
            <v>117699</v>
          </cell>
          <cell r="V128">
            <v>0</v>
          </cell>
          <cell r="W128">
            <v>1368538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59734</v>
          </cell>
          <cell r="R129">
            <v>45739</v>
          </cell>
          <cell r="S129">
            <v>105473</v>
          </cell>
          <cell r="V129">
            <v>0</v>
          </cell>
          <cell r="W129">
            <v>1474011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59734</v>
          </cell>
          <cell r="R130">
            <v>45880</v>
          </cell>
          <cell r="S130">
            <v>105614</v>
          </cell>
          <cell r="V130">
            <v>0</v>
          </cell>
          <cell r="W130">
            <v>1579625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59734</v>
          </cell>
          <cell r="R131">
            <v>45772</v>
          </cell>
          <cell r="S131">
            <v>105506</v>
          </cell>
          <cell r="V131">
            <v>0</v>
          </cell>
          <cell r="W131">
            <v>1685131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59734</v>
          </cell>
          <cell r="R132">
            <v>45705</v>
          </cell>
          <cell r="S132">
            <v>105439</v>
          </cell>
          <cell r="V132">
            <v>0</v>
          </cell>
          <cell r="W132">
            <v>1790570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59734</v>
          </cell>
          <cell r="R133">
            <v>45900</v>
          </cell>
          <cell r="S133">
            <v>105634</v>
          </cell>
          <cell r="V133">
            <v>0</v>
          </cell>
          <cell r="W133">
            <v>1896204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59734</v>
          </cell>
          <cell r="R134">
            <v>46077</v>
          </cell>
          <cell r="S134">
            <v>105811</v>
          </cell>
          <cell r="V134">
            <v>0</v>
          </cell>
          <cell r="W134">
            <v>2002015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59734</v>
          </cell>
          <cell r="R135">
            <v>46182</v>
          </cell>
          <cell r="S135">
            <v>105916</v>
          </cell>
          <cell r="V135">
            <v>0</v>
          </cell>
          <cell r="W135">
            <v>2107931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59734</v>
          </cell>
          <cell r="R136">
            <v>46374</v>
          </cell>
          <cell r="S136">
            <v>106108</v>
          </cell>
          <cell r="V136">
            <v>0</v>
          </cell>
          <cell r="W136">
            <v>2214039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59734</v>
          </cell>
          <cell r="R137">
            <v>46473</v>
          </cell>
          <cell r="S137">
            <v>106207</v>
          </cell>
          <cell r="V137">
            <v>0</v>
          </cell>
          <cell r="W137">
            <v>2320246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59734</v>
          </cell>
          <cell r="R138">
            <v>46619</v>
          </cell>
          <cell r="S138">
            <v>106353</v>
          </cell>
          <cell r="V138">
            <v>0</v>
          </cell>
          <cell r="W138">
            <v>2426599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61536</v>
          </cell>
          <cell r="R139">
            <v>46871</v>
          </cell>
          <cell r="S139">
            <v>108407</v>
          </cell>
          <cell r="V139">
            <v>0</v>
          </cell>
          <cell r="W139">
            <v>2535006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61536</v>
          </cell>
          <cell r="R140">
            <v>47017</v>
          </cell>
          <cell r="S140">
            <v>108553</v>
          </cell>
          <cell r="V140">
            <v>0</v>
          </cell>
          <cell r="W140">
            <v>2643559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61536</v>
          </cell>
          <cell r="R141">
            <v>47214</v>
          </cell>
          <cell r="S141">
            <v>108750</v>
          </cell>
          <cell r="V141">
            <v>0</v>
          </cell>
          <cell r="W141">
            <v>2752309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61536</v>
          </cell>
          <cell r="R142">
            <v>47547</v>
          </cell>
          <cell r="S142">
            <v>109083</v>
          </cell>
          <cell r="V142">
            <v>0</v>
          </cell>
          <cell r="W142">
            <v>2861392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61536</v>
          </cell>
          <cell r="R143">
            <v>47863</v>
          </cell>
          <cell r="S143">
            <v>109399</v>
          </cell>
          <cell r="V143">
            <v>0</v>
          </cell>
          <cell r="W143">
            <v>2970791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61536</v>
          </cell>
          <cell r="R144">
            <v>48047</v>
          </cell>
          <cell r="S144">
            <v>109583</v>
          </cell>
          <cell r="V144">
            <v>0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61536</v>
          </cell>
          <cell r="R145">
            <v>48125</v>
          </cell>
          <cell r="S145">
            <v>109661</v>
          </cell>
          <cell r="V145">
            <v>0</v>
          </cell>
          <cell r="W145">
            <v>109661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61536</v>
          </cell>
          <cell r="R146">
            <v>48207</v>
          </cell>
          <cell r="S146">
            <v>109743</v>
          </cell>
          <cell r="V146">
            <v>0</v>
          </cell>
          <cell r="W146">
            <v>219404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61536</v>
          </cell>
          <cell r="R147">
            <v>48336</v>
          </cell>
          <cell r="S147">
            <v>109872</v>
          </cell>
          <cell r="V147">
            <v>0</v>
          </cell>
          <cell r="W147">
            <v>329276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61536</v>
          </cell>
          <cell r="R148">
            <v>48654</v>
          </cell>
          <cell r="S148">
            <v>110190</v>
          </cell>
          <cell r="V148">
            <v>0</v>
          </cell>
          <cell r="W148">
            <v>439466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61536</v>
          </cell>
          <cell r="R149">
            <v>49107</v>
          </cell>
          <cell r="S149">
            <v>110643</v>
          </cell>
          <cell r="V149">
            <v>0</v>
          </cell>
          <cell r="W149">
            <v>550109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61536</v>
          </cell>
          <cell r="R150">
            <v>49254</v>
          </cell>
          <cell r="S150">
            <v>110790</v>
          </cell>
          <cell r="V150">
            <v>0</v>
          </cell>
          <cell r="W150">
            <v>660899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64395</v>
          </cell>
          <cell r="R151">
            <v>49114</v>
          </cell>
          <cell r="S151">
            <v>113509</v>
          </cell>
          <cell r="V151">
            <v>0</v>
          </cell>
          <cell r="W151">
            <v>774408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64395</v>
          </cell>
          <cell r="R152">
            <v>49090</v>
          </cell>
          <cell r="S152">
            <v>113485</v>
          </cell>
          <cell r="V152">
            <v>0</v>
          </cell>
          <cell r="W152">
            <v>887893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64395</v>
          </cell>
          <cell r="R153">
            <v>49246</v>
          </cell>
          <cell r="S153">
            <v>113641</v>
          </cell>
          <cell r="V153">
            <v>0</v>
          </cell>
          <cell r="W153">
            <v>1001534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64395</v>
          </cell>
          <cell r="R154">
            <v>49509</v>
          </cell>
          <cell r="S154">
            <v>113904</v>
          </cell>
          <cell r="V154">
            <v>0</v>
          </cell>
          <cell r="W154">
            <v>1115438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64395</v>
          </cell>
          <cell r="R155">
            <v>49810</v>
          </cell>
          <cell r="S155">
            <v>114205</v>
          </cell>
          <cell r="V155">
            <v>0</v>
          </cell>
          <cell r="W155">
            <v>1229643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64395</v>
          </cell>
          <cell r="R156">
            <v>49966</v>
          </cell>
          <cell r="S156">
            <v>114361</v>
          </cell>
          <cell r="V156">
            <v>0</v>
          </cell>
          <cell r="W156">
            <v>1344004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64395</v>
          </cell>
          <cell r="R157">
            <v>50173</v>
          </cell>
          <cell r="S157">
            <v>114568</v>
          </cell>
          <cell r="V157">
            <v>0</v>
          </cell>
          <cell r="W157">
            <v>1458572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64395</v>
          </cell>
          <cell r="R158">
            <v>50388</v>
          </cell>
          <cell r="S158">
            <v>114783</v>
          </cell>
          <cell r="V158">
            <v>0</v>
          </cell>
          <cell r="W158">
            <v>1573355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64395</v>
          </cell>
          <cell r="R159">
            <v>50694</v>
          </cell>
          <cell r="S159">
            <v>115089</v>
          </cell>
          <cell r="V159">
            <v>0</v>
          </cell>
          <cell r="W159">
            <v>1688444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64395</v>
          </cell>
          <cell r="R160">
            <v>50980</v>
          </cell>
          <cell r="S160">
            <v>115375</v>
          </cell>
          <cell r="V160">
            <v>0</v>
          </cell>
          <cell r="W160">
            <v>1803819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64395</v>
          </cell>
          <cell r="R161">
            <v>51197</v>
          </cell>
          <cell r="S161">
            <v>115592</v>
          </cell>
          <cell r="V161">
            <v>0</v>
          </cell>
          <cell r="W161">
            <v>1919411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64395</v>
          </cell>
          <cell r="R162">
            <v>51258</v>
          </cell>
          <cell r="S162">
            <v>115653</v>
          </cell>
          <cell r="V162">
            <v>0</v>
          </cell>
          <cell r="W162">
            <v>2035064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74395</v>
          </cell>
          <cell r="R163">
            <v>51258</v>
          </cell>
          <cell r="S163">
            <v>125653</v>
          </cell>
          <cell r="V163">
            <v>0</v>
          </cell>
          <cell r="W163">
            <v>2160717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74395</v>
          </cell>
          <cell r="R164">
            <v>51435</v>
          </cell>
          <cell r="S164">
            <v>125830</v>
          </cell>
          <cell r="V164">
            <v>0</v>
          </cell>
          <cell r="W164">
            <v>2286547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74395</v>
          </cell>
          <cell r="R165">
            <v>51624</v>
          </cell>
          <cell r="S165">
            <v>126019</v>
          </cell>
          <cell r="V165">
            <v>0</v>
          </cell>
          <cell r="W165">
            <v>2412566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74395</v>
          </cell>
          <cell r="R166">
            <v>51814</v>
          </cell>
          <cell r="S166">
            <v>126209</v>
          </cell>
          <cell r="V166">
            <v>0</v>
          </cell>
          <cell r="W166">
            <v>2538775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74395</v>
          </cell>
          <cell r="R167">
            <v>51986</v>
          </cell>
          <cell r="S167">
            <v>126381</v>
          </cell>
          <cell r="V167">
            <v>0</v>
          </cell>
          <cell r="W167">
            <v>2665156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74395</v>
          </cell>
          <cell r="R168">
            <v>52104</v>
          </cell>
          <cell r="S168">
            <v>126499</v>
          </cell>
          <cell r="V168">
            <v>0</v>
          </cell>
          <cell r="W168">
            <v>2791655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74395</v>
          </cell>
          <cell r="R169">
            <v>52283</v>
          </cell>
          <cell r="S169">
            <v>126678</v>
          </cell>
          <cell r="V169">
            <v>0</v>
          </cell>
          <cell r="W169">
            <v>2918333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74395</v>
          </cell>
          <cell r="R170">
            <v>52418</v>
          </cell>
          <cell r="S170">
            <v>126813</v>
          </cell>
          <cell r="V170">
            <v>0</v>
          </cell>
          <cell r="W170">
            <v>3045146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74395</v>
          </cell>
          <cell r="R171">
            <v>52448</v>
          </cell>
          <cell r="S171">
            <v>126843</v>
          </cell>
          <cell r="V171">
            <v>0</v>
          </cell>
          <cell r="W171">
            <v>3171989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74395</v>
          </cell>
          <cell r="R172">
            <v>52523</v>
          </cell>
          <cell r="S172">
            <v>126918</v>
          </cell>
          <cell r="V172">
            <v>0</v>
          </cell>
          <cell r="W172">
            <v>3298907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74395</v>
          </cell>
          <cell r="R173">
            <v>52627</v>
          </cell>
          <cell r="S173">
            <v>127022</v>
          </cell>
          <cell r="V173">
            <v>0</v>
          </cell>
          <cell r="W173">
            <v>3425929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74395</v>
          </cell>
          <cell r="R174">
            <v>52696</v>
          </cell>
          <cell r="S174">
            <v>127091</v>
          </cell>
          <cell r="V174">
            <v>0</v>
          </cell>
          <cell r="W174">
            <v>3553020</v>
          </cell>
        </row>
      </sheetData>
      <sheetData sheetId="65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55000</v>
          </cell>
          <cell r="R97">
            <v>0</v>
          </cell>
          <cell r="S97">
            <v>55000</v>
          </cell>
          <cell r="V97">
            <v>165000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55000</v>
          </cell>
          <cell r="R98">
            <v>0</v>
          </cell>
          <cell r="S98">
            <v>55000</v>
          </cell>
          <cell r="V98">
            <v>55000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55000</v>
          </cell>
          <cell r="R99">
            <v>0</v>
          </cell>
          <cell r="S99">
            <v>55000</v>
          </cell>
          <cell r="V99">
            <v>55000</v>
          </cell>
          <cell r="W99">
            <v>0</v>
          </cell>
        </row>
        <row r="100">
          <cell r="E100">
            <v>40</v>
          </cell>
          <cell r="G100">
            <v>5840</v>
          </cell>
          <cell r="J100">
            <v>13</v>
          </cell>
          <cell r="L100">
            <v>4680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55000</v>
          </cell>
          <cell r="R100">
            <v>0</v>
          </cell>
          <cell r="S100">
            <v>65520</v>
          </cell>
          <cell r="V100">
            <v>65520</v>
          </cell>
          <cell r="W100">
            <v>0</v>
          </cell>
        </row>
        <row r="101">
          <cell r="E101">
            <v>46</v>
          </cell>
          <cell r="G101">
            <v>6716</v>
          </cell>
          <cell r="J101">
            <v>7</v>
          </cell>
          <cell r="L101">
            <v>2520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55000</v>
          </cell>
          <cell r="R101">
            <v>0</v>
          </cell>
          <cell r="S101">
            <v>64236</v>
          </cell>
          <cell r="V101">
            <v>64236</v>
          </cell>
          <cell r="W101">
            <v>0</v>
          </cell>
        </row>
        <row r="102">
          <cell r="E102">
            <v>26</v>
          </cell>
          <cell r="G102">
            <v>3796</v>
          </cell>
          <cell r="J102">
            <v>1</v>
          </cell>
          <cell r="L102">
            <v>360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55000</v>
          </cell>
          <cell r="R102">
            <v>0</v>
          </cell>
          <cell r="S102">
            <v>59156</v>
          </cell>
          <cell r="V102">
            <v>59156</v>
          </cell>
          <cell r="W102">
            <v>0</v>
          </cell>
        </row>
        <row r="103">
          <cell r="E103">
            <v>25</v>
          </cell>
          <cell r="G103">
            <v>3650</v>
          </cell>
          <cell r="J103">
            <v>1</v>
          </cell>
          <cell r="L103">
            <v>360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56650</v>
          </cell>
          <cell r="R103">
            <v>0</v>
          </cell>
          <cell r="S103">
            <v>60660</v>
          </cell>
          <cell r="V103">
            <v>60660</v>
          </cell>
          <cell r="W103">
            <v>0</v>
          </cell>
        </row>
        <row r="104">
          <cell r="E104">
            <v>15</v>
          </cell>
          <cell r="G104">
            <v>2190</v>
          </cell>
          <cell r="J104">
            <v>5</v>
          </cell>
          <cell r="L104">
            <v>1800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56650</v>
          </cell>
          <cell r="R104">
            <v>0</v>
          </cell>
          <cell r="S104">
            <v>60640</v>
          </cell>
          <cell r="V104">
            <v>60640</v>
          </cell>
          <cell r="W104">
            <v>0</v>
          </cell>
        </row>
        <row r="105">
          <cell r="E105">
            <v>63</v>
          </cell>
          <cell r="G105">
            <v>9198</v>
          </cell>
          <cell r="J105">
            <v>20</v>
          </cell>
          <cell r="L105">
            <v>7200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56650</v>
          </cell>
          <cell r="R105">
            <v>0</v>
          </cell>
          <cell r="S105">
            <v>73048</v>
          </cell>
          <cell r="V105">
            <v>73048</v>
          </cell>
          <cell r="W105">
            <v>0</v>
          </cell>
        </row>
        <row r="106">
          <cell r="E106">
            <v>108</v>
          </cell>
          <cell r="G106">
            <v>15768</v>
          </cell>
          <cell r="J106">
            <v>3</v>
          </cell>
          <cell r="L106">
            <v>1080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56650</v>
          </cell>
          <cell r="R106">
            <v>0</v>
          </cell>
          <cell r="S106">
            <v>73498</v>
          </cell>
          <cell r="V106">
            <v>73498</v>
          </cell>
          <cell r="W106">
            <v>0</v>
          </cell>
        </row>
        <row r="107">
          <cell r="E107">
            <v>129</v>
          </cell>
          <cell r="G107">
            <v>18834</v>
          </cell>
          <cell r="J107">
            <v>4</v>
          </cell>
          <cell r="L107">
            <v>1440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56650</v>
          </cell>
          <cell r="R107">
            <v>0</v>
          </cell>
          <cell r="S107">
            <v>76924</v>
          </cell>
          <cell r="V107">
            <v>76924</v>
          </cell>
          <cell r="W107">
            <v>0</v>
          </cell>
        </row>
        <row r="108">
          <cell r="E108">
            <v>81</v>
          </cell>
          <cell r="G108">
            <v>11826</v>
          </cell>
          <cell r="J108">
            <v>2</v>
          </cell>
          <cell r="L108">
            <v>720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56650</v>
          </cell>
          <cell r="R108">
            <v>0</v>
          </cell>
          <cell r="S108">
            <v>69196</v>
          </cell>
          <cell r="V108">
            <v>69196</v>
          </cell>
          <cell r="W108">
            <v>0</v>
          </cell>
        </row>
        <row r="109">
          <cell r="E109">
            <v>159</v>
          </cell>
          <cell r="G109">
            <v>23214</v>
          </cell>
          <cell r="J109">
            <v>82</v>
          </cell>
          <cell r="L109">
            <v>29520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56650</v>
          </cell>
          <cell r="R109">
            <v>0</v>
          </cell>
          <cell r="S109">
            <v>109384</v>
          </cell>
          <cell r="V109">
            <v>109384</v>
          </cell>
          <cell r="W109">
            <v>0</v>
          </cell>
        </row>
        <row r="110">
          <cell r="E110">
            <v>118</v>
          </cell>
          <cell r="G110">
            <v>17228</v>
          </cell>
          <cell r="J110">
            <v>49</v>
          </cell>
          <cell r="L110">
            <v>17640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56650</v>
          </cell>
          <cell r="R110">
            <v>0</v>
          </cell>
          <cell r="S110">
            <v>91518</v>
          </cell>
          <cell r="V110">
            <v>91518</v>
          </cell>
          <cell r="W110">
            <v>0</v>
          </cell>
        </row>
        <row r="111">
          <cell r="E111">
            <v>88</v>
          </cell>
          <cell r="G111">
            <v>12848</v>
          </cell>
          <cell r="J111">
            <v>3</v>
          </cell>
          <cell r="L111">
            <v>1080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56650</v>
          </cell>
          <cell r="R111">
            <v>0</v>
          </cell>
          <cell r="S111">
            <v>70578</v>
          </cell>
          <cell r="V111">
            <v>70578</v>
          </cell>
          <cell r="W111">
            <v>0</v>
          </cell>
        </row>
        <row r="112">
          <cell r="E112">
            <v>99</v>
          </cell>
          <cell r="G112">
            <v>14454</v>
          </cell>
          <cell r="J112">
            <v>9</v>
          </cell>
          <cell r="L112">
            <v>3240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56650</v>
          </cell>
          <cell r="R112">
            <v>0</v>
          </cell>
          <cell r="S112">
            <v>74344</v>
          </cell>
          <cell r="V112">
            <v>74344</v>
          </cell>
          <cell r="W112">
            <v>0</v>
          </cell>
        </row>
        <row r="113">
          <cell r="E113">
            <v>124</v>
          </cell>
          <cell r="G113">
            <v>18104</v>
          </cell>
          <cell r="J113">
            <v>13</v>
          </cell>
          <cell r="L113">
            <v>4680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56650</v>
          </cell>
          <cell r="R113">
            <v>0</v>
          </cell>
          <cell r="S113">
            <v>79434</v>
          </cell>
          <cell r="V113">
            <v>79434</v>
          </cell>
          <cell r="W113">
            <v>0</v>
          </cell>
        </row>
        <row r="114">
          <cell r="E114">
            <v>157</v>
          </cell>
          <cell r="G114">
            <v>22922</v>
          </cell>
          <cell r="J114">
            <v>8</v>
          </cell>
          <cell r="L114">
            <v>2880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56650</v>
          </cell>
          <cell r="R114">
            <v>0</v>
          </cell>
          <cell r="S114">
            <v>82452</v>
          </cell>
          <cell r="V114">
            <v>82452</v>
          </cell>
          <cell r="W114">
            <v>0</v>
          </cell>
        </row>
        <row r="115">
          <cell r="E115">
            <v>160</v>
          </cell>
          <cell r="G115">
            <v>23360</v>
          </cell>
          <cell r="J115">
            <v>16</v>
          </cell>
          <cell r="L115">
            <v>5760</v>
          </cell>
          <cell r="M115">
            <v>0</v>
          </cell>
          <cell r="N115">
            <v>0</v>
          </cell>
          <cell r="O115">
            <v>0</v>
          </cell>
          <cell r="P115">
            <v>25466</v>
          </cell>
          <cell r="Q115">
            <v>58859</v>
          </cell>
          <cell r="R115">
            <v>0</v>
          </cell>
          <cell r="S115">
            <v>113445</v>
          </cell>
          <cell r="V115">
            <v>113445</v>
          </cell>
          <cell r="W115">
            <v>0</v>
          </cell>
        </row>
        <row r="116">
          <cell r="E116">
            <v>81</v>
          </cell>
          <cell r="G116">
            <v>11826</v>
          </cell>
          <cell r="J116">
            <v>7</v>
          </cell>
          <cell r="L116">
            <v>2520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58859</v>
          </cell>
          <cell r="R116">
            <v>0</v>
          </cell>
          <cell r="S116">
            <v>73205</v>
          </cell>
          <cell r="V116">
            <v>73205</v>
          </cell>
          <cell r="W116">
            <v>0</v>
          </cell>
        </row>
        <row r="117">
          <cell r="E117">
            <v>102</v>
          </cell>
          <cell r="G117">
            <v>14892</v>
          </cell>
          <cell r="J117">
            <v>8</v>
          </cell>
          <cell r="L117">
            <v>2880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58859</v>
          </cell>
          <cell r="R117">
            <v>0</v>
          </cell>
          <cell r="S117">
            <v>76631</v>
          </cell>
          <cell r="V117">
            <v>76631</v>
          </cell>
          <cell r="W117">
            <v>0</v>
          </cell>
        </row>
        <row r="118">
          <cell r="E118">
            <v>71</v>
          </cell>
          <cell r="G118">
            <v>10366</v>
          </cell>
          <cell r="J118">
            <v>7</v>
          </cell>
          <cell r="L118">
            <v>2520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58859</v>
          </cell>
          <cell r="R118">
            <v>0</v>
          </cell>
          <cell r="S118">
            <v>71745</v>
          </cell>
          <cell r="V118">
            <v>71745</v>
          </cell>
          <cell r="W118">
            <v>0</v>
          </cell>
        </row>
        <row r="119">
          <cell r="E119">
            <v>108</v>
          </cell>
          <cell r="G119">
            <v>15768</v>
          </cell>
          <cell r="J119">
            <v>9</v>
          </cell>
          <cell r="L119">
            <v>3240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58859</v>
          </cell>
          <cell r="R119">
            <v>0</v>
          </cell>
          <cell r="S119">
            <v>77867</v>
          </cell>
          <cell r="V119">
            <v>77867</v>
          </cell>
          <cell r="W119">
            <v>0</v>
          </cell>
        </row>
        <row r="120">
          <cell r="E120">
            <v>87</v>
          </cell>
          <cell r="G120">
            <v>12702</v>
          </cell>
          <cell r="J120">
            <v>4</v>
          </cell>
          <cell r="L120">
            <v>1440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58859</v>
          </cell>
          <cell r="R120">
            <v>0</v>
          </cell>
          <cell r="S120">
            <v>73001</v>
          </cell>
          <cell r="V120">
            <v>73001</v>
          </cell>
          <cell r="W120">
            <v>0</v>
          </cell>
        </row>
        <row r="121">
          <cell r="E121">
            <v>98</v>
          </cell>
          <cell r="G121">
            <v>14308</v>
          </cell>
          <cell r="J121">
            <v>5</v>
          </cell>
          <cell r="L121">
            <v>1800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58859</v>
          </cell>
          <cell r="R121">
            <v>0</v>
          </cell>
          <cell r="S121">
            <v>74967</v>
          </cell>
          <cell r="V121">
            <v>74967</v>
          </cell>
          <cell r="W121">
            <v>0</v>
          </cell>
        </row>
        <row r="122">
          <cell r="E122">
            <v>104</v>
          </cell>
          <cell r="G122">
            <v>15184</v>
          </cell>
          <cell r="J122">
            <v>6</v>
          </cell>
          <cell r="L122">
            <v>2160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58859</v>
          </cell>
          <cell r="R122">
            <v>0</v>
          </cell>
          <cell r="S122">
            <v>76203</v>
          </cell>
          <cell r="V122">
            <v>76203</v>
          </cell>
          <cell r="W122">
            <v>0</v>
          </cell>
        </row>
        <row r="123">
          <cell r="E123">
            <v>69</v>
          </cell>
          <cell r="G123">
            <v>10074</v>
          </cell>
          <cell r="J123">
            <v>7</v>
          </cell>
          <cell r="L123">
            <v>2520</v>
          </cell>
          <cell r="M123">
            <v>0</v>
          </cell>
          <cell r="N123">
            <v>0</v>
          </cell>
          <cell r="O123">
            <v>0</v>
          </cell>
          <cell r="P123">
            <v>10000</v>
          </cell>
          <cell r="Q123">
            <v>58859</v>
          </cell>
          <cell r="R123">
            <v>0</v>
          </cell>
          <cell r="S123">
            <v>81453</v>
          </cell>
          <cell r="V123">
            <v>81453</v>
          </cell>
          <cell r="W123">
            <v>0</v>
          </cell>
        </row>
        <row r="124">
          <cell r="E124">
            <v>78</v>
          </cell>
          <cell r="G124">
            <v>11388</v>
          </cell>
          <cell r="J124">
            <v>8</v>
          </cell>
          <cell r="L124">
            <v>2880</v>
          </cell>
          <cell r="M124">
            <v>0</v>
          </cell>
          <cell r="N124">
            <v>0</v>
          </cell>
          <cell r="O124">
            <v>0</v>
          </cell>
          <cell r="P124">
            <v>10000</v>
          </cell>
          <cell r="Q124">
            <v>58859</v>
          </cell>
          <cell r="R124">
            <v>0</v>
          </cell>
          <cell r="S124">
            <v>83127</v>
          </cell>
          <cell r="V124">
            <v>83127</v>
          </cell>
          <cell r="W124">
            <v>0</v>
          </cell>
        </row>
        <row r="125">
          <cell r="E125">
            <v>80</v>
          </cell>
          <cell r="G125">
            <v>11680</v>
          </cell>
          <cell r="J125">
            <v>18</v>
          </cell>
          <cell r="L125">
            <v>6480</v>
          </cell>
          <cell r="M125">
            <v>0</v>
          </cell>
          <cell r="N125">
            <v>0</v>
          </cell>
          <cell r="O125">
            <v>0</v>
          </cell>
          <cell r="P125">
            <v>10000</v>
          </cell>
          <cell r="Q125">
            <v>58859</v>
          </cell>
          <cell r="R125">
            <v>0</v>
          </cell>
          <cell r="S125">
            <v>87019</v>
          </cell>
          <cell r="V125">
            <v>87019</v>
          </cell>
          <cell r="W125">
            <v>0</v>
          </cell>
        </row>
        <row r="126">
          <cell r="E126">
            <v>86</v>
          </cell>
          <cell r="G126">
            <v>12556</v>
          </cell>
          <cell r="J126">
            <v>8</v>
          </cell>
          <cell r="L126">
            <v>2880</v>
          </cell>
          <cell r="M126">
            <v>0</v>
          </cell>
          <cell r="N126">
            <v>0</v>
          </cell>
          <cell r="O126">
            <v>0</v>
          </cell>
          <cell r="P126">
            <v>10000</v>
          </cell>
          <cell r="Q126">
            <v>58859</v>
          </cell>
          <cell r="R126">
            <v>0</v>
          </cell>
          <cell r="S126">
            <v>84295</v>
          </cell>
          <cell r="V126">
            <v>84295</v>
          </cell>
          <cell r="W126">
            <v>0</v>
          </cell>
        </row>
        <row r="127">
          <cell r="E127">
            <v>174</v>
          </cell>
          <cell r="G127">
            <v>25404</v>
          </cell>
          <cell r="J127">
            <v>25</v>
          </cell>
          <cell r="L127">
            <v>9000</v>
          </cell>
          <cell r="M127">
            <v>0</v>
          </cell>
          <cell r="N127">
            <v>0</v>
          </cell>
          <cell r="O127">
            <v>0</v>
          </cell>
          <cell r="P127">
            <v>10000</v>
          </cell>
          <cell r="Q127">
            <v>59734</v>
          </cell>
          <cell r="R127">
            <v>0</v>
          </cell>
          <cell r="S127">
            <v>104138</v>
          </cell>
          <cell r="V127">
            <v>104138</v>
          </cell>
          <cell r="W127">
            <v>0</v>
          </cell>
        </row>
        <row r="128">
          <cell r="E128">
            <v>155</v>
          </cell>
          <cell r="G128">
            <v>22630</v>
          </cell>
          <cell r="J128">
            <v>9</v>
          </cell>
          <cell r="L128">
            <v>3240</v>
          </cell>
          <cell r="M128">
            <v>0</v>
          </cell>
          <cell r="N128">
            <v>0</v>
          </cell>
          <cell r="O128">
            <v>12288</v>
          </cell>
          <cell r="P128">
            <v>10000</v>
          </cell>
          <cell r="Q128">
            <v>59734</v>
          </cell>
          <cell r="R128">
            <v>0</v>
          </cell>
          <cell r="S128">
            <v>107892</v>
          </cell>
          <cell r="V128">
            <v>107892</v>
          </cell>
          <cell r="W128">
            <v>0</v>
          </cell>
        </row>
        <row r="129">
          <cell r="E129">
            <v>125</v>
          </cell>
          <cell r="G129">
            <v>18250</v>
          </cell>
          <cell r="J129">
            <v>8</v>
          </cell>
          <cell r="L129">
            <v>2880</v>
          </cell>
          <cell r="M129">
            <v>0</v>
          </cell>
          <cell r="N129">
            <v>0</v>
          </cell>
          <cell r="O129">
            <v>0</v>
          </cell>
          <cell r="P129">
            <v>10000</v>
          </cell>
          <cell r="Q129">
            <v>59734</v>
          </cell>
          <cell r="R129">
            <v>0</v>
          </cell>
          <cell r="S129">
            <v>90864</v>
          </cell>
          <cell r="V129">
            <v>90864</v>
          </cell>
          <cell r="W129">
            <v>0</v>
          </cell>
        </row>
        <row r="130">
          <cell r="E130">
            <v>102</v>
          </cell>
          <cell r="G130">
            <v>14892</v>
          </cell>
          <cell r="J130">
            <v>9</v>
          </cell>
          <cell r="L130">
            <v>3240</v>
          </cell>
          <cell r="M130">
            <v>0</v>
          </cell>
          <cell r="N130">
            <v>0</v>
          </cell>
          <cell r="O130">
            <v>0</v>
          </cell>
          <cell r="P130">
            <v>10000</v>
          </cell>
          <cell r="Q130">
            <v>59734</v>
          </cell>
          <cell r="R130">
            <v>0</v>
          </cell>
          <cell r="S130">
            <v>87866</v>
          </cell>
          <cell r="V130">
            <v>87866</v>
          </cell>
          <cell r="W130">
            <v>0</v>
          </cell>
        </row>
        <row r="131">
          <cell r="E131">
            <v>123</v>
          </cell>
          <cell r="G131">
            <v>17958</v>
          </cell>
          <cell r="J131">
            <v>9</v>
          </cell>
          <cell r="L131">
            <v>3240</v>
          </cell>
          <cell r="M131">
            <v>0</v>
          </cell>
          <cell r="N131">
            <v>0</v>
          </cell>
          <cell r="O131">
            <v>0</v>
          </cell>
          <cell r="P131">
            <v>10000</v>
          </cell>
          <cell r="Q131">
            <v>59734</v>
          </cell>
          <cell r="R131">
            <v>0</v>
          </cell>
          <cell r="S131">
            <v>90932</v>
          </cell>
          <cell r="V131">
            <v>90932</v>
          </cell>
          <cell r="W131">
            <v>0</v>
          </cell>
        </row>
        <row r="132">
          <cell r="E132">
            <v>81</v>
          </cell>
          <cell r="G132">
            <v>11826</v>
          </cell>
          <cell r="J132">
            <v>4</v>
          </cell>
          <cell r="L132">
            <v>1440</v>
          </cell>
          <cell r="M132">
            <v>0</v>
          </cell>
          <cell r="N132">
            <v>0</v>
          </cell>
          <cell r="O132">
            <v>0</v>
          </cell>
          <cell r="P132">
            <v>10000</v>
          </cell>
          <cell r="Q132">
            <v>59734</v>
          </cell>
          <cell r="R132">
            <v>0</v>
          </cell>
          <cell r="S132">
            <v>83000</v>
          </cell>
          <cell r="V132">
            <v>83000</v>
          </cell>
          <cell r="W132">
            <v>0</v>
          </cell>
        </row>
        <row r="133">
          <cell r="E133">
            <v>184</v>
          </cell>
          <cell r="G133">
            <v>26864</v>
          </cell>
          <cell r="J133">
            <v>6</v>
          </cell>
          <cell r="L133">
            <v>2160</v>
          </cell>
          <cell r="M133">
            <v>0</v>
          </cell>
          <cell r="N133">
            <v>0</v>
          </cell>
          <cell r="O133">
            <v>0</v>
          </cell>
          <cell r="P133">
            <v>10000</v>
          </cell>
          <cell r="Q133">
            <v>59734</v>
          </cell>
          <cell r="R133">
            <v>0</v>
          </cell>
          <cell r="S133">
            <v>98758</v>
          </cell>
          <cell r="V133">
            <v>98758</v>
          </cell>
          <cell r="W133">
            <v>0</v>
          </cell>
        </row>
        <row r="134">
          <cell r="E134">
            <v>115</v>
          </cell>
          <cell r="G134">
            <v>16790</v>
          </cell>
          <cell r="J134">
            <v>12</v>
          </cell>
          <cell r="L134">
            <v>4320</v>
          </cell>
          <cell r="M134">
            <v>0</v>
          </cell>
          <cell r="N134">
            <v>0</v>
          </cell>
          <cell r="O134">
            <v>0</v>
          </cell>
          <cell r="P134">
            <v>10000</v>
          </cell>
          <cell r="Q134">
            <v>59734</v>
          </cell>
          <cell r="R134">
            <v>0</v>
          </cell>
          <cell r="S134">
            <v>90844</v>
          </cell>
          <cell r="V134">
            <v>90844</v>
          </cell>
          <cell r="W134">
            <v>0</v>
          </cell>
        </row>
        <row r="135">
          <cell r="E135">
            <v>161</v>
          </cell>
          <cell r="G135">
            <v>23506</v>
          </cell>
          <cell r="J135">
            <v>11</v>
          </cell>
          <cell r="L135">
            <v>3960</v>
          </cell>
          <cell r="M135">
            <v>0</v>
          </cell>
          <cell r="N135">
            <v>0</v>
          </cell>
          <cell r="O135">
            <v>8380</v>
          </cell>
          <cell r="P135">
            <v>10000</v>
          </cell>
          <cell r="Q135">
            <v>59734</v>
          </cell>
          <cell r="R135">
            <v>0</v>
          </cell>
          <cell r="S135">
            <v>105580</v>
          </cell>
          <cell r="V135">
            <v>105580</v>
          </cell>
          <cell r="W135">
            <v>0</v>
          </cell>
        </row>
        <row r="136">
          <cell r="E136">
            <v>122</v>
          </cell>
          <cell r="G136">
            <v>17812</v>
          </cell>
          <cell r="J136">
            <v>23</v>
          </cell>
          <cell r="L136">
            <v>8280</v>
          </cell>
          <cell r="M136">
            <v>0</v>
          </cell>
          <cell r="N136">
            <v>0</v>
          </cell>
          <cell r="O136">
            <v>0</v>
          </cell>
          <cell r="P136">
            <v>10000</v>
          </cell>
          <cell r="Q136">
            <v>59734</v>
          </cell>
          <cell r="R136">
            <v>0</v>
          </cell>
          <cell r="S136">
            <v>95826</v>
          </cell>
          <cell r="V136">
            <v>95826</v>
          </cell>
          <cell r="W136">
            <v>0</v>
          </cell>
        </row>
        <row r="137">
          <cell r="E137">
            <v>122</v>
          </cell>
          <cell r="G137">
            <v>17812</v>
          </cell>
          <cell r="J137">
            <v>12</v>
          </cell>
          <cell r="L137">
            <v>4320</v>
          </cell>
          <cell r="M137">
            <v>0</v>
          </cell>
          <cell r="N137">
            <v>0</v>
          </cell>
          <cell r="O137">
            <v>0</v>
          </cell>
          <cell r="P137">
            <v>10000</v>
          </cell>
          <cell r="Q137">
            <v>59734</v>
          </cell>
          <cell r="R137">
            <v>0</v>
          </cell>
          <cell r="S137">
            <v>91866</v>
          </cell>
          <cell r="V137">
            <v>91866</v>
          </cell>
          <cell r="W137">
            <v>0</v>
          </cell>
        </row>
        <row r="138">
          <cell r="E138">
            <v>137</v>
          </cell>
          <cell r="G138">
            <v>20002</v>
          </cell>
          <cell r="J138">
            <v>23</v>
          </cell>
          <cell r="L138">
            <v>8280</v>
          </cell>
          <cell r="M138">
            <v>0</v>
          </cell>
          <cell r="N138">
            <v>20000</v>
          </cell>
          <cell r="O138">
            <v>36771</v>
          </cell>
          <cell r="P138">
            <v>10000</v>
          </cell>
          <cell r="Q138">
            <v>59734</v>
          </cell>
          <cell r="R138">
            <v>0</v>
          </cell>
          <cell r="S138">
            <v>154787</v>
          </cell>
          <cell r="V138">
            <v>154787</v>
          </cell>
          <cell r="W138">
            <v>0</v>
          </cell>
        </row>
        <row r="139">
          <cell r="E139">
            <v>149</v>
          </cell>
          <cell r="G139">
            <v>21754</v>
          </cell>
          <cell r="J139">
            <v>19</v>
          </cell>
          <cell r="L139">
            <v>6840</v>
          </cell>
          <cell r="M139">
            <v>0</v>
          </cell>
          <cell r="N139">
            <v>5000</v>
          </cell>
          <cell r="O139">
            <v>0</v>
          </cell>
          <cell r="P139">
            <v>10000</v>
          </cell>
          <cell r="Q139">
            <v>61536</v>
          </cell>
          <cell r="R139">
            <v>0</v>
          </cell>
          <cell r="S139">
            <v>105130</v>
          </cell>
          <cell r="V139">
            <v>105130</v>
          </cell>
          <cell r="W139">
            <v>0</v>
          </cell>
        </row>
        <row r="140">
          <cell r="E140">
            <v>123</v>
          </cell>
          <cell r="G140">
            <v>17958</v>
          </cell>
          <cell r="J140">
            <v>18</v>
          </cell>
          <cell r="L140">
            <v>6480</v>
          </cell>
          <cell r="M140">
            <v>0</v>
          </cell>
          <cell r="N140">
            <v>5000</v>
          </cell>
          <cell r="O140">
            <v>0</v>
          </cell>
          <cell r="P140">
            <v>10000</v>
          </cell>
          <cell r="Q140">
            <v>61536</v>
          </cell>
          <cell r="R140">
            <v>0</v>
          </cell>
          <cell r="S140">
            <v>100974</v>
          </cell>
          <cell r="V140">
            <v>100974</v>
          </cell>
          <cell r="W140">
            <v>0</v>
          </cell>
        </row>
        <row r="141">
          <cell r="E141">
            <v>139</v>
          </cell>
          <cell r="G141">
            <v>20294</v>
          </cell>
          <cell r="J141">
            <v>32</v>
          </cell>
          <cell r="L141">
            <v>11520</v>
          </cell>
          <cell r="M141">
            <v>0</v>
          </cell>
          <cell r="N141">
            <v>5000</v>
          </cell>
          <cell r="O141">
            <v>0</v>
          </cell>
          <cell r="P141">
            <v>10000</v>
          </cell>
          <cell r="Q141">
            <v>61536</v>
          </cell>
          <cell r="R141">
            <v>0</v>
          </cell>
          <cell r="S141">
            <v>108350</v>
          </cell>
          <cell r="V141">
            <v>108350</v>
          </cell>
          <cell r="W141">
            <v>0</v>
          </cell>
        </row>
        <row r="142">
          <cell r="E142">
            <v>94</v>
          </cell>
          <cell r="G142">
            <v>13724</v>
          </cell>
          <cell r="J142">
            <v>20</v>
          </cell>
          <cell r="L142">
            <v>7200</v>
          </cell>
          <cell r="M142">
            <v>0</v>
          </cell>
          <cell r="N142">
            <v>5000</v>
          </cell>
          <cell r="O142">
            <v>0</v>
          </cell>
          <cell r="P142">
            <v>10000</v>
          </cell>
          <cell r="Q142">
            <v>61536</v>
          </cell>
          <cell r="R142">
            <v>0</v>
          </cell>
          <cell r="S142">
            <v>97460</v>
          </cell>
          <cell r="V142">
            <v>97460</v>
          </cell>
          <cell r="W142">
            <v>0</v>
          </cell>
        </row>
        <row r="143">
          <cell r="E143">
            <v>120</v>
          </cell>
          <cell r="G143">
            <v>17520</v>
          </cell>
          <cell r="J143">
            <v>12</v>
          </cell>
          <cell r="L143">
            <v>4320</v>
          </cell>
          <cell r="M143">
            <v>0</v>
          </cell>
          <cell r="N143">
            <v>5000</v>
          </cell>
          <cell r="O143">
            <v>0</v>
          </cell>
          <cell r="P143">
            <v>10000</v>
          </cell>
          <cell r="Q143">
            <v>61536</v>
          </cell>
          <cell r="R143">
            <v>0</v>
          </cell>
          <cell r="S143">
            <v>98376</v>
          </cell>
          <cell r="V143">
            <v>98376</v>
          </cell>
          <cell r="W143">
            <v>0</v>
          </cell>
        </row>
        <row r="144">
          <cell r="E144">
            <v>54</v>
          </cell>
          <cell r="G144">
            <v>7884</v>
          </cell>
          <cell r="J144">
            <v>1</v>
          </cell>
          <cell r="L144">
            <v>360</v>
          </cell>
          <cell r="M144">
            <v>0</v>
          </cell>
          <cell r="N144">
            <v>5000</v>
          </cell>
          <cell r="O144">
            <v>0</v>
          </cell>
          <cell r="P144">
            <v>10000</v>
          </cell>
          <cell r="Q144">
            <v>61536</v>
          </cell>
          <cell r="R144">
            <v>0</v>
          </cell>
          <cell r="S144">
            <v>84780</v>
          </cell>
          <cell r="V144">
            <v>84780</v>
          </cell>
          <cell r="W144">
            <v>0</v>
          </cell>
        </row>
        <row r="145">
          <cell r="E145">
            <v>96</v>
          </cell>
          <cell r="G145">
            <v>14016</v>
          </cell>
          <cell r="J145">
            <v>1</v>
          </cell>
          <cell r="L145">
            <v>360</v>
          </cell>
          <cell r="M145">
            <v>0</v>
          </cell>
          <cell r="N145">
            <v>5000</v>
          </cell>
          <cell r="O145">
            <v>0</v>
          </cell>
          <cell r="P145">
            <v>10000</v>
          </cell>
          <cell r="Q145">
            <v>61536</v>
          </cell>
          <cell r="R145">
            <v>0</v>
          </cell>
          <cell r="S145">
            <v>90912</v>
          </cell>
          <cell r="V145">
            <v>90912</v>
          </cell>
          <cell r="W145">
            <v>0</v>
          </cell>
        </row>
        <row r="146">
          <cell r="E146">
            <v>98</v>
          </cell>
          <cell r="G146">
            <v>14308</v>
          </cell>
          <cell r="J146">
            <v>8</v>
          </cell>
          <cell r="L146">
            <v>2880</v>
          </cell>
          <cell r="M146">
            <v>0</v>
          </cell>
          <cell r="N146">
            <v>5000</v>
          </cell>
          <cell r="O146">
            <v>0</v>
          </cell>
          <cell r="P146">
            <v>10000</v>
          </cell>
          <cell r="Q146">
            <v>61536</v>
          </cell>
          <cell r="R146">
            <v>0</v>
          </cell>
          <cell r="S146">
            <v>93724</v>
          </cell>
          <cell r="V146">
            <v>93724</v>
          </cell>
          <cell r="W146">
            <v>0</v>
          </cell>
        </row>
        <row r="147">
          <cell r="E147">
            <v>134</v>
          </cell>
          <cell r="G147">
            <v>19564</v>
          </cell>
          <cell r="J147">
            <v>10</v>
          </cell>
          <cell r="L147">
            <v>3600</v>
          </cell>
          <cell r="M147">
            <v>0</v>
          </cell>
          <cell r="N147">
            <v>5000</v>
          </cell>
          <cell r="O147">
            <v>0</v>
          </cell>
          <cell r="P147">
            <v>10000</v>
          </cell>
          <cell r="Q147">
            <v>61536</v>
          </cell>
          <cell r="R147">
            <v>0</v>
          </cell>
          <cell r="S147">
            <v>99700</v>
          </cell>
          <cell r="V147">
            <v>99700</v>
          </cell>
          <cell r="W147">
            <v>0</v>
          </cell>
        </row>
        <row r="148">
          <cell r="E148">
            <v>119</v>
          </cell>
          <cell r="G148">
            <v>17374</v>
          </cell>
          <cell r="J148">
            <v>31</v>
          </cell>
          <cell r="L148">
            <v>11160</v>
          </cell>
          <cell r="M148">
            <v>0</v>
          </cell>
          <cell r="N148">
            <v>5000</v>
          </cell>
          <cell r="O148">
            <v>0</v>
          </cell>
          <cell r="P148">
            <v>10000</v>
          </cell>
          <cell r="Q148">
            <v>61536</v>
          </cell>
          <cell r="R148">
            <v>0</v>
          </cell>
          <cell r="S148">
            <v>105070</v>
          </cell>
          <cell r="V148">
            <v>105070</v>
          </cell>
          <cell r="W148">
            <v>0</v>
          </cell>
        </row>
        <row r="149">
          <cell r="E149">
            <v>119</v>
          </cell>
          <cell r="G149">
            <v>17374</v>
          </cell>
          <cell r="J149">
            <v>25</v>
          </cell>
          <cell r="L149">
            <v>9000</v>
          </cell>
          <cell r="M149">
            <v>0</v>
          </cell>
          <cell r="N149">
            <v>5000</v>
          </cell>
          <cell r="O149">
            <v>0</v>
          </cell>
          <cell r="P149">
            <v>10000</v>
          </cell>
          <cell r="Q149">
            <v>61536</v>
          </cell>
          <cell r="R149">
            <v>0</v>
          </cell>
          <cell r="S149">
            <v>102910</v>
          </cell>
          <cell r="V149">
            <v>102910</v>
          </cell>
          <cell r="W149">
            <v>0</v>
          </cell>
        </row>
        <row r="150">
          <cell r="E150">
            <v>151</v>
          </cell>
          <cell r="G150">
            <v>22046</v>
          </cell>
          <cell r="J150">
            <v>39</v>
          </cell>
          <cell r="L150">
            <v>14040</v>
          </cell>
          <cell r="M150">
            <v>0</v>
          </cell>
          <cell r="N150">
            <v>7000</v>
          </cell>
          <cell r="O150">
            <v>0</v>
          </cell>
          <cell r="P150">
            <v>10000</v>
          </cell>
          <cell r="Q150">
            <v>61536</v>
          </cell>
          <cell r="R150">
            <v>0</v>
          </cell>
          <cell r="S150">
            <v>114622</v>
          </cell>
          <cell r="V150">
            <v>114622</v>
          </cell>
          <cell r="W150">
            <v>0</v>
          </cell>
        </row>
        <row r="151">
          <cell r="E151">
            <v>143</v>
          </cell>
          <cell r="G151">
            <v>20878</v>
          </cell>
          <cell r="J151">
            <v>21</v>
          </cell>
          <cell r="L151">
            <v>7560</v>
          </cell>
          <cell r="M151">
            <v>0</v>
          </cell>
          <cell r="N151">
            <v>7000</v>
          </cell>
          <cell r="O151">
            <v>0</v>
          </cell>
          <cell r="P151">
            <v>10000</v>
          </cell>
          <cell r="Q151">
            <v>64395</v>
          </cell>
          <cell r="R151">
            <v>0</v>
          </cell>
          <cell r="S151">
            <v>109833</v>
          </cell>
          <cell r="V151">
            <v>109834</v>
          </cell>
          <cell r="W151">
            <v>-1</v>
          </cell>
        </row>
        <row r="152">
          <cell r="E152">
            <v>116</v>
          </cell>
          <cell r="G152">
            <v>16936</v>
          </cell>
          <cell r="J152">
            <v>209</v>
          </cell>
          <cell r="L152">
            <v>132840</v>
          </cell>
          <cell r="M152">
            <v>0</v>
          </cell>
          <cell r="N152">
            <v>7000</v>
          </cell>
          <cell r="O152">
            <v>0</v>
          </cell>
          <cell r="P152">
            <v>10000</v>
          </cell>
          <cell r="Q152">
            <v>64395</v>
          </cell>
          <cell r="R152">
            <v>0</v>
          </cell>
          <cell r="S152">
            <v>231171</v>
          </cell>
          <cell r="V152">
            <v>231172</v>
          </cell>
          <cell r="W152">
            <v>-2</v>
          </cell>
        </row>
        <row r="153">
          <cell r="E153">
            <v>177</v>
          </cell>
          <cell r="G153">
            <v>25842</v>
          </cell>
          <cell r="J153">
            <v>44</v>
          </cell>
          <cell r="L153">
            <v>15840</v>
          </cell>
          <cell r="M153">
            <v>0</v>
          </cell>
          <cell r="N153">
            <v>11959</v>
          </cell>
          <cell r="O153">
            <v>0</v>
          </cell>
          <cell r="P153">
            <v>10000</v>
          </cell>
          <cell r="Q153">
            <v>64395</v>
          </cell>
          <cell r="R153">
            <v>0</v>
          </cell>
          <cell r="S153">
            <v>128036</v>
          </cell>
          <cell r="V153">
            <v>128034</v>
          </cell>
          <cell r="W153">
            <v>0</v>
          </cell>
        </row>
        <row r="154">
          <cell r="E154">
            <v>143</v>
          </cell>
          <cell r="G154">
            <v>20878</v>
          </cell>
          <cell r="J154">
            <v>41</v>
          </cell>
          <cell r="L154">
            <v>14760</v>
          </cell>
          <cell r="M154">
            <v>0</v>
          </cell>
          <cell r="N154">
            <v>11959</v>
          </cell>
          <cell r="O154">
            <v>0</v>
          </cell>
          <cell r="P154">
            <v>10000</v>
          </cell>
          <cell r="Q154">
            <v>64395</v>
          </cell>
          <cell r="R154">
            <v>0</v>
          </cell>
          <cell r="S154">
            <v>121992</v>
          </cell>
          <cell r="V154">
            <v>121992</v>
          </cell>
          <cell r="W154">
            <v>0</v>
          </cell>
        </row>
        <row r="155">
          <cell r="E155">
            <v>104</v>
          </cell>
          <cell r="G155">
            <v>15184</v>
          </cell>
          <cell r="J155">
            <v>20</v>
          </cell>
          <cell r="L155">
            <v>7200</v>
          </cell>
          <cell r="M155">
            <v>0</v>
          </cell>
          <cell r="N155">
            <v>11959</v>
          </cell>
          <cell r="O155">
            <v>0</v>
          </cell>
          <cell r="P155">
            <v>10000</v>
          </cell>
          <cell r="Q155">
            <v>64395</v>
          </cell>
          <cell r="R155">
            <v>0</v>
          </cell>
          <cell r="S155">
            <v>108738</v>
          </cell>
          <cell r="V155">
            <v>108738</v>
          </cell>
          <cell r="W155">
            <v>0</v>
          </cell>
        </row>
        <row r="156">
          <cell r="E156">
            <v>72</v>
          </cell>
          <cell r="G156">
            <v>10512</v>
          </cell>
          <cell r="J156">
            <v>6</v>
          </cell>
          <cell r="L156">
            <v>2160</v>
          </cell>
          <cell r="M156">
            <v>0</v>
          </cell>
          <cell r="N156">
            <v>11959</v>
          </cell>
          <cell r="O156">
            <v>0</v>
          </cell>
          <cell r="P156">
            <v>10000</v>
          </cell>
          <cell r="Q156">
            <v>64395</v>
          </cell>
          <cell r="R156">
            <v>0</v>
          </cell>
          <cell r="S156">
            <v>99026</v>
          </cell>
          <cell r="V156">
            <v>99026</v>
          </cell>
          <cell r="W156">
            <v>0</v>
          </cell>
        </row>
        <row r="157">
          <cell r="E157">
            <v>88</v>
          </cell>
          <cell r="G157">
            <v>12848</v>
          </cell>
          <cell r="J157">
            <v>10</v>
          </cell>
          <cell r="L157">
            <v>3600</v>
          </cell>
          <cell r="M157">
            <v>0</v>
          </cell>
          <cell r="N157">
            <v>11959</v>
          </cell>
          <cell r="O157">
            <v>0</v>
          </cell>
          <cell r="P157">
            <v>10000</v>
          </cell>
          <cell r="Q157">
            <v>64395</v>
          </cell>
          <cell r="R157">
            <v>0</v>
          </cell>
          <cell r="S157">
            <v>102802</v>
          </cell>
          <cell r="V157">
            <v>102802</v>
          </cell>
          <cell r="W157">
            <v>0</v>
          </cell>
        </row>
        <row r="158">
          <cell r="E158">
            <v>68</v>
          </cell>
          <cell r="G158">
            <v>9928</v>
          </cell>
          <cell r="J158">
            <v>1</v>
          </cell>
          <cell r="L158">
            <v>360</v>
          </cell>
          <cell r="M158">
            <v>0</v>
          </cell>
          <cell r="N158">
            <v>11959</v>
          </cell>
          <cell r="O158">
            <v>0</v>
          </cell>
          <cell r="P158">
            <v>10000</v>
          </cell>
          <cell r="Q158">
            <v>64395</v>
          </cell>
          <cell r="R158">
            <v>0</v>
          </cell>
          <cell r="S158">
            <v>96642</v>
          </cell>
          <cell r="V158">
            <v>96642</v>
          </cell>
          <cell r="W158">
            <v>0</v>
          </cell>
        </row>
        <row r="159">
          <cell r="E159">
            <v>133</v>
          </cell>
          <cell r="G159">
            <v>19418</v>
          </cell>
          <cell r="J159">
            <v>22</v>
          </cell>
          <cell r="L159">
            <v>7920</v>
          </cell>
          <cell r="M159">
            <v>0</v>
          </cell>
          <cell r="N159">
            <v>11959</v>
          </cell>
          <cell r="O159">
            <v>0</v>
          </cell>
          <cell r="P159">
            <v>10000</v>
          </cell>
          <cell r="Q159">
            <v>64395</v>
          </cell>
          <cell r="R159">
            <v>0</v>
          </cell>
          <cell r="S159">
            <v>113692</v>
          </cell>
          <cell r="V159">
            <v>113692</v>
          </cell>
          <cell r="W159">
            <v>0</v>
          </cell>
        </row>
        <row r="160">
          <cell r="E160">
            <v>133</v>
          </cell>
          <cell r="G160">
            <v>19418</v>
          </cell>
          <cell r="J160">
            <v>12</v>
          </cell>
          <cell r="L160">
            <v>4320</v>
          </cell>
          <cell r="M160">
            <v>0</v>
          </cell>
          <cell r="N160">
            <v>11959</v>
          </cell>
          <cell r="O160">
            <v>0</v>
          </cell>
          <cell r="P160">
            <v>10000</v>
          </cell>
          <cell r="Q160">
            <v>64395</v>
          </cell>
          <cell r="R160">
            <v>0</v>
          </cell>
          <cell r="S160">
            <v>110092</v>
          </cell>
          <cell r="V160">
            <v>110092</v>
          </cell>
          <cell r="W160">
            <v>0</v>
          </cell>
        </row>
        <row r="161">
          <cell r="E161">
            <v>118</v>
          </cell>
          <cell r="G161">
            <v>17228</v>
          </cell>
          <cell r="J161">
            <v>42</v>
          </cell>
          <cell r="L161">
            <v>15120</v>
          </cell>
          <cell r="M161">
            <v>0</v>
          </cell>
          <cell r="N161">
            <v>11959</v>
          </cell>
          <cell r="O161">
            <v>0</v>
          </cell>
          <cell r="P161">
            <v>10000</v>
          </cell>
          <cell r="Q161">
            <v>64395</v>
          </cell>
          <cell r="R161">
            <v>0</v>
          </cell>
          <cell r="S161">
            <v>118702</v>
          </cell>
          <cell r="V161">
            <v>118702</v>
          </cell>
          <cell r="W161">
            <v>0</v>
          </cell>
        </row>
        <row r="162">
          <cell r="E162">
            <v>181</v>
          </cell>
          <cell r="G162">
            <v>26426</v>
          </cell>
          <cell r="J162">
            <v>47</v>
          </cell>
          <cell r="L162">
            <v>16920</v>
          </cell>
          <cell r="M162">
            <v>0</v>
          </cell>
          <cell r="N162">
            <v>11665</v>
          </cell>
          <cell r="O162">
            <v>0</v>
          </cell>
          <cell r="P162">
            <v>8333</v>
          </cell>
          <cell r="Q162">
            <v>64395</v>
          </cell>
          <cell r="R162">
            <v>0</v>
          </cell>
          <cell r="S162">
            <v>127739</v>
          </cell>
          <cell r="V162">
            <v>127739</v>
          </cell>
          <cell r="W162">
            <v>0</v>
          </cell>
        </row>
        <row r="163">
          <cell r="E163">
            <v>147</v>
          </cell>
          <cell r="G163">
            <v>21462</v>
          </cell>
          <cell r="J163">
            <v>24</v>
          </cell>
          <cell r="L163">
            <v>8640</v>
          </cell>
          <cell r="M163">
            <v>0</v>
          </cell>
          <cell r="N163">
            <v>11665</v>
          </cell>
          <cell r="O163">
            <v>0</v>
          </cell>
          <cell r="P163">
            <v>0</v>
          </cell>
          <cell r="Q163">
            <v>74395</v>
          </cell>
          <cell r="R163">
            <v>0</v>
          </cell>
          <cell r="S163">
            <v>116162</v>
          </cell>
          <cell r="V163">
            <v>116162</v>
          </cell>
          <cell r="W163">
            <v>0</v>
          </cell>
        </row>
        <row r="164">
          <cell r="E164">
            <v>226</v>
          </cell>
          <cell r="G164">
            <v>32996</v>
          </cell>
          <cell r="J164">
            <v>60</v>
          </cell>
          <cell r="L164">
            <v>21600</v>
          </cell>
          <cell r="M164">
            <v>0</v>
          </cell>
          <cell r="N164">
            <v>11665</v>
          </cell>
          <cell r="O164">
            <v>0</v>
          </cell>
          <cell r="P164">
            <v>0</v>
          </cell>
          <cell r="Q164">
            <v>74395</v>
          </cell>
          <cell r="R164">
            <v>0</v>
          </cell>
          <cell r="S164">
            <v>140656</v>
          </cell>
          <cell r="V164">
            <v>140656</v>
          </cell>
          <cell r="W164">
            <v>0</v>
          </cell>
        </row>
        <row r="165">
          <cell r="E165">
            <v>119</v>
          </cell>
          <cell r="G165">
            <v>17374</v>
          </cell>
          <cell r="J165">
            <v>30</v>
          </cell>
          <cell r="L165">
            <v>10800</v>
          </cell>
          <cell r="M165">
            <v>0</v>
          </cell>
          <cell r="N165">
            <v>11665</v>
          </cell>
          <cell r="O165">
            <v>0</v>
          </cell>
          <cell r="P165">
            <v>0</v>
          </cell>
          <cell r="Q165">
            <v>74395</v>
          </cell>
          <cell r="R165">
            <v>0</v>
          </cell>
          <cell r="S165">
            <v>114234</v>
          </cell>
          <cell r="V165">
            <v>114234</v>
          </cell>
          <cell r="W165">
            <v>0</v>
          </cell>
        </row>
        <row r="166">
          <cell r="E166">
            <v>80</v>
          </cell>
          <cell r="G166">
            <v>11680</v>
          </cell>
          <cell r="J166">
            <v>12</v>
          </cell>
          <cell r="L166">
            <v>4320</v>
          </cell>
          <cell r="M166">
            <v>0</v>
          </cell>
          <cell r="N166">
            <v>11709</v>
          </cell>
          <cell r="O166">
            <v>0</v>
          </cell>
          <cell r="P166">
            <v>0</v>
          </cell>
          <cell r="Q166">
            <v>74395</v>
          </cell>
          <cell r="R166">
            <v>0</v>
          </cell>
          <cell r="S166">
            <v>102104</v>
          </cell>
          <cell r="V166">
            <v>102104</v>
          </cell>
          <cell r="W166">
            <v>0</v>
          </cell>
        </row>
        <row r="167">
          <cell r="E167">
            <v>101</v>
          </cell>
          <cell r="G167">
            <v>14746</v>
          </cell>
          <cell r="J167">
            <v>1</v>
          </cell>
          <cell r="L167">
            <v>360</v>
          </cell>
          <cell r="M167">
            <v>0</v>
          </cell>
          <cell r="N167">
            <v>11709</v>
          </cell>
          <cell r="O167">
            <v>0</v>
          </cell>
          <cell r="P167">
            <v>0</v>
          </cell>
          <cell r="Q167">
            <v>74395</v>
          </cell>
          <cell r="R167">
            <v>0</v>
          </cell>
          <cell r="S167">
            <v>101210</v>
          </cell>
          <cell r="V167">
            <v>101210</v>
          </cell>
          <cell r="W167">
            <v>0</v>
          </cell>
        </row>
        <row r="168">
          <cell r="E168">
            <v>110</v>
          </cell>
          <cell r="G168">
            <v>16060</v>
          </cell>
          <cell r="J168">
            <v>2</v>
          </cell>
          <cell r="L168">
            <v>720</v>
          </cell>
          <cell r="M168">
            <v>0</v>
          </cell>
          <cell r="N168">
            <v>11709</v>
          </cell>
          <cell r="O168">
            <v>0</v>
          </cell>
          <cell r="P168">
            <v>0</v>
          </cell>
          <cell r="Q168">
            <v>74395</v>
          </cell>
          <cell r="R168">
            <v>0</v>
          </cell>
          <cell r="S168">
            <v>102884</v>
          </cell>
          <cell r="V168">
            <v>102884</v>
          </cell>
          <cell r="W168">
            <v>0</v>
          </cell>
        </row>
        <row r="169">
          <cell r="E169">
            <v>87</v>
          </cell>
          <cell r="G169">
            <v>12702</v>
          </cell>
          <cell r="J169">
            <v>6</v>
          </cell>
          <cell r="L169">
            <v>2160</v>
          </cell>
          <cell r="M169">
            <v>0</v>
          </cell>
          <cell r="N169">
            <v>11315</v>
          </cell>
          <cell r="O169">
            <v>0</v>
          </cell>
          <cell r="P169">
            <v>0</v>
          </cell>
          <cell r="Q169">
            <v>74395</v>
          </cell>
          <cell r="R169">
            <v>0</v>
          </cell>
          <cell r="S169">
            <v>100572</v>
          </cell>
          <cell r="V169">
            <v>100572</v>
          </cell>
          <cell r="W169">
            <v>0</v>
          </cell>
        </row>
        <row r="170">
          <cell r="E170">
            <v>136</v>
          </cell>
          <cell r="G170">
            <v>19856</v>
          </cell>
          <cell r="J170">
            <v>4</v>
          </cell>
          <cell r="L170">
            <v>1440</v>
          </cell>
          <cell r="M170">
            <v>0</v>
          </cell>
          <cell r="N170">
            <v>11315</v>
          </cell>
          <cell r="O170">
            <v>0</v>
          </cell>
          <cell r="P170">
            <v>0</v>
          </cell>
          <cell r="Q170">
            <v>74395</v>
          </cell>
          <cell r="R170">
            <v>0</v>
          </cell>
          <cell r="S170">
            <v>107006</v>
          </cell>
          <cell r="V170">
            <v>107006</v>
          </cell>
          <cell r="W170">
            <v>0</v>
          </cell>
        </row>
        <row r="171">
          <cell r="E171">
            <v>100</v>
          </cell>
          <cell r="G171">
            <v>14600</v>
          </cell>
          <cell r="J171">
            <v>15</v>
          </cell>
          <cell r="L171">
            <v>5400</v>
          </cell>
          <cell r="M171">
            <v>0</v>
          </cell>
          <cell r="N171">
            <v>7000</v>
          </cell>
          <cell r="O171">
            <v>0</v>
          </cell>
          <cell r="P171">
            <v>0</v>
          </cell>
          <cell r="Q171">
            <v>74395</v>
          </cell>
          <cell r="R171">
            <v>0</v>
          </cell>
          <cell r="S171">
            <v>101395</v>
          </cell>
          <cell r="V171">
            <v>101395</v>
          </cell>
          <cell r="W171">
            <v>0</v>
          </cell>
        </row>
        <row r="172">
          <cell r="E172">
            <v>97</v>
          </cell>
          <cell r="G172">
            <v>14162</v>
          </cell>
          <cell r="J172">
            <v>25</v>
          </cell>
          <cell r="L172">
            <v>9000</v>
          </cell>
          <cell r="M172">
            <v>0</v>
          </cell>
          <cell r="N172">
            <v>7000</v>
          </cell>
          <cell r="O172">
            <v>0</v>
          </cell>
          <cell r="P172">
            <v>0</v>
          </cell>
          <cell r="Q172">
            <v>74395</v>
          </cell>
          <cell r="R172">
            <v>0</v>
          </cell>
          <cell r="S172">
            <v>104557</v>
          </cell>
          <cell r="V172">
            <v>104557</v>
          </cell>
          <cell r="W172">
            <v>0</v>
          </cell>
        </row>
        <row r="173">
          <cell r="E173">
            <v>126</v>
          </cell>
          <cell r="G173">
            <v>18396</v>
          </cell>
          <cell r="J173">
            <v>19</v>
          </cell>
          <cell r="L173">
            <v>6840</v>
          </cell>
          <cell r="M173">
            <v>0</v>
          </cell>
          <cell r="N173">
            <v>7000</v>
          </cell>
          <cell r="O173">
            <v>0</v>
          </cell>
          <cell r="P173">
            <v>0</v>
          </cell>
          <cell r="Q173">
            <v>74395</v>
          </cell>
          <cell r="R173">
            <v>0</v>
          </cell>
          <cell r="S173">
            <v>106631</v>
          </cell>
          <cell r="V173">
            <v>106631</v>
          </cell>
          <cell r="W173">
            <v>0</v>
          </cell>
        </row>
        <row r="174">
          <cell r="E174">
            <v>74</v>
          </cell>
          <cell r="G174">
            <v>10804</v>
          </cell>
          <cell r="J174">
            <v>12</v>
          </cell>
          <cell r="L174">
            <v>4320</v>
          </cell>
          <cell r="M174">
            <v>0</v>
          </cell>
          <cell r="N174">
            <v>7000</v>
          </cell>
          <cell r="O174">
            <v>0</v>
          </cell>
          <cell r="P174">
            <v>0</v>
          </cell>
          <cell r="Q174">
            <v>74395</v>
          </cell>
          <cell r="R174">
            <v>0</v>
          </cell>
          <cell r="S174">
            <v>96519</v>
          </cell>
          <cell r="V174">
            <v>96519</v>
          </cell>
          <cell r="W174">
            <v>0</v>
          </cell>
        </row>
      </sheetData>
      <sheetData sheetId="66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76</v>
          </cell>
          <cell r="G78">
            <v>8208</v>
          </cell>
          <cell r="J78">
            <v>180</v>
          </cell>
          <cell r="L78">
            <v>64800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73008</v>
          </cell>
          <cell r="V78">
            <v>0</v>
          </cell>
          <cell r="W78">
            <v>0</v>
          </cell>
        </row>
        <row r="79">
          <cell r="E79">
            <v>108</v>
          </cell>
          <cell r="G79">
            <v>13392</v>
          </cell>
          <cell r="J79">
            <v>127</v>
          </cell>
          <cell r="L79">
            <v>45720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59112</v>
          </cell>
          <cell r="V79">
            <v>0</v>
          </cell>
          <cell r="W79">
            <v>0</v>
          </cell>
        </row>
        <row r="80">
          <cell r="E80">
            <v>190</v>
          </cell>
          <cell r="G80">
            <v>24700</v>
          </cell>
          <cell r="J80">
            <v>150</v>
          </cell>
          <cell r="L80">
            <v>54000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78700</v>
          </cell>
          <cell r="V80">
            <v>0</v>
          </cell>
          <cell r="W80">
            <v>0</v>
          </cell>
        </row>
        <row r="81">
          <cell r="E81">
            <v>76</v>
          </cell>
          <cell r="G81">
            <v>9880</v>
          </cell>
          <cell r="J81">
            <v>105</v>
          </cell>
          <cell r="L81">
            <v>37800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47680</v>
          </cell>
          <cell r="V81">
            <v>0</v>
          </cell>
          <cell r="W81">
            <v>0</v>
          </cell>
        </row>
        <row r="82">
          <cell r="E82">
            <v>70</v>
          </cell>
          <cell r="G82">
            <v>9800</v>
          </cell>
          <cell r="J82">
            <v>65</v>
          </cell>
          <cell r="L82">
            <v>23400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33200</v>
          </cell>
          <cell r="V82">
            <v>0</v>
          </cell>
          <cell r="W82">
            <v>0</v>
          </cell>
        </row>
        <row r="83">
          <cell r="E83">
            <v>60</v>
          </cell>
          <cell r="G83">
            <v>8760</v>
          </cell>
          <cell r="J83">
            <v>36</v>
          </cell>
          <cell r="L83">
            <v>12960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21720</v>
          </cell>
          <cell r="V83">
            <v>0</v>
          </cell>
          <cell r="W83">
            <v>0</v>
          </cell>
        </row>
        <row r="84">
          <cell r="E84">
            <v>59</v>
          </cell>
          <cell r="G84">
            <v>8614</v>
          </cell>
          <cell r="J84">
            <v>28</v>
          </cell>
          <cell r="L84">
            <v>10080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18694</v>
          </cell>
          <cell r="V84">
            <v>0</v>
          </cell>
          <cell r="W84">
            <v>0</v>
          </cell>
        </row>
        <row r="85">
          <cell r="E85">
            <v>64</v>
          </cell>
          <cell r="G85">
            <v>9344</v>
          </cell>
          <cell r="J85">
            <v>11</v>
          </cell>
          <cell r="L85">
            <v>3960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13304</v>
          </cell>
          <cell r="V85">
            <v>0</v>
          </cell>
          <cell r="W85">
            <v>0</v>
          </cell>
        </row>
        <row r="86">
          <cell r="E86">
            <v>73</v>
          </cell>
          <cell r="G86">
            <v>10658</v>
          </cell>
          <cell r="J86">
            <v>9</v>
          </cell>
          <cell r="L86">
            <v>3240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13898</v>
          </cell>
          <cell r="V86">
            <v>0</v>
          </cell>
          <cell r="W86">
            <v>0</v>
          </cell>
        </row>
        <row r="87">
          <cell r="E87">
            <v>106</v>
          </cell>
          <cell r="G87">
            <v>15476</v>
          </cell>
          <cell r="J87">
            <v>27</v>
          </cell>
          <cell r="L87">
            <v>9720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25196</v>
          </cell>
          <cell r="V87">
            <v>0</v>
          </cell>
          <cell r="W87">
            <v>0</v>
          </cell>
        </row>
        <row r="88">
          <cell r="E88">
            <v>75</v>
          </cell>
          <cell r="G88">
            <v>10950</v>
          </cell>
          <cell r="J88">
            <v>80</v>
          </cell>
          <cell r="L88">
            <v>28800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39750</v>
          </cell>
          <cell r="V88">
            <v>0</v>
          </cell>
          <cell r="W88">
            <v>0</v>
          </cell>
        </row>
        <row r="89">
          <cell r="E89">
            <v>88</v>
          </cell>
          <cell r="G89">
            <v>12848</v>
          </cell>
          <cell r="J89">
            <v>85</v>
          </cell>
          <cell r="L89">
            <v>30600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43448</v>
          </cell>
          <cell r="V89">
            <v>0</v>
          </cell>
          <cell r="W89">
            <v>0</v>
          </cell>
        </row>
        <row r="90">
          <cell r="E90">
            <v>144</v>
          </cell>
          <cell r="G90">
            <v>21024</v>
          </cell>
          <cell r="J90">
            <v>169</v>
          </cell>
          <cell r="L90">
            <v>64260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41884</v>
          </cell>
          <cell r="S90">
            <v>85284</v>
          </cell>
          <cell r="V90">
            <v>0</v>
          </cell>
          <cell r="W90">
            <v>127168</v>
          </cell>
        </row>
        <row r="91">
          <cell r="E91">
            <v>136</v>
          </cell>
          <cell r="G91">
            <v>19856</v>
          </cell>
          <cell r="J91">
            <v>157</v>
          </cell>
          <cell r="L91">
            <v>57780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77636</v>
          </cell>
          <cell r="V91">
            <v>0</v>
          </cell>
          <cell r="W91">
            <v>77636</v>
          </cell>
        </row>
        <row r="92">
          <cell r="E92">
            <v>108</v>
          </cell>
          <cell r="G92">
            <v>15768</v>
          </cell>
          <cell r="J92">
            <v>189</v>
          </cell>
          <cell r="L92">
            <v>68040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83808</v>
          </cell>
          <cell r="V92">
            <v>0</v>
          </cell>
          <cell r="W92">
            <v>83808</v>
          </cell>
        </row>
        <row r="93">
          <cell r="E93">
            <v>52</v>
          </cell>
          <cell r="G93">
            <v>7592</v>
          </cell>
          <cell r="J93">
            <v>161</v>
          </cell>
          <cell r="L93">
            <v>57960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65552</v>
          </cell>
          <cell r="V93">
            <v>0</v>
          </cell>
          <cell r="W93">
            <v>65552</v>
          </cell>
        </row>
        <row r="94">
          <cell r="E94">
            <v>40</v>
          </cell>
          <cell r="G94">
            <v>5840</v>
          </cell>
          <cell r="J94">
            <v>49</v>
          </cell>
          <cell r="L94">
            <v>17640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23480</v>
          </cell>
          <cell r="V94">
            <v>0</v>
          </cell>
          <cell r="W94">
            <v>23480</v>
          </cell>
        </row>
        <row r="95">
          <cell r="E95">
            <v>73</v>
          </cell>
          <cell r="G95">
            <v>10658</v>
          </cell>
          <cell r="J95">
            <v>8</v>
          </cell>
          <cell r="L95">
            <v>2880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13538</v>
          </cell>
          <cell r="V95">
            <v>0</v>
          </cell>
          <cell r="W95">
            <v>13538</v>
          </cell>
        </row>
        <row r="96">
          <cell r="E96">
            <v>54</v>
          </cell>
          <cell r="G96">
            <v>7884</v>
          </cell>
          <cell r="J96">
            <v>4</v>
          </cell>
          <cell r="L96">
            <v>1440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9324</v>
          </cell>
          <cell r="V96">
            <v>0</v>
          </cell>
          <cell r="W96">
            <v>9324</v>
          </cell>
        </row>
        <row r="97">
          <cell r="E97">
            <v>93</v>
          </cell>
          <cell r="G97">
            <v>13578</v>
          </cell>
          <cell r="J97">
            <v>14</v>
          </cell>
          <cell r="L97">
            <v>5040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18618</v>
          </cell>
          <cell r="V97">
            <v>0</v>
          </cell>
          <cell r="W97">
            <v>18618</v>
          </cell>
        </row>
        <row r="98">
          <cell r="E98">
            <v>77</v>
          </cell>
          <cell r="G98">
            <v>11242</v>
          </cell>
          <cell r="J98">
            <v>2</v>
          </cell>
          <cell r="L98">
            <v>720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11962</v>
          </cell>
          <cell r="V98">
            <v>0</v>
          </cell>
          <cell r="W98">
            <v>30580</v>
          </cell>
        </row>
        <row r="99">
          <cell r="E99">
            <v>101</v>
          </cell>
          <cell r="G99">
            <v>14746</v>
          </cell>
          <cell r="J99">
            <v>25</v>
          </cell>
          <cell r="L99">
            <v>9000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23746</v>
          </cell>
          <cell r="V99">
            <v>0</v>
          </cell>
          <cell r="W99">
            <v>54326</v>
          </cell>
        </row>
        <row r="100">
          <cell r="E100">
            <v>54</v>
          </cell>
          <cell r="G100">
            <v>7884</v>
          </cell>
          <cell r="J100">
            <v>46</v>
          </cell>
          <cell r="L100">
            <v>16560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24444</v>
          </cell>
          <cell r="V100">
            <v>0</v>
          </cell>
          <cell r="W100">
            <v>78770</v>
          </cell>
        </row>
        <row r="101">
          <cell r="E101">
            <v>78</v>
          </cell>
          <cell r="G101">
            <v>11388</v>
          </cell>
          <cell r="J101">
            <v>56</v>
          </cell>
          <cell r="L101">
            <v>20160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31548</v>
          </cell>
          <cell r="V101">
            <v>0</v>
          </cell>
          <cell r="W101">
            <v>110318</v>
          </cell>
        </row>
        <row r="102">
          <cell r="E102">
            <v>68</v>
          </cell>
          <cell r="G102">
            <v>9928</v>
          </cell>
          <cell r="J102">
            <v>100</v>
          </cell>
          <cell r="L102">
            <v>36000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45928</v>
          </cell>
          <cell r="V102">
            <v>0</v>
          </cell>
          <cell r="W102">
            <v>156246</v>
          </cell>
        </row>
        <row r="103">
          <cell r="E103">
            <v>87</v>
          </cell>
          <cell r="G103">
            <v>12702</v>
          </cell>
          <cell r="J103">
            <v>161</v>
          </cell>
          <cell r="L103">
            <v>59940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72642</v>
          </cell>
          <cell r="V103">
            <v>0</v>
          </cell>
          <cell r="W103">
            <v>228888</v>
          </cell>
        </row>
        <row r="104">
          <cell r="E104">
            <v>132</v>
          </cell>
          <cell r="G104">
            <v>19272</v>
          </cell>
          <cell r="J104">
            <v>334</v>
          </cell>
          <cell r="L104">
            <v>189720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208992</v>
          </cell>
          <cell r="V104">
            <v>0</v>
          </cell>
          <cell r="W104">
            <v>437880</v>
          </cell>
        </row>
        <row r="105">
          <cell r="E105">
            <v>66</v>
          </cell>
          <cell r="G105">
            <v>9636</v>
          </cell>
          <cell r="J105">
            <v>104</v>
          </cell>
          <cell r="L105">
            <v>37440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47076</v>
          </cell>
          <cell r="V105">
            <v>0</v>
          </cell>
          <cell r="W105">
            <v>484956</v>
          </cell>
        </row>
        <row r="106">
          <cell r="E106">
            <v>78</v>
          </cell>
          <cell r="G106">
            <v>11388</v>
          </cell>
          <cell r="J106">
            <v>77</v>
          </cell>
          <cell r="L106">
            <v>27720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39108</v>
          </cell>
          <cell r="V106">
            <v>0</v>
          </cell>
          <cell r="W106">
            <v>524064</v>
          </cell>
        </row>
        <row r="107">
          <cell r="E107">
            <v>18</v>
          </cell>
          <cell r="G107">
            <v>2628</v>
          </cell>
          <cell r="J107">
            <v>26</v>
          </cell>
          <cell r="L107">
            <v>9360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11988</v>
          </cell>
          <cell r="V107">
            <v>0</v>
          </cell>
          <cell r="W107">
            <v>536052</v>
          </cell>
        </row>
        <row r="108">
          <cell r="E108">
            <v>31</v>
          </cell>
          <cell r="G108">
            <v>4526</v>
          </cell>
          <cell r="J108">
            <v>7</v>
          </cell>
          <cell r="L108">
            <v>2520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7046</v>
          </cell>
          <cell r="V108">
            <v>0</v>
          </cell>
          <cell r="W108">
            <v>543098</v>
          </cell>
        </row>
        <row r="109">
          <cell r="E109">
            <v>147</v>
          </cell>
          <cell r="G109">
            <v>21462</v>
          </cell>
          <cell r="J109">
            <v>13</v>
          </cell>
          <cell r="L109">
            <v>4680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26142</v>
          </cell>
          <cell r="V109">
            <v>0</v>
          </cell>
          <cell r="W109">
            <v>569240</v>
          </cell>
        </row>
        <row r="110">
          <cell r="E110">
            <v>96</v>
          </cell>
          <cell r="G110">
            <v>14016</v>
          </cell>
          <cell r="J110">
            <v>2</v>
          </cell>
          <cell r="L110">
            <v>720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14736</v>
          </cell>
          <cell r="V110">
            <v>0</v>
          </cell>
          <cell r="W110">
            <v>583976</v>
          </cell>
        </row>
        <row r="111">
          <cell r="E111">
            <v>66</v>
          </cell>
          <cell r="G111">
            <v>9636</v>
          </cell>
          <cell r="J111">
            <v>19</v>
          </cell>
          <cell r="L111">
            <v>6840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16476</v>
          </cell>
          <cell r="V111">
            <v>0</v>
          </cell>
          <cell r="W111">
            <v>600452</v>
          </cell>
        </row>
        <row r="112">
          <cell r="E112">
            <v>48</v>
          </cell>
          <cell r="G112">
            <v>7008</v>
          </cell>
          <cell r="J112">
            <v>26</v>
          </cell>
          <cell r="L112">
            <v>9360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16368</v>
          </cell>
          <cell r="V112">
            <v>0</v>
          </cell>
          <cell r="W112">
            <v>616820</v>
          </cell>
        </row>
        <row r="113">
          <cell r="E113">
            <v>68</v>
          </cell>
          <cell r="G113">
            <v>9928</v>
          </cell>
          <cell r="J113">
            <v>68</v>
          </cell>
          <cell r="L113">
            <v>24480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34408</v>
          </cell>
          <cell r="V113">
            <v>0</v>
          </cell>
          <cell r="W113">
            <v>651228</v>
          </cell>
        </row>
        <row r="114">
          <cell r="E114">
            <v>89</v>
          </cell>
          <cell r="G114">
            <v>12994</v>
          </cell>
          <cell r="J114">
            <v>113</v>
          </cell>
          <cell r="L114">
            <v>40680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53674</v>
          </cell>
          <cell r="V114">
            <v>0</v>
          </cell>
          <cell r="W114">
            <v>704902</v>
          </cell>
        </row>
        <row r="115">
          <cell r="E115">
            <v>73</v>
          </cell>
          <cell r="G115">
            <v>10658</v>
          </cell>
          <cell r="J115">
            <v>88</v>
          </cell>
          <cell r="L115">
            <v>31680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42338</v>
          </cell>
          <cell r="V115">
            <v>0</v>
          </cell>
          <cell r="W115">
            <v>747240</v>
          </cell>
        </row>
        <row r="116">
          <cell r="E116">
            <v>184</v>
          </cell>
          <cell r="G116">
            <v>26864</v>
          </cell>
          <cell r="J116">
            <v>109</v>
          </cell>
          <cell r="L116">
            <v>39240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66104</v>
          </cell>
          <cell r="V116">
            <v>0</v>
          </cell>
          <cell r="W116">
            <v>813344</v>
          </cell>
        </row>
        <row r="117">
          <cell r="E117">
            <v>132</v>
          </cell>
          <cell r="G117">
            <v>19272</v>
          </cell>
          <cell r="J117">
            <v>75</v>
          </cell>
          <cell r="L117">
            <v>27000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46272</v>
          </cell>
          <cell r="V117">
            <v>0</v>
          </cell>
          <cell r="W117">
            <v>859616</v>
          </cell>
        </row>
        <row r="118">
          <cell r="E118">
            <v>52</v>
          </cell>
          <cell r="G118">
            <v>7592</v>
          </cell>
          <cell r="J118">
            <v>153</v>
          </cell>
          <cell r="L118">
            <v>55080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62672</v>
          </cell>
          <cell r="V118">
            <v>0</v>
          </cell>
          <cell r="W118">
            <v>922288</v>
          </cell>
        </row>
        <row r="119">
          <cell r="E119">
            <v>130</v>
          </cell>
          <cell r="G119">
            <v>18980</v>
          </cell>
          <cell r="J119">
            <v>43</v>
          </cell>
          <cell r="L119">
            <v>15480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34460</v>
          </cell>
          <cell r="V119">
            <v>0</v>
          </cell>
          <cell r="W119">
            <v>956748</v>
          </cell>
        </row>
        <row r="120">
          <cell r="E120">
            <v>50</v>
          </cell>
          <cell r="G120">
            <v>7300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7300</v>
          </cell>
          <cell r="V120">
            <v>0</v>
          </cell>
          <cell r="W120">
            <v>964048</v>
          </cell>
        </row>
        <row r="121">
          <cell r="E121">
            <v>124</v>
          </cell>
          <cell r="G121">
            <v>18104</v>
          </cell>
          <cell r="J121">
            <v>21</v>
          </cell>
          <cell r="L121">
            <v>7560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25664</v>
          </cell>
          <cell r="V121">
            <v>0</v>
          </cell>
          <cell r="W121">
            <v>989712</v>
          </cell>
        </row>
        <row r="122">
          <cell r="E122">
            <v>51</v>
          </cell>
          <cell r="G122">
            <v>7446</v>
          </cell>
          <cell r="J122">
            <v>12</v>
          </cell>
          <cell r="L122">
            <v>4320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11766</v>
          </cell>
          <cell r="V122">
            <v>0</v>
          </cell>
          <cell r="W122">
            <v>1001478</v>
          </cell>
        </row>
        <row r="123">
          <cell r="E123">
            <v>85</v>
          </cell>
          <cell r="G123">
            <v>12410</v>
          </cell>
          <cell r="J123">
            <v>38</v>
          </cell>
          <cell r="L123">
            <v>13680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26090</v>
          </cell>
          <cell r="V123">
            <v>0</v>
          </cell>
          <cell r="W123">
            <v>1027568</v>
          </cell>
        </row>
        <row r="124">
          <cell r="E124">
            <v>62</v>
          </cell>
          <cell r="G124">
            <v>9052</v>
          </cell>
          <cell r="J124">
            <v>23</v>
          </cell>
          <cell r="L124">
            <v>8280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17332</v>
          </cell>
          <cell r="V124">
            <v>0</v>
          </cell>
          <cell r="W124">
            <v>1044900</v>
          </cell>
        </row>
        <row r="125">
          <cell r="E125">
            <v>71</v>
          </cell>
          <cell r="G125">
            <v>10366</v>
          </cell>
          <cell r="J125">
            <v>80</v>
          </cell>
          <cell r="L125">
            <v>28800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39166</v>
          </cell>
          <cell r="V125">
            <v>0</v>
          </cell>
          <cell r="W125">
            <v>1084066</v>
          </cell>
        </row>
        <row r="126">
          <cell r="E126">
            <v>94</v>
          </cell>
          <cell r="G126">
            <v>13724</v>
          </cell>
          <cell r="J126">
            <v>60</v>
          </cell>
          <cell r="L126">
            <v>21600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35324</v>
          </cell>
          <cell r="V126">
            <v>0</v>
          </cell>
          <cell r="W126">
            <v>1119390</v>
          </cell>
        </row>
        <row r="127">
          <cell r="E127">
            <v>78</v>
          </cell>
          <cell r="G127">
            <v>11388</v>
          </cell>
          <cell r="J127">
            <v>83</v>
          </cell>
          <cell r="L127">
            <v>29880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41268</v>
          </cell>
          <cell r="V127">
            <v>0</v>
          </cell>
          <cell r="W127">
            <v>1160658</v>
          </cell>
        </row>
        <row r="128">
          <cell r="E128">
            <v>87</v>
          </cell>
          <cell r="G128">
            <v>12702</v>
          </cell>
          <cell r="J128">
            <v>135</v>
          </cell>
          <cell r="L128">
            <v>48600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61302</v>
          </cell>
          <cell r="V128">
            <v>0</v>
          </cell>
          <cell r="W128">
            <v>1221960</v>
          </cell>
        </row>
        <row r="129">
          <cell r="E129">
            <v>94</v>
          </cell>
          <cell r="G129">
            <v>13724</v>
          </cell>
          <cell r="J129">
            <v>146</v>
          </cell>
          <cell r="L129">
            <v>52560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66284</v>
          </cell>
          <cell r="V129">
            <v>0</v>
          </cell>
          <cell r="W129">
            <v>1288244</v>
          </cell>
        </row>
        <row r="130">
          <cell r="E130">
            <v>50</v>
          </cell>
          <cell r="G130">
            <v>7300</v>
          </cell>
          <cell r="J130">
            <v>98</v>
          </cell>
          <cell r="L130">
            <v>35280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42580</v>
          </cell>
          <cell r="V130">
            <v>0</v>
          </cell>
          <cell r="W130">
            <v>1330824</v>
          </cell>
        </row>
        <row r="131">
          <cell r="E131">
            <v>73</v>
          </cell>
          <cell r="G131">
            <v>10658</v>
          </cell>
          <cell r="J131">
            <v>11</v>
          </cell>
          <cell r="L131">
            <v>3960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14618</v>
          </cell>
          <cell r="V131">
            <v>0</v>
          </cell>
          <cell r="W131">
            <v>1345442</v>
          </cell>
        </row>
        <row r="132">
          <cell r="E132">
            <v>7</v>
          </cell>
          <cell r="G132">
            <v>1022</v>
          </cell>
          <cell r="J132">
            <v>7</v>
          </cell>
          <cell r="L132">
            <v>2520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3542</v>
          </cell>
          <cell r="V132">
            <v>0</v>
          </cell>
          <cell r="W132">
            <v>1348984</v>
          </cell>
        </row>
        <row r="133">
          <cell r="E133">
            <v>104</v>
          </cell>
          <cell r="G133">
            <v>15184</v>
          </cell>
          <cell r="J133">
            <v>2</v>
          </cell>
          <cell r="L133">
            <v>720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15904</v>
          </cell>
          <cell r="V133">
            <v>0</v>
          </cell>
          <cell r="W133">
            <v>1364888</v>
          </cell>
        </row>
        <row r="134">
          <cell r="E134">
            <v>40</v>
          </cell>
          <cell r="G134">
            <v>5840</v>
          </cell>
          <cell r="J134">
            <v>2</v>
          </cell>
          <cell r="L134">
            <v>720</v>
          </cell>
          <cell r="M134">
            <v>0</v>
          </cell>
          <cell r="N134">
            <v>0</v>
          </cell>
          <cell r="O134">
            <v>74980</v>
          </cell>
          <cell r="P134">
            <v>0</v>
          </cell>
          <cell r="Q134">
            <v>0</v>
          </cell>
          <cell r="R134">
            <v>0</v>
          </cell>
          <cell r="S134">
            <v>81540</v>
          </cell>
          <cell r="V134">
            <v>0</v>
          </cell>
          <cell r="W134">
            <v>1446428</v>
          </cell>
        </row>
        <row r="135">
          <cell r="E135">
            <v>39</v>
          </cell>
          <cell r="G135">
            <v>5694</v>
          </cell>
          <cell r="J135">
            <v>24</v>
          </cell>
          <cell r="L135">
            <v>8640</v>
          </cell>
          <cell r="M135">
            <v>0</v>
          </cell>
          <cell r="N135">
            <v>0</v>
          </cell>
          <cell r="O135">
            <v>8380</v>
          </cell>
          <cell r="P135">
            <v>0</v>
          </cell>
          <cell r="Q135">
            <v>0</v>
          </cell>
          <cell r="R135">
            <v>0</v>
          </cell>
          <cell r="S135">
            <v>22714</v>
          </cell>
          <cell r="V135">
            <v>0</v>
          </cell>
          <cell r="W135">
            <v>1469142</v>
          </cell>
        </row>
        <row r="136">
          <cell r="E136">
            <v>27</v>
          </cell>
          <cell r="G136">
            <v>3942</v>
          </cell>
          <cell r="J136">
            <v>98</v>
          </cell>
          <cell r="L136">
            <v>35280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39222</v>
          </cell>
          <cell r="V136">
            <v>0</v>
          </cell>
          <cell r="W136">
            <v>1508364</v>
          </cell>
        </row>
        <row r="137">
          <cell r="E137">
            <v>37</v>
          </cell>
          <cell r="G137">
            <v>5402</v>
          </cell>
          <cell r="J137">
            <v>61</v>
          </cell>
          <cell r="L137">
            <v>21960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27362</v>
          </cell>
          <cell r="V137">
            <v>0</v>
          </cell>
          <cell r="W137">
            <v>1535726</v>
          </cell>
        </row>
        <row r="138">
          <cell r="E138">
            <v>28</v>
          </cell>
          <cell r="G138">
            <v>4088</v>
          </cell>
          <cell r="J138">
            <v>139</v>
          </cell>
          <cell r="L138">
            <v>50040</v>
          </cell>
          <cell r="M138">
            <v>0</v>
          </cell>
          <cell r="N138">
            <v>0</v>
          </cell>
          <cell r="O138">
            <v>30345</v>
          </cell>
          <cell r="P138">
            <v>0</v>
          </cell>
          <cell r="Q138">
            <v>0</v>
          </cell>
          <cell r="R138">
            <v>0</v>
          </cell>
          <cell r="S138">
            <v>84473</v>
          </cell>
          <cell r="V138">
            <v>0</v>
          </cell>
          <cell r="W138">
            <v>1620199</v>
          </cell>
        </row>
        <row r="139">
          <cell r="E139">
            <v>20</v>
          </cell>
          <cell r="G139">
            <v>2920</v>
          </cell>
          <cell r="J139">
            <v>92</v>
          </cell>
          <cell r="L139">
            <v>33120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36040</v>
          </cell>
          <cell r="V139">
            <v>0</v>
          </cell>
          <cell r="W139">
            <v>1656239</v>
          </cell>
        </row>
        <row r="140">
          <cell r="E140">
            <v>136</v>
          </cell>
          <cell r="G140">
            <v>19856</v>
          </cell>
          <cell r="J140">
            <v>50</v>
          </cell>
          <cell r="L140">
            <v>18000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37856</v>
          </cell>
          <cell r="V140">
            <v>0</v>
          </cell>
          <cell r="W140">
            <v>1694095</v>
          </cell>
        </row>
        <row r="141">
          <cell r="E141">
            <v>76</v>
          </cell>
          <cell r="G141">
            <v>11096</v>
          </cell>
          <cell r="J141">
            <v>80</v>
          </cell>
          <cell r="L141">
            <v>28800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39896</v>
          </cell>
          <cell r="V141">
            <v>0</v>
          </cell>
          <cell r="W141">
            <v>1733991</v>
          </cell>
        </row>
        <row r="142">
          <cell r="E142">
            <v>107</v>
          </cell>
          <cell r="G142">
            <v>15622</v>
          </cell>
          <cell r="J142">
            <v>86</v>
          </cell>
          <cell r="L142">
            <v>30960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46582</v>
          </cell>
          <cell r="V142">
            <v>0</v>
          </cell>
          <cell r="W142">
            <v>1780573</v>
          </cell>
        </row>
        <row r="143">
          <cell r="E143">
            <v>76</v>
          </cell>
          <cell r="G143">
            <v>11096</v>
          </cell>
          <cell r="J143">
            <v>26</v>
          </cell>
          <cell r="L143">
            <v>9360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20456</v>
          </cell>
          <cell r="V143">
            <v>0</v>
          </cell>
          <cell r="W143">
            <v>1801029</v>
          </cell>
        </row>
        <row r="144">
          <cell r="E144">
            <v>45</v>
          </cell>
          <cell r="G144">
            <v>6570</v>
          </cell>
          <cell r="J144">
            <v>4</v>
          </cell>
          <cell r="L144">
            <v>1440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8010</v>
          </cell>
          <cell r="V144">
            <v>0</v>
          </cell>
          <cell r="W144">
            <v>1809039</v>
          </cell>
        </row>
        <row r="145">
          <cell r="E145">
            <v>153</v>
          </cell>
          <cell r="G145">
            <v>22338</v>
          </cell>
          <cell r="J145">
            <v>7</v>
          </cell>
          <cell r="L145">
            <v>2520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24858</v>
          </cell>
          <cell r="V145">
            <v>0</v>
          </cell>
          <cell r="W145">
            <v>1833897</v>
          </cell>
        </row>
        <row r="146">
          <cell r="E146">
            <v>53</v>
          </cell>
          <cell r="G146">
            <v>7738</v>
          </cell>
          <cell r="J146">
            <v>2</v>
          </cell>
          <cell r="L146">
            <v>720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8458</v>
          </cell>
          <cell r="V146">
            <v>0</v>
          </cell>
          <cell r="W146">
            <v>1842355</v>
          </cell>
        </row>
        <row r="147">
          <cell r="E147">
            <v>62</v>
          </cell>
          <cell r="G147">
            <v>9052</v>
          </cell>
          <cell r="J147">
            <v>10</v>
          </cell>
          <cell r="L147">
            <v>3600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12652</v>
          </cell>
          <cell r="V147">
            <v>0</v>
          </cell>
          <cell r="W147">
            <v>1855007</v>
          </cell>
        </row>
        <row r="148">
          <cell r="E148">
            <v>28</v>
          </cell>
          <cell r="G148">
            <v>4088</v>
          </cell>
          <cell r="J148">
            <v>16</v>
          </cell>
          <cell r="L148">
            <v>5760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9848</v>
          </cell>
          <cell r="V148">
            <v>0</v>
          </cell>
          <cell r="W148">
            <v>1864855</v>
          </cell>
        </row>
        <row r="149">
          <cell r="E149">
            <v>0</v>
          </cell>
          <cell r="G149">
            <v>0</v>
          </cell>
          <cell r="J149">
            <v>51</v>
          </cell>
          <cell r="L149">
            <v>18360</v>
          </cell>
          <cell r="M149">
            <v>0</v>
          </cell>
          <cell r="N149">
            <v>0</v>
          </cell>
          <cell r="O149">
            <v>37311</v>
          </cell>
          <cell r="P149">
            <v>0</v>
          </cell>
          <cell r="Q149">
            <v>0</v>
          </cell>
          <cell r="R149">
            <v>0</v>
          </cell>
          <cell r="S149">
            <v>55671</v>
          </cell>
          <cell r="V149">
            <v>0</v>
          </cell>
          <cell r="W149">
            <v>1920526</v>
          </cell>
        </row>
        <row r="150">
          <cell r="E150">
            <v>-8517</v>
          </cell>
          <cell r="G150">
            <v>0</v>
          </cell>
          <cell r="J150">
            <v>41</v>
          </cell>
          <cell r="L150">
            <v>14760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14760</v>
          </cell>
          <cell r="V150">
            <v>0</v>
          </cell>
          <cell r="W150">
            <v>1935286</v>
          </cell>
        </row>
        <row r="151">
          <cell r="E151">
            <v>5</v>
          </cell>
          <cell r="G151">
            <v>730</v>
          </cell>
          <cell r="J151">
            <v>90</v>
          </cell>
          <cell r="L151">
            <v>32400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33130</v>
          </cell>
          <cell r="V151">
            <v>0</v>
          </cell>
          <cell r="W151">
            <v>1968416</v>
          </cell>
        </row>
        <row r="152">
          <cell r="E152">
            <v>118</v>
          </cell>
          <cell r="G152">
            <v>17228</v>
          </cell>
          <cell r="J152">
            <v>70</v>
          </cell>
          <cell r="L152">
            <v>25200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42428</v>
          </cell>
          <cell r="V152">
            <v>0</v>
          </cell>
          <cell r="W152">
            <v>2010844</v>
          </cell>
        </row>
        <row r="153">
          <cell r="E153">
            <v>64</v>
          </cell>
          <cell r="G153">
            <v>9344</v>
          </cell>
          <cell r="J153">
            <v>71</v>
          </cell>
          <cell r="L153">
            <v>25560</v>
          </cell>
          <cell r="M153">
            <v>0</v>
          </cell>
          <cell r="N153">
            <v>0</v>
          </cell>
          <cell r="O153">
            <v>2479</v>
          </cell>
          <cell r="P153">
            <v>0</v>
          </cell>
          <cell r="Q153">
            <v>0</v>
          </cell>
          <cell r="R153">
            <v>0</v>
          </cell>
          <cell r="S153">
            <v>37383</v>
          </cell>
          <cell r="V153">
            <v>0</v>
          </cell>
          <cell r="W153">
            <v>2048227</v>
          </cell>
        </row>
        <row r="154">
          <cell r="E154">
            <v>35</v>
          </cell>
          <cell r="G154">
            <v>5110</v>
          </cell>
          <cell r="J154">
            <v>63</v>
          </cell>
          <cell r="L154">
            <v>22680</v>
          </cell>
          <cell r="M154">
            <v>0</v>
          </cell>
          <cell r="N154">
            <v>0</v>
          </cell>
          <cell r="O154">
            <v>2479</v>
          </cell>
          <cell r="P154">
            <v>0</v>
          </cell>
          <cell r="Q154">
            <v>0</v>
          </cell>
          <cell r="R154">
            <v>0</v>
          </cell>
          <cell r="S154">
            <v>30269</v>
          </cell>
          <cell r="V154">
            <v>0</v>
          </cell>
          <cell r="W154">
            <v>2078496</v>
          </cell>
        </row>
        <row r="155">
          <cell r="E155">
            <v>59</v>
          </cell>
          <cell r="G155">
            <v>8614</v>
          </cell>
          <cell r="J155">
            <v>58</v>
          </cell>
          <cell r="L155">
            <v>20880</v>
          </cell>
          <cell r="M155">
            <v>0</v>
          </cell>
          <cell r="N155">
            <v>0</v>
          </cell>
          <cell r="O155">
            <v>2479</v>
          </cell>
          <cell r="P155">
            <v>0</v>
          </cell>
          <cell r="Q155">
            <v>0</v>
          </cell>
          <cell r="R155">
            <v>0</v>
          </cell>
          <cell r="S155">
            <v>31973</v>
          </cell>
          <cell r="V155">
            <v>0</v>
          </cell>
          <cell r="W155">
            <v>2110469</v>
          </cell>
        </row>
        <row r="156">
          <cell r="E156">
            <v>26</v>
          </cell>
          <cell r="G156">
            <v>3796</v>
          </cell>
          <cell r="J156">
            <v>52</v>
          </cell>
          <cell r="L156">
            <v>18720</v>
          </cell>
          <cell r="M156">
            <v>0</v>
          </cell>
          <cell r="N156">
            <v>0</v>
          </cell>
          <cell r="O156">
            <v>2479</v>
          </cell>
          <cell r="P156">
            <v>0</v>
          </cell>
          <cell r="Q156">
            <v>0</v>
          </cell>
          <cell r="R156">
            <v>0</v>
          </cell>
          <cell r="S156">
            <v>24995</v>
          </cell>
          <cell r="V156">
            <v>0</v>
          </cell>
          <cell r="W156">
            <v>2135464</v>
          </cell>
        </row>
        <row r="157">
          <cell r="E157">
            <v>80</v>
          </cell>
          <cell r="G157">
            <v>11680</v>
          </cell>
          <cell r="J157">
            <v>34</v>
          </cell>
          <cell r="L157">
            <v>12240</v>
          </cell>
          <cell r="M157">
            <v>0</v>
          </cell>
          <cell r="N157">
            <v>0</v>
          </cell>
          <cell r="O157">
            <v>2479</v>
          </cell>
          <cell r="P157">
            <v>0</v>
          </cell>
          <cell r="Q157">
            <v>0</v>
          </cell>
          <cell r="R157">
            <v>0</v>
          </cell>
          <cell r="S157">
            <v>26399</v>
          </cell>
          <cell r="V157">
            <v>0</v>
          </cell>
          <cell r="W157">
            <v>2161863</v>
          </cell>
        </row>
        <row r="158">
          <cell r="E158">
            <v>45</v>
          </cell>
          <cell r="G158">
            <v>6570</v>
          </cell>
          <cell r="J158">
            <v>3</v>
          </cell>
          <cell r="L158">
            <v>1080</v>
          </cell>
          <cell r="M158">
            <v>0</v>
          </cell>
          <cell r="N158">
            <v>0</v>
          </cell>
          <cell r="O158">
            <v>2479</v>
          </cell>
          <cell r="P158">
            <v>0</v>
          </cell>
          <cell r="Q158">
            <v>0</v>
          </cell>
          <cell r="R158">
            <v>0</v>
          </cell>
          <cell r="S158">
            <v>10129</v>
          </cell>
          <cell r="V158">
            <v>0</v>
          </cell>
          <cell r="W158">
            <v>2171992</v>
          </cell>
        </row>
        <row r="159">
          <cell r="E159">
            <v>16</v>
          </cell>
          <cell r="G159">
            <v>2336</v>
          </cell>
          <cell r="J159">
            <v>14</v>
          </cell>
          <cell r="L159">
            <v>5040</v>
          </cell>
          <cell r="M159">
            <v>0</v>
          </cell>
          <cell r="N159">
            <v>0</v>
          </cell>
          <cell r="O159">
            <v>2479</v>
          </cell>
          <cell r="P159">
            <v>0</v>
          </cell>
          <cell r="Q159">
            <v>0</v>
          </cell>
          <cell r="R159">
            <v>0</v>
          </cell>
          <cell r="S159">
            <v>9855</v>
          </cell>
          <cell r="V159">
            <v>0</v>
          </cell>
          <cell r="W159">
            <v>2181847</v>
          </cell>
        </row>
        <row r="160">
          <cell r="E160">
            <v>0</v>
          </cell>
          <cell r="G160">
            <v>0</v>
          </cell>
          <cell r="J160">
            <v>16</v>
          </cell>
          <cell r="L160">
            <v>5760</v>
          </cell>
          <cell r="M160">
            <v>0</v>
          </cell>
          <cell r="N160">
            <v>0</v>
          </cell>
          <cell r="O160">
            <v>2479</v>
          </cell>
          <cell r="P160">
            <v>0</v>
          </cell>
          <cell r="Q160">
            <v>0</v>
          </cell>
          <cell r="R160">
            <v>0</v>
          </cell>
          <cell r="S160">
            <v>8239</v>
          </cell>
          <cell r="V160">
            <v>0</v>
          </cell>
          <cell r="W160">
            <v>2190086</v>
          </cell>
        </row>
        <row r="161">
          <cell r="E161">
            <v>70</v>
          </cell>
          <cell r="G161">
            <v>10220</v>
          </cell>
          <cell r="J161">
            <v>59</v>
          </cell>
          <cell r="L161">
            <v>21240</v>
          </cell>
          <cell r="M161">
            <v>0</v>
          </cell>
          <cell r="N161">
            <v>0</v>
          </cell>
          <cell r="O161">
            <v>2479</v>
          </cell>
          <cell r="P161">
            <v>0</v>
          </cell>
          <cell r="Q161">
            <v>0</v>
          </cell>
          <cell r="R161">
            <v>0</v>
          </cell>
          <cell r="S161">
            <v>33939</v>
          </cell>
          <cell r="V161">
            <v>0</v>
          </cell>
          <cell r="W161">
            <v>2224025</v>
          </cell>
        </row>
        <row r="162">
          <cell r="E162">
            <v>67</v>
          </cell>
          <cell r="G162">
            <v>9782</v>
          </cell>
          <cell r="J162">
            <v>53</v>
          </cell>
          <cell r="L162">
            <v>19080</v>
          </cell>
          <cell r="M162">
            <v>0</v>
          </cell>
          <cell r="N162">
            <v>0</v>
          </cell>
          <cell r="O162">
            <v>2333</v>
          </cell>
          <cell r="P162">
            <v>0</v>
          </cell>
          <cell r="Q162">
            <v>0</v>
          </cell>
          <cell r="R162">
            <v>0</v>
          </cell>
          <cell r="S162">
            <v>31195</v>
          </cell>
          <cell r="V162">
            <v>0</v>
          </cell>
          <cell r="W162">
            <v>2255220</v>
          </cell>
        </row>
        <row r="163">
          <cell r="E163">
            <v>39</v>
          </cell>
          <cell r="G163">
            <v>5694</v>
          </cell>
          <cell r="J163">
            <v>35</v>
          </cell>
          <cell r="L163">
            <v>12600</v>
          </cell>
          <cell r="M163">
            <v>0</v>
          </cell>
          <cell r="N163">
            <v>0</v>
          </cell>
          <cell r="O163">
            <v>2333</v>
          </cell>
          <cell r="P163">
            <v>0</v>
          </cell>
          <cell r="Q163">
            <v>0</v>
          </cell>
          <cell r="R163">
            <v>0</v>
          </cell>
          <cell r="S163">
            <v>20627</v>
          </cell>
          <cell r="V163">
            <v>0</v>
          </cell>
          <cell r="W163">
            <v>2275847</v>
          </cell>
        </row>
        <row r="164">
          <cell r="E164">
            <v>84</v>
          </cell>
          <cell r="G164">
            <v>12264</v>
          </cell>
          <cell r="J164">
            <v>65</v>
          </cell>
          <cell r="L164">
            <v>23400</v>
          </cell>
          <cell r="M164">
            <v>0</v>
          </cell>
          <cell r="N164">
            <v>0</v>
          </cell>
          <cell r="O164">
            <v>2333</v>
          </cell>
          <cell r="P164">
            <v>0</v>
          </cell>
          <cell r="Q164">
            <v>0</v>
          </cell>
          <cell r="R164">
            <v>0</v>
          </cell>
          <cell r="S164">
            <v>37997</v>
          </cell>
          <cell r="V164">
            <v>0</v>
          </cell>
          <cell r="W164">
            <v>2313844</v>
          </cell>
        </row>
        <row r="165">
          <cell r="E165">
            <v>47</v>
          </cell>
          <cell r="G165">
            <v>6862</v>
          </cell>
          <cell r="J165">
            <v>48</v>
          </cell>
          <cell r="L165">
            <v>17280</v>
          </cell>
          <cell r="M165">
            <v>0</v>
          </cell>
          <cell r="N165">
            <v>0</v>
          </cell>
          <cell r="O165">
            <v>2333</v>
          </cell>
          <cell r="P165">
            <v>0</v>
          </cell>
          <cell r="Q165">
            <v>0</v>
          </cell>
          <cell r="R165">
            <v>0</v>
          </cell>
          <cell r="S165">
            <v>26475</v>
          </cell>
          <cell r="V165">
            <v>0</v>
          </cell>
          <cell r="W165">
            <v>2340319</v>
          </cell>
        </row>
        <row r="166">
          <cell r="E166">
            <v>3</v>
          </cell>
          <cell r="G166">
            <v>438</v>
          </cell>
          <cell r="J166">
            <v>10</v>
          </cell>
          <cell r="L166">
            <v>3600</v>
          </cell>
          <cell r="M166">
            <v>0</v>
          </cell>
          <cell r="N166">
            <v>0</v>
          </cell>
          <cell r="O166">
            <v>2355</v>
          </cell>
          <cell r="P166">
            <v>0</v>
          </cell>
          <cell r="Q166">
            <v>0</v>
          </cell>
          <cell r="R166">
            <v>0</v>
          </cell>
          <cell r="S166">
            <v>6393</v>
          </cell>
          <cell r="V166">
            <v>0</v>
          </cell>
          <cell r="W166">
            <v>2346712</v>
          </cell>
        </row>
        <row r="167">
          <cell r="E167">
            <v>10</v>
          </cell>
          <cell r="G167">
            <v>1460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2355</v>
          </cell>
          <cell r="P167">
            <v>0</v>
          </cell>
          <cell r="Q167">
            <v>0</v>
          </cell>
          <cell r="R167">
            <v>0</v>
          </cell>
          <cell r="S167">
            <v>3815</v>
          </cell>
          <cell r="V167">
            <v>0</v>
          </cell>
          <cell r="W167">
            <v>2350527</v>
          </cell>
        </row>
        <row r="168">
          <cell r="E168">
            <v>6</v>
          </cell>
          <cell r="G168">
            <v>876</v>
          </cell>
          <cell r="J168">
            <v>9</v>
          </cell>
          <cell r="L168">
            <v>3240</v>
          </cell>
          <cell r="M168">
            <v>0</v>
          </cell>
          <cell r="N168">
            <v>0</v>
          </cell>
          <cell r="O168">
            <v>2355</v>
          </cell>
          <cell r="P168">
            <v>0</v>
          </cell>
          <cell r="Q168">
            <v>0</v>
          </cell>
          <cell r="R168">
            <v>0</v>
          </cell>
          <cell r="S168">
            <v>6471</v>
          </cell>
          <cell r="V168">
            <v>0</v>
          </cell>
          <cell r="W168">
            <v>2356998</v>
          </cell>
        </row>
        <row r="169">
          <cell r="E169">
            <v>110</v>
          </cell>
          <cell r="G169">
            <v>16060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2158</v>
          </cell>
          <cell r="P169">
            <v>0</v>
          </cell>
          <cell r="Q169">
            <v>0</v>
          </cell>
          <cell r="R169">
            <v>0</v>
          </cell>
          <cell r="S169">
            <v>18218</v>
          </cell>
          <cell r="V169">
            <v>0</v>
          </cell>
          <cell r="W169">
            <v>2375216</v>
          </cell>
        </row>
        <row r="170">
          <cell r="E170">
            <v>20</v>
          </cell>
          <cell r="G170">
            <v>2920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2158</v>
          </cell>
          <cell r="P170">
            <v>0</v>
          </cell>
          <cell r="Q170">
            <v>0</v>
          </cell>
          <cell r="R170">
            <v>0</v>
          </cell>
          <cell r="S170">
            <v>5078</v>
          </cell>
          <cell r="V170">
            <v>0</v>
          </cell>
          <cell r="W170">
            <v>2380294</v>
          </cell>
        </row>
        <row r="171">
          <cell r="E171">
            <v>17</v>
          </cell>
          <cell r="G171">
            <v>2482</v>
          </cell>
          <cell r="J171">
            <v>9</v>
          </cell>
          <cell r="L171">
            <v>3240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5722</v>
          </cell>
          <cell r="V171">
            <v>0</v>
          </cell>
          <cell r="W171">
            <v>2386016</v>
          </cell>
        </row>
        <row r="172">
          <cell r="E172">
            <v>0</v>
          </cell>
          <cell r="G172">
            <v>0</v>
          </cell>
          <cell r="J172">
            <v>3</v>
          </cell>
          <cell r="L172">
            <v>1080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1080</v>
          </cell>
          <cell r="V172">
            <v>0</v>
          </cell>
          <cell r="W172">
            <v>2387096</v>
          </cell>
        </row>
        <row r="173">
          <cell r="E173">
            <v>12</v>
          </cell>
          <cell r="G173">
            <v>1752</v>
          </cell>
          <cell r="J173">
            <v>20</v>
          </cell>
          <cell r="L173">
            <v>7200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8952</v>
          </cell>
          <cell r="V173">
            <v>0</v>
          </cell>
          <cell r="W173">
            <v>2396048</v>
          </cell>
        </row>
        <row r="174">
          <cell r="E174">
            <v>17</v>
          </cell>
          <cell r="G174">
            <v>2482</v>
          </cell>
          <cell r="J174">
            <v>55</v>
          </cell>
          <cell r="L174">
            <v>19800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22282</v>
          </cell>
          <cell r="V174">
            <v>0</v>
          </cell>
          <cell r="W174">
            <v>2418330</v>
          </cell>
        </row>
      </sheetData>
      <sheetData sheetId="67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68</v>
          </cell>
          <cell r="G78">
            <v>7344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7344</v>
          </cell>
          <cell r="V78">
            <v>0</v>
          </cell>
          <cell r="W78">
            <v>0</v>
          </cell>
        </row>
        <row r="79">
          <cell r="E79">
            <v>54</v>
          </cell>
          <cell r="G79">
            <v>6696</v>
          </cell>
          <cell r="J79">
            <v>2</v>
          </cell>
          <cell r="L79">
            <v>720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7416</v>
          </cell>
          <cell r="V79">
            <v>0</v>
          </cell>
          <cell r="W79">
            <v>0</v>
          </cell>
        </row>
        <row r="80">
          <cell r="E80">
            <v>66</v>
          </cell>
          <cell r="G80">
            <v>8580</v>
          </cell>
          <cell r="J80">
            <v>1</v>
          </cell>
          <cell r="L80">
            <v>360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8940</v>
          </cell>
          <cell r="V80">
            <v>0</v>
          </cell>
          <cell r="W80">
            <v>0</v>
          </cell>
        </row>
        <row r="81">
          <cell r="E81">
            <v>81</v>
          </cell>
          <cell r="G81">
            <v>10530</v>
          </cell>
          <cell r="J81">
            <v>3</v>
          </cell>
          <cell r="L81">
            <v>1080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11610</v>
          </cell>
          <cell r="V81">
            <v>0</v>
          </cell>
          <cell r="W81">
            <v>0</v>
          </cell>
        </row>
        <row r="82">
          <cell r="E82">
            <v>40</v>
          </cell>
          <cell r="G82">
            <v>5600</v>
          </cell>
          <cell r="J82">
            <v>1</v>
          </cell>
          <cell r="L82">
            <v>360</v>
          </cell>
          <cell r="M82">
            <v>0</v>
          </cell>
          <cell r="N82">
            <v>0</v>
          </cell>
          <cell r="O82">
            <v>0</v>
          </cell>
          <cell r="P82">
            <v>4000</v>
          </cell>
          <cell r="Q82">
            <v>0</v>
          </cell>
          <cell r="R82">
            <v>0</v>
          </cell>
          <cell r="S82">
            <v>9960</v>
          </cell>
          <cell r="V82">
            <v>0</v>
          </cell>
          <cell r="W82">
            <v>9960</v>
          </cell>
        </row>
        <row r="83">
          <cell r="E83">
            <v>23</v>
          </cell>
          <cell r="G83">
            <v>3358</v>
          </cell>
          <cell r="J83">
            <v>3</v>
          </cell>
          <cell r="L83">
            <v>1080</v>
          </cell>
          <cell r="M83">
            <v>0</v>
          </cell>
          <cell r="N83">
            <v>0</v>
          </cell>
          <cell r="O83">
            <v>0</v>
          </cell>
          <cell r="P83">
            <v>4000</v>
          </cell>
          <cell r="Q83">
            <v>0</v>
          </cell>
          <cell r="R83">
            <v>0</v>
          </cell>
          <cell r="S83">
            <v>8438</v>
          </cell>
          <cell r="V83">
            <v>0</v>
          </cell>
          <cell r="W83">
            <v>8438</v>
          </cell>
        </row>
        <row r="84">
          <cell r="E84">
            <v>26</v>
          </cell>
          <cell r="G84">
            <v>3796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4000</v>
          </cell>
          <cell r="Q84">
            <v>0</v>
          </cell>
          <cell r="R84">
            <v>0</v>
          </cell>
          <cell r="S84">
            <v>7796</v>
          </cell>
          <cell r="V84">
            <v>0</v>
          </cell>
          <cell r="W84">
            <v>7796</v>
          </cell>
        </row>
        <row r="85">
          <cell r="E85">
            <v>23</v>
          </cell>
          <cell r="G85">
            <v>3358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4000</v>
          </cell>
          <cell r="Q85">
            <v>0</v>
          </cell>
          <cell r="R85">
            <v>0</v>
          </cell>
          <cell r="S85">
            <v>7358</v>
          </cell>
          <cell r="V85">
            <v>0</v>
          </cell>
          <cell r="W85">
            <v>7358</v>
          </cell>
        </row>
        <row r="86">
          <cell r="E86">
            <v>36</v>
          </cell>
          <cell r="G86">
            <v>5256</v>
          </cell>
          <cell r="J86">
            <v>1</v>
          </cell>
          <cell r="L86">
            <v>360</v>
          </cell>
          <cell r="M86">
            <v>0</v>
          </cell>
          <cell r="N86">
            <v>0</v>
          </cell>
          <cell r="O86">
            <v>0</v>
          </cell>
          <cell r="P86">
            <v>4000</v>
          </cell>
          <cell r="Q86">
            <v>0</v>
          </cell>
          <cell r="R86">
            <v>0</v>
          </cell>
          <cell r="S86">
            <v>9616</v>
          </cell>
          <cell r="V86">
            <v>0</v>
          </cell>
          <cell r="W86">
            <v>9616</v>
          </cell>
        </row>
        <row r="87">
          <cell r="E87">
            <v>86</v>
          </cell>
          <cell r="G87">
            <v>12556</v>
          </cell>
          <cell r="J87">
            <v>4</v>
          </cell>
          <cell r="L87">
            <v>1440</v>
          </cell>
          <cell r="M87">
            <v>0</v>
          </cell>
          <cell r="N87">
            <v>0</v>
          </cell>
          <cell r="O87">
            <v>0</v>
          </cell>
          <cell r="P87">
            <v>4000</v>
          </cell>
          <cell r="Q87">
            <v>0</v>
          </cell>
          <cell r="R87">
            <v>0</v>
          </cell>
          <cell r="S87">
            <v>17996</v>
          </cell>
          <cell r="V87">
            <v>0</v>
          </cell>
          <cell r="W87">
            <v>17996</v>
          </cell>
        </row>
        <row r="88">
          <cell r="E88">
            <v>46</v>
          </cell>
          <cell r="G88">
            <v>6716</v>
          </cell>
          <cell r="J88">
            <v>2</v>
          </cell>
          <cell r="L88">
            <v>720</v>
          </cell>
          <cell r="M88">
            <v>0</v>
          </cell>
          <cell r="N88">
            <v>0</v>
          </cell>
          <cell r="O88">
            <v>0</v>
          </cell>
          <cell r="P88">
            <v>4000</v>
          </cell>
          <cell r="Q88">
            <v>0</v>
          </cell>
          <cell r="R88">
            <v>0</v>
          </cell>
          <cell r="S88">
            <v>11436</v>
          </cell>
          <cell r="V88">
            <v>0</v>
          </cell>
          <cell r="W88">
            <v>11436</v>
          </cell>
        </row>
        <row r="89">
          <cell r="E89">
            <v>37</v>
          </cell>
          <cell r="G89">
            <v>5402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4000</v>
          </cell>
          <cell r="Q89">
            <v>0</v>
          </cell>
          <cell r="R89">
            <v>0</v>
          </cell>
          <cell r="S89">
            <v>9402</v>
          </cell>
          <cell r="V89">
            <v>0</v>
          </cell>
          <cell r="W89">
            <v>9402</v>
          </cell>
        </row>
        <row r="90">
          <cell r="E90">
            <v>60</v>
          </cell>
          <cell r="G90">
            <v>8760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4000</v>
          </cell>
          <cell r="Q90">
            <v>0</v>
          </cell>
          <cell r="R90">
            <v>0</v>
          </cell>
          <cell r="S90">
            <v>12760</v>
          </cell>
          <cell r="V90">
            <v>0</v>
          </cell>
          <cell r="W90">
            <v>12760</v>
          </cell>
        </row>
        <row r="91">
          <cell r="E91">
            <v>56</v>
          </cell>
          <cell r="G91">
            <v>8176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4000</v>
          </cell>
          <cell r="Q91">
            <v>0</v>
          </cell>
          <cell r="R91">
            <v>0</v>
          </cell>
          <cell r="S91">
            <v>12176</v>
          </cell>
          <cell r="V91">
            <v>0</v>
          </cell>
          <cell r="W91">
            <v>12176</v>
          </cell>
        </row>
        <row r="92">
          <cell r="E92">
            <v>53</v>
          </cell>
          <cell r="G92">
            <v>7738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4000</v>
          </cell>
          <cell r="Q92">
            <v>0</v>
          </cell>
          <cell r="R92">
            <v>0</v>
          </cell>
          <cell r="S92">
            <v>11738</v>
          </cell>
          <cell r="V92">
            <v>0</v>
          </cell>
          <cell r="W92">
            <v>11738</v>
          </cell>
        </row>
        <row r="93">
          <cell r="E93">
            <v>34</v>
          </cell>
          <cell r="G93">
            <v>4964</v>
          </cell>
          <cell r="J93">
            <v>1</v>
          </cell>
          <cell r="L93">
            <v>360</v>
          </cell>
          <cell r="M93">
            <v>0</v>
          </cell>
          <cell r="N93">
            <v>0</v>
          </cell>
          <cell r="O93">
            <v>0</v>
          </cell>
          <cell r="P93">
            <v>4000</v>
          </cell>
          <cell r="Q93">
            <v>0</v>
          </cell>
          <cell r="R93">
            <v>0</v>
          </cell>
          <cell r="S93">
            <v>9324</v>
          </cell>
          <cell r="V93">
            <v>0</v>
          </cell>
          <cell r="W93">
            <v>9324</v>
          </cell>
        </row>
        <row r="94">
          <cell r="E94">
            <v>57</v>
          </cell>
          <cell r="G94">
            <v>8322</v>
          </cell>
          <cell r="J94">
            <v>1</v>
          </cell>
          <cell r="L94">
            <v>360</v>
          </cell>
          <cell r="M94">
            <v>0</v>
          </cell>
          <cell r="N94">
            <v>0</v>
          </cell>
          <cell r="O94">
            <v>0</v>
          </cell>
          <cell r="P94">
            <v>4000</v>
          </cell>
          <cell r="Q94">
            <v>0</v>
          </cell>
          <cell r="R94">
            <v>0</v>
          </cell>
          <cell r="S94">
            <v>12682</v>
          </cell>
          <cell r="V94">
            <v>0</v>
          </cell>
          <cell r="W94">
            <v>12682</v>
          </cell>
        </row>
        <row r="95">
          <cell r="E95">
            <v>41</v>
          </cell>
          <cell r="G95">
            <v>5986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4000</v>
          </cell>
          <cell r="Q95">
            <v>0</v>
          </cell>
          <cell r="R95">
            <v>0</v>
          </cell>
          <cell r="S95">
            <v>9986</v>
          </cell>
          <cell r="V95">
            <v>0</v>
          </cell>
          <cell r="W95">
            <v>9986</v>
          </cell>
        </row>
        <row r="96">
          <cell r="E96">
            <v>61</v>
          </cell>
          <cell r="G96">
            <v>8906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4000</v>
          </cell>
          <cell r="Q96">
            <v>0</v>
          </cell>
          <cell r="R96">
            <v>0</v>
          </cell>
          <cell r="S96">
            <v>12906</v>
          </cell>
          <cell r="V96">
            <v>0</v>
          </cell>
          <cell r="W96">
            <v>12906</v>
          </cell>
        </row>
        <row r="97">
          <cell r="E97">
            <v>37</v>
          </cell>
          <cell r="G97">
            <v>5402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4000</v>
          </cell>
          <cell r="Q97">
            <v>0</v>
          </cell>
          <cell r="R97">
            <v>0</v>
          </cell>
          <cell r="S97">
            <v>9402</v>
          </cell>
          <cell r="V97">
            <v>0</v>
          </cell>
          <cell r="W97">
            <v>9402</v>
          </cell>
        </row>
        <row r="98">
          <cell r="E98">
            <v>29</v>
          </cell>
          <cell r="G98">
            <v>4234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4000</v>
          </cell>
          <cell r="Q98">
            <v>0</v>
          </cell>
          <cell r="R98">
            <v>0</v>
          </cell>
          <cell r="S98">
            <v>8234</v>
          </cell>
          <cell r="V98">
            <v>0</v>
          </cell>
          <cell r="W98">
            <v>17636</v>
          </cell>
        </row>
        <row r="99">
          <cell r="E99">
            <v>39</v>
          </cell>
          <cell r="G99">
            <v>5694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4000</v>
          </cell>
          <cell r="Q99">
            <v>0</v>
          </cell>
          <cell r="R99">
            <v>0</v>
          </cell>
          <cell r="S99">
            <v>9694</v>
          </cell>
          <cell r="V99">
            <v>0</v>
          </cell>
          <cell r="W99">
            <v>27330</v>
          </cell>
        </row>
        <row r="100">
          <cell r="E100">
            <v>58</v>
          </cell>
          <cell r="G100">
            <v>8468</v>
          </cell>
          <cell r="J100">
            <v>1</v>
          </cell>
          <cell r="L100">
            <v>360</v>
          </cell>
          <cell r="M100">
            <v>0</v>
          </cell>
          <cell r="N100">
            <v>0</v>
          </cell>
          <cell r="O100">
            <v>0</v>
          </cell>
          <cell r="P100">
            <v>4000</v>
          </cell>
          <cell r="Q100">
            <v>0</v>
          </cell>
          <cell r="R100">
            <v>0</v>
          </cell>
          <cell r="S100">
            <v>12828</v>
          </cell>
          <cell r="V100">
            <v>0</v>
          </cell>
          <cell r="W100">
            <v>40158</v>
          </cell>
        </row>
        <row r="101">
          <cell r="E101">
            <v>82</v>
          </cell>
          <cell r="G101">
            <v>11972</v>
          </cell>
          <cell r="J101">
            <v>2</v>
          </cell>
          <cell r="L101">
            <v>720</v>
          </cell>
          <cell r="M101">
            <v>0</v>
          </cell>
          <cell r="N101">
            <v>0</v>
          </cell>
          <cell r="O101">
            <v>0</v>
          </cell>
          <cell r="P101">
            <v>4000</v>
          </cell>
          <cell r="Q101">
            <v>0</v>
          </cell>
          <cell r="R101">
            <v>0</v>
          </cell>
          <cell r="S101">
            <v>16692</v>
          </cell>
          <cell r="V101">
            <v>0</v>
          </cell>
          <cell r="W101">
            <v>56850</v>
          </cell>
        </row>
        <row r="102">
          <cell r="E102">
            <v>73</v>
          </cell>
          <cell r="G102">
            <v>10658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4000</v>
          </cell>
          <cell r="Q102">
            <v>0</v>
          </cell>
          <cell r="R102">
            <v>0</v>
          </cell>
          <cell r="S102">
            <v>14658</v>
          </cell>
          <cell r="V102">
            <v>0</v>
          </cell>
          <cell r="W102">
            <v>71508</v>
          </cell>
        </row>
        <row r="103">
          <cell r="E103">
            <v>86</v>
          </cell>
          <cell r="G103">
            <v>12556</v>
          </cell>
          <cell r="J103">
            <v>1</v>
          </cell>
          <cell r="L103">
            <v>360</v>
          </cell>
          <cell r="M103">
            <v>0</v>
          </cell>
          <cell r="N103">
            <v>0</v>
          </cell>
          <cell r="O103">
            <v>0</v>
          </cell>
          <cell r="P103">
            <v>4000</v>
          </cell>
          <cell r="Q103">
            <v>0</v>
          </cell>
          <cell r="R103">
            <v>0</v>
          </cell>
          <cell r="S103">
            <v>16916</v>
          </cell>
          <cell r="V103">
            <v>0</v>
          </cell>
          <cell r="W103">
            <v>88424</v>
          </cell>
        </row>
        <row r="104">
          <cell r="E104">
            <v>67</v>
          </cell>
          <cell r="G104">
            <v>9782</v>
          </cell>
          <cell r="J104">
            <v>1</v>
          </cell>
          <cell r="L104">
            <v>360</v>
          </cell>
          <cell r="M104">
            <v>0</v>
          </cell>
          <cell r="N104">
            <v>0</v>
          </cell>
          <cell r="O104">
            <v>0</v>
          </cell>
          <cell r="P104">
            <v>4000</v>
          </cell>
          <cell r="Q104">
            <v>0</v>
          </cell>
          <cell r="R104">
            <v>0</v>
          </cell>
          <cell r="S104">
            <v>14142</v>
          </cell>
          <cell r="V104">
            <v>0</v>
          </cell>
          <cell r="W104">
            <v>102566</v>
          </cell>
        </row>
        <row r="105">
          <cell r="E105">
            <v>64</v>
          </cell>
          <cell r="G105">
            <v>9344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4000</v>
          </cell>
          <cell r="Q105">
            <v>0</v>
          </cell>
          <cell r="R105">
            <v>0</v>
          </cell>
          <cell r="S105">
            <v>13344</v>
          </cell>
          <cell r="V105">
            <v>0</v>
          </cell>
          <cell r="W105">
            <v>115910</v>
          </cell>
        </row>
        <row r="106">
          <cell r="E106">
            <v>118</v>
          </cell>
          <cell r="G106">
            <v>17228</v>
          </cell>
          <cell r="J106">
            <v>1</v>
          </cell>
          <cell r="L106">
            <v>360</v>
          </cell>
          <cell r="M106">
            <v>0</v>
          </cell>
          <cell r="N106">
            <v>0</v>
          </cell>
          <cell r="O106">
            <v>0</v>
          </cell>
          <cell r="P106">
            <v>4000</v>
          </cell>
          <cell r="Q106">
            <v>0</v>
          </cell>
          <cell r="R106">
            <v>0</v>
          </cell>
          <cell r="S106">
            <v>21588</v>
          </cell>
          <cell r="V106">
            <v>0</v>
          </cell>
          <cell r="W106">
            <v>137498</v>
          </cell>
        </row>
        <row r="107">
          <cell r="E107">
            <v>60</v>
          </cell>
          <cell r="G107">
            <v>8760</v>
          </cell>
          <cell r="J107">
            <v>1</v>
          </cell>
          <cell r="L107">
            <v>360</v>
          </cell>
          <cell r="M107">
            <v>0</v>
          </cell>
          <cell r="N107">
            <v>0</v>
          </cell>
          <cell r="O107">
            <v>0</v>
          </cell>
          <cell r="P107">
            <v>4000</v>
          </cell>
          <cell r="Q107">
            <v>0</v>
          </cell>
          <cell r="R107">
            <v>0</v>
          </cell>
          <cell r="S107">
            <v>13120</v>
          </cell>
          <cell r="V107">
            <v>0</v>
          </cell>
          <cell r="W107">
            <v>150618</v>
          </cell>
        </row>
        <row r="108">
          <cell r="E108">
            <v>39</v>
          </cell>
          <cell r="G108">
            <v>5694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4000</v>
          </cell>
          <cell r="Q108">
            <v>0</v>
          </cell>
          <cell r="R108">
            <v>0</v>
          </cell>
          <cell r="S108">
            <v>9694</v>
          </cell>
          <cell r="V108">
            <v>0</v>
          </cell>
          <cell r="W108">
            <v>160312</v>
          </cell>
        </row>
        <row r="109">
          <cell r="E109">
            <v>48</v>
          </cell>
          <cell r="G109">
            <v>7008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4000</v>
          </cell>
          <cell r="Q109">
            <v>0</v>
          </cell>
          <cell r="R109">
            <v>0</v>
          </cell>
          <cell r="S109">
            <v>11008</v>
          </cell>
          <cell r="V109">
            <v>0</v>
          </cell>
          <cell r="W109">
            <v>171320</v>
          </cell>
        </row>
        <row r="110">
          <cell r="E110">
            <v>68</v>
          </cell>
          <cell r="G110">
            <v>9928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4000</v>
          </cell>
          <cell r="Q110">
            <v>0</v>
          </cell>
          <cell r="R110">
            <v>0</v>
          </cell>
          <cell r="S110">
            <v>13928</v>
          </cell>
          <cell r="V110">
            <v>0</v>
          </cell>
          <cell r="W110">
            <v>185248</v>
          </cell>
        </row>
        <row r="111">
          <cell r="E111">
            <v>79</v>
          </cell>
          <cell r="G111">
            <v>11534</v>
          </cell>
          <cell r="J111">
            <v>2</v>
          </cell>
          <cell r="L111">
            <v>720</v>
          </cell>
          <cell r="M111">
            <v>0</v>
          </cell>
          <cell r="N111">
            <v>0</v>
          </cell>
          <cell r="O111">
            <v>0</v>
          </cell>
          <cell r="P111">
            <v>4000</v>
          </cell>
          <cell r="Q111">
            <v>0</v>
          </cell>
          <cell r="R111">
            <v>0</v>
          </cell>
          <cell r="S111">
            <v>16254</v>
          </cell>
          <cell r="V111">
            <v>0</v>
          </cell>
          <cell r="W111">
            <v>201502</v>
          </cell>
        </row>
        <row r="112">
          <cell r="E112">
            <v>73</v>
          </cell>
          <cell r="G112">
            <v>10658</v>
          </cell>
          <cell r="J112">
            <v>2</v>
          </cell>
          <cell r="L112">
            <v>720</v>
          </cell>
          <cell r="M112">
            <v>0</v>
          </cell>
          <cell r="N112">
            <v>0</v>
          </cell>
          <cell r="O112">
            <v>0</v>
          </cell>
          <cell r="P112">
            <v>4000</v>
          </cell>
          <cell r="Q112">
            <v>0</v>
          </cell>
          <cell r="R112">
            <v>0</v>
          </cell>
          <cell r="S112">
            <v>15378</v>
          </cell>
          <cell r="V112">
            <v>0</v>
          </cell>
          <cell r="W112">
            <v>216880</v>
          </cell>
        </row>
        <row r="113">
          <cell r="E113">
            <v>76</v>
          </cell>
          <cell r="G113">
            <v>11096</v>
          </cell>
          <cell r="J113">
            <v>3</v>
          </cell>
          <cell r="L113">
            <v>1080</v>
          </cell>
          <cell r="M113">
            <v>0</v>
          </cell>
          <cell r="N113">
            <v>0</v>
          </cell>
          <cell r="O113">
            <v>0</v>
          </cell>
          <cell r="P113">
            <v>4000</v>
          </cell>
          <cell r="Q113">
            <v>0</v>
          </cell>
          <cell r="R113">
            <v>0</v>
          </cell>
          <cell r="S113">
            <v>16176</v>
          </cell>
          <cell r="V113">
            <v>0</v>
          </cell>
          <cell r="W113">
            <v>233056</v>
          </cell>
        </row>
        <row r="114">
          <cell r="E114">
            <v>13</v>
          </cell>
          <cell r="G114">
            <v>1898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4000</v>
          </cell>
          <cell r="Q114">
            <v>0</v>
          </cell>
          <cell r="R114">
            <v>0</v>
          </cell>
          <cell r="S114">
            <v>5898</v>
          </cell>
          <cell r="V114">
            <v>0</v>
          </cell>
          <cell r="W114">
            <v>238954</v>
          </cell>
        </row>
        <row r="115">
          <cell r="E115">
            <v>64</v>
          </cell>
          <cell r="G115">
            <v>9344</v>
          </cell>
          <cell r="J115">
            <v>2</v>
          </cell>
          <cell r="L115">
            <v>720</v>
          </cell>
          <cell r="M115">
            <v>0</v>
          </cell>
          <cell r="N115">
            <v>0</v>
          </cell>
          <cell r="O115">
            <v>0</v>
          </cell>
          <cell r="P115">
            <v>4000</v>
          </cell>
          <cell r="Q115">
            <v>0</v>
          </cell>
          <cell r="R115">
            <v>0</v>
          </cell>
          <cell r="S115">
            <v>14064</v>
          </cell>
          <cell r="V115">
            <v>0</v>
          </cell>
          <cell r="W115">
            <v>253018</v>
          </cell>
        </row>
        <row r="116">
          <cell r="E116">
            <v>96</v>
          </cell>
          <cell r="G116">
            <v>14016</v>
          </cell>
          <cell r="J116">
            <v>9</v>
          </cell>
          <cell r="L116">
            <v>3240</v>
          </cell>
          <cell r="M116">
            <v>0</v>
          </cell>
          <cell r="N116">
            <v>0</v>
          </cell>
          <cell r="O116">
            <v>0</v>
          </cell>
          <cell r="P116">
            <v>4000</v>
          </cell>
          <cell r="Q116">
            <v>0</v>
          </cell>
          <cell r="R116">
            <v>0</v>
          </cell>
          <cell r="S116">
            <v>21256</v>
          </cell>
          <cell r="V116">
            <v>0</v>
          </cell>
          <cell r="W116">
            <v>274274</v>
          </cell>
        </row>
        <row r="117">
          <cell r="E117">
            <v>1</v>
          </cell>
          <cell r="G117">
            <v>146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4000</v>
          </cell>
          <cell r="Q117">
            <v>0</v>
          </cell>
          <cell r="R117">
            <v>0</v>
          </cell>
          <cell r="S117">
            <v>4146</v>
          </cell>
          <cell r="V117">
            <v>0</v>
          </cell>
          <cell r="W117">
            <v>278420</v>
          </cell>
        </row>
        <row r="118">
          <cell r="E118">
            <v>17</v>
          </cell>
          <cell r="G118">
            <v>2482</v>
          </cell>
          <cell r="J118">
            <v>1</v>
          </cell>
          <cell r="L118">
            <v>360</v>
          </cell>
          <cell r="M118">
            <v>0</v>
          </cell>
          <cell r="N118">
            <v>0</v>
          </cell>
          <cell r="O118">
            <v>0</v>
          </cell>
          <cell r="P118">
            <v>4000</v>
          </cell>
          <cell r="Q118">
            <v>0</v>
          </cell>
          <cell r="R118">
            <v>0</v>
          </cell>
          <cell r="S118">
            <v>6842</v>
          </cell>
          <cell r="V118">
            <v>0</v>
          </cell>
          <cell r="W118">
            <v>285262</v>
          </cell>
        </row>
        <row r="119">
          <cell r="E119">
            <v>17</v>
          </cell>
          <cell r="G119">
            <v>2482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4000</v>
          </cell>
          <cell r="Q119">
            <v>0</v>
          </cell>
          <cell r="R119">
            <v>0</v>
          </cell>
          <cell r="S119">
            <v>6482</v>
          </cell>
          <cell r="V119">
            <v>0</v>
          </cell>
          <cell r="W119">
            <v>291744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4000</v>
          </cell>
          <cell r="Q120">
            <v>0</v>
          </cell>
          <cell r="R120">
            <v>0</v>
          </cell>
          <cell r="S120">
            <v>4000</v>
          </cell>
          <cell r="V120">
            <v>0</v>
          </cell>
          <cell r="W120">
            <v>295744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4000</v>
          </cell>
          <cell r="Q121">
            <v>0</v>
          </cell>
          <cell r="R121">
            <v>0</v>
          </cell>
          <cell r="S121">
            <v>4000</v>
          </cell>
          <cell r="V121">
            <v>0</v>
          </cell>
          <cell r="W121">
            <v>299744</v>
          </cell>
        </row>
        <row r="122">
          <cell r="E122">
            <v>83</v>
          </cell>
          <cell r="G122">
            <v>12118</v>
          </cell>
          <cell r="J122">
            <v>2</v>
          </cell>
          <cell r="L122">
            <v>720</v>
          </cell>
          <cell r="M122">
            <v>0</v>
          </cell>
          <cell r="N122">
            <v>0</v>
          </cell>
          <cell r="O122">
            <v>0</v>
          </cell>
          <cell r="P122">
            <v>15000</v>
          </cell>
          <cell r="Q122">
            <v>0</v>
          </cell>
          <cell r="R122">
            <v>0</v>
          </cell>
          <cell r="S122">
            <v>27838</v>
          </cell>
          <cell r="V122">
            <v>0</v>
          </cell>
          <cell r="W122">
            <v>327582</v>
          </cell>
        </row>
        <row r="123">
          <cell r="E123">
            <v>85</v>
          </cell>
          <cell r="G123">
            <v>12410</v>
          </cell>
          <cell r="J123">
            <v>1</v>
          </cell>
          <cell r="L123">
            <v>360</v>
          </cell>
          <cell r="M123">
            <v>0</v>
          </cell>
          <cell r="N123">
            <v>0</v>
          </cell>
          <cell r="O123">
            <v>0</v>
          </cell>
          <cell r="P123">
            <v>15000</v>
          </cell>
          <cell r="Q123">
            <v>0</v>
          </cell>
          <cell r="R123">
            <v>0</v>
          </cell>
          <cell r="S123">
            <v>27770</v>
          </cell>
          <cell r="V123">
            <v>0</v>
          </cell>
          <cell r="W123">
            <v>355352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15000</v>
          </cell>
          <cell r="Q124">
            <v>0</v>
          </cell>
          <cell r="R124">
            <v>0</v>
          </cell>
          <cell r="S124">
            <v>15000</v>
          </cell>
          <cell r="V124">
            <v>0</v>
          </cell>
          <cell r="W124">
            <v>370352</v>
          </cell>
        </row>
        <row r="125">
          <cell r="E125">
            <v>5</v>
          </cell>
          <cell r="G125">
            <v>730</v>
          </cell>
          <cell r="J125">
            <v>1</v>
          </cell>
          <cell r="L125">
            <v>360</v>
          </cell>
          <cell r="M125">
            <v>0</v>
          </cell>
          <cell r="N125">
            <v>0</v>
          </cell>
          <cell r="O125">
            <v>0</v>
          </cell>
          <cell r="P125">
            <v>15000</v>
          </cell>
          <cell r="Q125">
            <v>0</v>
          </cell>
          <cell r="R125">
            <v>0</v>
          </cell>
          <cell r="S125">
            <v>16090</v>
          </cell>
          <cell r="V125">
            <v>0</v>
          </cell>
          <cell r="W125">
            <v>386442</v>
          </cell>
        </row>
        <row r="126">
          <cell r="E126">
            <v>17</v>
          </cell>
          <cell r="G126">
            <v>2482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15000</v>
          </cell>
          <cell r="Q126">
            <v>0</v>
          </cell>
          <cell r="R126">
            <v>0</v>
          </cell>
          <cell r="S126">
            <v>17482</v>
          </cell>
          <cell r="V126">
            <v>0</v>
          </cell>
          <cell r="W126">
            <v>403924</v>
          </cell>
        </row>
        <row r="127">
          <cell r="E127">
            <v>29</v>
          </cell>
          <cell r="G127">
            <v>4234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15000</v>
          </cell>
          <cell r="Q127">
            <v>0</v>
          </cell>
          <cell r="R127">
            <v>0</v>
          </cell>
          <cell r="S127">
            <v>19234</v>
          </cell>
          <cell r="V127">
            <v>0</v>
          </cell>
          <cell r="W127">
            <v>423158</v>
          </cell>
        </row>
        <row r="128">
          <cell r="E128">
            <v>56</v>
          </cell>
          <cell r="G128">
            <v>8176</v>
          </cell>
          <cell r="J128">
            <v>1</v>
          </cell>
          <cell r="L128">
            <v>360</v>
          </cell>
          <cell r="M128">
            <v>0</v>
          </cell>
          <cell r="N128">
            <v>0</v>
          </cell>
          <cell r="O128">
            <v>0</v>
          </cell>
          <cell r="P128">
            <v>15000</v>
          </cell>
          <cell r="Q128">
            <v>0</v>
          </cell>
          <cell r="R128">
            <v>0</v>
          </cell>
          <cell r="S128">
            <v>23536</v>
          </cell>
          <cell r="V128">
            <v>0</v>
          </cell>
          <cell r="W128">
            <v>446694</v>
          </cell>
        </row>
        <row r="129">
          <cell r="E129">
            <v>94</v>
          </cell>
          <cell r="G129">
            <v>13724</v>
          </cell>
          <cell r="J129">
            <v>3</v>
          </cell>
          <cell r="L129">
            <v>1080</v>
          </cell>
          <cell r="M129">
            <v>0</v>
          </cell>
          <cell r="N129">
            <v>0</v>
          </cell>
          <cell r="O129">
            <v>0</v>
          </cell>
          <cell r="P129">
            <v>15000</v>
          </cell>
          <cell r="Q129">
            <v>0</v>
          </cell>
          <cell r="R129">
            <v>0</v>
          </cell>
          <cell r="S129">
            <v>29804</v>
          </cell>
          <cell r="V129">
            <v>0</v>
          </cell>
          <cell r="W129">
            <v>476498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15000</v>
          </cell>
          <cell r="Q130">
            <v>0</v>
          </cell>
          <cell r="R130">
            <v>0</v>
          </cell>
          <cell r="S130">
            <v>15000</v>
          </cell>
          <cell r="V130">
            <v>0</v>
          </cell>
          <cell r="W130">
            <v>491498</v>
          </cell>
        </row>
        <row r="131">
          <cell r="E131">
            <v>16</v>
          </cell>
          <cell r="G131">
            <v>2336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15000</v>
          </cell>
          <cell r="Q131">
            <v>0</v>
          </cell>
          <cell r="R131">
            <v>0</v>
          </cell>
          <cell r="S131">
            <v>17336</v>
          </cell>
          <cell r="V131">
            <v>0</v>
          </cell>
          <cell r="W131">
            <v>508834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15000</v>
          </cell>
          <cell r="Q132">
            <v>0</v>
          </cell>
          <cell r="R132">
            <v>0</v>
          </cell>
          <cell r="S132">
            <v>15000</v>
          </cell>
          <cell r="V132">
            <v>0</v>
          </cell>
          <cell r="W132">
            <v>523834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15000</v>
          </cell>
          <cell r="Q133">
            <v>0</v>
          </cell>
          <cell r="R133">
            <v>0</v>
          </cell>
          <cell r="S133">
            <v>15000</v>
          </cell>
          <cell r="V133">
            <v>0</v>
          </cell>
          <cell r="W133">
            <v>538834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15000</v>
          </cell>
          <cell r="Q134">
            <v>0</v>
          </cell>
          <cell r="R134">
            <v>0</v>
          </cell>
          <cell r="S134">
            <v>15000</v>
          </cell>
          <cell r="V134">
            <v>0</v>
          </cell>
          <cell r="W134">
            <v>553834</v>
          </cell>
        </row>
        <row r="135">
          <cell r="E135">
            <v>76</v>
          </cell>
          <cell r="G135">
            <v>11096</v>
          </cell>
          <cell r="J135">
            <v>2</v>
          </cell>
          <cell r="L135">
            <v>720</v>
          </cell>
          <cell r="M135">
            <v>0</v>
          </cell>
          <cell r="N135">
            <v>0</v>
          </cell>
          <cell r="O135">
            <v>0</v>
          </cell>
          <cell r="P135">
            <v>15000</v>
          </cell>
          <cell r="Q135">
            <v>0</v>
          </cell>
          <cell r="R135">
            <v>0</v>
          </cell>
          <cell r="S135">
            <v>26816</v>
          </cell>
          <cell r="V135">
            <v>0</v>
          </cell>
          <cell r="W135">
            <v>580650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15000</v>
          </cell>
          <cell r="Q136">
            <v>0</v>
          </cell>
          <cell r="R136">
            <v>0</v>
          </cell>
          <cell r="S136">
            <v>15000</v>
          </cell>
          <cell r="V136">
            <v>0</v>
          </cell>
          <cell r="W136">
            <v>595650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15000</v>
          </cell>
          <cell r="Q137">
            <v>0</v>
          </cell>
          <cell r="R137">
            <v>0</v>
          </cell>
          <cell r="S137">
            <v>15000</v>
          </cell>
          <cell r="V137">
            <v>0</v>
          </cell>
          <cell r="W137">
            <v>610650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15000</v>
          </cell>
          <cell r="Q138">
            <v>0</v>
          </cell>
          <cell r="R138">
            <v>0</v>
          </cell>
          <cell r="S138">
            <v>15000</v>
          </cell>
          <cell r="V138">
            <v>0</v>
          </cell>
          <cell r="W138">
            <v>625650</v>
          </cell>
        </row>
        <row r="139">
          <cell r="E139">
            <v>11</v>
          </cell>
          <cell r="G139">
            <v>1606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15000</v>
          </cell>
          <cell r="Q139">
            <v>0</v>
          </cell>
          <cell r="R139">
            <v>0</v>
          </cell>
          <cell r="S139">
            <v>16606</v>
          </cell>
          <cell r="V139">
            <v>0</v>
          </cell>
          <cell r="W139">
            <v>642256</v>
          </cell>
        </row>
        <row r="140">
          <cell r="E140">
            <v>14</v>
          </cell>
          <cell r="G140">
            <v>2044</v>
          </cell>
          <cell r="J140">
            <v>1</v>
          </cell>
          <cell r="L140">
            <v>360</v>
          </cell>
          <cell r="M140">
            <v>0</v>
          </cell>
          <cell r="N140">
            <v>0</v>
          </cell>
          <cell r="O140">
            <v>0</v>
          </cell>
          <cell r="P140">
            <v>15000</v>
          </cell>
          <cell r="Q140">
            <v>0</v>
          </cell>
          <cell r="R140">
            <v>0</v>
          </cell>
          <cell r="S140">
            <v>17404</v>
          </cell>
          <cell r="V140">
            <v>0</v>
          </cell>
          <cell r="W140">
            <v>659660</v>
          </cell>
        </row>
        <row r="141">
          <cell r="E141">
            <v>19</v>
          </cell>
          <cell r="G141">
            <v>2774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15000</v>
          </cell>
          <cell r="Q141">
            <v>0</v>
          </cell>
          <cell r="R141">
            <v>0</v>
          </cell>
          <cell r="S141">
            <v>17774</v>
          </cell>
          <cell r="V141">
            <v>0</v>
          </cell>
          <cell r="W141">
            <v>677434</v>
          </cell>
        </row>
        <row r="142">
          <cell r="E142">
            <v>31</v>
          </cell>
          <cell r="G142">
            <v>4526</v>
          </cell>
          <cell r="J142">
            <v>1</v>
          </cell>
          <cell r="L142">
            <v>360</v>
          </cell>
          <cell r="M142">
            <v>0</v>
          </cell>
          <cell r="N142">
            <v>0</v>
          </cell>
          <cell r="O142">
            <v>0</v>
          </cell>
          <cell r="P142">
            <v>15000</v>
          </cell>
          <cell r="Q142">
            <v>0</v>
          </cell>
          <cell r="R142">
            <v>0</v>
          </cell>
          <cell r="S142">
            <v>19886</v>
          </cell>
          <cell r="V142">
            <v>0</v>
          </cell>
          <cell r="W142">
            <v>697320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15000</v>
          </cell>
          <cell r="Q143">
            <v>0</v>
          </cell>
          <cell r="R143">
            <v>0</v>
          </cell>
          <cell r="S143">
            <v>15000</v>
          </cell>
          <cell r="V143">
            <v>0</v>
          </cell>
          <cell r="W143">
            <v>712320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15000</v>
          </cell>
          <cell r="Q144">
            <v>0</v>
          </cell>
          <cell r="R144">
            <v>0</v>
          </cell>
          <cell r="S144">
            <v>15000</v>
          </cell>
          <cell r="V144">
            <v>0</v>
          </cell>
          <cell r="W144">
            <v>727320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15000</v>
          </cell>
          <cell r="Q145">
            <v>0</v>
          </cell>
          <cell r="R145">
            <v>0</v>
          </cell>
          <cell r="S145">
            <v>15000</v>
          </cell>
          <cell r="V145">
            <v>0</v>
          </cell>
          <cell r="W145">
            <v>742320</v>
          </cell>
        </row>
        <row r="146">
          <cell r="E146">
            <v>5</v>
          </cell>
          <cell r="G146">
            <v>730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15000</v>
          </cell>
          <cell r="Q146">
            <v>0</v>
          </cell>
          <cell r="R146">
            <v>0</v>
          </cell>
          <cell r="S146">
            <v>15730</v>
          </cell>
          <cell r="V146">
            <v>0</v>
          </cell>
          <cell r="W146">
            <v>758050</v>
          </cell>
        </row>
        <row r="147">
          <cell r="E147">
            <v>17</v>
          </cell>
          <cell r="G147">
            <v>2482</v>
          </cell>
          <cell r="J147">
            <v>1</v>
          </cell>
          <cell r="L147">
            <v>360</v>
          </cell>
          <cell r="M147">
            <v>0</v>
          </cell>
          <cell r="N147">
            <v>0</v>
          </cell>
          <cell r="O147">
            <v>0</v>
          </cell>
          <cell r="P147">
            <v>15000</v>
          </cell>
          <cell r="Q147">
            <v>0</v>
          </cell>
          <cell r="R147">
            <v>0</v>
          </cell>
          <cell r="S147">
            <v>17842</v>
          </cell>
          <cell r="V147">
            <v>0</v>
          </cell>
          <cell r="W147">
            <v>775892</v>
          </cell>
        </row>
        <row r="148">
          <cell r="E148">
            <v>21</v>
          </cell>
          <cell r="G148">
            <v>3066</v>
          </cell>
          <cell r="J148">
            <v>2</v>
          </cell>
          <cell r="L148">
            <v>720</v>
          </cell>
          <cell r="M148">
            <v>0</v>
          </cell>
          <cell r="N148">
            <v>0</v>
          </cell>
          <cell r="O148">
            <v>0</v>
          </cell>
          <cell r="P148">
            <v>15000</v>
          </cell>
          <cell r="Q148">
            <v>0</v>
          </cell>
          <cell r="R148">
            <v>0</v>
          </cell>
          <cell r="S148">
            <v>18786</v>
          </cell>
          <cell r="V148">
            <v>0</v>
          </cell>
          <cell r="W148">
            <v>794678</v>
          </cell>
        </row>
        <row r="149">
          <cell r="E149">
            <v>47</v>
          </cell>
          <cell r="G149">
            <v>6862</v>
          </cell>
          <cell r="J149">
            <v>1</v>
          </cell>
          <cell r="L149">
            <v>360</v>
          </cell>
          <cell r="M149">
            <v>0</v>
          </cell>
          <cell r="N149">
            <v>0</v>
          </cell>
          <cell r="O149">
            <v>0</v>
          </cell>
          <cell r="P149">
            <v>15000</v>
          </cell>
          <cell r="Q149">
            <v>0</v>
          </cell>
          <cell r="R149">
            <v>0</v>
          </cell>
          <cell r="S149">
            <v>22222</v>
          </cell>
          <cell r="V149">
            <v>0</v>
          </cell>
          <cell r="W149">
            <v>816900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15000</v>
          </cell>
          <cell r="Q150">
            <v>0</v>
          </cell>
          <cell r="R150">
            <v>0</v>
          </cell>
          <cell r="S150">
            <v>15000</v>
          </cell>
          <cell r="V150">
            <v>0</v>
          </cell>
          <cell r="W150">
            <v>831900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15000</v>
          </cell>
          <cell r="Q151">
            <v>0</v>
          </cell>
          <cell r="R151">
            <v>0</v>
          </cell>
          <cell r="S151">
            <v>15000</v>
          </cell>
          <cell r="V151">
            <v>0</v>
          </cell>
          <cell r="W151">
            <v>846900</v>
          </cell>
        </row>
        <row r="152">
          <cell r="E152">
            <v>46</v>
          </cell>
          <cell r="G152">
            <v>6716</v>
          </cell>
          <cell r="J152">
            <v>2</v>
          </cell>
          <cell r="L152">
            <v>720</v>
          </cell>
          <cell r="M152">
            <v>0</v>
          </cell>
          <cell r="N152">
            <v>0</v>
          </cell>
          <cell r="O152">
            <v>0</v>
          </cell>
          <cell r="P152">
            <v>15000</v>
          </cell>
          <cell r="Q152">
            <v>0</v>
          </cell>
          <cell r="R152">
            <v>0</v>
          </cell>
          <cell r="S152">
            <v>22436</v>
          </cell>
          <cell r="V152">
            <v>0</v>
          </cell>
          <cell r="W152">
            <v>869336</v>
          </cell>
        </row>
        <row r="153">
          <cell r="E153">
            <v>12</v>
          </cell>
          <cell r="G153">
            <v>1752</v>
          </cell>
          <cell r="J153">
            <v>1</v>
          </cell>
          <cell r="L153">
            <v>360</v>
          </cell>
          <cell r="M153">
            <v>0</v>
          </cell>
          <cell r="N153">
            <v>0</v>
          </cell>
          <cell r="O153">
            <v>0</v>
          </cell>
          <cell r="P153">
            <v>15000</v>
          </cell>
          <cell r="Q153">
            <v>2479</v>
          </cell>
          <cell r="R153">
            <v>0</v>
          </cell>
          <cell r="S153">
            <v>19591</v>
          </cell>
          <cell r="V153">
            <v>0</v>
          </cell>
          <cell r="W153">
            <v>888927</v>
          </cell>
        </row>
        <row r="154">
          <cell r="E154">
            <v>39</v>
          </cell>
          <cell r="G154">
            <v>5694</v>
          </cell>
          <cell r="J154">
            <v>1</v>
          </cell>
          <cell r="L154">
            <v>360</v>
          </cell>
          <cell r="M154">
            <v>0</v>
          </cell>
          <cell r="N154">
            <v>0</v>
          </cell>
          <cell r="O154">
            <v>0</v>
          </cell>
          <cell r="P154">
            <v>15000</v>
          </cell>
          <cell r="Q154">
            <v>2479</v>
          </cell>
          <cell r="R154">
            <v>0</v>
          </cell>
          <cell r="S154">
            <v>23533</v>
          </cell>
          <cell r="V154">
            <v>0</v>
          </cell>
          <cell r="W154">
            <v>912460</v>
          </cell>
        </row>
        <row r="155">
          <cell r="E155">
            <v>53</v>
          </cell>
          <cell r="G155">
            <v>7738</v>
          </cell>
          <cell r="J155">
            <v>1</v>
          </cell>
          <cell r="L155">
            <v>360</v>
          </cell>
          <cell r="M155">
            <v>0</v>
          </cell>
          <cell r="N155">
            <v>0</v>
          </cell>
          <cell r="O155">
            <v>0</v>
          </cell>
          <cell r="P155">
            <v>15000</v>
          </cell>
          <cell r="Q155">
            <v>2479</v>
          </cell>
          <cell r="R155">
            <v>0</v>
          </cell>
          <cell r="S155">
            <v>25577</v>
          </cell>
          <cell r="V155">
            <v>0</v>
          </cell>
          <cell r="W155">
            <v>938037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15000</v>
          </cell>
          <cell r="Q156">
            <v>2479</v>
          </cell>
          <cell r="R156">
            <v>0</v>
          </cell>
          <cell r="S156">
            <v>17479</v>
          </cell>
          <cell r="V156">
            <v>0</v>
          </cell>
          <cell r="W156">
            <v>955516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15000</v>
          </cell>
          <cell r="Q157">
            <v>2479</v>
          </cell>
          <cell r="R157">
            <v>0</v>
          </cell>
          <cell r="S157">
            <v>17479</v>
          </cell>
          <cell r="V157">
            <v>0</v>
          </cell>
          <cell r="W157">
            <v>972995</v>
          </cell>
        </row>
        <row r="158">
          <cell r="E158">
            <v>0</v>
          </cell>
          <cell r="G158">
            <v>0</v>
          </cell>
          <cell r="J158">
            <v>1</v>
          </cell>
          <cell r="L158">
            <v>360</v>
          </cell>
          <cell r="M158">
            <v>0</v>
          </cell>
          <cell r="N158">
            <v>0</v>
          </cell>
          <cell r="O158">
            <v>0</v>
          </cell>
          <cell r="P158">
            <v>15000</v>
          </cell>
          <cell r="Q158">
            <v>2479</v>
          </cell>
          <cell r="R158">
            <v>0</v>
          </cell>
          <cell r="S158">
            <v>17839</v>
          </cell>
          <cell r="V158">
            <v>0</v>
          </cell>
          <cell r="W158">
            <v>990834</v>
          </cell>
        </row>
        <row r="159">
          <cell r="E159">
            <v>4</v>
          </cell>
          <cell r="G159">
            <v>584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15000</v>
          </cell>
          <cell r="Q159">
            <v>2479</v>
          </cell>
          <cell r="R159">
            <v>0</v>
          </cell>
          <cell r="S159">
            <v>18063</v>
          </cell>
          <cell r="V159">
            <v>0</v>
          </cell>
          <cell r="W159">
            <v>1008897</v>
          </cell>
        </row>
        <row r="160">
          <cell r="E160">
            <v>0</v>
          </cell>
          <cell r="G160">
            <v>0</v>
          </cell>
          <cell r="J160">
            <v>10</v>
          </cell>
          <cell r="L160">
            <v>3600</v>
          </cell>
          <cell r="M160">
            <v>0</v>
          </cell>
          <cell r="N160">
            <v>0</v>
          </cell>
          <cell r="O160">
            <v>0</v>
          </cell>
          <cell r="P160">
            <v>15000</v>
          </cell>
          <cell r="Q160">
            <v>2479</v>
          </cell>
          <cell r="R160">
            <v>0</v>
          </cell>
          <cell r="S160">
            <v>21079</v>
          </cell>
          <cell r="V160">
            <v>0</v>
          </cell>
          <cell r="W160">
            <v>1029976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15000</v>
          </cell>
          <cell r="Q161">
            <v>2479</v>
          </cell>
          <cell r="R161">
            <v>0</v>
          </cell>
          <cell r="S161">
            <v>17479</v>
          </cell>
          <cell r="V161">
            <v>0</v>
          </cell>
          <cell r="W161">
            <v>1047455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15000</v>
          </cell>
          <cell r="Q162">
            <v>2333</v>
          </cell>
          <cell r="R162">
            <v>0</v>
          </cell>
          <cell r="S162">
            <v>17333</v>
          </cell>
          <cell r="V162">
            <v>0</v>
          </cell>
          <cell r="W162">
            <v>1064788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15000</v>
          </cell>
          <cell r="Q163">
            <v>2333</v>
          </cell>
          <cell r="R163">
            <v>0</v>
          </cell>
          <cell r="S163">
            <v>17333</v>
          </cell>
          <cell r="V163">
            <v>0</v>
          </cell>
          <cell r="W163">
            <v>1082121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15000</v>
          </cell>
          <cell r="Q164">
            <v>2333</v>
          </cell>
          <cell r="R164">
            <v>0</v>
          </cell>
          <cell r="S164">
            <v>17333</v>
          </cell>
          <cell r="V164">
            <v>0</v>
          </cell>
          <cell r="W164">
            <v>1099454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15000</v>
          </cell>
          <cell r="Q165">
            <v>2333</v>
          </cell>
          <cell r="R165">
            <v>0</v>
          </cell>
          <cell r="S165">
            <v>17333</v>
          </cell>
          <cell r="V165">
            <v>0</v>
          </cell>
          <cell r="W165">
            <v>1116787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15000</v>
          </cell>
          <cell r="Q166">
            <v>2355</v>
          </cell>
          <cell r="R166">
            <v>0</v>
          </cell>
          <cell r="S166">
            <v>17355</v>
          </cell>
          <cell r="V166">
            <v>0</v>
          </cell>
          <cell r="W166">
            <v>1134142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15000</v>
          </cell>
          <cell r="Q167">
            <v>2355</v>
          </cell>
          <cell r="R167">
            <v>0</v>
          </cell>
          <cell r="S167">
            <v>17355</v>
          </cell>
          <cell r="V167">
            <v>0</v>
          </cell>
          <cell r="W167">
            <v>1151497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15000</v>
          </cell>
          <cell r="Q168">
            <v>2355</v>
          </cell>
          <cell r="R168">
            <v>0</v>
          </cell>
          <cell r="S168">
            <v>17355</v>
          </cell>
          <cell r="V168">
            <v>0</v>
          </cell>
          <cell r="W168">
            <v>1168852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15000</v>
          </cell>
          <cell r="Q169">
            <v>2158</v>
          </cell>
          <cell r="R169">
            <v>0</v>
          </cell>
          <cell r="S169">
            <v>17158</v>
          </cell>
          <cell r="V169">
            <v>0</v>
          </cell>
          <cell r="W169">
            <v>1186010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15000</v>
          </cell>
          <cell r="Q170">
            <v>2158</v>
          </cell>
          <cell r="R170">
            <v>0</v>
          </cell>
          <cell r="S170">
            <v>17158</v>
          </cell>
          <cell r="V170">
            <v>0</v>
          </cell>
          <cell r="W170">
            <v>1203168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15000</v>
          </cell>
          <cell r="Q171">
            <v>0</v>
          </cell>
          <cell r="R171">
            <v>0</v>
          </cell>
          <cell r="S171">
            <v>15000</v>
          </cell>
          <cell r="V171">
            <v>0</v>
          </cell>
          <cell r="W171">
            <v>1218168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15000</v>
          </cell>
          <cell r="Q172">
            <v>0</v>
          </cell>
          <cell r="R172">
            <v>0</v>
          </cell>
          <cell r="S172">
            <v>15000</v>
          </cell>
          <cell r="V172">
            <v>0</v>
          </cell>
          <cell r="W172">
            <v>1233168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15000</v>
          </cell>
          <cell r="Q173">
            <v>0</v>
          </cell>
          <cell r="R173">
            <v>0</v>
          </cell>
          <cell r="S173">
            <v>15000</v>
          </cell>
          <cell r="V173">
            <v>0</v>
          </cell>
          <cell r="W173">
            <v>1248168</v>
          </cell>
        </row>
        <row r="174">
          <cell r="E174">
            <v>12</v>
          </cell>
          <cell r="G174">
            <v>1752</v>
          </cell>
          <cell r="J174">
            <v>1</v>
          </cell>
          <cell r="L174">
            <v>360</v>
          </cell>
          <cell r="M174">
            <v>0</v>
          </cell>
          <cell r="N174">
            <v>0</v>
          </cell>
          <cell r="O174">
            <v>0</v>
          </cell>
          <cell r="P174">
            <v>15000</v>
          </cell>
          <cell r="Q174">
            <v>0</v>
          </cell>
          <cell r="R174">
            <v>0</v>
          </cell>
          <cell r="S174">
            <v>17112</v>
          </cell>
          <cell r="V174">
            <v>0</v>
          </cell>
          <cell r="W174">
            <v>1265280</v>
          </cell>
        </row>
      </sheetData>
      <sheetData sheetId="68">
        <row r="7">
          <cell r="E7">
            <v>0</v>
          </cell>
          <cell r="G7">
            <v>0</v>
          </cell>
          <cell r="J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V7">
            <v>0</v>
          </cell>
          <cell r="W7">
            <v>0</v>
          </cell>
        </row>
        <row r="8">
          <cell r="E8">
            <v>0</v>
          </cell>
          <cell r="G8">
            <v>0</v>
          </cell>
          <cell r="J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V8">
            <v>0</v>
          </cell>
          <cell r="W8">
            <v>0</v>
          </cell>
        </row>
        <row r="9">
          <cell r="E9">
            <v>0</v>
          </cell>
          <cell r="G9">
            <v>0</v>
          </cell>
          <cell r="J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V9">
            <v>0</v>
          </cell>
          <cell r="W9">
            <v>0</v>
          </cell>
        </row>
        <row r="10">
          <cell r="E10">
            <v>0</v>
          </cell>
          <cell r="G10">
            <v>0</v>
          </cell>
          <cell r="J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V10">
            <v>0</v>
          </cell>
          <cell r="W10">
            <v>0</v>
          </cell>
        </row>
        <row r="11">
          <cell r="E11">
            <v>0</v>
          </cell>
          <cell r="G11">
            <v>0</v>
          </cell>
          <cell r="J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V11">
            <v>0</v>
          </cell>
          <cell r="W11">
            <v>0</v>
          </cell>
        </row>
        <row r="12">
          <cell r="E12">
            <v>0</v>
          </cell>
          <cell r="G12">
            <v>0</v>
          </cell>
          <cell r="J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V12">
            <v>0</v>
          </cell>
          <cell r="W12">
            <v>0</v>
          </cell>
        </row>
        <row r="13">
          <cell r="E13">
            <v>0</v>
          </cell>
          <cell r="G13">
            <v>0</v>
          </cell>
          <cell r="J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V13">
            <v>0</v>
          </cell>
          <cell r="W13">
            <v>0</v>
          </cell>
        </row>
        <row r="14">
          <cell r="E14">
            <v>0</v>
          </cell>
          <cell r="G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V14">
            <v>0</v>
          </cell>
          <cell r="W14">
            <v>0</v>
          </cell>
        </row>
        <row r="15">
          <cell r="E15">
            <v>0</v>
          </cell>
          <cell r="G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V15">
            <v>0</v>
          </cell>
          <cell r="W15">
            <v>0</v>
          </cell>
        </row>
        <row r="16">
          <cell r="E16">
            <v>0</v>
          </cell>
          <cell r="G16">
            <v>0</v>
          </cell>
          <cell r="J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V16">
            <v>0</v>
          </cell>
          <cell r="W16">
            <v>0</v>
          </cell>
        </row>
        <row r="17">
          <cell r="E17">
            <v>0</v>
          </cell>
          <cell r="G17">
            <v>0</v>
          </cell>
          <cell r="J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V17">
            <v>0</v>
          </cell>
          <cell r="W17">
            <v>0</v>
          </cell>
        </row>
        <row r="18">
          <cell r="E18">
            <v>0</v>
          </cell>
          <cell r="G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V18">
            <v>0</v>
          </cell>
          <cell r="W18">
            <v>0</v>
          </cell>
        </row>
        <row r="19">
          <cell r="E19">
            <v>0</v>
          </cell>
          <cell r="G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</row>
        <row r="20">
          <cell r="E20">
            <v>0</v>
          </cell>
          <cell r="G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</row>
        <row r="21">
          <cell r="E21">
            <v>0</v>
          </cell>
          <cell r="G21">
            <v>0</v>
          </cell>
          <cell r="J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</row>
        <row r="22">
          <cell r="E22">
            <v>0</v>
          </cell>
          <cell r="G22">
            <v>0</v>
          </cell>
          <cell r="J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V22">
            <v>0</v>
          </cell>
          <cell r="W22">
            <v>0</v>
          </cell>
        </row>
        <row r="23">
          <cell r="E23">
            <v>0</v>
          </cell>
          <cell r="G23">
            <v>0</v>
          </cell>
          <cell r="J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V23">
            <v>0</v>
          </cell>
          <cell r="W23">
            <v>0</v>
          </cell>
        </row>
        <row r="24">
          <cell r="E24">
            <v>0</v>
          </cell>
          <cell r="G24">
            <v>0</v>
          </cell>
          <cell r="J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V24">
            <v>0</v>
          </cell>
          <cell r="W24">
            <v>0</v>
          </cell>
        </row>
        <row r="25">
          <cell r="E25">
            <v>0</v>
          </cell>
          <cell r="G25">
            <v>0</v>
          </cell>
          <cell r="J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V25">
            <v>0</v>
          </cell>
          <cell r="W25">
            <v>0</v>
          </cell>
        </row>
        <row r="26">
          <cell r="E26">
            <v>0</v>
          </cell>
          <cell r="G26">
            <v>0</v>
          </cell>
          <cell r="J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V26">
            <v>0</v>
          </cell>
          <cell r="W26">
            <v>0</v>
          </cell>
        </row>
        <row r="27">
          <cell r="E27">
            <v>0</v>
          </cell>
          <cell r="G27">
            <v>0</v>
          </cell>
          <cell r="J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V27">
            <v>0</v>
          </cell>
          <cell r="W27">
            <v>0</v>
          </cell>
        </row>
        <row r="28">
          <cell r="E28">
            <v>0</v>
          </cell>
          <cell r="G28">
            <v>0</v>
          </cell>
          <cell r="J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V28">
            <v>0</v>
          </cell>
          <cell r="W28">
            <v>0</v>
          </cell>
        </row>
        <row r="29">
          <cell r="E29">
            <v>0</v>
          </cell>
          <cell r="G29">
            <v>0</v>
          </cell>
          <cell r="J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V29">
            <v>0</v>
          </cell>
          <cell r="W29">
            <v>0</v>
          </cell>
        </row>
        <row r="30">
          <cell r="E30">
            <v>0</v>
          </cell>
          <cell r="G30">
            <v>0</v>
          </cell>
          <cell r="J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V30">
            <v>0</v>
          </cell>
          <cell r="W30">
            <v>0</v>
          </cell>
        </row>
        <row r="31">
          <cell r="E31">
            <v>0</v>
          </cell>
          <cell r="G31">
            <v>0</v>
          </cell>
          <cell r="J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V31">
            <v>0</v>
          </cell>
          <cell r="W31">
            <v>0</v>
          </cell>
        </row>
        <row r="32">
          <cell r="E32">
            <v>0</v>
          </cell>
          <cell r="G32">
            <v>0</v>
          </cell>
          <cell r="J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V32">
            <v>0</v>
          </cell>
          <cell r="W32">
            <v>0</v>
          </cell>
        </row>
        <row r="33">
          <cell r="E33">
            <v>0</v>
          </cell>
          <cell r="G33">
            <v>0</v>
          </cell>
          <cell r="J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</row>
        <row r="34">
          <cell r="E34">
            <v>0</v>
          </cell>
          <cell r="G34">
            <v>0</v>
          </cell>
          <cell r="J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</row>
        <row r="35">
          <cell r="E35">
            <v>0</v>
          </cell>
          <cell r="G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</row>
        <row r="36">
          <cell r="E36">
            <v>0</v>
          </cell>
          <cell r="G36">
            <v>0</v>
          </cell>
          <cell r="J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</row>
        <row r="37">
          <cell r="E37">
            <v>0</v>
          </cell>
          <cell r="G37">
            <v>0</v>
          </cell>
          <cell r="J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V37">
            <v>0</v>
          </cell>
          <cell r="W37">
            <v>0</v>
          </cell>
        </row>
        <row r="38">
          <cell r="E38">
            <v>0</v>
          </cell>
          <cell r="G38">
            <v>0</v>
          </cell>
          <cell r="J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V38">
            <v>0</v>
          </cell>
          <cell r="W38">
            <v>0</v>
          </cell>
        </row>
        <row r="39">
          <cell r="E39">
            <v>0</v>
          </cell>
          <cell r="G39">
            <v>0</v>
          </cell>
          <cell r="J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V39">
            <v>0</v>
          </cell>
          <cell r="W39">
            <v>0</v>
          </cell>
        </row>
        <row r="40">
          <cell r="E40">
            <v>0</v>
          </cell>
          <cell r="G40">
            <v>0</v>
          </cell>
          <cell r="J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V40">
            <v>0</v>
          </cell>
          <cell r="W40">
            <v>0</v>
          </cell>
        </row>
        <row r="41">
          <cell r="E41">
            <v>0</v>
          </cell>
          <cell r="G41">
            <v>0</v>
          </cell>
          <cell r="J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V41">
            <v>0</v>
          </cell>
          <cell r="W41">
            <v>0</v>
          </cell>
        </row>
        <row r="42">
          <cell r="E42">
            <v>0</v>
          </cell>
          <cell r="G42">
            <v>0</v>
          </cell>
          <cell r="J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V42">
            <v>0</v>
          </cell>
          <cell r="W42">
            <v>0</v>
          </cell>
        </row>
        <row r="43">
          <cell r="E43">
            <v>0</v>
          </cell>
          <cell r="G43">
            <v>0</v>
          </cell>
          <cell r="J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V43">
            <v>0</v>
          </cell>
          <cell r="W43">
            <v>0</v>
          </cell>
        </row>
        <row r="44">
          <cell r="E44">
            <v>0</v>
          </cell>
          <cell r="G44">
            <v>0</v>
          </cell>
          <cell r="J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V44">
            <v>0</v>
          </cell>
          <cell r="W44">
            <v>0</v>
          </cell>
        </row>
        <row r="45">
          <cell r="E45">
            <v>0</v>
          </cell>
          <cell r="G45">
            <v>0</v>
          </cell>
          <cell r="J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V45">
            <v>0</v>
          </cell>
          <cell r="W45">
            <v>0</v>
          </cell>
        </row>
        <row r="46">
          <cell r="E46">
            <v>0</v>
          </cell>
          <cell r="G46">
            <v>0</v>
          </cell>
          <cell r="J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V46">
            <v>0</v>
          </cell>
          <cell r="W46">
            <v>0</v>
          </cell>
        </row>
        <row r="47">
          <cell r="E47">
            <v>0</v>
          </cell>
          <cell r="G47">
            <v>0</v>
          </cell>
          <cell r="J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V47">
            <v>0</v>
          </cell>
          <cell r="W47">
            <v>0</v>
          </cell>
        </row>
        <row r="48">
          <cell r="E48">
            <v>0</v>
          </cell>
          <cell r="G48">
            <v>0</v>
          </cell>
          <cell r="J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V48">
            <v>0</v>
          </cell>
          <cell r="W48">
            <v>0</v>
          </cell>
        </row>
        <row r="49">
          <cell r="E49">
            <v>0</v>
          </cell>
          <cell r="G49">
            <v>0</v>
          </cell>
          <cell r="J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V49">
            <v>0</v>
          </cell>
          <cell r="W49">
            <v>0</v>
          </cell>
        </row>
        <row r="50">
          <cell r="E50">
            <v>0</v>
          </cell>
          <cell r="G50">
            <v>0</v>
          </cell>
          <cell r="J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V50">
            <v>0</v>
          </cell>
          <cell r="W50">
            <v>0</v>
          </cell>
        </row>
        <row r="51">
          <cell r="E51">
            <v>0</v>
          </cell>
          <cell r="G51">
            <v>0</v>
          </cell>
          <cell r="J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V51">
            <v>0</v>
          </cell>
          <cell r="W51">
            <v>0</v>
          </cell>
        </row>
        <row r="52">
          <cell r="E52">
            <v>0</v>
          </cell>
          <cell r="G52">
            <v>0</v>
          </cell>
          <cell r="J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V52">
            <v>0</v>
          </cell>
          <cell r="W52">
            <v>0</v>
          </cell>
        </row>
        <row r="53">
          <cell r="E53">
            <v>0</v>
          </cell>
          <cell r="G53">
            <v>0</v>
          </cell>
          <cell r="J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V53">
            <v>0</v>
          </cell>
          <cell r="W53">
            <v>0</v>
          </cell>
        </row>
        <row r="54">
          <cell r="E54">
            <v>0</v>
          </cell>
          <cell r="G54">
            <v>0</v>
          </cell>
          <cell r="J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V54">
            <v>0</v>
          </cell>
          <cell r="W54">
            <v>0</v>
          </cell>
        </row>
        <row r="55">
          <cell r="E55">
            <v>0</v>
          </cell>
          <cell r="G55">
            <v>0</v>
          </cell>
          <cell r="J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V55">
            <v>0</v>
          </cell>
          <cell r="W55">
            <v>0</v>
          </cell>
        </row>
        <row r="56">
          <cell r="E56">
            <v>0</v>
          </cell>
          <cell r="G56">
            <v>0</v>
          </cell>
          <cell r="J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V56">
            <v>0</v>
          </cell>
          <cell r="W56">
            <v>0</v>
          </cell>
        </row>
        <row r="57">
          <cell r="E57">
            <v>0</v>
          </cell>
          <cell r="G57">
            <v>0</v>
          </cell>
          <cell r="J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V57">
            <v>0</v>
          </cell>
          <cell r="W57">
            <v>0</v>
          </cell>
        </row>
        <row r="58">
          <cell r="E58">
            <v>0</v>
          </cell>
          <cell r="G58">
            <v>0</v>
          </cell>
          <cell r="J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V58">
            <v>0</v>
          </cell>
          <cell r="W58">
            <v>0</v>
          </cell>
        </row>
        <row r="59">
          <cell r="E59">
            <v>0</v>
          </cell>
          <cell r="G59">
            <v>0</v>
          </cell>
          <cell r="J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V59">
            <v>0</v>
          </cell>
          <cell r="W59">
            <v>0</v>
          </cell>
        </row>
        <row r="60">
          <cell r="E60">
            <v>0</v>
          </cell>
          <cell r="G60">
            <v>0</v>
          </cell>
          <cell r="J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V60">
            <v>0</v>
          </cell>
          <cell r="W60">
            <v>0</v>
          </cell>
        </row>
        <row r="61">
          <cell r="E61">
            <v>0</v>
          </cell>
          <cell r="G61">
            <v>0</v>
          </cell>
          <cell r="J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V61">
            <v>0</v>
          </cell>
          <cell r="W61">
            <v>0</v>
          </cell>
        </row>
        <row r="62">
          <cell r="E62">
            <v>0</v>
          </cell>
          <cell r="G62">
            <v>0</v>
          </cell>
          <cell r="J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V62">
            <v>0</v>
          </cell>
          <cell r="W62">
            <v>0</v>
          </cell>
        </row>
        <row r="63">
          <cell r="E63">
            <v>0</v>
          </cell>
          <cell r="G63">
            <v>0</v>
          </cell>
          <cell r="J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V63">
            <v>0</v>
          </cell>
          <cell r="W63">
            <v>0</v>
          </cell>
        </row>
        <row r="64">
          <cell r="E64">
            <v>0</v>
          </cell>
          <cell r="G64">
            <v>0</v>
          </cell>
          <cell r="J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V64">
            <v>0</v>
          </cell>
          <cell r="W64">
            <v>0</v>
          </cell>
        </row>
        <row r="65">
          <cell r="E65">
            <v>0</v>
          </cell>
          <cell r="G65">
            <v>0</v>
          </cell>
          <cell r="J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V65">
            <v>0</v>
          </cell>
          <cell r="W65">
            <v>0</v>
          </cell>
        </row>
        <row r="66">
          <cell r="E66">
            <v>0</v>
          </cell>
          <cell r="G66">
            <v>0</v>
          </cell>
          <cell r="J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V66">
            <v>0</v>
          </cell>
          <cell r="W66">
            <v>0</v>
          </cell>
        </row>
        <row r="67">
          <cell r="E67">
            <v>0</v>
          </cell>
          <cell r="G67">
            <v>0</v>
          </cell>
          <cell r="J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V67">
            <v>0</v>
          </cell>
          <cell r="W67">
            <v>0</v>
          </cell>
        </row>
        <row r="68">
          <cell r="E68">
            <v>0</v>
          </cell>
          <cell r="G68">
            <v>0</v>
          </cell>
          <cell r="J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V68">
            <v>0</v>
          </cell>
          <cell r="W68">
            <v>0</v>
          </cell>
        </row>
        <row r="69">
          <cell r="E69">
            <v>0</v>
          </cell>
          <cell r="G69">
            <v>0</v>
          </cell>
          <cell r="J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V69">
            <v>0</v>
          </cell>
          <cell r="W69">
            <v>0</v>
          </cell>
        </row>
        <row r="70">
          <cell r="E70">
            <v>0</v>
          </cell>
          <cell r="G70">
            <v>0</v>
          </cell>
          <cell r="J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V70">
            <v>0</v>
          </cell>
          <cell r="W70">
            <v>0</v>
          </cell>
        </row>
        <row r="71">
          <cell r="E71">
            <v>0</v>
          </cell>
          <cell r="G71">
            <v>0</v>
          </cell>
          <cell r="J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V71">
            <v>0</v>
          </cell>
          <cell r="W71">
            <v>0</v>
          </cell>
        </row>
        <row r="72">
          <cell r="E72">
            <v>0</v>
          </cell>
          <cell r="G72">
            <v>0</v>
          </cell>
          <cell r="J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V72">
            <v>0</v>
          </cell>
          <cell r="W72">
            <v>0</v>
          </cell>
        </row>
        <row r="73">
          <cell r="E73">
            <v>0</v>
          </cell>
          <cell r="G73">
            <v>0</v>
          </cell>
          <cell r="J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V73">
            <v>0</v>
          </cell>
          <cell r="W73">
            <v>0</v>
          </cell>
        </row>
        <row r="74">
          <cell r="E74">
            <v>0</v>
          </cell>
          <cell r="G74">
            <v>0</v>
          </cell>
          <cell r="J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V74">
            <v>0</v>
          </cell>
          <cell r="W74">
            <v>0</v>
          </cell>
        </row>
        <row r="75">
          <cell r="E75">
            <v>0</v>
          </cell>
          <cell r="G75">
            <v>0</v>
          </cell>
          <cell r="J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V75">
            <v>0</v>
          </cell>
          <cell r="W75">
            <v>0</v>
          </cell>
        </row>
        <row r="76">
          <cell r="E76">
            <v>0</v>
          </cell>
          <cell r="G76">
            <v>0</v>
          </cell>
          <cell r="J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V76">
            <v>0</v>
          </cell>
          <cell r="W76">
            <v>0</v>
          </cell>
        </row>
        <row r="77">
          <cell r="E77">
            <v>0</v>
          </cell>
          <cell r="G77">
            <v>0</v>
          </cell>
          <cell r="J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V77">
            <v>0</v>
          </cell>
          <cell r="W77">
            <v>0</v>
          </cell>
        </row>
        <row r="78">
          <cell r="E78">
            <v>0</v>
          </cell>
          <cell r="G78">
            <v>0</v>
          </cell>
          <cell r="J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V78">
            <v>0</v>
          </cell>
          <cell r="W78">
            <v>0</v>
          </cell>
        </row>
        <row r="79">
          <cell r="E79">
            <v>0</v>
          </cell>
          <cell r="G79">
            <v>0</v>
          </cell>
          <cell r="J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V79">
            <v>0</v>
          </cell>
          <cell r="W79">
            <v>0</v>
          </cell>
        </row>
        <row r="80">
          <cell r="E80">
            <v>0</v>
          </cell>
          <cell r="G80">
            <v>0</v>
          </cell>
          <cell r="J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V80">
            <v>0</v>
          </cell>
          <cell r="W80">
            <v>0</v>
          </cell>
        </row>
        <row r="81">
          <cell r="E81">
            <v>0</v>
          </cell>
          <cell r="G81">
            <v>0</v>
          </cell>
          <cell r="J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V81">
            <v>0</v>
          </cell>
          <cell r="W81">
            <v>0</v>
          </cell>
        </row>
        <row r="82">
          <cell r="E82">
            <v>0</v>
          </cell>
          <cell r="G82">
            <v>0</v>
          </cell>
          <cell r="J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V82">
            <v>0</v>
          </cell>
          <cell r="W82">
            <v>0</v>
          </cell>
        </row>
        <row r="83">
          <cell r="E83">
            <v>0</v>
          </cell>
          <cell r="G83">
            <v>0</v>
          </cell>
          <cell r="J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V83">
            <v>0</v>
          </cell>
          <cell r="W83">
            <v>0</v>
          </cell>
        </row>
        <row r="84">
          <cell r="E84">
            <v>0</v>
          </cell>
          <cell r="G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V84">
            <v>0</v>
          </cell>
          <cell r="W84">
            <v>0</v>
          </cell>
        </row>
        <row r="85">
          <cell r="E85">
            <v>0</v>
          </cell>
          <cell r="G85">
            <v>0</v>
          </cell>
          <cell r="J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V85">
            <v>0</v>
          </cell>
          <cell r="W85">
            <v>0</v>
          </cell>
        </row>
        <row r="86">
          <cell r="E86">
            <v>0</v>
          </cell>
          <cell r="G86">
            <v>0</v>
          </cell>
          <cell r="J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V86">
            <v>0</v>
          </cell>
          <cell r="W86">
            <v>0</v>
          </cell>
        </row>
        <row r="87">
          <cell r="E87">
            <v>0</v>
          </cell>
          <cell r="G87">
            <v>0</v>
          </cell>
          <cell r="J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V87">
            <v>0</v>
          </cell>
          <cell r="W87">
            <v>0</v>
          </cell>
        </row>
        <row r="88">
          <cell r="E88">
            <v>0</v>
          </cell>
          <cell r="G88">
            <v>0</v>
          </cell>
          <cell r="J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V88">
            <v>0</v>
          </cell>
          <cell r="W88">
            <v>0</v>
          </cell>
        </row>
        <row r="89">
          <cell r="E89">
            <v>0</v>
          </cell>
          <cell r="G89">
            <v>0</v>
          </cell>
          <cell r="J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V89">
            <v>0</v>
          </cell>
          <cell r="W89">
            <v>0</v>
          </cell>
        </row>
        <row r="90">
          <cell r="E90">
            <v>0</v>
          </cell>
          <cell r="G90">
            <v>0</v>
          </cell>
          <cell r="J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V90">
            <v>0</v>
          </cell>
          <cell r="W90">
            <v>0</v>
          </cell>
        </row>
        <row r="91">
          <cell r="E91">
            <v>0</v>
          </cell>
          <cell r="G91">
            <v>0</v>
          </cell>
          <cell r="J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V91">
            <v>0</v>
          </cell>
          <cell r="W91">
            <v>0</v>
          </cell>
        </row>
        <row r="92">
          <cell r="E92">
            <v>0</v>
          </cell>
          <cell r="G92">
            <v>0</v>
          </cell>
          <cell r="J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V92">
            <v>0</v>
          </cell>
          <cell r="W92">
            <v>0</v>
          </cell>
        </row>
        <row r="93">
          <cell r="E93">
            <v>0</v>
          </cell>
          <cell r="G93">
            <v>0</v>
          </cell>
          <cell r="J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V93">
            <v>0</v>
          </cell>
          <cell r="W93">
            <v>0</v>
          </cell>
        </row>
        <row r="94">
          <cell r="E94">
            <v>0</v>
          </cell>
          <cell r="G94">
            <v>0</v>
          </cell>
          <cell r="J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V94">
            <v>0</v>
          </cell>
          <cell r="W94">
            <v>0</v>
          </cell>
        </row>
        <row r="95">
          <cell r="E95">
            <v>0</v>
          </cell>
          <cell r="G95">
            <v>0</v>
          </cell>
          <cell r="J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V95">
            <v>0</v>
          </cell>
          <cell r="W95">
            <v>0</v>
          </cell>
        </row>
        <row r="96">
          <cell r="E96">
            <v>0</v>
          </cell>
          <cell r="G96">
            <v>0</v>
          </cell>
          <cell r="J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V96">
            <v>0</v>
          </cell>
          <cell r="W96">
            <v>0</v>
          </cell>
        </row>
        <row r="97">
          <cell r="E97">
            <v>0</v>
          </cell>
          <cell r="G97">
            <v>0</v>
          </cell>
          <cell r="J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V97">
            <v>0</v>
          </cell>
          <cell r="W97">
            <v>0</v>
          </cell>
        </row>
        <row r="98">
          <cell r="E98">
            <v>0</v>
          </cell>
          <cell r="G98">
            <v>0</v>
          </cell>
          <cell r="J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V98">
            <v>0</v>
          </cell>
          <cell r="W98">
            <v>0</v>
          </cell>
        </row>
        <row r="99">
          <cell r="E99">
            <v>0</v>
          </cell>
          <cell r="G99">
            <v>0</v>
          </cell>
          <cell r="J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V99">
            <v>0</v>
          </cell>
          <cell r="W99">
            <v>0</v>
          </cell>
        </row>
        <row r="100">
          <cell r="E100">
            <v>0</v>
          </cell>
          <cell r="G100">
            <v>0</v>
          </cell>
          <cell r="J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V100">
            <v>0</v>
          </cell>
          <cell r="W100">
            <v>0</v>
          </cell>
        </row>
        <row r="101">
          <cell r="E101">
            <v>0</v>
          </cell>
          <cell r="G101">
            <v>0</v>
          </cell>
          <cell r="J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V101">
            <v>0</v>
          </cell>
          <cell r="W101">
            <v>0</v>
          </cell>
        </row>
        <row r="102">
          <cell r="E102">
            <v>0</v>
          </cell>
          <cell r="G102">
            <v>0</v>
          </cell>
          <cell r="J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V102">
            <v>0</v>
          </cell>
          <cell r="W102">
            <v>0</v>
          </cell>
        </row>
        <row r="103">
          <cell r="E103">
            <v>0</v>
          </cell>
          <cell r="G103">
            <v>0</v>
          </cell>
          <cell r="J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V103">
            <v>0</v>
          </cell>
          <cell r="W103">
            <v>0</v>
          </cell>
        </row>
        <row r="104">
          <cell r="E104">
            <v>0</v>
          </cell>
          <cell r="G104">
            <v>0</v>
          </cell>
          <cell r="J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V104">
            <v>0</v>
          </cell>
          <cell r="W104">
            <v>0</v>
          </cell>
        </row>
        <row r="105">
          <cell r="E105">
            <v>0</v>
          </cell>
          <cell r="G105">
            <v>0</v>
          </cell>
          <cell r="J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V105">
            <v>0</v>
          </cell>
          <cell r="W105">
            <v>0</v>
          </cell>
        </row>
        <row r="106">
          <cell r="E106">
            <v>0</v>
          </cell>
          <cell r="G106">
            <v>0</v>
          </cell>
          <cell r="J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V106">
            <v>0</v>
          </cell>
          <cell r="W106">
            <v>0</v>
          </cell>
        </row>
        <row r="107">
          <cell r="E107">
            <v>0</v>
          </cell>
          <cell r="G107">
            <v>0</v>
          </cell>
          <cell r="J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V107">
            <v>0</v>
          </cell>
          <cell r="W107">
            <v>0</v>
          </cell>
        </row>
        <row r="108">
          <cell r="E108">
            <v>0</v>
          </cell>
          <cell r="G108">
            <v>0</v>
          </cell>
          <cell r="J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V108">
            <v>0</v>
          </cell>
          <cell r="W108">
            <v>0</v>
          </cell>
        </row>
        <row r="109">
          <cell r="E109">
            <v>0</v>
          </cell>
          <cell r="G109">
            <v>0</v>
          </cell>
          <cell r="J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V109">
            <v>0</v>
          </cell>
          <cell r="W109">
            <v>0</v>
          </cell>
        </row>
        <row r="110">
          <cell r="E110">
            <v>0</v>
          </cell>
          <cell r="G110">
            <v>0</v>
          </cell>
          <cell r="J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V110">
            <v>0</v>
          </cell>
          <cell r="W110">
            <v>0</v>
          </cell>
        </row>
        <row r="111">
          <cell r="E111">
            <v>0</v>
          </cell>
          <cell r="G111">
            <v>0</v>
          </cell>
          <cell r="J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V111">
            <v>0</v>
          </cell>
          <cell r="W111">
            <v>0</v>
          </cell>
        </row>
        <row r="112">
          <cell r="E112">
            <v>0</v>
          </cell>
          <cell r="G112">
            <v>0</v>
          </cell>
          <cell r="J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V112">
            <v>0</v>
          </cell>
          <cell r="W112">
            <v>0</v>
          </cell>
        </row>
        <row r="113">
          <cell r="E113">
            <v>0</v>
          </cell>
          <cell r="G113">
            <v>0</v>
          </cell>
          <cell r="J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V113">
            <v>0</v>
          </cell>
          <cell r="W113">
            <v>0</v>
          </cell>
        </row>
        <row r="114">
          <cell r="E114">
            <v>0</v>
          </cell>
          <cell r="G114">
            <v>0</v>
          </cell>
          <cell r="J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V114">
            <v>0</v>
          </cell>
          <cell r="W114">
            <v>0</v>
          </cell>
        </row>
        <row r="115">
          <cell r="E115">
            <v>0</v>
          </cell>
          <cell r="G115">
            <v>0</v>
          </cell>
          <cell r="J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V115">
            <v>0</v>
          </cell>
          <cell r="W115">
            <v>0</v>
          </cell>
        </row>
        <row r="116">
          <cell r="E116">
            <v>0</v>
          </cell>
          <cell r="G116">
            <v>0</v>
          </cell>
          <cell r="J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V116">
            <v>0</v>
          </cell>
          <cell r="W116">
            <v>0</v>
          </cell>
        </row>
        <row r="117">
          <cell r="E117">
            <v>0</v>
          </cell>
          <cell r="G117">
            <v>0</v>
          </cell>
          <cell r="J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V117">
            <v>0</v>
          </cell>
          <cell r="W117">
            <v>0</v>
          </cell>
        </row>
        <row r="118">
          <cell r="E118">
            <v>0</v>
          </cell>
          <cell r="G118">
            <v>0</v>
          </cell>
          <cell r="J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V118">
            <v>0</v>
          </cell>
          <cell r="W118">
            <v>0</v>
          </cell>
        </row>
        <row r="119">
          <cell r="E119">
            <v>0</v>
          </cell>
          <cell r="G119">
            <v>0</v>
          </cell>
          <cell r="J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V119">
            <v>0</v>
          </cell>
          <cell r="W119">
            <v>0</v>
          </cell>
        </row>
        <row r="120">
          <cell r="E120">
            <v>0</v>
          </cell>
          <cell r="G120">
            <v>0</v>
          </cell>
          <cell r="J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V120">
            <v>0</v>
          </cell>
          <cell r="W120">
            <v>0</v>
          </cell>
        </row>
        <row r="121">
          <cell r="E121">
            <v>0</v>
          </cell>
          <cell r="G121">
            <v>0</v>
          </cell>
          <cell r="J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V121">
            <v>0</v>
          </cell>
          <cell r="W121">
            <v>0</v>
          </cell>
        </row>
        <row r="122">
          <cell r="E122">
            <v>0</v>
          </cell>
          <cell r="G122">
            <v>0</v>
          </cell>
          <cell r="J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V122">
            <v>0</v>
          </cell>
          <cell r="W122">
            <v>0</v>
          </cell>
        </row>
        <row r="123">
          <cell r="E123">
            <v>0</v>
          </cell>
          <cell r="G123">
            <v>0</v>
          </cell>
          <cell r="J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V123">
            <v>0</v>
          </cell>
          <cell r="W123">
            <v>0</v>
          </cell>
        </row>
        <row r="124">
          <cell r="E124">
            <v>0</v>
          </cell>
          <cell r="G124">
            <v>0</v>
          </cell>
          <cell r="J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V124">
            <v>0</v>
          </cell>
          <cell r="W124">
            <v>0</v>
          </cell>
        </row>
        <row r="125">
          <cell r="E125">
            <v>0</v>
          </cell>
          <cell r="G125">
            <v>0</v>
          </cell>
          <cell r="J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V125">
            <v>0</v>
          </cell>
          <cell r="W125">
            <v>0</v>
          </cell>
        </row>
        <row r="126">
          <cell r="E126">
            <v>0</v>
          </cell>
          <cell r="G126">
            <v>0</v>
          </cell>
          <cell r="J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V126">
            <v>0</v>
          </cell>
          <cell r="W126">
            <v>0</v>
          </cell>
        </row>
        <row r="127">
          <cell r="E127">
            <v>0</v>
          </cell>
          <cell r="G127">
            <v>0</v>
          </cell>
          <cell r="J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V127">
            <v>0</v>
          </cell>
          <cell r="W127">
            <v>0</v>
          </cell>
        </row>
        <row r="128">
          <cell r="E128">
            <v>0</v>
          </cell>
          <cell r="G128">
            <v>0</v>
          </cell>
          <cell r="J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V128">
            <v>0</v>
          </cell>
          <cell r="W128">
            <v>0</v>
          </cell>
        </row>
        <row r="129">
          <cell r="E129">
            <v>0</v>
          </cell>
          <cell r="G129">
            <v>0</v>
          </cell>
          <cell r="J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V129">
            <v>0</v>
          </cell>
          <cell r="W129">
            <v>0</v>
          </cell>
        </row>
        <row r="130">
          <cell r="E130">
            <v>0</v>
          </cell>
          <cell r="G130">
            <v>0</v>
          </cell>
          <cell r="J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V130">
            <v>0</v>
          </cell>
          <cell r="W130">
            <v>0</v>
          </cell>
        </row>
        <row r="131">
          <cell r="E131">
            <v>0</v>
          </cell>
          <cell r="G131">
            <v>0</v>
          </cell>
          <cell r="J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V131">
            <v>0</v>
          </cell>
          <cell r="W131">
            <v>0</v>
          </cell>
        </row>
        <row r="132">
          <cell r="E132">
            <v>0</v>
          </cell>
          <cell r="G132">
            <v>0</v>
          </cell>
          <cell r="J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V132">
            <v>0</v>
          </cell>
          <cell r="W132">
            <v>0</v>
          </cell>
        </row>
        <row r="133">
          <cell r="E133">
            <v>0</v>
          </cell>
          <cell r="G133">
            <v>0</v>
          </cell>
          <cell r="J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V133">
            <v>0</v>
          </cell>
          <cell r="W133">
            <v>0</v>
          </cell>
        </row>
        <row r="134">
          <cell r="E134">
            <v>0</v>
          </cell>
          <cell r="G134">
            <v>0</v>
          </cell>
          <cell r="J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V134">
            <v>0</v>
          </cell>
          <cell r="W134">
            <v>0</v>
          </cell>
        </row>
        <row r="135">
          <cell r="E135">
            <v>0</v>
          </cell>
          <cell r="G135">
            <v>0</v>
          </cell>
          <cell r="J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V135">
            <v>0</v>
          </cell>
          <cell r="W135">
            <v>0</v>
          </cell>
        </row>
        <row r="136">
          <cell r="E136">
            <v>0</v>
          </cell>
          <cell r="G136">
            <v>0</v>
          </cell>
          <cell r="J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V136">
            <v>0</v>
          </cell>
          <cell r="W136">
            <v>0</v>
          </cell>
        </row>
        <row r="137">
          <cell r="E137">
            <v>0</v>
          </cell>
          <cell r="G137">
            <v>0</v>
          </cell>
          <cell r="J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V137">
            <v>0</v>
          </cell>
          <cell r="W137">
            <v>0</v>
          </cell>
        </row>
        <row r="138">
          <cell r="E138">
            <v>0</v>
          </cell>
          <cell r="G138">
            <v>0</v>
          </cell>
          <cell r="J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V138">
            <v>0</v>
          </cell>
          <cell r="W138">
            <v>0</v>
          </cell>
        </row>
        <row r="139">
          <cell r="E139">
            <v>0</v>
          </cell>
          <cell r="G139">
            <v>0</v>
          </cell>
          <cell r="J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V139">
            <v>0</v>
          </cell>
          <cell r="W139">
            <v>0</v>
          </cell>
        </row>
        <row r="140">
          <cell r="E140">
            <v>0</v>
          </cell>
          <cell r="G140">
            <v>0</v>
          </cell>
          <cell r="J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V140">
            <v>0</v>
          </cell>
          <cell r="W140">
            <v>0</v>
          </cell>
        </row>
        <row r="141">
          <cell r="E141">
            <v>0</v>
          </cell>
          <cell r="G141">
            <v>0</v>
          </cell>
          <cell r="J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V141">
            <v>0</v>
          </cell>
          <cell r="W141">
            <v>0</v>
          </cell>
        </row>
        <row r="142">
          <cell r="E142">
            <v>0</v>
          </cell>
          <cell r="G142">
            <v>0</v>
          </cell>
          <cell r="J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V142">
            <v>0</v>
          </cell>
          <cell r="W142">
            <v>0</v>
          </cell>
        </row>
        <row r="143">
          <cell r="E143">
            <v>0</v>
          </cell>
          <cell r="G143">
            <v>0</v>
          </cell>
          <cell r="J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V143">
            <v>0</v>
          </cell>
          <cell r="W143">
            <v>0</v>
          </cell>
        </row>
        <row r="144">
          <cell r="E144">
            <v>0</v>
          </cell>
          <cell r="G144">
            <v>0</v>
          </cell>
          <cell r="J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V144">
            <v>0</v>
          </cell>
          <cell r="W144">
            <v>0</v>
          </cell>
        </row>
        <row r="145">
          <cell r="E145">
            <v>0</v>
          </cell>
          <cell r="G145">
            <v>0</v>
          </cell>
          <cell r="J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V145">
            <v>0</v>
          </cell>
          <cell r="W145">
            <v>0</v>
          </cell>
        </row>
        <row r="146">
          <cell r="E146">
            <v>0</v>
          </cell>
          <cell r="G146">
            <v>0</v>
          </cell>
          <cell r="J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V146">
            <v>0</v>
          </cell>
          <cell r="W146">
            <v>0</v>
          </cell>
        </row>
        <row r="147">
          <cell r="E147">
            <v>0</v>
          </cell>
          <cell r="G147">
            <v>0</v>
          </cell>
          <cell r="J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V147">
            <v>0</v>
          </cell>
          <cell r="W147">
            <v>0</v>
          </cell>
        </row>
        <row r="148">
          <cell r="E148">
            <v>0</v>
          </cell>
          <cell r="G148">
            <v>0</v>
          </cell>
          <cell r="J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V148">
            <v>0</v>
          </cell>
          <cell r="W148">
            <v>0</v>
          </cell>
        </row>
        <row r="149">
          <cell r="E149">
            <v>0</v>
          </cell>
          <cell r="G149">
            <v>0</v>
          </cell>
          <cell r="J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V149">
            <v>0</v>
          </cell>
          <cell r="W149">
            <v>0</v>
          </cell>
        </row>
        <row r="150">
          <cell r="E150">
            <v>0</v>
          </cell>
          <cell r="G150">
            <v>0</v>
          </cell>
          <cell r="J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V150">
            <v>0</v>
          </cell>
          <cell r="W150">
            <v>0</v>
          </cell>
        </row>
        <row r="151">
          <cell r="E151">
            <v>0</v>
          </cell>
          <cell r="G151">
            <v>0</v>
          </cell>
          <cell r="J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V151">
            <v>0</v>
          </cell>
          <cell r="W151">
            <v>0</v>
          </cell>
        </row>
        <row r="152">
          <cell r="E152">
            <v>0</v>
          </cell>
          <cell r="G152">
            <v>0</v>
          </cell>
          <cell r="J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V152">
            <v>0</v>
          </cell>
          <cell r="W152">
            <v>0</v>
          </cell>
        </row>
        <row r="153">
          <cell r="E153">
            <v>0</v>
          </cell>
          <cell r="G153">
            <v>0</v>
          </cell>
          <cell r="J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V153">
            <v>0</v>
          </cell>
          <cell r="W153">
            <v>0</v>
          </cell>
        </row>
        <row r="154">
          <cell r="E154">
            <v>0</v>
          </cell>
          <cell r="G154">
            <v>0</v>
          </cell>
          <cell r="J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V154">
            <v>0</v>
          </cell>
          <cell r="W154">
            <v>0</v>
          </cell>
        </row>
        <row r="155">
          <cell r="E155">
            <v>0</v>
          </cell>
          <cell r="G155">
            <v>0</v>
          </cell>
          <cell r="J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V155">
            <v>0</v>
          </cell>
          <cell r="W155">
            <v>0</v>
          </cell>
        </row>
        <row r="156">
          <cell r="E156">
            <v>0</v>
          </cell>
          <cell r="G156">
            <v>0</v>
          </cell>
          <cell r="J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V156">
            <v>0</v>
          </cell>
          <cell r="W156">
            <v>0</v>
          </cell>
        </row>
        <row r="157">
          <cell r="E157">
            <v>0</v>
          </cell>
          <cell r="G157">
            <v>0</v>
          </cell>
          <cell r="J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V157">
            <v>0</v>
          </cell>
          <cell r="W157">
            <v>0</v>
          </cell>
        </row>
        <row r="158">
          <cell r="E158">
            <v>0</v>
          </cell>
          <cell r="G158">
            <v>0</v>
          </cell>
          <cell r="J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V158">
            <v>0</v>
          </cell>
          <cell r="W158">
            <v>0</v>
          </cell>
        </row>
        <row r="159">
          <cell r="E159">
            <v>0</v>
          </cell>
          <cell r="G159">
            <v>0</v>
          </cell>
          <cell r="J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V159">
            <v>0</v>
          </cell>
          <cell r="W159">
            <v>0</v>
          </cell>
        </row>
        <row r="160">
          <cell r="E160">
            <v>0</v>
          </cell>
          <cell r="G160">
            <v>0</v>
          </cell>
          <cell r="J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V160">
            <v>0</v>
          </cell>
          <cell r="W160">
            <v>0</v>
          </cell>
        </row>
        <row r="161">
          <cell r="E161">
            <v>0</v>
          </cell>
          <cell r="G161">
            <v>0</v>
          </cell>
          <cell r="J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V161">
            <v>0</v>
          </cell>
          <cell r="W161">
            <v>0</v>
          </cell>
        </row>
        <row r="162">
          <cell r="E162">
            <v>0</v>
          </cell>
          <cell r="G162">
            <v>0</v>
          </cell>
          <cell r="J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V162">
            <v>0</v>
          </cell>
          <cell r="W162">
            <v>0</v>
          </cell>
        </row>
        <row r="163">
          <cell r="E163">
            <v>0</v>
          </cell>
          <cell r="G163">
            <v>0</v>
          </cell>
          <cell r="J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V163">
            <v>0</v>
          </cell>
          <cell r="W163">
            <v>0</v>
          </cell>
        </row>
        <row r="164">
          <cell r="E164">
            <v>0</v>
          </cell>
          <cell r="G164">
            <v>0</v>
          </cell>
          <cell r="J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V164">
            <v>0</v>
          </cell>
          <cell r="W164">
            <v>0</v>
          </cell>
        </row>
        <row r="165">
          <cell r="E165">
            <v>0</v>
          </cell>
          <cell r="G165">
            <v>0</v>
          </cell>
          <cell r="J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V165">
            <v>0</v>
          </cell>
          <cell r="W165">
            <v>0</v>
          </cell>
        </row>
        <row r="166">
          <cell r="E166">
            <v>0</v>
          </cell>
          <cell r="G166">
            <v>0</v>
          </cell>
          <cell r="J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V166">
            <v>0</v>
          </cell>
          <cell r="W166">
            <v>0</v>
          </cell>
        </row>
        <row r="167">
          <cell r="E167">
            <v>0</v>
          </cell>
          <cell r="G167">
            <v>0</v>
          </cell>
          <cell r="J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V167">
            <v>0</v>
          </cell>
          <cell r="W167">
            <v>0</v>
          </cell>
        </row>
        <row r="168">
          <cell r="E168">
            <v>0</v>
          </cell>
          <cell r="G168">
            <v>0</v>
          </cell>
          <cell r="J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V168">
            <v>0</v>
          </cell>
          <cell r="W168">
            <v>0</v>
          </cell>
        </row>
        <row r="169">
          <cell r="E169">
            <v>0</v>
          </cell>
          <cell r="G169">
            <v>0</v>
          </cell>
          <cell r="J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V169">
            <v>0</v>
          </cell>
          <cell r="W169">
            <v>0</v>
          </cell>
        </row>
        <row r="170">
          <cell r="E170">
            <v>0</v>
          </cell>
          <cell r="G170">
            <v>0</v>
          </cell>
          <cell r="J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V170">
            <v>0</v>
          </cell>
          <cell r="W170">
            <v>0</v>
          </cell>
        </row>
        <row r="171">
          <cell r="E171">
            <v>0</v>
          </cell>
          <cell r="G171">
            <v>0</v>
          </cell>
          <cell r="J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V171">
            <v>0</v>
          </cell>
          <cell r="W171">
            <v>0</v>
          </cell>
        </row>
        <row r="172">
          <cell r="E172">
            <v>0</v>
          </cell>
          <cell r="G172">
            <v>0</v>
          </cell>
          <cell r="J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V172">
            <v>0</v>
          </cell>
          <cell r="W172">
            <v>0</v>
          </cell>
        </row>
        <row r="173">
          <cell r="E173">
            <v>0</v>
          </cell>
          <cell r="G173">
            <v>0</v>
          </cell>
          <cell r="J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V173">
            <v>0</v>
          </cell>
          <cell r="W173">
            <v>0</v>
          </cell>
        </row>
        <row r="174">
          <cell r="E174">
            <v>0</v>
          </cell>
          <cell r="G174">
            <v>0</v>
          </cell>
          <cell r="J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V174">
            <v>0</v>
          </cell>
          <cell r="W174">
            <v>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>
        <row r="184">
          <cell r="L184">
            <v>0</v>
          </cell>
        </row>
      </sheetData>
      <sheetData sheetId="77">
        <row r="184">
          <cell r="L184">
            <v>-2167200</v>
          </cell>
        </row>
      </sheetData>
      <sheetData sheetId="78">
        <row r="184">
          <cell r="L184">
            <v>-206280</v>
          </cell>
        </row>
      </sheetData>
      <sheetData sheetId="79">
        <row r="184">
          <cell r="L184">
            <v>-2362680</v>
          </cell>
        </row>
      </sheetData>
      <sheetData sheetId="80">
        <row r="184">
          <cell r="L184">
            <v>-826920</v>
          </cell>
        </row>
      </sheetData>
      <sheetData sheetId="81">
        <row r="184">
          <cell r="L184">
            <v>-135360</v>
          </cell>
        </row>
      </sheetData>
      <sheetData sheetId="82">
        <row r="184">
          <cell r="L184">
            <v>0</v>
          </cell>
        </row>
      </sheetData>
      <sheetData sheetId="8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inicio"/>
      <sheetName val="LQ 11A-11-2 "/>
      <sheetName val="LQ-A (1)"/>
      <sheetName val="LQ-A (2)"/>
      <sheetName val="LQ-A(3)"/>
      <sheetName val="LQ-A(4)"/>
      <sheetName val="LQ-A(5)"/>
      <sheetName val="LQ-A(6)"/>
      <sheetName val="LQ-A(7)"/>
      <sheetName val="LQ-A(8)"/>
      <sheetName val="LQ-A(9)"/>
      <sheetName val="LQ-A(10)"/>
      <sheetName val="LQ-A (11)"/>
      <sheetName val="LQ-A(12)"/>
      <sheetName val="LQ-A(13)"/>
      <sheetName val="LQ-A(14)"/>
      <sheetName val="LQ-A(16)"/>
      <sheetName val="LQ-A (17)"/>
      <sheetName val="LQ-A (19)"/>
      <sheetName val="LQ-A (20)"/>
      <sheetName val="LQ-A (21)"/>
      <sheetName val="LQ-A(22)"/>
      <sheetName val="LQ-A (23)"/>
      <sheetName val="LQ-A(24)"/>
      <sheetName val="LQ-A (25)"/>
      <sheetName val="LQ-A(26)"/>
      <sheetName val="LQ-A (27)"/>
      <sheetName val="LQ-A (28)"/>
      <sheetName val="LQ-A(29)"/>
      <sheetName val="LQ-A (30)"/>
      <sheetName val="LQ-A (31)"/>
      <sheetName val="LQ-A (32)"/>
      <sheetName val="LQ-A(33)"/>
      <sheetName val="LQ-A(34)"/>
      <sheetName val="LQ-A (35)"/>
      <sheetName val="LQ-A (36)"/>
      <sheetName val="LQ-A(37)"/>
      <sheetName val="LQ-A(38)"/>
      <sheetName val="LQ-A(42)"/>
      <sheetName val="LQ-A(43)"/>
      <sheetName val="LQ-A(44)"/>
      <sheetName val="LQ-A(45)"/>
      <sheetName val="LQ-A(46)"/>
      <sheetName val="LQ-A(47)"/>
      <sheetName val="LQ-A (48)"/>
      <sheetName val="LQ-A(49)"/>
      <sheetName val="LQ-A(50)"/>
      <sheetName val="LQ-A(51)"/>
      <sheetName val="LQ-A(52)"/>
      <sheetName val="LQ-A(53)"/>
      <sheetName val="LQ-A(54)"/>
      <sheetName val="LQ-A(55)"/>
      <sheetName val="LQ-A(56)"/>
      <sheetName val="LQ-A(57)"/>
      <sheetName val="LQ-A(58)"/>
      <sheetName val="LQ-A (59)"/>
      <sheetName val="LQ-A(60)"/>
      <sheetName val="LQ 11A-11-1"/>
      <sheetName val="LQ (Juvenal Gallardo) "/>
      <sheetName val="LQ (Carlos Gallardo)"/>
      <sheetName val="final"/>
    </sheetNames>
    <sheetDataSet>
      <sheetData sheetId="0">
        <row r="214">
          <cell r="E214" t="str">
            <v>Total Cobro</v>
          </cell>
        </row>
        <row r="215">
          <cell r="D215" t="str">
            <v>Enero</v>
          </cell>
        </row>
        <row r="216">
          <cell r="D216" t="str">
            <v>Febrero</v>
          </cell>
        </row>
        <row r="217">
          <cell r="D217" t="str">
            <v>Marzo</v>
          </cell>
        </row>
        <row r="218">
          <cell r="D218" t="str">
            <v>Abril</v>
          </cell>
        </row>
        <row r="219">
          <cell r="D219" t="str">
            <v>Mayo</v>
          </cell>
        </row>
        <row r="220">
          <cell r="D220" t="str">
            <v>Junio</v>
          </cell>
        </row>
        <row r="221">
          <cell r="D221" t="str">
            <v>Julio</v>
          </cell>
        </row>
        <row r="222">
          <cell r="D222" t="str">
            <v>Agosto</v>
          </cell>
        </row>
        <row r="223">
          <cell r="D223" t="str">
            <v>Septiembre</v>
          </cell>
        </row>
        <row r="224">
          <cell r="D224" t="str">
            <v>Octubre</v>
          </cell>
        </row>
        <row r="225">
          <cell r="D225" t="str">
            <v>Noviembre</v>
          </cell>
        </row>
        <row r="226">
          <cell r="D226" t="str">
            <v>Diciembre</v>
          </cell>
        </row>
      </sheetData>
      <sheetData sheetId="1"/>
      <sheetData sheetId="2">
        <row r="175">
          <cell r="E175">
            <v>0</v>
          </cell>
        </row>
      </sheetData>
      <sheetData sheetId="3">
        <row r="175">
          <cell r="E175">
            <v>0</v>
          </cell>
        </row>
      </sheetData>
      <sheetData sheetId="4">
        <row r="175">
          <cell r="E175">
            <v>0</v>
          </cell>
        </row>
      </sheetData>
      <sheetData sheetId="5">
        <row r="175">
          <cell r="E175">
            <v>311</v>
          </cell>
        </row>
      </sheetData>
      <sheetData sheetId="6">
        <row r="175">
          <cell r="E175">
            <v>9</v>
          </cell>
        </row>
      </sheetData>
      <sheetData sheetId="7">
        <row r="175">
          <cell r="E175">
            <v>459</v>
          </cell>
        </row>
      </sheetData>
      <sheetData sheetId="8">
        <row r="175">
          <cell r="E175">
            <v>345</v>
          </cell>
        </row>
      </sheetData>
      <sheetData sheetId="9">
        <row r="175">
          <cell r="E175">
            <v>590</v>
          </cell>
        </row>
      </sheetData>
      <sheetData sheetId="10">
        <row r="175">
          <cell r="E175">
            <v>0</v>
          </cell>
        </row>
      </sheetData>
      <sheetData sheetId="11">
        <row r="175">
          <cell r="E175">
            <v>0</v>
          </cell>
        </row>
      </sheetData>
      <sheetData sheetId="12">
        <row r="175">
          <cell r="E175">
            <v>184</v>
          </cell>
        </row>
      </sheetData>
      <sheetData sheetId="13">
        <row r="175">
          <cell r="E175">
            <v>0</v>
          </cell>
        </row>
      </sheetData>
      <sheetData sheetId="14">
        <row r="175">
          <cell r="E175">
            <v>345</v>
          </cell>
        </row>
      </sheetData>
      <sheetData sheetId="15">
        <row r="175">
          <cell r="E175">
            <v>354</v>
          </cell>
        </row>
      </sheetData>
      <sheetData sheetId="16">
        <row r="175">
          <cell r="E175">
            <v>233</v>
          </cell>
        </row>
      </sheetData>
      <sheetData sheetId="17">
        <row r="175">
          <cell r="E175">
            <v>183</v>
          </cell>
        </row>
      </sheetData>
      <sheetData sheetId="18">
        <row r="175">
          <cell r="E175">
            <v>0</v>
          </cell>
        </row>
      </sheetData>
      <sheetData sheetId="19">
        <row r="175">
          <cell r="E175">
            <v>0</v>
          </cell>
        </row>
      </sheetData>
      <sheetData sheetId="20">
        <row r="175">
          <cell r="E175">
            <v>0</v>
          </cell>
        </row>
      </sheetData>
      <sheetData sheetId="21">
        <row r="175">
          <cell r="E175">
            <v>0</v>
          </cell>
        </row>
      </sheetData>
      <sheetData sheetId="22">
        <row r="175">
          <cell r="E175">
            <v>312</v>
          </cell>
        </row>
      </sheetData>
      <sheetData sheetId="23">
        <row r="175">
          <cell r="E175">
            <v>0</v>
          </cell>
        </row>
      </sheetData>
      <sheetData sheetId="24">
        <row r="175">
          <cell r="E175">
            <v>279</v>
          </cell>
        </row>
      </sheetData>
      <sheetData sheetId="25">
        <row r="175">
          <cell r="E175">
            <v>0</v>
          </cell>
        </row>
      </sheetData>
      <sheetData sheetId="26">
        <row r="175">
          <cell r="E175">
            <v>357</v>
          </cell>
        </row>
      </sheetData>
      <sheetData sheetId="27">
        <row r="175">
          <cell r="E175">
            <v>0</v>
          </cell>
        </row>
      </sheetData>
      <sheetData sheetId="28">
        <row r="175">
          <cell r="E175">
            <v>0</v>
          </cell>
        </row>
      </sheetData>
      <sheetData sheetId="29">
        <row r="175">
          <cell r="E175">
            <v>166</v>
          </cell>
        </row>
      </sheetData>
      <sheetData sheetId="30">
        <row r="175">
          <cell r="E175">
            <v>0</v>
          </cell>
        </row>
      </sheetData>
      <sheetData sheetId="31">
        <row r="175">
          <cell r="E175">
            <v>0</v>
          </cell>
        </row>
      </sheetData>
      <sheetData sheetId="32">
        <row r="175">
          <cell r="E175">
            <v>0</v>
          </cell>
        </row>
      </sheetData>
      <sheetData sheetId="33">
        <row r="175">
          <cell r="E175">
            <v>317</v>
          </cell>
        </row>
      </sheetData>
      <sheetData sheetId="34">
        <row r="175">
          <cell r="E175">
            <v>424</v>
          </cell>
        </row>
      </sheetData>
      <sheetData sheetId="35">
        <row r="175">
          <cell r="E175">
            <v>0</v>
          </cell>
        </row>
      </sheetData>
      <sheetData sheetId="36">
        <row r="175">
          <cell r="E175">
            <v>0</v>
          </cell>
        </row>
      </sheetData>
      <sheetData sheetId="37">
        <row r="175">
          <cell r="E175">
            <v>289</v>
          </cell>
        </row>
      </sheetData>
      <sheetData sheetId="38">
        <row r="175">
          <cell r="E175">
            <v>0</v>
          </cell>
        </row>
      </sheetData>
      <sheetData sheetId="39">
        <row r="175">
          <cell r="E175">
            <v>322</v>
          </cell>
        </row>
      </sheetData>
      <sheetData sheetId="40">
        <row r="175">
          <cell r="E175">
            <v>259</v>
          </cell>
        </row>
      </sheetData>
      <sheetData sheetId="41">
        <row r="175">
          <cell r="E175">
            <v>311</v>
          </cell>
        </row>
      </sheetData>
      <sheetData sheetId="42">
        <row r="175">
          <cell r="E175">
            <v>599</v>
          </cell>
        </row>
      </sheetData>
      <sheetData sheetId="43">
        <row r="175">
          <cell r="E175">
            <v>326</v>
          </cell>
        </row>
      </sheetData>
      <sheetData sheetId="44">
        <row r="175">
          <cell r="E175">
            <v>271</v>
          </cell>
        </row>
      </sheetData>
      <sheetData sheetId="45">
        <row r="175">
          <cell r="E175">
            <v>0</v>
          </cell>
        </row>
      </sheetData>
      <sheetData sheetId="46">
        <row r="175">
          <cell r="E175">
            <v>189</v>
          </cell>
        </row>
      </sheetData>
      <sheetData sheetId="47">
        <row r="175">
          <cell r="E175">
            <v>0</v>
          </cell>
        </row>
      </sheetData>
      <sheetData sheetId="48">
        <row r="175">
          <cell r="E175">
            <v>623</v>
          </cell>
        </row>
      </sheetData>
      <sheetData sheetId="49">
        <row r="175">
          <cell r="E175">
            <v>292</v>
          </cell>
        </row>
      </sheetData>
      <sheetData sheetId="50">
        <row r="175">
          <cell r="E175">
            <v>16</v>
          </cell>
        </row>
      </sheetData>
      <sheetData sheetId="51">
        <row r="175">
          <cell r="E175">
            <v>0</v>
          </cell>
        </row>
      </sheetData>
      <sheetData sheetId="52">
        <row r="175">
          <cell r="E175">
            <v>466</v>
          </cell>
        </row>
      </sheetData>
      <sheetData sheetId="53">
        <row r="175">
          <cell r="E175">
            <v>186</v>
          </cell>
        </row>
      </sheetData>
      <sheetData sheetId="54">
        <row r="175">
          <cell r="E175">
            <v>134</v>
          </cell>
        </row>
      </sheetData>
      <sheetData sheetId="55">
        <row r="175">
          <cell r="E175">
            <v>141</v>
          </cell>
        </row>
      </sheetData>
      <sheetData sheetId="56">
        <row r="175">
          <cell r="E175">
            <v>0</v>
          </cell>
        </row>
      </sheetData>
      <sheetData sheetId="57">
        <row r="175">
          <cell r="E175">
            <v>158</v>
          </cell>
        </row>
      </sheetData>
      <sheetData sheetId="58">
        <row r="175">
          <cell r="E175">
            <v>564</v>
          </cell>
        </row>
      </sheetData>
      <sheetData sheetId="59">
        <row r="175">
          <cell r="E175">
            <v>0</v>
          </cell>
        </row>
      </sheetData>
      <sheetData sheetId="60">
        <row r="175">
          <cell r="E175">
            <v>0</v>
          </cell>
        </row>
      </sheetData>
      <sheetData sheetId="61">
        <row r="175">
          <cell r="E175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BA-P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S249"/>
  <sheetViews>
    <sheetView tabSelected="1" zoomScaleNormal="100" workbookViewId="0">
      <selection activeCell="Q212" sqref="Q212"/>
    </sheetView>
  </sheetViews>
  <sheetFormatPr baseColWidth="10" defaultColWidth="15.28515625" defaultRowHeight="15" x14ac:dyDescent="0.25"/>
  <cols>
    <col min="1" max="1" width="6.5703125" customWidth="1"/>
    <col min="7" max="8" width="0" hidden="1" customWidth="1"/>
    <col min="12" max="12" width="8.28515625" customWidth="1"/>
  </cols>
  <sheetData>
    <row r="2" spans="1:19" ht="18.75" x14ac:dyDescent="0.3">
      <c r="B2" s="53" t="s">
        <v>63</v>
      </c>
      <c r="C2" s="54"/>
      <c r="D2" s="1"/>
      <c r="E2" s="1"/>
      <c r="F2" s="1"/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</row>
    <row r="3" spans="1:19" ht="18.75" x14ac:dyDescent="0.3">
      <c r="B3" s="53" t="s">
        <v>62</v>
      </c>
      <c r="C3" s="54"/>
      <c r="G3" s="2"/>
      <c r="H3" s="3"/>
      <c r="I3" s="3"/>
      <c r="J3" s="3"/>
      <c r="L3" s="2"/>
      <c r="M3" s="2"/>
      <c r="N3" s="2"/>
      <c r="O3" s="2"/>
    </row>
    <row r="4" spans="1:19" ht="15.75" thickBot="1" x14ac:dyDescent="0.3">
      <c r="B4" s="4"/>
      <c r="C4" s="4"/>
      <c r="D4" s="4"/>
      <c r="E4" s="4"/>
      <c r="F4" s="4"/>
      <c r="G4" s="2"/>
      <c r="H4" s="3"/>
      <c r="I4" s="3"/>
      <c r="J4" s="3"/>
      <c r="K4" s="3"/>
      <c r="L4" s="2"/>
      <c r="M4" s="2"/>
      <c r="N4" s="2"/>
      <c r="O4" s="2"/>
    </row>
    <row r="5" spans="1:19" ht="15.75" thickBot="1" x14ac:dyDescent="0.3">
      <c r="B5" s="5"/>
      <c r="C5" s="157" t="s">
        <v>0</v>
      </c>
      <c r="D5" s="158"/>
      <c r="E5" s="6" t="s">
        <v>1</v>
      </c>
      <c r="F5" s="7"/>
      <c r="G5" s="159" t="s">
        <v>2</v>
      </c>
      <c r="H5" s="160"/>
      <c r="I5" s="160"/>
      <c r="J5" s="160"/>
      <c r="K5" s="161"/>
      <c r="L5" s="162" t="s">
        <v>3</v>
      </c>
      <c r="M5" s="160"/>
      <c r="N5" s="160"/>
      <c r="O5" s="161"/>
    </row>
    <row r="6" spans="1:19" x14ac:dyDescent="0.25">
      <c r="B6" s="8" t="s">
        <v>4</v>
      </c>
      <c r="C6" s="8" t="s">
        <v>5</v>
      </c>
      <c r="D6" s="8" t="s">
        <v>6</v>
      </c>
      <c r="E6" s="8" t="s">
        <v>5</v>
      </c>
      <c r="F6" s="8" t="s">
        <v>6</v>
      </c>
      <c r="G6" s="9" t="s">
        <v>7</v>
      </c>
      <c r="H6" s="8" t="s">
        <v>8</v>
      </c>
      <c r="I6" s="10" t="s">
        <v>9</v>
      </c>
      <c r="J6" s="11" t="s">
        <v>10</v>
      </c>
      <c r="K6" s="9" t="s">
        <v>11</v>
      </c>
      <c r="L6" s="12" t="s">
        <v>12</v>
      </c>
      <c r="M6" s="9" t="s">
        <v>6</v>
      </c>
      <c r="N6" s="9"/>
      <c r="O6" s="13" t="s">
        <v>13</v>
      </c>
    </row>
    <row r="7" spans="1:19" ht="15.75" thickBot="1" x14ac:dyDescent="0.3">
      <c r="B7" s="14" t="s">
        <v>14</v>
      </c>
      <c r="C7" s="14" t="s">
        <v>15</v>
      </c>
      <c r="D7" s="14" t="s">
        <v>16</v>
      </c>
      <c r="E7" s="14" t="s">
        <v>17</v>
      </c>
      <c r="F7" s="14" t="s">
        <v>18</v>
      </c>
      <c r="G7" s="15" t="s">
        <v>19</v>
      </c>
      <c r="H7" s="14" t="s">
        <v>20</v>
      </c>
      <c r="I7" s="16"/>
      <c r="J7" s="16"/>
      <c r="K7" s="17" t="s">
        <v>21</v>
      </c>
      <c r="L7" s="18"/>
      <c r="M7" s="15" t="s">
        <v>22</v>
      </c>
      <c r="N7" s="17" t="s">
        <v>23</v>
      </c>
      <c r="O7" s="19" t="s">
        <v>22</v>
      </c>
    </row>
    <row r="8" spans="1:19" ht="15.75" hidden="1" thickBot="1" x14ac:dyDescent="0.3">
      <c r="A8" s="20">
        <v>2003</v>
      </c>
      <c r="B8" s="21"/>
      <c r="C8" s="22">
        <f>SUM([1]Inicio:Final!E7)</f>
        <v>0</v>
      </c>
      <c r="D8" s="22">
        <f>SUM([1]Inicio:Final!G7)</f>
        <v>0</v>
      </c>
      <c r="E8" s="22">
        <f>SUM([1]Inicio:Final!J7)</f>
        <v>0</v>
      </c>
      <c r="F8" s="22">
        <f>SUM([1]Inicio:Final!L7)</f>
        <v>0</v>
      </c>
      <c r="G8" s="22">
        <f>SUM([1]Inicio:Final!M7)</f>
        <v>0</v>
      </c>
      <c r="H8" s="22">
        <f>SUM([1]Inicio:Final!N7)</f>
        <v>0</v>
      </c>
      <c r="I8" s="22">
        <f>SUM([1]Inicio:Final!O7)</f>
        <v>0</v>
      </c>
      <c r="J8" s="23">
        <f>SUM([1]Inicio:Final!P7)</f>
        <v>0</v>
      </c>
      <c r="K8" s="23">
        <f>SUM([1]Inicio:Final!Q7)</f>
        <v>0</v>
      </c>
      <c r="L8" s="23">
        <f>SUM([1]Inicio:Final!R7)</f>
        <v>0</v>
      </c>
      <c r="M8" s="23">
        <f>SUM([1]Inicio:Final!S7)</f>
        <v>0</v>
      </c>
      <c r="N8" s="23">
        <f>SUM([1]Inicio:Final!V7)</f>
        <v>0</v>
      </c>
      <c r="O8" s="24">
        <f>SUM([1]Inicio:Final!W7)</f>
        <v>394141.60000000003</v>
      </c>
    </row>
    <row r="9" spans="1:19" ht="15.75" hidden="1" thickBot="1" x14ac:dyDescent="0.3">
      <c r="A9" s="20"/>
      <c r="B9" s="21" t="s">
        <v>24</v>
      </c>
      <c r="C9" s="22">
        <f>SUM([1]Inicio:Final!E8)</f>
        <v>0</v>
      </c>
      <c r="D9" s="22">
        <f>SUM([1]Inicio:Final!G8)</f>
        <v>0</v>
      </c>
      <c r="E9" s="22">
        <f>SUM([1]Inicio:Final!J8)</f>
        <v>0</v>
      </c>
      <c r="F9" s="22">
        <f>SUM([1]Inicio:Final!L8)</f>
        <v>0</v>
      </c>
      <c r="G9" s="22">
        <f>SUM([1]Inicio:Final!M8)</f>
        <v>0</v>
      </c>
      <c r="H9" s="22">
        <f>SUM([1]Inicio:Final!N8)</f>
        <v>0</v>
      </c>
      <c r="I9" s="22">
        <f>SUM([1]Inicio:Final!O8)</f>
        <v>0</v>
      </c>
      <c r="J9" s="22">
        <f>SUM([1]Inicio:Final!P8)</f>
        <v>0</v>
      </c>
      <c r="K9" s="22">
        <f>SUM([1]Inicio:Final!Q8)</f>
        <v>0</v>
      </c>
      <c r="L9" s="22">
        <f>SUM([1]Inicio:Final!R8)</f>
        <v>0</v>
      </c>
      <c r="M9" s="22">
        <f>SUM([1]Inicio:Final!S8)</f>
        <v>0</v>
      </c>
      <c r="N9" s="22">
        <f>SUM([1]Inicio:Final!V8)</f>
        <v>0</v>
      </c>
      <c r="O9" s="25">
        <f>SUM([1]Inicio:Final!W8)</f>
        <v>472969.92000000004</v>
      </c>
    </row>
    <row r="10" spans="1:19" ht="15.75" hidden="1" thickBot="1" x14ac:dyDescent="0.3">
      <c r="A10" s="20"/>
      <c r="B10" s="21" t="s">
        <v>25</v>
      </c>
      <c r="C10" s="22">
        <f>SUM([1]Inicio:Final!E9)</f>
        <v>0</v>
      </c>
      <c r="D10" s="22">
        <f>SUM([1]Inicio:Final!G9)</f>
        <v>0</v>
      </c>
      <c r="E10" s="22">
        <f>SUM([1]Inicio:Final!J9)</f>
        <v>0</v>
      </c>
      <c r="F10" s="22">
        <f>SUM([1]Inicio:Final!L9)</f>
        <v>0</v>
      </c>
      <c r="G10" s="22">
        <f>SUM([1]Inicio:Final!M9)</f>
        <v>0</v>
      </c>
      <c r="H10" s="22">
        <f>SUM([1]Inicio:Final!N9)</f>
        <v>0</v>
      </c>
      <c r="I10" s="22">
        <f>SUM([1]Inicio:Final!O9)</f>
        <v>0</v>
      </c>
      <c r="J10" s="22">
        <f>SUM([1]Inicio:Final!P9)</f>
        <v>0</v>
      </c>
      <c r="K10" s="22">
        <f>SUM([1]Inicio:Final!Q9)</f>
        <v>0</v>
      </c>
      <c r="L10" s="22">
        <f>SUM([1]Inicio:Final!R9)</f>
        <v>0</v>
      </c>
      <c r="M10" s="22">
        <f>SUM([1]Inicio:Final!S9)</f>
        <v>0</v>
      </c>
      <c r="N10" s="22">
        <f>SUM([1]Inicio:Final!V9)</f>
        <v>0</v>
      </c>
      <c r="O10" s="25">
        <f>SUM([1]Inicio:Final!W9)</f>
        <v>551798.24</v>
      </c>
    </row>
    <row r="11" spans="1:19" ht="15.75" hidden="1" thickBot="1" x14ac:dyDescent="0.3">
      <c r="A11" s="20"/>
      <c r="B11" s="21" t="s">
        <v>26</v>
      </c>
      <c r="C11" s="22">
        <f>SUM([1]Inicio:Final!E10)</f>
        <v>0</v>
      </c>
      <c r="D11" s="22">
        <f>SUM([1]Inicio:Final!G10)</f>
        <v>0</v>
      </c>
      <c r="E11" s="22">
        <f>SUM([1]Inicio:Final!J10)</f>
        <v>0</v>
      </c>
      <c r="F11" s="22">
        <f>SUM([1]Inicio:Final!L10)</f>
        <v>0</v>
      </c>
      <c r="G11" s="22">
        <f>SUM([1]Inicio:Final!M10)</f>
        <v>0</v>
      </c>
      <c r="H11" s="22">
        <f>SUM([1]Inicio:Final!N10)</f>
        <v>0</v>
      </c>
      <c r="I11" s="22">
        <f>SUM([1]Inicio:Final!O10)</f>
        <v>0</v>
      </c>
      <c r="J11" s="22">
        <f>SUM([1]Inicio:Final!P10)</f>
        <v>0</v>
      </c>
      <c r="K11" s="22">
        <f>SUM([1]Inicio:Final!Q10)</f>
        <v>0</v>
      </c>
      <c r="L11" s="22">
        <f>SUM([1]Inicio:Final!R10)</f>
        <v>0</v>
      </c>
      <c r="M11" s="22">
        <f>SUM([1]Inicio:Final!S10)</f>
        <v>0</v>
      </c>
      <c r="N11" s="22">
        <f>SUM([1]Inicio:Final!V10)</f>
        <v>0</v>
      </c>
      <c r="O11" s="25">
        <f>SUM([1]Inicio:Final!W10)</f>
        <v>630626.55999999994</v>
      </c>
    </row>
    <row r="12" spans="1:19" ht="15.75" hidden="1" thickBot="1" x14ac:dyDescent="0.3">
      <c r="A12" s="20"/>
      <c r="B12" s="21" t="s">
        <v>27</v>
      </c>
      <c r="C12" s="22">
        <f>SUM([1]Inicio:Final!E11)</f>
        <v>0</v>
      </c>
      <c r="D12" s="22">
        <f>SUM([1]Inicio:Final!G11)</f>
        <v>0</v>
      </c>
      <c r="E12" s="22">
        <f>SUM([1]Inicio:Final!J11)</f>
        <v>0</v>
      </c>
      <c r="F12" s="22">
        <f>SUM([1]Inicio:Final!L11)</f>
        <v>0</v>
      </c>
      <c r="G12" s="22">
        <f>SUM([1]Inicio:Final!M11)</f>
        <v>0</v>
      </c>
      <c r="H12" s="22">
        <f>SUM([1]Inicio:Final!N11)</f>
        <v>0</v>
      </c>
      <c r="I12" s="22">
        <f>SUM([1]Inicio:Final!O11)</f>
        <v>0</v>
      </c>
      <c r="J12" s="22">
        <f>SUM([1]Inicio:Final!P11)</f>
        <v>0</v>
      </c>
      <c r="K12" s="22">
        <f>SUM([1]Inicio:Final!Q11)</f>
        <v>78000</v>
      </c>
      <c r="L12" s="22">
        <f>SUM([1]Inicio:Final!R11)</f>
        <v>0</v>
      </c>
      <c r="M12" s="22">
        <f>SUM([1]Inicio:Final!S11)</f>
        <v>78000</v>
      </c>
      <c r="N12" s="22">
        <f>SUM([1]Inicio:Final!V11)</f>
        <v>0</v>
      </c>
      <c r="O12" s="25">
        <f>SUM([1]Inicio:Final!W11)</f>
        <v>709454.87999999989</v>
      </c>
    </row>
    <row r="13" spans="1:19" ht="15.75" hidden="1" thickBot="1" x14ac:dyDescent="0.3">
      <c r="A13" s="20"/>
      <c r="B13" s="21" t="s">
        <v>28</v>
      </c>
      <c r="C13" s="22">
        <f>SUM([1]Inicio:Final!E12)</f>
        <v>0</v>
      </c>
      <c r="D13" s="22">
        <f>SUM([1]Inicio:Final!G12)</f>
        <v>0</v>
      </c>
      <c r="E13" s="22">
        <f>SUM([1]Inicio:Final!J12)</f>
        <v>0</v>
      </c>
      <c r="F13" s="22">
        <f>SUM([1]Inicio:Final!L12)</f>
        <v>0</v>
      </c>
      <c r="G13" s="22">
        <f>SUM([1]Inicio:Final!M12)</f>
        <v>0</v>
      </c>
      <c r="H13" s="22">
        <f>SUM([1]Inicio:Final!N12)</f>
        <v>0</v>
      </c>
      <c r="I13" s="22">
        <f>SUM([1]Inicio:Final!O12)</f>
        <v>0</v>
      </c>
      <c r="J13" s="22">
        <f>SUM([1]Inicio:Final!P12)</f>
        <v>0</v>
      </c>
      <c r="K13" s="22">
        <f>SUM([1]Inicio:Final!Q12)</f>
        <v>78000</v>
      </c>
      <c r="L13" s="22">
        <f>SUM([1]Inicio:Final!R12)</f>
        <v>0</v>
      </c>
      <c r="M13" s="22">
        <f>SUM([1]Inicio:Final!S12)</f>
        <v>1131000</v>
      </c>
      <c r="N13" s="22">
        <f>SUM([1]Inicio:Final!V12)</f>
        <v>79518</v>
      </c>
      <c r="O13" s="25">
        <f>SUM([1]Inicio:Final!W12)</f>
        <v>788283.19999999984</v>
      </c>
    </row>
    <row r="14" spans="1:19" ht="15.75" hidden="1" thickBot="1" x14ac:dyDescent="0.3">
      <c r="A14" s="20"/>
      <c r="B14" s="21" t="s">
        <v>29</v>
      </c>
      <c r="C14" s="22">
        <f>SUM([1]Inicio:Final!E13)</f>
        <v>0</v>
      </c>
      <c r="D14" s="22">
        <f>SUM([1]Inicio:Final!G13)</f>
        <v>0</v>
      </c>
      <c r="E14" s="22">
        <f>SUM([1]Inicio:Final!J13)</f>
        <v>0</v>
      </c>
      <c r="F14" s="22">
        <f>SUM([1]Inicio:Final!L13)</f>
        <v>0</v>
      </c>
      <c r="G14" s="22">
        <f>SUM([1]Inicio:Final!M13)</f>
        <v>0</v>
      </c>
      <c r="H14" s="22">
        <f>SUM([1]Inicio:Final!N13)</f>
        <v>0</v>
      </c>
      <c r="I14" s="22">
        <f>SUM([1]Inicio:Final!O13)</f>
        <v>0</v>
      </c>
      <c r="J14" s="22">
        <f>SUM([1]Inicio:Final!P13)</f>
        <v>0</v>
      </c>
      <c r="K14" s="22">
        <f>SUM([1]Inicio:Final!Q13)</f>
        <v>1326000</v>
      </c>
      <c r="L14" s="22">
        <f>SUM([1]Inicio:Final!R13)</f>
        <v>0</v>
      </c>
      <c r="M14" s="22">
        <f>SUM([1]Inicio:Final!S13)</f>
        <v>2067000</v>
      </c>
      <c r="N14" s="22">
        <f>SUM([1]Inicio:Final!V13)</f>
        <v>0</v>
      </c>
      <c r="O14" s="25">
        <f>SUM([1]Inicio:Final!W13)</f>
        <v>906111.51999999979</v>
      </c>
    </row>
    <row r="15" spans="1:19" ht="15.75" hidden="1" thickBot="1" x14ac:dyDescent="0.3">
      <c r="A15" s="20"/>
      <c r="B15" s="21" t="s">
        <v>30</v>
      </c>
      <c r="C15" s="22">
        <f>SUM([1]Inicio:Final!E14)</f>
        <v>6120.2000000000007</v>
      </c>
      <c r="D15" s="22">
        <f>SUM([1]Inicio:Final!G14)</f>
        <v>385572.60000000003</v>
      </c>
      <c r="E15" s="22">
        <f>SUM([1]Inicio:Final!J14)</f>
        <v>3750.9459999999999</v>
      </c>
      <c r="F15" s="22">
        <f>SUM([1]Inicio:Final!L14)</f>
        <v>1125283.8</v>
      </c>
      <c r="G15" s="22">
        <f>SUM([1]Inicio:Final!M14)</f>
        <v>0</v>
      </c>
      <c r="H15" s="22">
        <f>SUM([1]Inicio:Final!N14)</f>
        <v>0</v>
      </c>
      <c r="I15" s="22">
        <f>SUM([1]Inicio:Final!O14)</f>
        <v>0</v>
      </c>
      <c r="J15" s="22">
        <f>SUM([1]Inicio:Final!P14)</f>
        <v>0</v>
      </c>
      <c r="K15" s="22">
        <f>SUM([1]Inicio:Final!Q14)</f>
        <v>1326000</v>
      </c>
      <c r="L15" s="22">
        <f>SUM([1]Inicio:Final!R14)</f>
        <v>0</v>
      </c>
      <c r="M15" s="22">
        <f>SUM([1]Inicio:Final!S14)</f>
        <v>3577856.4000000004</v>
      </c>
      <c r="N15" s="22">
        <f>SUM([1]Inicio:Final!V14)</f>
        <v>0</v>
      </c>
      <c r="O15" s="25">
        <f>SUM([1]Inicio:Final!W14)</f>
        <v>1023939.8399999997</v>
      </c>
    </row>
    <row r="16" spans="1:19" ht="15.75" hidden="1" thickBot="1" x14ac:dyDescent="0.3">
      <c r="A16" s="20"/>
      <c r="B16" s="21" t="s">
        <v>31</v>
      </c>
      <c r="C16" s="22">
        <f>SUM([1]Inicio:Final!E15)</f>
        <v>0</v>
      </c>
      <c r="D16" s="22">
        <f>SUM([1]Inicio:Final!G15)</f>
        <v>0</v>
      </c>
      <c r="E16" s="22">
        <f>SUM([1]Inicio:Final!J15)</f>
        <v>1.3590000000000018</v>
      </c>
      <c r="F16" s="22">
        <f>SUM([1]Inicio:Final!L15)</f>
        <v>407.7000000000005</v>
      </c>
      <c r="G16" s="22">
        <f>SUM([1]Inicio:Final!M15)</f>
        <v>0</v>
      </c>
      <c r="H16" s="22">
        <f>SUM([1]Inicio:Final!N15)</f>
        <v>0</v>
      </c>
      <c r="I16" s="22">
        <f>SUM([1]Inicio:Final!O15)</f>
        <v>0</v>
      </c>
      <c r="J16" s="22">
        <f>SUM([1]Inicio:Final!P15)</f>
        <v>0</v>
      </c>
      <c r="K16" s="22">
        <f>SUM([1]Inicio:Final!Q15)</f>
        <v>1326000</v>
      </c>
      <c r="L16" s="22">
        <f>SUM([1]Inicio:Final!R15)</f>
        <v>0</v>
      </c>
      <c r="M16" s="22">
        <f>SUM([1]Inicio:Final!S15)</f>
        <v>2067407.7</v>
      </c>
      <c r="N16" s="22">
        <f>SUM([1]Inicio:Final!V15)</f>
        <v>0</v>
      </c>
      <c r="O16" s="25">
        <f>SUM([1]Inicio:Final!W15)</f>
        <v>1141768.1599999997</v>
      </c>
    </row>
    <row r="17" spans="1:15" ht="15.75" hidden="1" thickBot="1" x14ac:dyDescent="0.3">
      <c r="A17" s="20"/>
      <c r="B17" s="21" t="s">
        <v>32</v>
      </c>
      <c r="C17" s="22">
        <f>SUM([1]Inicio:Final!E16)</f>
        <v>27453.600000000002</v>
      </c>
      <c r="D17" s="22">
        <f>SUM([1]Inicio:Final!G16)</f>
        <v>1729576.8</v>
      </c>
      <c r="E17" s="22">
        <f>SUM([1]Inicio:Final!J16)</f>
        <v>13882.565999999999</v>
      </c>
      <c r="F17" s="22">
        <f>SUM([1]Inicio:Final!L16)</f>
        <v>4164769.8000000003</v>
      </c>
      <c r="G17" s="22">
        <f>SUM([1]Inicio:Final!M16)</f>
        <v>0</v>
      </c>
      <c r="H17" s="22">
        <f>SUM([1]Inicio:Final!N16)</f>
        <v>0</v>
      </c>
      <c r="I17" s="22">
        <f>SUM([1]Inicio:Final!O16)</f>
        <v>0</v>
      </c>
      <c r="J17" s="22">
        <f>SUM([1]Inicio:Final!P16)</f>
        <v>0</v>
      </c>
      <c r="K17" s="22">
        <f>SUM([1]Inicio:Final!Q16)</f>
        <v>1326000</v>
      </c>
      <c r="L17" s="22">
        <f>SUM([1]Inicio:Final!R16)</f>
        <v>0</v>
      </c>
      <c r="M17" s="22">
        <f>SUM([1]Inicio:Final!S16)</f>
        <v>7961346.5999999987</v>
      </c>
      <c r="N17" s="22">
        <f>SUM([1]Inicio:Final!V16)</f>
        <v>0</v>
      </c>
      <c r="O17" s="25">
        <f>SUM([1]Inicio:Final!W16)</f>
        <v>1259596.4799999997</v>
      </c>
    </row>
    <row r="18" spans="1:15" ht="15.75" hidden="1" thickBot="1" x14ac:dyDescent="0.3">
      <c r="A18" s="20"/>
      <c r="B18" s="21" t="s">
        <v>33</v>
      </c>
      <c r="C18" s="22">
        <f>SUM([1]Inicio:Final!E17)</f>
        <v>2340.9000000000005</v>
      </c>
      <c r="D18" s="22">
        <f>SUM([1]Inicio:Final!G17)</f>
        <v>147476.70000000001</v>
      </c>
      <c r="E18" s="22">
        <f>SUM([1]Inicio:Final!J17)</f>
        <v>1355.7759999999989</v>
      </c>
      <c r="F18" s="22">
        <f>SUM([1]Inicio:Final!L17)</f>
        <v>406732.7999999997</v>
      </c>
      <c r="G18" s="22">
        <f>SUM([1]Inicio:Final!M17)</f>
        <v>0</v>
      </c>
      <c r="H18" s="22">
        <f>SUM([1]Inicio:Final!N17)</f>
        <v>0</v>
      </c>
      <c r="I18" s="22">
        <f>SUM([1]Inicio:Final!O17)</f>
        <v>0</v>
      </c>
      <c r="J18" s="22">
        <f>SUM([1]Inicio:Final!P17)</f>
        <v>0</v>
      </c>
      <c r="K18" s="22">
        <f>SUM([1]Inicio:Final!Q17)</f>
        <v>1326000</v>
      </c>
      <c r="L18" s="22">
        <f>SUM([1]Inicio:Final!R17)</f>
        <v>0</v>
      </c>
      <c r="M18" s="22">
        <f>SUM([1]Inicio:Final!S17)</f>
        <v>2621209.5</v>
      </c>
      <c r="N18" s="22">
        <f>SUM([1]Inicio:Final!V17)</f>
        <v>0</v>
      </c>
      <c r="O18" s="25">
        <f>SUM([1]Inicio:Final!W17)</f>
        <v>1377424.7999999998</v>
      </c>
    </row>
    <row r="19" spans="1:15" ht="15.75" hidden="1" thickBot="1" x14ac:dyDescent="0.3">
      <c r="A19" s="20"/>
      <c r="B19" s="21" t="s">
        <v>34</v>
      </c>
      <c r="C19" s="22">
        <f>SUM([1]Inicio:Final!E18)</f>
        <v>5159.0999999999995</v>
      </c>
      <c r="D19" s="22">
        <f>SUM([1]Inicio:Final!G18)</f>
        <v>325023.30000000005</v>
      </c>
      <c r="E19" s="22">
        <f>SUM([1]Inicio:Final!J18)</f>
        <v>3170.933</v>
      </c>
      <c r="F19" s="22">
        <f>SUM([1]Inicio:Final!L18)</f>
        <v>951279.90000000014</v>
      </c>
      <c r="G19" s="22">
        <f>SUM([1]Inicio:Final!M18)</f>
        <v>0</v>
      </c>
      <c r="H19" s="22">
        <f>SUM([1]Inicio:Final!N18)</f>
        <v>0</v>
      </c>
      <c r="I19" s="22">
        <f>SUM([1]Inicio:Final!O18)</f>
        <v>0</v>
      </c>
      <c r="J19" s="22">
        <f>SUM([1]Inicio:Final!P18)</f>
        <v>0</v>
      </c>
      <c r="K19" s="22">
        <f>SUM([1]Inicio:Final!Q18)</f>
        <v>1326000</v>
      </c>
      <c r="L19" s="22">
        <f>SUM([1]Inicio:Final!R18)</f>
        <v>0</v>
      </c>
      <c r="M19" s="22">
        <f>SUM([1]Inicio:Final!S18)</f>
        <v>3343303.1999999997</v>
      </c>
      <c r="N19" s="22">
        <f>SUM([1]Inicio:Final!V18)</f>
        <v>0</v>
      </c>
      <c r="O19" s="25">
        <f>SUM([1]Inicio:Final!W18)</f>
        <v>1573253.1199999999</v>
      </c>
    </row>
    <row r="20" spans="1:15" ht="15.75" hidden="1" thickBot="1" x14ac:dyDescent="0.3">
      <c r="A20" s="20">
        <v>2004</v>
      </c>
      <c r="B20" s="21" t="s">
        <v>35</v>
      </c>
      <c r="C20" s="22">
        <f>SUM([1]Inicio:Final!E19)</f>
        <v>2563.2999999999997</v>
      </c>
      <c r="D20" s="22">
        <f>SUM([1]Inicio:Final!G19)</f>
        <v>161487.89999999997</v>
      </c>
      <c r="E20" s="22">
        <f>SUM([1]Inicio:Final!J19)</f>
        <v>1873.0900000000001</v>
      </c>
      <c r="F20" s="22">
        <f>SUM([1]Inicio:Final!L19)</f>
        <v>561927</v>
      </c>
      <c r="G20" s="22">
        <f>SUM([1]Inicio:Final!M19)</f>
        <v>0</v>
      </c>
      <c r="H20" s="22">
        <f>SUM([1]Inicio:Final!N19)</f>
        <v>0</v>
      </c>
      <c r="I20" s="22">
        <f>SUM([1]Inicio:Final!O19)</f>
        <v>0</v>
      </c>
      <c r="J20" s="22">
        <f>SUM([1]Inicio:Final!P19)</f>
        <v>0</v>
      </c>
      <c r="K20" s="22">
        <f>SUM([1]Inicio:Final!Q19)</f>
        <v>1326000</v>
      </c>
      <c r="L20" s="22">
        <f>SUM([1]Inicio:Final!R19)</f>
        <v>0</v>
      </c>
      <c r="M20" s="22">
        <f>SUM([1]Inicio:Final!S19)</f>
        <v>3037614.8999999994</v>
      </c>
      <c r="N20" s="22">
        <f>SUM([1]Inicio:Final!V19)</f>
        <v>0</v>
      </c>
      <c r="O20" s="25">
        <f>SUM([1]Inicio:Final!W19)</f>
        <v>1769081.44</v>
      </c>
    </row>
    <row r="21" spans="1:15" ht="15.75" hidden="1" thickBot="1" x14ac:dyDescent="0.3">
      <c r="A21" s="20"/>
      <c r="B21" s="21" t="s">
        <v>24</v>
      </c>
      <c r="C21" s="22">
        <f>SUM([1]Inicio:Final!E20)</f>
        <v>3820.5000000000018</v>
      </c>
      <c r="D21" s="22">
        <f>SUM([1]Inicio:Final!G20)</f>
        <v>240691.50000000009</v>
      </c>
      <c r="E21" s="22">
        <f>SUM([1]Inicio:Final!J20)</f>
        <v>3965.3100000000004</v>
      </c>
      <c r="F21" s="22">
        <f>SUM([1]Inicio:Final!L20)</f>
        <v>1217067</v>
      </c>
      <c r="G21" s="22">
        <f>SUM([1]Inicio:Final!M20)</f>
        <v>0</v>
      </c>
      <c r="H21" s="22">
        <f>SUM([1]Inicio:Final!N20)</f>
        <v>0</v>
      </c>
      <c r="I21" s="22">
        <f>SUM([1]Inicio:Final!O20)</f>
        <v>0</v>
      </c>
      <c r="J21" s="22">
        <f>SUM([1]Inicio:Final!P20)</f>
        <v>0</v>
      </c>
      <c r="K21" s="22">
        <f>SUM([1]Inicio:Final!Q20)</f>
        <v>1326000</v>
      </c>
      <c r="L21" s="22">
        <f>SUM([1]Inicio:Final!R20)</f>
        <v>0</v>
      </c>
      <c r="M21" s="22">
        <f>SUM([1]Inicio:Final!S20)</f>
        <v>3530158.5</v>
      </c>
      <c r="N21" s="22">
        <f>SUM([1]Inicio:Final!V20)</f>
        <v>39000</v>
      </c>
      <c r="O21" s="25">
        <f>SUM([1]Inicio:Final!W20)</f>
        <v>1925909.76</v>
      </c>
    </row>
    <row r="22" spans="1:15" ht="15.75" hidden="1" thickBot="1" x14ac:dyDescent="0.3">
      <c r="A22" s="20"/>
      <c r="B22" s="21" t="s">
        <v>25</v>
      </c>
      <c r="C22" s="22">
        <f>SUM([1]Inicio:Final!E21)</f>
        <v>4241.7999999999975</v>
      </c>
      <c r="D22" s="22">
        <f>SUM([1]Inicio:Final!G21)</f>
        <v>267233.39999999979</v>
      </c>
      <c r="E22" s="22">
        <f>SUM([1]Inicio:Final!J21)</f>
        <v>1839.0900000000001</v>
      </c>
      <c r="F22" s="22">
        <f>SUM([1]Inicio:Final!L21)</f>
        <v>554895.00000000012</v>
      </c>
      <c r="G22" s="22">
        <f>SUM([1]Inicio:Final!M21)</f>
        <v>0</v>
      </c>
      <c r="H22" s="22">
        <f>SUM([1]Inicio:Final!N21)</f>
        <v>0</v>
      </c>
      <c r="I22" s="22">
        <f>SUM([1]Inicio:Final!O21)</f>
        <v>0</v>
      </c>
      <c r="J22" s="22">
        <f>SUM([1]Inicio:Final!P21)</f>
        <v>0</v>
      </c>
      <c r="K22" s="22">
        <f>SUM([1]Inicio:Final!Q21)</f>
        <v>1326000</v>
      </c>
      <c r="L22" s="22">
        <f>SUM([1]Inicio:Final!R21)</f>
        <v>0</v>
      </c>
      <c r="M22" s="22">
        <f>SUM([1]Inicio:Final!S21)</f>
        <v>2889128.4</v>
      </c>
      <c r="N22" s="22">
        <f>SUM([1]Inicio:Final!V21)</f>
        <v>0</v>
      </c>
      <c r="O22" s="25">
        <f>SUM([1]Inicio:Final!W21)</f>
        <v>2201205.98</v>
      </c>
    </row>
    <row r="23" spans="1:15" ht="15.75" hidden="1" thickBot="1" x14ac:dyDescent="0.3">
      <c r="A23" s="20"/>
      <c r="B23" s="21" t="s">
        <v>26</v>
      </c>
      <c r="C23" s="22">
        <f>SUM([1]Inicio:Final!E22)</f>
        <v>2856.4000000000019</v>
      </c>
      <c r="D23" s="22">
        <f>SUM([1]Inicio:Final!G22)</f>
        <v>179953.20000000013</v>
      </c>
      <c r="E23" s="22">
        <f>SUM([1]Inicio:Final!J22)</f>
        <v>690.50999999999931</v>
      </c>
      <c r="F23" s="22">
        <f>SUM([1]Inicio:Final!L22)</f>
        <v>248583.59999999974</v>
      </c>
      <c r="G23" s="22">
        <f>SUM([1]Inicio:Final!M22)</f>
        <v>0</v>
      </c>
      <c r="H23" s="22">
        <f>SUM([1]Inicio:Final!N22)</f>
        <v>0</v>
      </c>
      <c r="I23" s="22">
        <f>SUM([1]Inicio:Final!O22)</f>
        <v>0</v>
      </c>
      <c r="J23" s="22">
        <f>SUM([1]Inicio:Final!P22)</f>
        <v>0</v>
      </c>
      <c r="K23" s="22">
        <f>SUM([1]Inicio:Final!Q22)</f>
        <v>1326000</v>
      </c>
      <c r="L23" s="22">
        <f>SUM([1]Inicio:Final!R22)</f>
        <v>0</v>
      </c>
      <c r="M23" s="22">
        <f>SUM([1]Inicio:Final!S22)</f>
        <v>2495536.8000000003</v>
      </c>
      <c r="N23" s="22">
        <f>SUM([1]Inicio:Final!V22)</f>
        <v>0</v>
      </c>
      <c r="O23" s="25">
        <f>SUM([1]Inicio:Final!W22)</f>
        <v>2514884.8000000003</v>
      </c>
    </row>
    <row r="24" spans="1:15" ht="15.75" hidden="1" thickBot="1" x14ac:dyDescent="0.3">
      <c r="A24" s="20"/>
      <c r="B24" s="21" t="s">
        <v>27</v>
      </c>
      <c r="C24" s="22">
        <f>SUM([1]Inicio:Final!E23)</f>
        <v>2942.5999999999981</v>
      </c>
      <c r="D24" s="22">
        <f>SUM([1]Inicio:Final!G23)</f>
        <v>185383.79999999987</v>
      </c>
      <c r="E24" s="22">
        <f>SUM([1]Inicio:Final!J23)</f>
        <v>618.50000000000011</v>
      </c>
      <c r="F24" s="22">
        <f>SUM([1]Inicio:Final!L23)</f>
        <v>222660.00000000003</v>
      </c>
      <c r="G24" s="22">
        <f>SUM([1]Inicio:Final!M23)</f>
        <v>0</v>
      </c>
      <c r="H24" s="22">
        <f>SUM([1]Inicio:Final!N23)</f>
        <v>0</v>
      </c>
      <c r="I24" s="22">
        <f>SUM([1]Inicio:Final!O23)</f>
        <v>0</v>
      </c>
      <c r="J24" s="22">
        <f>SUM([1]Inicio:Final!P23)</f>
        <v>0</v>
      </c>
      <c r="K24" s="22">
        <f>SUM([1]Inicio:Final!Q23)</f>
        <v>2067000</v>
      </c>
      <c r="L24" s="22">
        <f>SUM([1]Inicio:Final!R23)</f>
        <v>33872</v>
      </c>
      <c r="M24" s="22">
        <f>SUM([1]Inicio:Final!S23)</f>
        <v>2475043.7999999998</v>
      </c>
      <c r="N24" s="22">
        <f>SUM([1]Inicio:Final!V23)</f>
        <v>0</v>
      </c>
      <c r="O24" s="25">
        <f>SUM([1]Inicio:Final!W23)</f>
        <v>3306864.3200000003</v>
      </c>
    </row>
    <row r="25" spans="1:15" ht="15.75" hidden="1" thickBot="1" x14ac:dyDescent="0.3">
      <c r="A25" s="20"/>
      <c r="B25" s="21" t="s">
        <v>28</v>
      </c>
      <c r="C25" s="22">
        <f>SUM([1]Inicio:Final!E24)</f>
        <v>2709.5000000000009</v>
      </c>
      <c r="D25" s="22">
        <f>SUM([1]Inicio:Final!G24)</f>
        <v>170698.50000000006</v>
      </c>
      <c r="E25" s="22">
        <f>SUM([1]Inicio:Final!J24)</f>
        <v>401.70000000000056</v>
      </c>
      <c r="F25" s="22">
        <f>SUM([1]Inicio:Final!L24)</f>
        <v>144612.0000000002</v>
      </c>
      <c r="G25" s="22">
        <f>SUM([1]Inicio:Final!M24)</f>
        <v>0</v>
      </c>
      <c r="H25" s="22">
        <f>SUM([1]Inicio:Final!N24)</f>
        <v>0</v>
      </c>
      <c r="I25" s="22">
        <f>SUM([1]Inicio:Final!O24)</f>
        <v>0</v>
      </c>
      <c r="J25" s="22">
        <f>SUM([1]Inicio:Final!P24)</f>
        <v>0</v>
      </c>
      <c r="K25" s="22">
        <f>SUM([1]Inicio:Final!Q24)</f>
        <v>2067000</v>
      </c>
      <c r="L25" s="22">
        <f>SUM([1]Inicio:Final!R24)</f>
        <v>34030</v>
      </c>
      <c r="M25" s="22">
        <f>SUM([1]Inicio:Final!S24)</f>
        <v>2382310.5000000009</v>
      </c>
      <c r="N25" s="22">
        <f>SUM([1]Inicio:Final!V24)</f>
        <v>378000</v>
      </c>
      <c r="O25" s="25">
        <f>SUM([1]Inicio:Final!W24)</f>
        <v>3878975.54</v>
      </c>
    </row>
    <row r="26" spans="1:15" ht="15.75" hidden="1" thickBot="1" x14ac:dyDescent="0.3">
      <c r="A26" s="20"/>
      <c r="B26" s="21" t="s">
        <v>29</v>
      </c>
      <c r="C26" s="22">
        <f>SUM([1]Inicio:Final!E25)</f>
        <v>3505.2999999999984</v>
      </c>
      <c r="D26" s="22">
        <f>SUM([1]Inicio:Final!G25)</f>
        <v>220833.89999999991</v>
      </c>
      <c r="E26" s="22">
        <f>SUM([1]Inicio:Final!J25)</f>
        <v>338.50000000000011</v>
      </c>
      <c r="F26" s="22">
        <f>SUM([1]Inicio:Final!L25)</f>
        <v>121860.00000000004</v>
      </c>
      <c r="G26" s="22">
        <f>SUM([1]Inicio:Final!M25)</f>
        <v>0</v>
      </c>
      <c r="H26" s="22">
        <f>SUM([1]Inicio:Final!N25)</f>
        <v>0</v>
      </c>
      <c r="I26" s="22">
        <f>SUM([1]Inicio:Final!O25)</f>
        <v>0</v>
      </c>
      <c r="J26" s="22">
        <f>SUM([1]Inicio:Final!P25)</f>
        <v>0</v>
      </c>
      <c r="K26" s="22">
        <f>SUM([1]Inicio:Final!Q25)</f>
        <v>2067000</v>
      </c>
      <c r="L26" s="22">
        <f>SUM([1]Inicio:Final!R25)</f>
        <v>34178</v>
      </c>
      <c r="M26" s="22">
        <f>SUM([1]Inicio:Final!S25)</f>
        <v>2409693.9</v>
      </c>
      <c r="N26" s="22">
        <f>SUM([1]Inicio:Final!V25)</f>
        <v>585000</v>
      </c>
      <c r="O26" s="25">
        <f>SUM([1]Inicio:Final!W25)</f>
        <v>4971361.8600000003</v>
      </c>
    </row>
    <row r="27" spans="1:15" ht="15.75" hidden="1" thickBot="1" x14ac:dyDescent="0.3">
      <c r="A27" s="20"/>
      <c r="B27" s="21" t="s">
        <v>30</v>
      </c>
      <c r="C27" s="22">
        <f>SUM([1]Inicio:Final!E26)</f>
        <v>3102.1000000000022</v>
      </c>
      <c r="D27" s="22">
        <f>SUM([1]Inicio:Final!G26)</f>
        <v>195432.30000000013</v>
      </c>
      <c r="E27" s="22">
        <f>SUM([1]Inicio:Final!J26)</f>
        <v>412.49999999999955</v>
      </c>
      <c r="F27" s="22">
        <f>SUM([1]Inicio:Final!L26)</f>
        <v>148499.99999999983</v>
      </c>
      <c r="G27" s="22">
        <f>SUM([1]Inicio:Final!M26)</f>
        <v>0</v>
      </c>
      <c r="H27" s="22">
        <f>SUM([1]Inicio:Final!N26)</f>
        <v>0</v>
      </c>
      <c r="I27" s="22">
        <f>SUM([1]Inicio:Final!O26)</f>
        <v>0</v>
      </c>
      <c r="J27" s="22">
        <f>SUM([1]Inicio:Final!P26)</f>
        <v>0</v>
      </c>
      <c r="K27" s="22">
        <f>SUM([1]Inicio:Final!Q26)</f>
        <v>2067000</v>
      </c>
      <c r="L27" s="22">
        <f>SUM([1]Inicio:Final!R26)</f>
        <v>34266</v>
      </c>
      <c r="M27" s="22">
        <f>SUM([1]Inicio:Final!S26)</f>
        <v>2410932.3000000003</v>
      </c>
      <c r="N27" s="22">
        <f>SUM([1]Inicio:Final!V26)</f>
        <v>1440118</v>
      </c>
      <c r="O27" s="25">
        <f>SUM([1]Inicio:Final!W26)</f>
        <v>5738906.9800000014</v>
      </c>
    </row>
    <row r="28" spans="1:15" ht="15.75" hidden="1" thickBot="1" x14ac:dyDescent="0.3">
      <c r="A28" s="20"/>
      <c r="B28" s="21" t="s">
        <v>31</v>
      </c>
      <c r="C28" s="22">
        <f>SUM([1]Inicio:Final!E27)</f>
        <v>3402.9</v>
      </c>
      <c r="D28" s="22">
        <f>SUM([1]Inicio:Final!G27)</f>
        <v>214382.7</v>
      </c>
      <c r="E28" s="22">
        <f>SUM([1]Inicio:Final!J27)</f>
        <v>918.89999999999986</v>
      </c>
      <c r="F28" s="22">
        <f>SUM([1]Inicio:Final!L27)</f>
        <v>330803.99999999994</v>
      </c>
      <c r="G28" s="22">
        <f>SUM([1]Inicio:Final!M27)</f>
        <v>0</v>
      </c>
      <c r="H28" s="22">
        <f>SUM([1]Inicio:Final!N27)</f>
        <v>0</v>
      </c>
      <c r="I28" s="22">
        <f>SUM([1]Inicio:Final!O27)</f>
        <v>0</v>
      </c>
      <c r="J28" s="22">
        <f>SUM([1]Inicio:Final!P27)</f>
        <v>0</v>
      </c>
      <c r="K28" s="22">
        <f>SUM([1]Inicio:Final!Q27)</f>
        <v>2067000</v>
      </c>
      <c r="L28" s="22">
        <f>SUM([1]Inicio:Final!R27)</f>
        <v>34382</v>
      </c>
      <c r="M28" s="22">
        <f>SUM([1]Inicio:Final!S27)</f>
        <v>2612186.6999999997</v>
      </c>
      <c r="N28" s="22">
        <f>SUM([1]Inicio:Final!V27)</f>
        <v>1967881</v>
      </c>
      <c r="O28" s="25">
        <f>SUM([1]Inicio:Final!W27)</f>
        <v>6237258.4000000004</v>
      </c>
    </row>
    <row r="29" spans="1:15" ht="15.75" hidden="1" thickBot="1" x14ac:dyDescent="0.3">
      <c r="A29" s="20"/>
      <c r="B29" s="21" t="s">
        <v>32</v>
      </c>
      <c r="C29" s="22">
        <f>SUM([1]Inicio:Final!E28)</f>
        <v>2757.8999999999996</v>
      </c>
      <c r="D29" s="22">
        <f>SUM([1]Inicio:Final!G28)</f>
        <v>173747.69999999998</v>
      </c>
      <c r="E29" s="22">
        <f>SUM([1]Inicio:Final!J28)</f>
        <v>1223</v>
      </c>
      <c r="F29" s="22">
        <f>SUM([1]Inicio:Final!L28)</f>
        <v>440280</v>
      </c>
      <c r="G29" s="22">
        <f>SUM([1]Inicio:Final!M28)</f>
        <v>0</v>
      </c>
      <c r="H29" s="22">
        <f>SUM([1]Inicio:Final!N28)</f>
        <v>0</v>
      </c>
      <c r="I29" s="22">
        <f>SUM([1]Inicio:Final!O28)</f>
        <v>0</v>
      </c>
      <c r="J29" s="22">
        <f>SUM([1]Inicio:Final!P28)</f>
        <v>0</v>
      </c>
      <c r="K29" s="22">
        <f>SUM([1]Inicio:Final!Q28)</f>
        <v>2067000</v>
      </c>
      <c r="L29" s="22">
        <f>SUM([1]Inicio:Final!R28)</f>
        <v>68894</v>
      </c>
      <c r="M29" s="22">
        <f>SUM([1]Inicio:Final!S28)</f>
        <v>2681027.7000000007</v>
      </c>
      <c r="N29" s="22">
        <f>SUM([1]Inicio:Final!V28)</f>
        <v>2877043</v>
      </c>
      <c r="O29" s="25">
        <f>SUM([1]Inicio:Final!W28)</f>
        <v>6255044.4200000009</v>
      </c>
    </row>
    <row r="30" spans="1:15" ht="15.75" hidden="1" thickBot="1" x14ac:dyDescent="0.3">
      <c r="A30" s="20"/>
      <c r="B30" s="21" t="s">
        <v>33</v>
      </c>
      <c r="C30" s="22">
        <f>SUM([1]Inicio:Final!E29)</f>
        <v>3506.8</v>
      </c>
      <c r="D30" s="22">
        <f>SUM([1]Inicio:Final!G29)</f>
        <v>220928.39999999994</v>
      </c>
      <c r="E30" s="22">
        <f>SUM([1]Inicio:Final!J29)</f>
        <v>1586.7000000000007</v>
      </c>
      <c r="F30" s="22">
        <f>SUM([1]Inicio:Final!L29)</f>
        <v>571212.00000000023</v>
      </c>
      <c r="G30" s="22">
        <f>SUM([1]Inicio:Final!M29)</f>
        <v>0</v>
      </c>
      <c r="H30" s="22">
        <f>SUM([1]Inicio:Final!N29)</f>
        <v>0</v>
      </c>
      <c r="I30" s="22">
        <f>SUM([1]Inicio:Final!O29)</f>
        <v>0</v>
      </c>
      <c r="J30" s="22">
        <f>SUM([1]Inicio:Final!P29)</f>
        <v>0</v>
      </c>
      <c r="K30" s="22">
        <f>SUM([1]Inicio:Final!Q29)</f>
        <v>2106000</v>
      </c>
      <c r="L30" s="22">
        <f>SUM([1]Inicio:Final!R29)</f>
        <v>69060</v>
      </c>
      <c r="M30" s="22">
        <f>SUM([1]Inicio:Final!S29)</f>
        <v>2898140.4</v>
      </c>
      <c r="N30" s="22">
        <f>SUM([1]Inicio:Final!V29)</f>
        <v>2237157</v>
      </c>
      <c r="O30" s="25">
        <f>SUM([1]Inicio:Final!W29)</f>
        <v>7031129.1400000006</v>
      </c>
    </row>
    <row r="31" spans="1:15" ht="15.75" hidden="1" thickBot="1" x14ac:dyDescent="0.3">
      <c r="A31" s="20"/>
      <c r="B31" s="21" t="s">
        <v>34</v>
      </c>
      <c r="C31" s="22">
        <f>SUM([1]Inicio:Final!E30)</f>
        <v>2803.6000000000004</v>
      </c>
      <c r="D31" s="22">
        <f>SUM([1]Inicio:Final!G30)</f>
        <v>176626.80000000002</v>
      </c>
      <c r="E31" s="22">
        <f>SUM([1]Inicio:Final!J30)</f>
        <v>1606.3999999999996</v>
      </c>
      <c r="F31" s="22">
        <f>SUM([1]Inicio:Final!L30)</f>
        <v>578304</v>
      </c>
      <c r="G31" s="22">
        <f>SUM([1]Inicio:Final!M30)</f>
        <v>0</v>
      </c>
      <c r="H31" s="22">
        <f>SUM([1]Inicio:Final!N30)</f>
        <v>0</v>
      </c>
      <c r="I31" s="22">
        <f>SUM([1]Inicio:Final!O30)</f>
        <v>0</v>
      </c>
      <c r="J31" s="22">
        <f>SUM([1]Inicio:Final!P30)</f>
        <v>0</v>
      </c>
      <c r="K31" s="22">
        <f>SUM([1]Inicio:Final!Q30)</f>
        <v>2106000</v>
      </c>
      <c r="L31" s="22">
        <f>SUM([1]Inicio:Final!R30)</f>
        <v>69268</v>
      </c>
      <c r="M31" s="22">
        <f>SUM([1]Inicio:Final!S30)</f>
        <v>2860930.8</v>
      </c>
      <c r="N31" s="22">
        <f>SUM([1]Inicio:Final!V30)</f>
        <v>2512020</v>
      </c>
      <c r="O31" s="25">
        <f>SUM([1]Inicio:Final!W30)</f>
        <v>7254047.2599999998</v>
      </c>
    </row>
    <row r="32" spans="1:15" ht="15.75" hidden="1" thickBot="1" x14ac:dyDescent="0.3">
      <c r="A32" s="20">
        <v>2005</v>
      </c>
      <c r="B32" s="21" t="s">
        <v>35</v>
      </c>
      <c r="C32" s="22">
        <f>SUM([1]Inicio:Final!E31)</f>
        <v>7712.2999999999993</v>
      </c>
      <c r="D32" s="22">
        <f>SUM([1]Inicio:Final!G31)</f>
        <v>485874.9</v>
      </c>
      <c r="E32" s="22">
        <f>SUM([1]Inicio:Final!J31)</f>
        <v>2949.1000000000004</v>
      </c>
      <c r="F32" s="22">
        <f>SUM([1]Inicio:Final!L31)</f>
        <v>1061676</v>
      </c>
      <c r="G32" s="22">
        <f>SUM([1]Inicio:Final!M31)</f>
        <v>0</v>
      </c>
      <c r="H32" s="22">
        <f>SUM([1]Inicio:Final!N31)</f>
        <v>0</v>
      </c>
      <c r="I32" s="22">
        <f>SUM([1]Inicio:Final!O31)</f>
        <v>0</v>
      </c>
      <c r="J32" s="22">
        <f>SUM([1]Inicio:Final!P31)</f>
        <v>0</v>
      </c>
      <c r="K32" s="22">
        <f>SUM([1]Inicio:Final!Q31)</f>
        <v>2106000</v>
      </c>
      <c r="L32" s="22">
        <f>SUM([1]Inicio:Final!R31)</f>
        <v>69132</v>
      </c>
      <c r="M32" s="22">
        <f>SUM([1]Inicio:Final!S31)</f>
        <v>4667550.8999999994</v>
      </c>
      <c r="N32" s="22">
        <f>SUM([1]Inicio:Final!V31)</f>
        <v>1645290</v>
      </c>
      <c r="O32" s="25">
        <f>SUM([1]Inicio:Final!W31)</f>
        <v>10070181.48</v>
      </c>
    </row>
    <row r="33" spans="1:15" ht="15.75" hidden="1" thickBot="1" x14ac:dyDescent="0.3">
      <c r="A33" s="20"/>
      <c r="B33" s="21" t="s">
        <v>24</v>
      </c>
      <c r="C33" s="22">
        <f>SUM([1]Inicio:Final!E32)</f>
        <v>5422</v>
      </c>
      <c r="D33" s="22">
        <f>SUM([1]Inicio:Final!G32)</f>
        <v>341586</v>
      </c>
      <c r="E33" s="22">
        <f>SUM([1]Inicio:Final!J32)</f>
        <v>2664.1000000000004</v>
      </c>
      <c r="F33" s="22">
        <f>SUM([1]Inicio:Final!L32)</f>
        <v>959076</v>
      </c>
      <c r="G33" s="22">
        <f>SUM([1]Inicio:Final!M32)</f>
        <v>4000</v>
      </c>
      <c r="H33" s="22">
        <f>SUM([1]Inicio:Final!N32)</f>
        <v>0</v>
      </c>
      <c r="I33" s="22">
        <f>SUM([1]Inicio:Final!O32)</f>
        <v>234000</v>
      </c>
      <c r="J33" s="22">
        <f>SUM([1]Inicio:Final!P32)</f>
        <v>52000</v>
      </c>
      <c r="K33" s="22">
        <f>SUM([1]Inicio:Final!Q32)</f>
        <v>2067000</v>
      </c>
      <c r="L33" s="22">
        <f>SUM([1]Inicio:Final!R32)</f>
        <v>68910</v>
      </c>
      <c r="M33" s="22">
        <f>SUM([1]Inicio:Final!S32)</f>
        <v>3423662</v>
      </c>
      <c r="N33" s="22">
        <f>SUM([1]Inicio:Final!V32)</f>
        <v>2651289</v>
      </c>
      <c r="O33" s="25">
        <f>SUM([1]Inicio:Final!W32)</f>
        <v>11108403.800000001</v>
      </c>
    </row>
    <row r="34" spans="1:15" ht="15.75" hidden="1" thickBot="1" x14ac:dyDescent="0.3">
      <c r="A34" s="20"/>
      <c r="B34" s="21" t="s">
        <v>25</v>
      </c>
      <c r="C34" s="22">
        <f>SUM([1]Inicio:Final!E33)</f>
        <v>4325</v>
      </c>
      <c r="D34" s="22">
        <f>SUM([1]Inicio:Final!G33)</f>
        <v>272475</v>
      </c>
      <c r="E34" s="22">
        <f>SUM([1]Inicio:Final!J33)</f>
        <v>2112.2999999999997</v>
      </c>
      <c r="F34" s="22">
        <f>SUM([1]Inicio:Final!L33)</f>
        <v>760427.99999999988</v>
      </c>
      <c r="G34" s="22">
        <f>SUM([1]Inicio:Final!M33)</f>
        <v>4000</v>
      </c>
      <c r="H34" s="22">
        <f>SUM([1]Inicio:Final!N33)</f>
        <v>0</v>
      </c>
      <c r="I34" s="22">
        <f>SUM([1]Inicio:Final!O33)</f>
        <v>0</v>
      </c>
      <c r="J34" s="22">
        <f>SUM([1]Inicio:Final!P33)</f>
        <v>52000</v>
      </c>
      <c r="K34" s="22">
        <f>SUM([1]Inicio:Final!Q33)</f>
        <v>2106000</v>
      </c>
      <c r="L34" s="22">
        <f>SUM([1]Inicio:Final!R33)</f>
        <v>68796</v>
      </c>
      <c r="M34" s="22">
        <f>SUM([1]Inicio:Final!S33)</f>
        <v>3194903</v>
      </c>
      <c r="N34" s="22">
        <f>SUM([1]Inicio:Final!V33)</f>
        <v>3965741</v>
      </c>
      <c r="O34" s="25">
        <f>SUM([1]Inicio:Final!W33)</f>
        <v>10390568.120000001</v>
      </c>
    </row>
    <row r="35" spans="1:15" ht="15.75" hidden="1" thickBot="1" x14ac:dyDescent="0.3">
      <c r="A35" s="20"/>
      <c r="B35" s="21" t="s">
        <v>26</v>
      </c>
      <c r="C35" s="22">
        <f>SUM([1]Inicio:Final!E34)</f>
        <v>4912.8999999999996</v>
      </c>
      <c r="D35" s="22">
        <f>SUM([1]Inicio:Final!G34)</f>
        <v>309512.7</v>
      </c>
      <c r="E35" s="22">
        <f>SUM([1]Inicio:Final!J34)</f>
        <v>1621.9</v>
      </c>
      <c r="F35" s="22">
        <f>SUM([1]Inicio:Final!L34)</f>
        <v>583884</v>
      </c>
      <c r="G35" s="22">
        <f>SUM([1]Inicio:Final!M34)</f>
        <v>4000</v>
      </c>
      <c r="H35" s="22">
        <f>SUM([1]Inicio:Final!N34)</f>
        <v>0</v>
      </c>
      <c r="I35" s="22">
        <f>SUM([1]Inicio:Final!O34)</f>
        <v>0</v>
      </c>
      <c r="J35" s="22">
        <f>SUM([1]Inicio:Final!P34)</f>
        <v>52000</v>
      </c>
      <c r="K35" s="22">
        <f>SUM([1]Inicio:Final!Q34)</f>
        <v>2106000</v>
      </c>
      <c r="L35" s="22">
        <f>SUM([1]Inicio:Final!R34)</f>
        <v>69064</v>
      </c>
      <c r="M35" s="22">
        <f>SUM([1]Inicio:Final!S34)</f>
        <v>3075396.7</v>
      </c>
      <c r="N35" s="22">
        <f>SUM([1]Inicio:Final!V34)</f>
        <v>2657531</v>
      </c>
      <c r="O35" s="25">
        <f>SUM([1]Inicio:Final!W34)</f>
        <v>10670317.140000001</v>
      </c>
    </row>
    <row r="36" spans="1:15" ht="15.75" hidden="1" thickBot="1" x14ac:dyDescent="0.3">
      <c r="A36" s="20"/>
      <c r="B36" s="21" t="s">
        <v>27</v>
      </c>
      <c r="C36" s="22">
        <f>SUM([1]Inicio:Final!E35)</f>
        <v>4707.2</v>
      </c>
      <c r="D36" s="22">
        <f>SUM([1]Inicio:Final!G35)</f>
        <v>296553.59999999998</v>
      </c>
      <c r="E36" s="22">
        <f>SUM([1]Inicio:Final!J35)</f>
        <v>729.05</v>
      </c>
      <c r="F36" s="22">
        <f>SUM([1]Inicio:Final!L35)</f>
        <v>262458</v>
      </c>
      <c r="G36" s="22">
        <f>SUM([1]Inicio:Final!M35)</f>
        <v>4000</v>
      </c>
      <c r="H36" s="22">
        <f>SUM([1]Inicio:Final!N35)</f>
        <v>0</v>
      </c>
      <c r="I36" s="22">
        <f>SUM([1]Inicio:Final!O35)</f>
        <v>0</v>
      </c>
      <c r="J36" s="22">
        <f>SUM([1]Inicio:Final!P35)</f>
        <v>152000</v>
      </c>
      <c r="K36" s="22">
        <f>SUM([1]Inicio:Final!Q35)</f>
        <v>2106000</v>
      </c>
      <c r="L36" s="22">
        <f>SUM([1]Inicio:Final!R35)</f>
        <v>69630</v>
      </c>
      <c r="M36" s="22">
        <f>SUM([1]Inicio:Final!S35)</f>
        <v>2741011.6</v>
      </c>
      <c r="N36" s="22">
        <f>SUM([1]Inicio:Final!V35)</f>
        <v>2780228</v>
      </c>
      <c r="O36" s="25">
        <f>SUM([1]Inicio:Final!W35)</f>
        <v>10672227.060000001</v>
      </c>
    </row>
    <row r="37" spans="1:15" ht="15.75" hidden="1" thickBot="1" x14ac:dyDescent="0.3">
      <c r="A37" s="20"/>
      <c r="B37" s="21" t="s">
        <v>28</v>
      </c>
      <c r="C37" s="22">
        <f>SUM([1]Inicio:Final!E36)</f>
        <v>4815.6000000000004</v>
      </c>
      <c r="D37" s="22">
        <f>SUM([1]Inicio:Final!G36)</f>
        <v>303382.80000000005</v>
      </c>
      <c r="E37" s="22">
        <f>SUM([1]Inicio:Final!J36)</f>
        <v>424.21</v>
      </c>
      <c r="F37" s="22">
        <f>SUM([1]Inicio:Final!L36)</f>
        <v>152715.59999999998</v>
      </c>
      <c r="G37" s="22">
        <f>SUM([1]Inicio:Final!M36)</f>
        <v>4000</v>
      </c>
      <c r="H37" s="22">
        <f>SUM([1]Inicio:Final!N36)</f>
        <v>0</v>
      </c>
      <c r="I37" s="22">
        <f>SUM([1]Inicio:Final!O36)</f>
        <v>0</v>
      </c>
      <c r="J37" s="22">
        <f>SUM([1]Inicio:Final!P36)</f>
        <v>148000</v>
      </c>
      <c r="K37" s="22">
        <f>SUM([1]Inicio:Final!Q36)</f>
        <v>2106000</v>
      </c>
      <c r="L37" s="22">
        <f>SUM([1]Inicio:Final!R36)</f>
        <v>69958</v>
      </c>
      <c r="M37" s="22">
        <f>SUM([1]Inicio:Final!S36)</f>
        <v>2634098.3999999994</v>
      </c>
      <c r="N37" s="22">
        <f>SUM([1]Inicio:Final!V36)</f>
        <v>1927223</v>
      </c>
      <c r="O37" s="25">
        <f>SUM([1]Inicio:Final!W36)</f>
        <v>11438513.979999999</v>
      </c>
    </row>
    <row r="38" spans="1:15" ht="15.75" hidden="1" thickBot="1" x14ac:dyDescent="0.3">
      <c r="A38" s="20"/>
      <c r="B38" s="21" t="s">
        <v>29</v>
      </c>
      <c r="C38" s="22">
        <f>SUM([1]Inicio:Final!E37)</f>
        <v>4351</v>
      </c>
      <c r="D38" s="22">
        <f>SUM([1]Inicio:Final!G37)</f>
        <v>274113</v>
      </c>
      <c r="E38" s="22">
        <f>SUM([1]Inicio:Final!J37)</f>
        <v>457.24000000000132</v>
      </c>
      <c r="F38" s="22">
        <f>SUM([1]Inicio:Final!L37)</f>
        <v>164606.40000000049</v>
      </c>
      <c r="G38" s="22">
        <f>SUM([1]Inicio:Final!M37)</f>
        <v>4000</v>
      </c>
      <c r="H38" s="22">
        <f>SUM([1]Inicio:Final!N37)</f>
        <v>0</v>
      </c>
      <c r="I38" s="22">
        <f>SUM([1]Inicio:Final!O37)</f>
        <v>0</v>
      </c>
      <c r="J38" s="22">
        <f>SUM([1]Inicio:Final!P37)</f>
        <v>148000</v>
      </c>
      <c r="K38" s="22">
        <f>SUM([1]Inicio:Final!Q37)</f>
        <v>2106000</v>
      </c>
      <c r="L38" s="22">
        <f>SUM([1]Inicio:Final!R37)</f>
        <v>70218</v>
      </c>
      <c r="M38" s="22">
        <f>SUM([1]Inicio:Final!S37)</f>
        <v>2616719.4000000004</v>
      </c>
      <c r="N38" s="22">
        <f>SUM([1]Inicio:Final!V37)</f>
        <v>1738428</v>
      </c>
      <c r="O38" s="25">
        <f>SUM([1]Inicio:Final!W37)</f>
        <v>12228039.300000001</v>
      </c>
    </row>
    <row r="39" spans="1:15" ht="15.75" hidden="1" thickBot="1" x14ac:dyDescent="0.3">
      <c r="A39" s="20"/>
      <c r="B39" s="21" t="s">
        <v>30</v>
      </c>
      <c r="C39" s="22">
        <f>SUM([1]Inicio:Final!E38)</f>
        <v>4403.7000000000007</v>
      </c>
      <c r="D39" s="22">
        <f>SUM([1]Inicio:Final!G38)</f>
        <v>277433.10000000009</v>
      </c>
      <c r="E39" s="22">
        <f>SUM([1]Inicio:Final!J38)</f>
        <v>490.59999999999906</v>
      </c>
      <c r="F39" s="22">
        <f>SUM([1]Inicio:Final!L38)</f>
        <v>176615.99999999965</v>
      </c>
      <c r="G39" s="22">
        <f>SUM([1]Inicio:Final!M38)</f>
        <v>4000</v>
      </c>
      <c r="H39" s="22">
        <f>SUM([1]Inicio:Final!N38)</f>
        <v>0</v>
      </c>
      <c r="I39" s="22">
        <f>SUM([1]Inicio:Final!O38)</f>
        <v>0</v>
      </c>
      <c r="J39" s="22">
        <f>SUM([1]Inicio:Final!P38)</f>
        <v>148000</v>
      </c>
      <c r="K39" s="22">
        <f>SUM([1]Inicio:Final!Q38)</f>
        <v>2106000</v>
      </c>
      <c r="L39" s="22">
        <f>SUM([1]Inicio:Final!R38)</f>
        <v>70600</v>
      </c>
      <c r="M39" s="22">
        <f>SUM([1]Inicio:Final!S38)</f>
        <v>2632049.0999999996</v>
      </c>
      <c r="N39" s="22">
        <f>SUM([1]Inicio:Final!V38)</f>
        <v>4177637</v>
      </c>
      <c r="O39" s="25">
        <f>SUM([1]Inicio:Final!W38)</f>
        <v>10599814.92</v>
      </c>
    </row>
    <row r="40" spans="1:15" ht="15.75" hidden="1" thickBot="1" x14ac:dyDescent="0.3">
      <c r="A40" s="20"/>
      <c r="B40" s="21" t="s">
        <v>31</v>
      </c>
      <c r="C40" s="22">
        <f>SUM([1]Inicio:Final!E39)</f>
        <v>4124.7999999999984</v>
      </c>
      <c r="D40" s="22">
        <f>SUM([1]Inicio:Final!G39)</f>
        <v>259862.39999999991</v>
      </c>
      <c r="E40" s="22">
        <f>SUM([1]Inicio:Final!J39)</f>
        <v>593.89999999999964</v>
      </c>
      <c r="F40" s="22">
        <f>SUM([1]Inicio:Final!L39)</f>
        <v>213803.99999999988</v>
      </c>
      <c r="G40" s="22">
        <f>SUM([1]Inicio:Final!M39)</f>
        <v>4000</v>
      </c>
      <c r="H40" s="22">
        <f>SUM([1]Inicio:Final!N39)</f>
        <v>0</v>
      </c>
      <c r="I40" s="22">
        <f>SUM([1]Inicio:Final!O39)</f>
        <v>0</v>
      </c>
      <c r="J40" s="22">
        <f>SUM([1]Inicio:Final!P39)</f>
        <v>148000</v>
      </c>
      <c r="K40" s="22">
        <f>SUM([1]Inicio:Final!Q39)</f>
        <v>2093000</v>
      </c>
      <c r="L40" s="22">
        <f>SUM([1]Inicio:Final!R39)</f>
        <v>70870</v>
      </c>
      <c r="M40" s="22">
        <f>SUM([1]Inicio:Final!S39)</f>
        <v>2638666.4</v>
      </c>
      <c r="N40" s="22">
        <f>SUM([1]Inicio:Final!V39)</f>
        <v>1481816</v>
      </c>
      <c r="O40" s="25">
        <f>SUM([1]Inicio:Final!W39)</f>
        <v>11195800.639999999</v>
      </c>
    </row>
    <row r="41" spans="1:15" ht="15.75" hidden="1" thickBot="1" x14ac:dyDescent="0.3">
      <c r="A41" s="20"/>
      <c r="B41" s="21" t="s">
        <v>32</v>
      </c>
      <c r="C41" s="22">
        <f>SUM([1]Inicio:Final!E40)</f>
        <v>5611</v>
      </c>
      <c r="D41" s="22">
        <f>SUM([1]Inicio:Final!G40)</f>
        <v>353493</v>
      </c>
      <c r="E41" s="22">
        <f>SUM([1]Inicio:Final!J40)</f>
        <v>965</v>
      </c>
      <c r="F41" s="22">
        <f>SUM([1]Inicio:Final!L40)</f>
        <v>347400</v>
      </c>
      <c r="G41" s="22">
        <f>SUM([1]Inicio:Final!M40)</f>
        <v>4000</v>
      </c>
      <c r="H41" s="22">
        <f>SUM([1]Inicio:Final!N40)</f>
        <v>0</v>
      </c>
      <c r="I41" s="22">
        <f>SUM([1]Inicio:Final!O40)</f>
        <v>0</v>
      </c>
      <c r="J41" s="22">
        <f>SUM([1]Inicio:Final!P40)</f>
        <v>144000</v>
      </c>
      <c r="K41" s="22">
        <f>SUM([1]Inicio:Final!Q40)</f>
        <v>2145000</v>
      </c>
      <c r="L41" s="22">
        <f>SUM([1]Inicio:Final!R40)</f>
        <v>71436</v>
      </c>
      <c r="M41" s="22">
        <f>SUM([1]Inicio:Final!S40)</f>
        <v>2952893</v>
      </c>
      <c r="N41" s="22">
        <f>SUM([1]Inicio:Final!V40)</f>
        <v>2030873</v>
      </c>
      <c r="O41" s="25">
        <f>SUM([1]Inicio:Final!W40)</f>
        <v>12325406.959999999</v>
      </c>
    </row>
    <row r="42" spans="1:15" ht="15.75" hidden="1" thickBot="1" x14ac:dyDescent="0.3">
      <c r="A42" s="20"/>
      <c r="B42" s="21" t="s">
        <v>33</v>
      </c>
      <c r="C42" s="22">
        <f>SUM([1]Inicio:Final!E41)</f>
        <v>3674</v>
      </c>
      <c r="D42" s="22">
        <f>SUM([1]Inicio:Final!G41)</f>
        <v>231462</v>
      </c>
      <c r="E42" s="22">
        <f>SUM([1]Inicio:Final!J41)</f>
        <v>1833</v>
      </c>
      <c r="F42" s="22">
        <f>SUM([1]Inicio:Final!L41)</f>
        <v>659880</v>
      </c>
      <c r="G42" s="22">
        <f>SUM([1]Inicio:Final!M41)</f>
        <v>4000</v>
      </c>
      <c r="H42" s="22">
        <f>SUM([1]Inicio:Final!N41)</f>
        <v>0</v>
      </c>
      <c r="I42" s="22">
        <f>SUM([1]Inicio:Final!O41)</f>
        <v>0</v>
      </c>
      <c r="J42" s="22">
        <f>SUM([1]Inicio:Final!P41)</f>
        <v>144000</v>
      </c>
      <c r="K42" s="22">
        <f>SUM([1]Inicio:Final!Q41)</f>
        <v>2184000</v>
      </c>
      <c r="L42" s="22">
        <f>SUM([1]Inicio:Final!R41)</f>
        <v>71894</v>
      </c>
      <c r="M42" s="22">
        <f>SUM([1]Inicio:Final!S41)</f>
        <v>3143342</v>
      </c>
      <c r="N42" s="22">
        <f>SUM([1]Inicio:Final!V41)</f>
        <v>1750681</v>
      </c>
      <c r="O42" s="25">
        <f>SUM([1]Inicio:Final!W41)</f>
        <v>13712498.979999997</v>
      </c>
    </row>
    <row r="43" spans="1:15" ht="15.75" hidden="1" thickBot="1" x14ac:dyDescent="0.3">
      <c r="A43" s="20"/>
      <c r="B43" s="21" t="s">
        <v>34</v>
      </c>
      <c r="C43" s="22">
        <f>SUM([1]Inicio:Final!E42)</f>
        <v>30751</v>
      </c>
      <c r="D43" s="22">
        <f>SUM([1]Inicio:Final!G42)</f>
        <v>1937313</v>
      </c>
      <c r="E43" s="22">
        <f>SUM([1]Inicio:Final!J42)</f>
        <v>2005</v>
      </c>
      <c r="F43" s="22">
        <f>SUM([1]Inicio:Final!L42)</f>
        <v>721800</v>
      </c>
      <c r="G43" s="22">
        <f>SUM([1]Inicio:Final!M42)</f>
        <v>4000</v>
      </c>
      <c r="H43" s="22">
        <f>SUM([1]Inicio:Final!N42)</f>
        <v>0</v>
      </c>
      <c r="I43" s="22">
        <f>SUM([1]Inicio:Final!O42)</f>
        <v>0</v>
      </c>
      <c r="J43" s="22">
        <f>SUM([1]Inicio:Final!P42)</f>
        <v>144000</v>
      </c>
      <c r="K43" s="22">
        <f>SUM([1]Inicio:Final!Q42)</f>
        <v>2184000</v>
      </c>
      <c r="L43" s="22">
        <f>SUM([1]Inicio:Final!R42)</f>
        <v>71900</v>
      </c>
      <c r="M43" s="22">
        <f>SUM([1]Inicio:Final!S42)</f>
        <v>4911113</v>
      </c>
      <c r="N43" s="22">
        <f>SUM([1]Inicio:Final!V42)</f>
        <v>3136538</v>
      </c>
      <c r="O43" s="25">
        <f>SUM([1]Inicio:Final!W42)</f>
        <v>13451382.299999997</v>
      </c>
    </row>
    <row r="44" spans="1:15" ht="15.75" hidden="1" thickBot="1" x14ac:dyDescent="0.3">
      <c r="A44" s="20">
        <v>2006</v>
      </c>
      <c r="B44" s="21" t="s">
        <v>35</v>
      </c>
      <c r="C44" s="22">
        <f>SUM([1]Inicio:Final!E43)</f>
        <v>9378</v>
      </c>
      <c r="D44" s="22">
        <f>SUM([1]Inicio:Final!G43)</f>
        <v>590814</v>
      </c>
      <c r="E44" s="22">
        <f>SUM([1]Inicio:Final!J43)</f>
        <v>3796</v>
      </c>
      <c r="F44" s="22">
        <f>SUM([1]Inicio:Final!L43)</f>
        <v>1366560</v>
      </c>
      <c r="G44" s="22">
        <f>SUM([1]Inicio:Final!M43)</f>
        <v>4000</v>
      </c>
      <c r="H44" s="22">
        <f>SUM([1]Inicio:Final!N43)</f>
        <v>0</v>
      </c>
      <c r="I44" s="22">
        <f>SUM([1]Inicio:Final!O43)</f>
        <v>0</v>
      </c>
      <c r="J44" s="22">
        <f>SUM([1]Inicio:Final!P43)</f>
        <v>144000</v>
      </c>
      <c r="K44" s="22">
        <f>SUM([1]Inicio:Final!Q43)</f>
        <v>2145000</v>
      </c>
      <c r="L44" s="22">
        <f>SUM([1]Inicio:Final!R43)</f>
        <v>71704</v>
      </c>
      <c r="M44" s="22">
        <f>SUM([1]Inicio:Final!S43)</f>
        <v>4170374</v>
      </c>
      <c r="N44" s="22">
        <f>SUM([1]Inicio:Final!V43)</f>
        <v>2766617</v>
      </c>
      <c r="O44" s="25">
        <f>SUM([1]Inicio:Final!W43)</f>
        <v>15069148.619999997</v>
      </c>
    </row>
    <row r="45" spans="1:15" ht="15.75" hidden="1" thickBot="1" x14ac:dyDescent="0.3">
      <c r="A45" s="20"/>
      <c r="B45" s="21" t="s">
        <v>24</v>
      </c>
      <c r="C45" s="22">
        <f>SUM([1]Inicio:Final!E44)</f>
        <v>6987</v>
      </c>
      <c r="D45" s="22">
        <f>SUM([1]Inicio:Final!G44)</f>
        <v>440181</v>
      </c>
      <c r="E45" s="22">
        <f>SUM([1]Inicio:Final!J44)</f>
        <v>3022</v>
      </c>
      <c r="F45" s="22">
        <f>SUM([1]Inicio:Final!L44)</f>
        <v>1087920</v>
      </c>
      <c r="G45" s="22">
        <f>SUM([1]Inicio:Final!M44)</f>
        <v>4000</v>
      </c>
      <c r="H45" s="22">
        <f>SUM([1]Inicio:Final!N44)</f>
        <v>0</v>
      </c>
      <c r="I45" s="22">
        <f>SUM([1]Inicio:Final!O44)</f>
        <v>0</v>
      </c>
      <c r="J45" s="22">
        <f>SUM([1]Inicio:Final!P44)</f>
        <v>144000</v>
      </c>
      <c r="K45" s="22">
        <f>SUM([1]Inicio:Final!Q44)</f>
        <v>2145000</v>
      </c>
      <c r="L45" s="22">
        <f>SUM([1]Inicio:Final!R44)</f>
        <v>71690</v>
      </c>
      <c r="M45" s="22">
        <f>SUM([1]Inicio:Final!S44)</f>
        <v>3741101</v>
      </c>
      <c r="N45" s="22">
        <f>SUM([1]Inicio:Final!V44)</f>
        <v>2313262</v>
      </c>
      <c r="O45" s="25">
        <f>SUM([1]Inicio:Final!W44)</f>
        <v>17038381.939999998</v>
      </c>
    </row>
    <row r="46" spans="1:15" ht="15.75" hidden="1" thickBot="1" x14ac:dyDescent="0.3">
      <c r="A46" s="20"/>
      <c r="B46" s="21" t="s">
        <v>25</v>
      </c>
      <c r="C46" s="22">
        <f>SUM([1]Inicio:Final!E45)</f>
        <v>4059</v>
      </c>
      <c r="D46" s="22">
        <f>SUM([1]Inicio:Final!G45)</f>
        <v>255717</v>
      </c>
      <c r="E46" s="22">
        <f>SUM([1]Inicio:Final!J45)</f>
        <v>2413</v>
      </c>
      <c r="F46" s="22">
        <f>SUM([1]Inicio:Final!L45)</f>
        <v>868680</v>
      </c>
      <c r="G46" s="22">
        <f>SUM([1]Inicio:Final!M45)</f>
        <v>4000</v>
      </c>
      <c r="H46" s="22">
        <f>SUM([1]Inicio:Final!N45)</f>
        <v>0</v>
      </c>
      <c r="I46" s="22">
        <f>SUM([1]Inicio:Final!O45)</f>
        <v>0</v>
      </c>
      <c r="J46" s="22">
        <f>SUM([1]Inicio:Final!P45)</f>
        <v>144000</v>
      </c>
      <c r="K46" s="22">
        <f>SUM([1]Inicio:Final!Q45)</f>
        <v>2184000</v>
      </c>
      <c r="L46" s="22">
        <f>SUM([1]Inicio:Final!R45)</f>
        <v>71662</v>
      </c>
      <c r="M46" s="22">
        <f>SUM([1]Inicio:Final!S45)</f>
        <v>3376397</v>
      </c>
      <c r="N46" s="22">
        <f>SUM([1]Inicio:Final!V45)</f>
        <v>4257898</v>
      </c>
      <c r="O46" s="25">
        <f>SUM([1]Inicio:Final!W45)</f>
        <v>16042480.259999998</v>
      </c>
    </row>
    <row r="47" spans="1:15" ht="15.75" hidden="1" thickBot="1" x14ac:dyDescent="0.3">
      <c r="A47" s="20"/>
      <c r="B47" s="21" t="s">
        <v>26</v>
      </c>
      <c r="C47" s="22">
        <f>SUM([1]Inicio:Final!E46)</f>
        <v>4574</v>
      </c>
      <c r="D47" s="22">
        <f>SUM([1]Inicio:Final!G46)</f>
        <v>288162</v>
      </c>
      <c r="E47" s="22">
        <f>SUM([1]Inicio:Final!J46)</f>
        <v>2520</v>
      </c>
      <c r="F47" s="22">
        <f>SUM([1]Inicio:Final!L46)</f>
        <v>907200</v>
      </c>
      <c r="G47" s="22">
        <f>SUM([1]Inicio:Final!M46)</f>
        <v>4000</v>
      </c>
      <c r="H47" s="22">
        <f>SUM([1]Inicio:Final!N46)</f>
        <v>0</v>
      </c>
      <c r="I47" s="22">
        <f>SUM([1]Inicio:Final!O46)</f>
        <v>0</v>
      </c>
      <c r="J47" s="22">
        <f>SUM([1]Inicio:Final!P46)</f>
        <v>144000</v>
      </c>
      <c r="K47" s="22">
        <f>SUM([1]Inicio:Final!Q46)</f>
        <v>2184000</v>
      </c>
      <c r="L47" s="22">
        <f>SUM([1]Inicio:Final!R46)</f>
        <v>71942</v>
      </c>
      <c r="M47" s="22">
        <f>SUM([1]Inicio:Final!S46)</f>
        <v>3447362</v>
      </c>
      <c r="N47" s="22">
        <f>SUM([1]Inicio:Final!V46)</f>
        <v>2712800</v>
      </c>
      <c r="O47" s="25">
        <f>SUM([1]Inicio:Final!W46)</f>
        <v>16715466.579999996</v>
      </c>
    </row>
    <row r="48" spans="1:15" ht="15.75" hidden="1" thickBot="1" x14ac:dyDescent="0.3">
      <c r="A48" s="20"/>
      <c r="B48" s="21" t="s">
        <v>27</v>
      </c>
      <c r="C48" s="22">
        <f>SUM([1]Inicio:Final!E47)</f>
        <v>4903</v>
      </c>
      <c r="D48" s="22">
        <f>SUM([1]Inicio:Final!G47)</f>
        <v>308889</v>
      </c>
      <c r="E48" s="22">
        <f>SUM([1]Inicio:Final!J47)</f>
        <v>1666</v>
      </c>
      <c r="F48" s="22">
        <f>SUM([1]Inicio:Final!L47)</f>
        <v>599760</v>
      </c>
      <c r="G48" s="22">
        <f>SUM([1]Inicio:Final!M47)</f>
        <v>4000</v>
      </c>
      <c r="H48" s="22">
        <f>SUM([1]Inicio:Final!N47)</f>
        <v>0</v>
      </c>
      <c r="I48" s="22">
        <f>SUM([1]Inicio:Final!O47)</f>
        <v>0</v>
      </c>
      <c r="J48" s="22">
        <f>SUM([1]Inicio:Final!P47)</f>
        <v>144000</v>
      </c>
      <c r="K48" s="22">
        <f>SUM([1]Inicio:Final!Q47)</f>
        <v>2184000</v>
      </c>
      <c r="L48" s="22">
        <f>SUM([1]Inicio:Final!R47)</f>
        <v>72378</v>
      </c>
      <c r="M48" s="22">
        <f>SUM([1]Inicio:Final!S47)</f>
        <v>3160649</v>
      </c>
      <c r="N48" s="22">
        <f>SUM([1]Inicio:Final!V47)</f>
        <v>2404904</v>
      </c>
      <c r="O48" s="25">
        <f>SUM([1]Inicio:Final!W47)</f>
        <v>17334743.899999999</v>
      </c>
    </row>
    <row r="49" spans="1:15" ht="15.75" hidden="1" thickBot="1" x14ac:dyDescent="0.3">
      <c r="A49" s="20"/>
      <c r="B49" s="21" t="s">
        <v>28</v>
      </c>
      <c r="C49" s="22">
        <f>SUM([1]Inicio:Final!E48)</f>
        <v>4849</v>
      </c>
      <c r="D49" s="22">
        <f>SUM([1]Inicio:Final!G48)</f>
        <v>305487</v>
      </c>
      <c r="E49" s="22">
        <f>SUM([1]Inicio:Final!J48)</f>
        <v>509</v>
      </c>
      <c r="F49" s="22">
        <f>SUM([1]Inicio:Final!L48)</f>
        <v>183240</v>
      </c>
      <c r="G49" s="22">
        <f>SUM([1]Inicio:Final!M48)</f>
        <v>4000</v>
      </c>
      <c r="H49" s="22">
        <f>SUM([1]Inicio:Final!N48)</f>
        <v>0</v>
      </c>
      <c r="I49" s="22">
        <f>SUM([1]Inicio:Final!O48)</f>
        <v>0</v>
      </c>
      <c r="J49" s="22">
        <f>SUM([1]Inicio:Final!P48)</f>
        <v>144000</v>
      </c>
      <c r="K49" s="22">
        <f>SUM([1]Inicio:Final!Q48)</f>
        <v>2184000</v>
      </c>
      <c r="L49" s="22">
        <f>SUM([1]Inicio:Final!R48)</f>
        <v>72606</v>
      </c>
      <c r="M49" s="22">
        <f>SUM([1]Inicio:Final!S48)</f>
        <v>2740727</v>
      </c>
      <c r="N49" s="22">
        <f>SUM([1]Inicio:Final!V48)</f>
        <v>3621557</v>
      </c>
      <c r="O49" s="25">
        <f>SUM([1]Inicio:Final!W48)</f>
        <v>16367874.219999997</v>
      </c>
    </row>
    <row r="50" spans="1:15" ht="15.75" hidden="1" thickBot="1" x14ac:dyDescent="0.3">
      <c r="A50" s="20"/>
      <c r="B50" s="21" t="s">
        <v>29</v>
      </c>
      <c r="C50" s="22">
        <f>SUM([1]Inicio:Final!E49)</f>
        <v>3158</v>
      </c>
      <c r="D50" s="22">
        <f>SUM([1]Inicio:Final!G49)</f>
        <v>198954</v>
      </c>
      <c r="E50" s="22">
        <f>SUM([1]Inicio:Final!J49)</f>
        <v>275</v>
      </c>
      <c r="F50" s="22">
        <f>SUM([1]Inicio:Final!L49)</f>
        <v>99000</v>
      </c>
      <c r="G50" s="22">
        <f>SUM([1]Inicio:Final!M49)</f>
        <v>4000</v>
      </c>
      <c r="H50" s="22">
        <f>SUM([1]Inicio:Final!N49)</f>
        <v>0</v>
      </c>
      <c r="I50" s="22">
        <f>SUM([1]Inicio:Final!O49)</f>
        <v>0</v>
      </c>
      <c r="J50" s="22">
        <f>SUM([1]Inicio:Final!P49)</f>
        <v>144000</v>
      </c>
      <c r="K50" s="22">
        <f>SUM([1]Inicio:Final!Q49)</f>
        <v>2184000</v>
      </c>
      <c r="L50" s="22">
        <f>SUM([1]Inicio:Final!R49)</f>
        <v>72958</v>
      </c>
      <c r="M50" s="22">
        <f>SUM([1]Inicio:Final!S49)</f>
        <v>2549954</v>
      </c>
      <c r="N50" s="22">
        <f>SUM([1]Inicio:Final!V49)</f>
        <v>3043733</v>
      </c>
      <c r="O50" s="25">
        <f>SUM([1]Inicio:Final!W49)</f>
        <v>15505901.539999995</v>
      </c>
    </row>
    <row r="51" spans="1:15" ht="15.75" hidden="1" thickBot="1" x14ac:dyDescent="0.3">
      <c r="A51" s="20"/>
      <c r="B51" s="21" t="s">
        <v>30</v>
      </c>
      <c r="C51" s="22">
        <f>SUM([1]Inicio:Final!E50)</f>
        <v>4032</v>
      </c>
      <c r="D51" s="22">
        <f>SUM([1]Inicio:Final!G50)</f>
        <v>254016</v>
      </c>
      <c r="E51" s="22">
        <f>SUM([1]Inicio:Final!J50)</f>
        <v>386</v>
      </c>
      <c r="F51" s="22">
        <f>SUM([1]Inicio:Final!L50)</f>
        <v>138960</v>
      </c>
      <c r="G51" s="22">
        <f>SUM([1]Inicio:Final!M50)</f>
        <v>4000</v>
      </c>
      <c r="H51" s="22">
        <f>SUM([1]Inicio:Final!N50)</f>
        <v>0</v>
      </c>
      <c r="I51" s="22">
        <f>SUM([1]Inicio:Final!O50)</f>
        <v>0</v>
      </c>
      <c r="J51" s="22">
        <f>SUM([1]Inicio:Final!P50)</f>
        <v>144000</v>
      </c>
      <c r="K51" s="22">
        <f>SUM([1]Inicio:Final!Q50)</f>
        <v>2184000</v>
      </c>
      <c r="L51" s="22">
        <f>SUM([1]Inicio:Final!R50)</f>
        <v>73344</v>
      </c>
      <c r="M51" s="22">
        <f>SUM([1]Inicio:Final!S50)</f>
        <v>2644976</v>
      </c>
      <c r="N51" s="22">
        <f>SUM([1]Inicio:Final!V50)</f>
        <v>1747785</v>
      </c>
      <c r="O51" s="25">
        <f>SUM([1]Inicio:Final!W50)</f>
        <v>16097134.539999995</v>
      </c>
    </row>
    <row r="52" spans="1:15" ht="15.75" hidden="1" thickBot="1" x14ac:dyDescent="0.3">
      <c r="A52" s="20"/>
      <c r="B52" s="21" t="s">
        <v>31</v>
      </c>
      <c r="C52" s="22">
        <f>SUM([1]Inicio:Final!E51)</f>
        <v>5495</v>
      </c>
      <c r="D52" s="22">
        <f>SUM([1]Inicio:Final!G51)</f>
        <v>346185</v>
      </c>
      <c r="E52" s="22">
        <f>SUM([1]Inicio:Final!J51)</f>
        <v>930</v>
      </c>
      <c r="F52" s="22">
        <f>SUM([1]Inicio:Final!L51)</f>
        <v>334800</v>
      </c>
      <c r="G52" s="22">
        <f>SUM([1]Inicio:Final!M51)</f>
        <v>4000</v>
      </c>
      <c r="H52" s="22">
        <f>SUM([1]Inicio:Final!N51)</f>
        <v>0</v>
      </c>
      <c r="I52" s="22">
        <f>SUM([1]Inicio:Final!O51)</f>
        <v>0</v>
      </c>
      <c r="J52" s="22">
        <f>SUM([1]Inicio:Final!P51)</f>
        <v>144000</v>
      </c>
      <c r="K52" s="22">
        <f>SUM([1]Inicio:Final!Q51)</f>
        <v>2184000</v>
      </c>
      <c r="L52" s="22">
        <f>SUM([1]Inicio:Final!R51)</f>
        <v>73604</v>
      </c>
      <c r="M52" s="22">
        <f>SUM([1]Inicio:Final!S51)</f>
        <v>2932985</v>
      </c>
      <c r="N52" s="22">
        <f>SUM([1]Inicio:Final!V51)</f>
        <v>4979603</v>
      </c>
      <c r="O52" s="25">
        <f>SUM([1]Inicio:Final!W51)</f>
        <v>13879578.539999997</v>
      </c>
    </row>
    <row r="53" spans="1:15" ht="15.75" hidden="1" thickBot="1" x14ac:dyDescent="0.3">
      <c r="A53" s="20"/>
      <c r="B53" s="21" t="s">
        <v>32</v>
      </c>
      <c r="C53" s="22">
        <f>SUM([1]Inicio:Final!E52)</f>
        <v>5276</v>
      </c>
      <c r="D53" s="22">
        <f>SUM([1]Inicio:Final!G52)</f>
        <v>332388</v>
      </c>
      <c r="E53" s="22">
        <f>SUM([1]Inicio:Final!J52)</f>
        <v>2151</v>
      </c>
      <c r="F53" s="22">
        <f>SUM([1]Inicio:Final!L52)</f>
        <v>774360</v>
      </c>
      <c r="G53" s="22">
        <f>SUM([1]Inicio:Final!M52)</f>
        <v>4000</v>
      </c>
      <c r="H53" s="22">
        <f>SUM([1]Inicio:Final!N52)</f>
        <v>0</v>
      </c>
      <c r="I53" s="22">
        <f>SUM([1]Inicio:Final!O52)</f>
        <v>0</v>
      </c>
      <c r="J53" s="22">
        <f>SUM([1]Inicio:Final!P52)</f>
        <v>144000</v>
      </c>
      <c r="K53" s="22">
        <f>SUM([1]Inicio:Final!Q52)</f>
        <v>2184000</v>
      </c>
      <c r="L53" s="22">
        <f>SUM([1]Inicio:Final!R52)</f>
        <v>73670</v>
      </c>
      <c r="M53" s="22">
        <f>SUM([1]Inicio:Final!S52)</f>
        <v>3358748</v>
      </c>
      <c r="N53" s="22">
        <f>SUM([1]Inicio:Final!V52)</f>
        <v>2109495</v>
      </c>
      <c r="O53" s="25">
        <f>SUM([1]Inicio:Final!W52)</f>
        <v>14186815.539999997</v>
      </c>
    </row>
    <row r="54" spans="1:15" ht="15.75" hidden="1" thickBot="1" x14ac:dyDescent="0.3">
      <c r="A54" s="20"/>
      <c r="B54" s="21" t="s">
        <v>33</v>
      </c>
      <c r="C54" s="22">
        <f>SUM([1]Inicio:Final!E53)</f>
        <v>5130</v>
      </c>
      <c r="D54" s="22">
        <f>SUM([1]Inicio:Final!G53)</f>
        <v>323190</v>
      </c>
      <c r="E54" s="22">
        <f>SUM([1]Inicio:Final!J53)</f>
        <v>3484</v>
      </c>
      <c r="F54" s="22">
        <f>SUM([1]Inicio:Final!L53)</f>
        <v>1254240</v>
      </c>
      <c r="G54" s="22">
        <f>SUM([1]Inicio:Final!M53)</f>
        <v>4000</v>
      </c>
      <c r="H54" s="22">
        <f>SUM([1]Inicio:Final!N53)</f>
        <v>0</v>
      </c>
      <c r="I54" s="22">
        <f>SUM([1]Inicio:Final!O53)</f>
        <v>0</v>
      </c>
      <c r="J54" s="22">
        <f>SUM([1]Inicio:Final!P53)</f>
        <v>144000</v>
      </c>
      <c r="K54" s="22">
        <f>SUM([1]Inicio:Final!Q53)</f>
        <v>2184000</v>
      </c>
      <c r="L54" s="22">
        <f>SUM([1]Inicio:Final!R53)</f>
        <v>73516</v>
      </c>
      <c r="M54" s="22">
        <f>SUM([1]Inicio:Final!S53)</f>
        <v>3829430</v>
      </c>
      <c r="N54" s="22">
        <f>SUM([1]Inicio:Final!V53)</f>
        <v>1837786</v>
      </c>
      <c r="O54" s="25">
        <f>SUM([1]Inicio:Final!W53)</f>
        <v>16057686.539999995</v>
      </c>
    </row>
    <row r="55" spans="1:15" ht="15.75" hidden="1" thickBot="1" x14ac:dyDescent="0.3">
      <c r="A55" s="20"/>
      <c r="B55" s="21" t="s">
        <v>34</v>
      </c>
      <c r="C55" s="22">
        <f>SUM([1]Inicio:Final!E54)</f>
        <v>3053</v>
      </c>
      <c r="D55" s="22">
        <f>SUM([1]Inicio:Final!G54)</f>
        <v>192339</v>
      </c>
      <c r="E55" s="22">
        <f>SUM([1]Inicio:Final!J54)</f>
        <v>1914</v>
      </c>
      <c r="F55" s="22">
        <f>SUM([1]Inicio:Final!L54)</f>
        <v>689040</v>
      </c>
      <c r="G55" s="22">
        <f>SUM([1]Inicio:Final!M54)</f>
        <v>4000</v>
      </c>
      <c r="H55" s="22">
        <f>SUM([1]Inicio:Final!N54)</f>
        <v>0</v>
      </c>
      <c r="I55" s="22">
        <f>SUM([1]Inicio:Final!O54)</f>
        <v>0</v>
      </c>
      <c r="J55" s="22">
        <f>SUM([1]Inicio:Final!P54)</f>
        <v>144000</v>
      </c>
      <c r="K55" s="22">
        <f>SUM([1]Inicio:Final!Q54)</f>
        <v>2191000</v>
      </c>
      <c r="L55" s="22">
        <f>SUM([1]Inicio:Final!R54)</f>
        <v>73346</v>
      </c>
      <c r="M55" s="22">
        <f>SUM([1]Inicio:Final!S54)</f>
        <v>3336379</v>
      </c>
      <c r="N55" s="22">
        <f>SUM([1]Inicio:Final!V54)</f>
        <v>3092983</v>
      </c>
      <c r="O55" s="25">
        <f>SUM([1]Inicio:Final!W54)</f>
        <v>16056914.539999999</v>
      </c>
    </row>
    <row r="56" spans="1:15" ht="15.75" hidden="1" thickBot="1" x14ac:dyDescent="0.3">
      <c r="A56" s="20">
        <v>2007</v>
      </c>
      <c r="B56" s="21" t="s">
        <v>35</v>
      </c>
      <c r="C56" s="22">
        <f>SUM([1]Inicio:Final!E55)</f>
        <v>8910</v>
      </c>
      <c r="D56" s="22">
        <f>SUM([1]Inicio:Final!G55)</f>
        <v>561330</v>
      </c>
      <c r="E56" s="22">
        <f>SUM([1]Inicio:Final!J55)</f>
        <v>3867</v>
      </c>
      <c r="F56" s="22">
        <f>SUM([1]Inicio:Final!L55)</f>
        <v>1392120</v>
      </c>
      <c r="G56" s="22">
        <f>SUM([1]Inicio:Final!M55)</f>
        <v>4000</v>
      </c>
      <c r="H56" s="22">
        <f>SUM([1]Inicio:Final!N55)</f>
        <v>0</v>
      </c>
      <c r="I56" s="22">
        <f>SUM([1]Inicio:Final!O55)</f>
        <v>0</v>
      </c>
      <c r="J56" s="22">
        <f>SUM([1]Inicio:Final!P55)</f>
        <v>144000</v>
      </c>
      <c r="K56" s="22">
        <f>SUM([1]Inicio:Final!Q55)</f>
        <v>2615000</v>
      </c>
      <c r="L56" s="22">
        <f>SUM([1]Inicio:Final!R55)</f>
        <v>73354</v>
      </c>
      <c r="M56" s="22">
        <f>SUM([1]Inicio:Final!S55)</f>
        <v>4636450</v>
      </c>
      <c r="N56" s="22">
        <f>SUM([1]Inicio:Final!V55)</f>
        <v>5819569</v>
      </c>
      <c r="O56" s="25">
        <f>SUM([1]Inicio:Final!W55)</f>
        <v>17025441.539999999</v>
      </c>
    </row>
    <row r="57" spans="1:15" ht="15.75" hidden="1" thickBot="1" x14ac:dyDescent="0.3">
      <c r="A57" s="20"/>
      <c r="B57" s="21" t="s">
        <v>24</v>
      </c>
      <c r="C57" s="22">
        <f>SUM([1]Inicio:Final!E56)</f>
        <v>7475</v>
      </c>
      <c r="D57" s="22">
        <f>SUM([1]Inicio:Final!G56)</f>
        <v>470925</v>
      </c>
      <c r="E57" s="22">
        <f>SUM([1]Inicio:Final!J56)</f>
        <v>3268</v>
      </c>
      <c r="F57" s="22">
        <f>SUM([1]Inicio:Final!L56)</f>
        <v>1176480</v>
      </c>
      <c r="G57" s="22">
        <f>SUM([1]Inicio:Final!M56)</f>
        <v>4000</v>
      </c>
      <c r="H57" s="22">
        <f>SUM([1]Inicio:Final!N56)</f>
        <v>0</v>
      </c>
      <c r="I57" s="22">
        <f>SUM([1]Inicio:Final!O56)</f>
        <v>0</v>
      </c>
      <c r="J57" s="22">
        <f>SUM([1]Inicio:Final!P56)</f>
        <v>144000</v>
      </c>
      <c r="K57" s="22">
        <f>SUM([1]Inicio:Final!Q56)</f>
        <v>2615000</v>
      </c>
      <c r="L57" s="22">
        <f>SUM([1]Inicio:Final!R56)</f>
        <v>73526</v>
      </c>
      <c r="M57" s="22">
        <f>SUM([1]Inicio:Final!S56)</f>
        <v>4330405</v>
      </c>
      <c r="N57" s="22">
        <f>SUM([1]Inicio:Final!V56)</f>
        <v>2470539</v>
      </c>
      <c r="O57" s="25">
        <f>SUM([1]Inicio:Final!W56)</f>
        <v>18442992.539999995</v>
      </c>
    </row>
    <row r="58" spans="1:15" ht="15.75" hidden="1" thickBot="1" x14ac:dyDescent="0.3">
      <c r="A58" s="20"/>
      <c r="B58" s="21" t="s">
        <v>25</v>
      </c>
      <c r="C58" s="22">
        <f>SUM([1]Inicio:Final!E57)</f>
        <v>4532</v>
      </c>
      <c r="D58" s="22">
        <f>SUM([1]Inicio:Final!G57)</f>
        <v>285516</v>
      </c>
      <c r="E58" s="22">
        <f>SUM([1]Inicio:Final!J57)</f>
        <v>2051</v>
      </c>
      <c r="F58" s="22">
        <f>SUM([1]Inicio:Final!L57)</f>
        <v>738360</v>
      </c>
      <c r="G58" s="22">
        <f>SUM([1]Inicio:Final!M57)</f>
        <v>4000</v>
      </c>
      <c r="H58" s="22">
        <f>SUM([1]Inicio:Final!N57)</f>
        <v>0</v>
      </c>
      <c r="I58" s="22">
        <f>SUM([1]Inicio:Final!O57)</f>
        <v>0</v>
      </c>
      <c r="J58" s="22">
        <f>SUM([1]Inicio:Final!P57)</f>
        <v>144000</v>
      </c>
      <c r="K58" s="22">
        <f>SUM([1]Inicio:Final!Q57)</f>
        <v>2576000</v>
      </c>
      <c r="L58" s="22">
        <f>SUM([1]Inicio:Final!R57)</f>
        <v>73492</v>
      </c>
      <c r="M58" s="22">
        <f>SUM([1]Inicio:Final!S57)</f>
        <v>3667876</v>
      </c>
      <c r="N58" s="22">
        <f>SUM([1]Inicio:Final!V57)</f>
        <v>5565324</v>
      </c>
      <c r="O58" s="25">
        <f>SUM([1]Inicio:Final!W57)</f>
        <v>16419669.539999997</v>
      </c>
    </row>
    <row r="59" spans="1:15" ht="15.75" hidden="1" thickBot="1" x14ac:dyDescent="0.3">
      <c r="A59" s="20"/>
      <c r="B59" s="21" t="s">
        <v>26</v>
      </c>
      <c r="C59" s="22">
        <f>SUM([1]Inicio:Final!E58)</f>
        <v>5264</v>
      </c>
      <c r="D59" s="22">
        <f>SUM([1]Inicio:Final!G58)</f>
        <v>331632</v>
      </c>
      <c r="E59" s="22">
        <f>SUM([1]Inicio:Final!J58)</f>
        <v>2002</v>
      </c>
      <c r="F59" s="22">
        <f>SUM([1]Inicio:Final!L58)</f>
        <v>720720</v>
      </c>
      <c r="G59" s="22">
        <f>SUM([1]Inicio:Final!M58)</f>
        <v>4000</v>
      </c>
      <c r="H59" s="22">
        <f>SUM([1]Inicio:Final!N58)</f>
        <v>0</v>
      </c>
      <c r="I59" s="22">
        <f>SUM([1]Inicio:Final!O58)</f>
        <v>0</v>
      </c>
      <c r="J59" s="22">
        <f>SUM([1]Inicio:Final!P58)</f>
        <v>144000</v>
      </c>
      <c r="K59" s="22">
        <f>SUM([1]Inicio:Final!Q58)</f>
        <v>2622000</v>
      </c>
      <c r="L59" s="22">
        <f>SUM([1]Inicio:Final!R58)</f>
        <v>73654</v>
      </c>
      <c r="M59" s="22">
        <f>SUM([1]Inicio:Final!S58)</f>
        <v>3742352</v>
      </c>
      <c r="N59" s="22">
        <f>SUM([1]Inicio:Final!V58)</f>
        <v>3937025</v>
      </c>
      <c r="O59" s="25">
        <f>SUM([1]Inicio:Final!W58)</f>
        <v>14751745.5</v>
      </c>
    </row>
    <row r="60" spans="1:15" ht="15.75" hidden="1" thickBot="1" x14ac:dyDescent="0.3">
      <c r="A60" s="20"/>
      <c r="B60" s="21" t="s">
        <v>27</v>
      </c>
      <c r="C60" s="22">
        <f>SUM([1]Inicio:Final!E59)</f>
        <v>4197</v>
      </c>
      <c r="D60" s="22">
        <f>SUM([1]Inicio:Final!G59)</f>
        <v>264411</v>
      </c>
      <c r="E60" s="22">
        <f>SUM([1]Inicio:Final!J59)</f>
        <v>909</v>
      </c>
      <c r="F60" s="22">
        <f>SUM([1]Inicio:Final!L59)</f>
        <v>327600</v>
      </c>
      <c r="G60" s="22">
        <f>SUM([1]Inicio:Final!M59)</f>
        <v>4000</v>
      </c>
      <c r="H60" s="22">
        <f>SUM([1]Inicio:Final!N59)</f>
        <v>0</v>
      </c>
      <c r="I60" s="22">
        <f>SUM([1]Inicio:Final!O59)</f>
        <v>0</v>
      </c>
      <c r="J60" s="22">
        <f>SUM([1]Inicio:Final!P59)</f>
        <v>144000</v>
      </c>
      <c r="K60" s="22">
        <f>SUM([1]Inicio:Final!Q59)</f>
        <v>2622000</v>
      </c>
      <c r="L60" s="22">
        <f>SUM([1]Inicio:Final!R59)</f>
        <v>74056</v>
      </c>
      <c r="M60" s="22">
        <f>SUM([1]Inicio:Final!S59)</f>
        <v>3282011</v>
      </c>
      <c r="N60" s="22">
        <f>SUM([1]Inicio:Final!V59)</f>
        <v>3575065</v>
      </c>
      <c r="O60" s="25">
        <f>SUM([1]Inicio:Final!W59)</f>
        <v>14262019.5</v>
      </c>
    </row>
    <row r="61" spans="1:15" ht="15.75" hidden="1" thickBot="1" x14ac:dyDescent="0.3">
      <c r="A61" s="20"/>
      <c r="B61" s="21" t="s">
        <v>28</v>
      </c>
      <c r="C61" s="22">
        <f>SUM([1]Inicio:Final!E60)</f>
        <v>3887</v>
      </c>
      <c r="D61" s="22">
        <f>SUM([1]Inicio:Final!G60)</f>
        <v>244881</v>
      </c>
      <c r="E61" s="22">
        <f>SUM([1]Inicio:Final!J60)</f>
        <v>289</v>
      </c>
      <c r="F61" s="22">
        <f>SUM([1]Inicio:Final!L60)</f>
        <v>104040</v>
      </c>
      <c r="G61" s="22">
        <f>SUM([1]Inicio:Final!M60)</f>
        <v>4000</v>
      </c>
      <c r="H61" s="22">
        <f>SUM([1]Inicio:Final!N60)</f>
        <v>0</v>
      </c>
      <c r="I61" s="22">
        <f>SUM([1]Inicio:Final!O60)</f>
        <v>0</v>
      </c>
      <c r="J61" s="22">
        <f>SUM([1]Inicio:Final!P60)</f>
        <v>144000</v>
      </c>
      <c r="K61" s="22">
        <f>SUM([1]Inicio:Final!Q60)</f>
        <v>2622000</v>
      </c>
      <c r="L61" s="22">
        <f>SUM([1]Inicio:Final!R60)</f>
        <v>74496</v>
      </c>
      <c r="M61" s="22">
        <f>SUM([1]Inicio:Final!S60)</f>
        <v>3038921</v>
      </c>
      <c r="N61" s="22">
        <f>SUM([1]Inicio:Final!V60)</f>
        <v>2574046</v>
      </c>
      <c r="O61" s="25">
        <f>SUM([1]Inicio:Final!W60)</f>
        <v>14301336.82</v>
      </c>
    </row>
    <row r="62" spans="1:15" ht="15.75" hidden="1" thickBot="1" x14ac:dyDescent="0.3">
      <c r="A62" s="20"/>
      <c r="B62" s="21" t="s">
        <v>29</v>
      </c>
      <c r="C62" s="22">
        <f>SUM([1]Inicio:Final!E61)</f>
        <v>3912</v>
      </c>
      <c r="D62" s="22">
        <f>SUM([1]Inicio:Final!G61)</f>
        <v>246456</v>
      </c>
      <c r="E62" s="22">
        <f>SUM([1]Inicio:Final!J61)</f>
        <v>311</v>
      </c>
      <c r="F62" s="22">
        <f>SUM([1]Inicio:Final!L61)</f>
        <v>111960</v>
      </c>
      <c r="G62" s="22">
        <f>SUM([1]Inicio:Final!M61)</f>
        <v>4000</v>
      </c>
      <c r="H62" s="22">
        <f>SUM([1]Inicio:Final!N61)</f>
        <v>0</v>
      </c>
      <c r="I62" s="22">
        <f>SUM([1]Inicio:Final!O61)</f>
        <v>0</v>
      </c>
      <c r="J62" s="22">
        <f>SUM([1]Inicio:Final!P61)</f>
        <v>144000</v>
      </c>
      <c r="K62" s="22">
        <f>SUM([1]Inicio:Final!Q61)</f>
        <v>2622000</v>
      </c>
      <c r="L62" s="22">
        <f>SUM([1]Inicio:Final!R61)</f>
        <v>75106</v>
      </c>
      <c r="M62" s="22">
        <f>SUM([1]Inicio:Final!S61)</f>
        <v>3074416</v>
      </c>
      <c r="N62" s="22">
        <f>SUM([1]Inicio:Final!V61)</f>
        <v>3291693</v>
      </c>
      <c r="O62" s="25">
        <f>SUM([1]Inicio:Final!W61)</f>
        <v>14100785.140000001</v>
      </c>
    </row>
    <row r="63" spans="1:15" ht="15.75" hidden="1" thickBot="1" x14ac:dyDescent="0.3">
      <c r="A63" s="20"/>
      <c r="B63" s="21" t="s">
        <v>30</v>
      </c>
      <c r="C63" s="22">
        <f>SUM([1]Inicio:Final!E62)</f>
        <v>3266</v>
      </c>
      <c r="D63" s="22">
        <f>SUM([1]Inicio:Final!G62)</f>
        <v>205806</v>
      </c>
      <c r="E63" s="22">
        <f>SUM([1]Inicio:Final!J62)</f>
        <v>251</v>
      </c>
      <c r="F63" s="22">
        <f>SUM([1]Inicio:Final!L62)</f>
        <v>90360</v>
      </c>
      <c r="G63" s="22">
        <f>SUM([1]Inicio:Final!M62)</f>
        <v>4000</v>
      </c>
      <c r="H63" s="22">
        <f>SUM([1]Inicio:Final!N62)</f>
        <v>0</v>
      </c>
      <c r="I63" s="22">
        <f>SUM([1]Inicio:Final!O62)</f>
        <v>0</v>
      </c>
      <c r="J63" s="22">
        <f>SUM([1]Inicio:Final!P62)</f>
        <v>44000</v>
      </c>
      <c r="K63" s="22">
        <f>SUM([1]Inicio:Final!Q62)</f>
        <v>2668000</v>
      </c>
      <c r="L63" s="22">
        <f>SUM([1]Inicio:Final!R62)</f>
        <v>75890</v>
      </c>
      <c r="M63" s="22">
        <f>SUM([1]Inicio:Final!S62)</f>
        <v>3012166</v>
      </c>
      <c r="N63" s="22">
        <f>SUM([1]Inicio:Final!V62)</f>
        <v>4230829</v>
      </c>
      <c r="O63" s="25">
        <f>SUM([1]Inicio:Final!W62)</f>
        <v>12763343.459999999</v>
      </c>
    </row>
    <row r="64" spans="1:15" ht="15.75" hidden="1" thickBot="1" x14ac:dyDescent="0.3">
      <c r="A64" s="20"/>
      <c r="B64" s="21" t="s">
        <v>31</v>
      </c>
      <c r="C64" s="22">
        <f>SUM([1]Inicio:Final!E63)</f>
        <v>4290</v>
      </c>
      <c r="D64" s="22">
        <f>SUM([1]Inicio:Final!G63)</f>
        <v>270270</v>
      </c>
      <c r="E64" s="22">
        <f>SUM([1]Inicio:Final!J63)</f>
        <v>947</v>
      </c>
      <c r="F64" s="22">
        <f>SUM([1]Inicio:Final!L63)</f>
        <v>340920</v>
      </c>
      <c r="G64" s="22">
        <f>SUM([1]Inicio:Final!M63)</f>
        <v>4000</v>
      </c>
      <c r="H64" s="22">
        <f>SUM([1]Inicio:Final!N63)</f>
        <v>0</v>
      </c>
      <c r="I64" s="22">
        <f>SUM([1]Inicio:Final!O63)</f>
        <v>0</v>
      </c>
      <c r="J64" s="22">
        <f>SUM([1]Inicio:Final!P63)</f>
        <v>44000</v>
      </c>
      <c r="K64" s="22">
        <f>SUM([1]Inicio:Final!Q63)</f>
        <v>2668000</v>
      </c>
      <c r="L64" s="22">
        <f>SUM([1]Inicio:Final!R63)</f>
        <v>76716</v>
      </c>
      <c r="M64" s="22">
        <f>SUM([1]Inicio:Final!S63)</f>
        <v>3327190</v>
      </c>
      <c r="N64" s="22">
        <f>SUM([1]Inicio:Final!V63)</f>
        <v>5397799</v>
      </c>
      <c r="O64" s="25">
        <f>SUM([1]Inicio:Final!W63)</f>
        <v>11212412.779999999</v>
      </c>
    </row>
    <row r="65" spans="1:15" ht="15.75" hidden="1" thickBot="1" x14ac:dyDescent="0.3">
      <c r="A65" s="20"/>
      <c r="B65" s="21" t="s">
        <v>32</v>
      </c>
      <c r="C65" s="22">
        <f>SUM([1]Inicio:Final!E64)</f>
        <v>3802</v>
      </c>
      <c r="D65" s="22">
        <f>SUM([1]Inicio:Final!G64)</f>
        <v>296854</v>
      </c>
      <c r="E65" s="22">
        <f>SUM([1]Inicio:Final!J64)</f>
        <v>1866</v>
      </c>
      <c r="F65" s="22">
        <f>SUM([1]Inicio:Final!L64)</f>
        <v>671760</v>
      </c>
      <c r="G65" s="22">
        <f>SUM([1]Inicio:Final!M64)</f>
        <v>4000</v>
      </c>
      <c r="H65" s="22">
        <f>SUM([1]Inicio:Final!N64)</f>
        <v>0</v>
      </c>
      <c r="I65" s="22">
        <f>SUM([1]Inicio:Final!O64)</f>
        <v>0</v>
      </c>
      <c r="J65" s="22">
        <f>SUM([1]Inicio:Final!P64)</f>
        <v>44000</v>
      </c>
      <c r="K65" s="22">
        <f>SUM([1]Inicio:Final!Q64)</f>
        <v>2668000</v>
      </c>
      <c r="L65" s="22">
        <f>SUM([1]Inicio:Final!R64)</f>
        <v>126082</v>
      </c>
      <c r="M65" s="22">
        <f>SUM([1]Inicio:Final!S64)</f>
        <v>3684614</v>
      </c>
      <c r="N65" s="22">
        <f>SUM([1]Inicio:Final!V64)</f>
        <v>2886533</v>
      </c>
      <c r="O65" s="25">
        <f>SUM([1]Inicio:Final!W64)</f>
        <v>12089165.1</v>
      </c>
    </row>
    <row r="66" spans="1:15" ht="15.75" hidden="1" thickBot="1" x14ac:dyDescent="0.3">
      <c r="A66" s="20"/>
      <c r="B66" s="21" t="s">
        <v>33</v>
      </c>
      <c r="C66" s="22">
        <f>SUM([1]Inicio:Final!E65)</f>
        <v>6022</v>
      </c>
      <c r="D66" s="22">
        <f>SUM([1]Inicio:Final!G65)</f>
        <v>470826</v>
      </c>
      <c r="E66" s="22">
        <f>SUM([1]Inicio:Final!J65)</f>
        <v>3260</v>
      </c>
      <c r="F66" s="22">
        <f>SUM([1]Inicio:Final!L65)</f>
        <v>1173600</v>
      </c>
      <c r="G66" s="22">
        <f>SUM([1]Inicio:Final!M65)</f>
        <v>4000</v>
      </c>
      <c r="H66" s="22">
        <f>SUM([1]Inicio:Final!N65)</f>
        <v>0</v>
      </c>
      <c r="I66" s="22">
        <f>SUM([1]Inicio:Final!O65)</f>
        <v>0</v>
      </c>
      <c r="J66" s="22">
        <f>SUM([1]Inicio:Final!P65)</f>
        <v>48000</v>
      </c>
      <c r="K66" s="22">
        <f>SUM([1]Inicio:Final!Q65)</f>
        <v>2668000</v>
      </c>
      <c r="L66" s="22">
        <f>SUM([1]Inicio:Final!R65)</f>
        <v>165000</v>
      </c>
      <c r="M66" s="22">
        <f>SUM([1]Inicio:Final!S65)</f>
        <v>4364426</v>
      </c>
      <c r="N66" s="22">
        <f>SUM([1]Inicio:Final!V65)</f>
        <v>2645481</v>
      </c>
      <c r="O66" s="25">
        <f>SUM([1]Inicio:Final!W65)</f>
        <v>13686665.42</v>
      </c>
    </row>
    <row r="67" spans="1:15" ht="15.75" hidden="1" thickBot="1" x14ac:dyDescent="0.3">
      <c r="A67" s="20"/>
      <c r="B67" s="21" t="s">
        <v>34</v>
      </c>
      <c r="C67" s="22">
        <f>SUM([1]Inicio:Final!E66)</f>
        <v>4098</v>
      </c>
      <c r="D67" s="22">
        <f>SUM([1]Inicio:Final!G66)</f>
        <v>319878</v>
      </c>
      <c r="E67" s="22">
        <f>SUM([1]Inicio:Final!J66)</f>
        <v>2505</v>
      </c>
      <c r="F67" s="22">
        <f>SUM([1]Inicio:Final!L66)</f>
        <v>901800</v>
      </c>
      <c r="G67" s="22">
        <f>SUM([1]Inicio:Final!M66)</f>
        <v>4000</v>
      </c>
      <c r="H67" s="22">
        <f>SUM([1]Inicio:Final!N66)</f>
        <v>0</v>
      </c>
      <c r="I67" s="22">
        <f>SUM([1]Inicio:Final!O66)</f>
        <v>0</v>
      </c>
      <c r="J67" s="22">
        <f>SUM([1]Inicio:Final!P66)</f>
        <v>48000</v>
      </c>
      <c r="K67" s="22">
        <f>SUM([1]Inicio:Final!Q66)</f>
        <v>2668000</v>
      </c>
      <c r="L67" s="22">
        <f>SUM([1]Inicio:Final!R66)</f>
        <v>193669</v>
      </c>
      <c r="M67" s="22">
        <f>SUM([1]Inicio:Final!S66)</f>
        <v>3941678</v>
      </c>
      <c r="N67" s="22">
        <f>SUM([1]Inicio:Final!V66)</f>
        <v>2940678</v>
      </c>
      <c r="O67" s="25">
        <f>SUM([1]Inicio:Final!W66)</f>
        <v>14753928.74</v>
      </c>
    </row>
    <row r="68" spans="1:15" ht="15.75" hidden="1" thickBot="1" x14ac:dyDescent="0.3">
      <c r="A68" s="20">
        <v>2008</v>
      </c>
      <c r="B68" s="21" t="s">
        <v>35</v>
      </c>
      <c r="C68" s="22">
        <f>SUM([1]Inicio:Final!E67)</f>
        <v>10017</v>
      </c>
      <c r="D68" s="22">
        <f>SUM([1]Inicio:Final!G67)</f>
        <v>876879</v>
      </c>
      <c r="E68" s="22">
        <f>SUM([1]Inicio:Final!J67)</f>
        <v>5769</v>
      </c>
      <c r="F68" s="22">
        <f>SUM([1]Inicio:Final!L67)</f>
        <v>2076840</v>
      </c>
      <c r="G68" s="22">
        <f>SUM([1]Inicio:Final!M67)</f>
        <v>4000</v>
      </c>
      <c r="H68" s="22">
        <f>SUM([1]Inicio:Final!N67)</f>
        <v>0</v>
      </c>
      <c r="I68" s="22">
        <f>SUM([1]Inicio:Final!O67)</f>
        <v>0</v>
      </c>
      <c r="J68" s="22">
        <f>SUM([1]Inicio:Final!P67)</f>
        <v>48000</v>
      </c>
      <c r="K68" s="22">
        <f>SUM([1]Inicio:Final!Q67)</f>
        <v>2760000</v>
      </c>
      <c r="L68" s="22">
        <f>SUM([1]Inicio:Final!R67)</f>
        <v>200530</v>
      </c>
      <c r="M68" s="22">
        <f>SUM([1]Inicio:Final!S67)</f>
        <v>5765719</v>
      </c>
      <c r="N68" s="22">
        <f>SUM([1]Inicio:Final!V67)</f>
        <v>5014803</v>
      </c>
      <c r="O68" s="25">
        <f>SUM([1]Inicio:Final!W67)</f>
        <v>15538344.059999999</v>
      </c>
    </row>
    <row r="69" spans="1:15" ht="15.75" hidden="1" thickBot="1" x14ac:dyDescent="0.3">
      <c r="A69" s="20"/>
      <c r="B69" s="21" t="s">
        <v>24</v>
      </c>
      <c r="C69" s="22">
        <f>SUM([1]Inicio:Final!E68)</f>
        <v>4879</v>
      </c>
      <c r="D69" s="22">
        <f>SUM([1]Inicio:Final!G68)</f>
        <v>434426</v>
      </c>
      <c r="E69" s="22">
        <f>SUM([1]Inicio:Final!J68)</f>
        <v>2333</v>
      </c>
      <c r="F69" s="22">
        <f>SUM([1]Inicio:Final!L68)</f>
        <v>839880</v>
      </c>
      <c r="G69" s="22">
        <f>SUM([1]Inicio:Final!M68)</f>
        <v>4000</v>
      </c>
      <c r="H69" s="22">
        <f>SUM([1]Inicio:Final!N68)</f>
        <v>0</v>
      </c>
      <c r="I69" s="22">
        <f>SUM([1]Inicio:Final!O68)</f>
        <v>0</v>
      </c>
      <c r="J69" s="22">
        <f>SUM([1]Inicio:Final!P68)</f>
        <v>48000</v>
      </c>
      <c r="K69" s="22">
        <f>SUM([1]Inicio:Final!Q68)</f>
        <v>2760000</v>
      </c>
      <c r="L69" s="22">
        <f>SUM([1]Inicio:Final!R68)</f>
        <v>183400</v>
      </c>
      <c r="M69" s="22">
        <f>SUM([1]Inicio:Final!S68)</f>
        <v>4086306</v>
      </c>
      <c r="N69" s="22">
        <f>SUM([1]Inicio:Final!V68)</f>
        <v>3403278</v>
      </c>
      <c r="O69" s="25">
        <f>SUM([1]Inicio:Final!W68)</f>
        <v>16362208.380000001</v>
      </c>
    </row>
    <row r="70" spans="1:15" ht="15.75" hidden="1" thickBot="1" x14ac:dyDescent="0.3">
      <c r="A70" s="20"/>
      <c r="B70" s="21" t="s">
        <v>25</v>
      </c>
      <c r="C70" s="22">
        <f>SUM([1]Inicio:Final!E69)</f>
        <v>5016</v>
      </c>
      <c r="D70" s="22">
        <f>SUM([1]Inicio:Final!G69)</f>
        <v>554145</v>
      </c>
      <c r="E70" s="22">
        <f>SUM([1]Inicio:Final!J69)</f>
        <v>2323</v>
      </c>
      <c r="F70" s="22">
        <f>SUM([1]Inicio:Final!L69)</f>
        <v>836280</v>
      </c>
      <c r="G70" s="22">
        <f>SUM([1]Inicio:Final!M69)</f>
        <v>4000</v>
      </c>
      <c r="H70" s="22">
        <f>SUM([1]Inicio:Final!N69)</f>
        <v>0</v>
      </c>
      <c r="I70" s="22">
        <f>SUM([1]Inicio:Final!O69)</f>
        <v>0</v>
      </c>
      <c r="J70" s="22">
        <f>SUM([1]Inicio:Final!P69)</f>
        <v>48000</v>
      </c>
      <c r="K70" s="22">
        <f>SUM([1]Inicio:Final!Q69)</f>
        <v>2760000</v>
      </c>
      <c r="L70" s="22">
        <f>SUM([1]Inicio:Final!R69)</f>
        <v>192991</v>
      </c>
      <c r="M70" s="22">
        <f>SUM([1]Inicio:Final!S69)</f>
        <v>4202425</v>
      </c>
      <c r="N70" s="22">
        <f>SUM([1]Inicio:Final!V69)</f>
        <v>4963782</v>
      </c>
      <c r="O70" s="25">
        <f>SUM([1]Inicio:Final!W69)</f>
        <v>15476913.699999999</v>
      </c>
    </row>
    <row r="71" spans="1:15" ht="15.75" hidden="1" thickBot="1" x14ac:dyDescent="0.3">
      <c r="A71" s="20"/>
      <c r="B71" s="21" t="s">
        <v>26</v>
      </c>
      <c r="C71" s="22">
        <f>SUM([1]Inicio:Final!E70)</f>
        <v>6296</v>
      </c>
      <c r="D71" s="22">
        <f>SUM([1]Inicio:Final!G70)</f>
        <v>776542</v>
      </c>
      <c r="E71" s="22">
        <f>SUM([1]Inicio:Final!J70)</f>
        <v>2746</v>
      </c>
      <c r="F71" s="22">
        <f>SUM([1]Inicio:Final!L70)</f>
        <v>988560</v>
      </c>
      <c r="G71" s="22">
        <f>SUM([1]Inicio:Final!M70)</f>
        <v>4000</v>
      </c>
      <c r="H71" s="22">
        <f>SUM([1]Inicio:Final!N70)</f>
        <v>0</v>
      </c>
      <c r="I71" s="22">
        <f>SUM([1]Inicio:Final!O70)</f>
        <v>0</v>
      </c>
      <c r="J71" s="22">
        <f>SUM([1]Inicio:Final!P70)</f>
        <v>48000</v>
      </c>
      <c r="K71" s="22">
        <f>SUM([1]Inicio:Final!Q70)</f>
        <v>2760000</v>
      </c>
      <c r="L71" s="22">
        <f>SUM([1]Inicio:Final!R70)</f>
        <v>202551</v>
      </c>
      <c r="M71" s="22">
        <f>SUM([1]Inicio:Final!S70)</f>
        <v>4577102</v>
      </c>
      <c r="N71" s="22">
        <f>SUM([1]Inicio:Final!V70)</f>
        <v>4799319</v>
      </c>
      <c r="O71" s="25">
        <f>SUM([1]Inicio:Final!W70)</f>
        <v>14796152.699999999</v>
      </c>
    </row>
    <row r="72" spans="1:15" ht="15.75" hidden="1" thickBot="1" x14ac:dyDescent="0.3">
      <c r="A72" s="20"/>
      <c r="B72" s="21" t="s">
        <v>27</v>
      </c>
      <c r="C72" s="22">
        <f>SUM([1]Inicio:Final!E71)</f>
        <v>3996</v>
      </c>
      <c r="D72" s="22">
        <f>SUM([1]Inicio:Final!G71)</f>
        <v>401476</v>
      </c>
      <c r="E72" s="22">
        <f>SUM([1]Inicio:Final!J71)</f>
        <v>564</v>
      </c>
      <c r="F72" s="22">
        <f>SUM([1]Inicio:Final!L71)</f>
        <v>203040</v>
      </c>
      <c r="G72" s="22">
        <f>SUM([1]Inicio:Final!M71)</f>
        <v>4000</v>
      </c>
      <c r="H72" s="22">
        <f>SUM([1]Inicio:Final!N71)</f>
        <v>0</v>
      </c>
      <c r="I72" s="22">
        <f>SUM([1]Inicio:Final!O71)</f>
        <v>0</v>
      </c>
      <c r="J72" s="22">
        <f>SUM([1]Inicio:Final!P71)</f>
        <v>48000</v>
      </c>
      <c r="K72" s="22">
        <f>SUM([1]Inicio:Final!Q71)</f>
        <v>2760000</v>
      </c>
      <c r="L72" s="22">
        <f>SUM([1]Inicio:Final!R71)</f>
        <v>180386</v>
      </c>
      <c r="M72" s="22">
        <f>SUM([1]Inicio:Final!S71)</f>
        <v>3416516</v>
      </c>
      <c r="N72" s="22">
        <f>SUM([1]Inicio:Final!V71)</f>
        <v>3799080</v>
      </c>
      <c r="O72" s="25">
        <f>SUM([1]Inicio:Final!W71)</f>
        <v>14634800.699999999</v>
      </c>
    </row>
    <row r="73" spans="1:15" ht="15.75" hidden="1" thickBot="1" x14ac:dyDescent="0.3">
      <c r="A73" s="20"/>
      <c r="B73" s="21" t="s">
        <v>28</v>
      </c>
      <c r="C73" s="22">
        <f>SUM([1]Inicio:Final!E72)</f>
        <v>3834</v>
      </c>
      <c r="D73" s="22">
        <f>SUM([1]Inicio:Final!G72)</f>
        <v>398571</v>
      </c>
      <c r="E73" s="22">
        <f>SUM([1]Inicio:Final!J72)</f>
        <v>331</v>
      </c>
      <c r="F73" s="22">
        <f>SUM([1]Inicio:Final!L72)</f>
        <v>119160</v>
      </c>
      <c r="G73" s="22">
        <f>SUM([1]Inicio:Final!M72)</f>
        <v>4000</v>
      </c>
      <c r="H73" s="22">
        <f>SUM([1]Inicio:Final!N72)</f>
        <v>0</v>
      </c>
      <c r="I73" s="22">
        <f>SUM([1]Inicio:Final!O72)</f>
        <v>0</v>
      </c>
      <c r="J73" s="22">
        <f>SUM([1]Inicio:Final!P72)</f>
        <v>48000</v>
      </c>
      <c r="K73" s="22">
        <f>SUM([1]Inicio:Final!Q72)</f>
        <v>2760000</v>
      </c>
      <c r="L73" s="22">
        <f>SUM([1]Inicio:Final!R72)</f>
        <v>186683</v>
      </c>
      <c r="M73" s="22">
        <f>SUM([1]Inicio:Final!S72)</f>
        <v>3329731</v>
      </c>
      <c r="N73" s="22">
        <f>SUM([1]Inicio:Final!V72)</f>
        <v>2687276</v>
      </c>
      <c r="O73" s="25">
        <f>SUM([1]Inicio:Final!W72)</f>
        <v>14805372.699999999</v>
      </c>
    </row>
    <row r="74" spans="1:15" ht="15.75" hidden="1" thickBot="1" x14ac:dyDescent="0.3">
      <c r="A74" s="20"/>
      <c r="B74" s="21" t="s">
        <v>29</v>
      </c>
      <c r="C74" s="22">
        <f>SUM([1]Inicio:Final!E73)</f>
        <v>4640</v>
      </c>
      <c r="D74" s="22">
        <f>SUM([1]Inicio:Final!G73)</f>
        <v>519208</v>
      </c>
      <c r="E74" s="22">
        <f>SUM([1]Inicio:Final!J73)</f>
        <v>252</v>
      </c>
      <c r="F74" s="22">
        <f>SUM([1]Inicio:Final!L73)</f>
        <v>90720</v>
      </c>
      <c r="G74" s="22">
        <f>SUM([1]Inicio:Final!M73)</f>
        <v>0</v>
      </c>
      <c r="H74" s="22">
        <f>SUM([1]Inicio:Final!N73)</f>
        <v>0</v>
      </c>
      <c r="I74" s="22">
        <f>SUM([1]Inicio:Final!O73)</f>
        <v>0</v>
      </c>
      <c r="J74" s="22">
        <f>SUM([1]Inicio:Final!P73)</f>
        <v>48000</v>
      </c>
      <c r="K74" s="22">
        <f>SUM([1]Inicio:Final!Q73)</f>
        <v>2760000</v>
      </c>
      <c r="L74" s="22">
        <f>SUM([1]Inicio:Final!R73)</f>
        <v>203406</v>
      </c>
      <c r="M74" s="22">
        <f>SUM([1]Inicio:Final!S73)</f>
        <v>3417928</v>
      </c>
      <c r="N74" s="22">
        <f>SUM([1]Inicio:Final!V73)</f>
        <v>3155641</v>
      </c>
      <c r="O74" s="25">
        <f>SUM([1]Inicio:Final!W73)</f>
        <v>15158272.699999999</v>
      </c>
    </row>
    <row r="75" spans="1:15" ht="15.75" hidden="1" thickBot="1" x14ac:dyDescent="0.3">
      <c r="A75" s="20"/>
      <c r="B75" s="21" t="s">
        <v>30</v>
      </c>
      <c r="C75" s="22">
        <f>SUM([1]Inicio:Final!E74)</f>
        <v>3569</v>
      </c>
      <c r="D75" s="22">
        <f>SUM([1]Inicio:Final!G74)</f>
        <v>384078</v>
      </c>
      <c r="E75" s="22">
        <f>SUM([1]Inicio:Final!J74)</f>
        <v>428</v>
      </c>
      <c r="F75" s="22">
        <f>SUM([1]Inicio:Final!L74)</f>
        <v>154080</v>
      </c>
      <c r="G75" s="22">
        <f>SUM([1]Inicio:Final!M74)</f>
        <v>0</v>
      </c>
      <c r="H75" s="22">
        <f>SUM([1]Inicio:Final!N74)</f>
        <v>0</v>
      </c>
      <c r="I75" s="22">
        <f>SUM([1]Inicio:Final!O74)</f>
        <v>0</v>
      </c>
      <c r="J75" s="22">
        <f>SUM([1]Inicio:Final!P74)</f>
        <v>48000</v>
      </c>
      <c r="K75" s="22">
        <f>SUM([1]Inicio:Final!Q74)</f>
        <v>2760000</v>
      </c>
      <c r="L75" s="22">
        <f>SUM([1]Inicio:Final!R74)</f>
        <v>222192</v>
      </c>
      <c r="M75" s="22">
        <f>SUM([1]Inicio:Final!S74)</f>
        <v>3346158</v>
      </c>
      <c r="N75" s="22">
        <f>SUM([1]Inicio:Final!V74)</f>
        <v>2320017</v>
      </c>
      <c r="O75" s="25">
        <f>SUM([1]Inicio:Final!W74)</f>
        <v>16263653.699999999</v>
      </c>
    </row>
    <row r="76" spans="1:15" ht="15.75" hidden="1" thickBot="1" x14ac:dyDescent="0.3">
      <c r="A76" s="20"/>
      <c r="B76" s="21" t="s">
        <v>31</v>
      </c>
      <c r="C76" s="22">
        <f>SUM([1]Inicio:Final!E75)</f>
        <v>4260</v>
      </c>
      <c r="D76" s="22">
        <f>SUM([1]Inicio:Final!G75)</f>
        <v>469191</v>
      </c>
      <c r="E76" s="22">
        <f>SUM([1]Inicio:Final!J75)</f>
        <v>782</v>
      </c>
      <c r="F76" s="22">
        <f>SUM([1]Inicio:Final!L75)</f>
        <v>281520</v>
      </c>
      <c r="G76" s="22">
        <f>SUM([1]Inicio:Final!M75)</f>
        <v>0</v>
      </c>
      <c r="H76" s="22">
        <f>SUM([1]Inicio:Final!N75)</f>
        <v>0</v>
      </c>
      <c r="I76" s="22">
        <f>SUM([1]Inicio:Final!O75)</f>
        <v>0</v>
      </c>
      <c r="J76" s="22">
        <f>SUM([1]Inicio:Final!P75)</f>
        <v>48000</v>
      </c>
      <c r="K76" s="22">
        <f>SUM([1]Inicio:Final!Q75)</f>
        <v>2760000</v>
      </c>
      <c r="L76" s="22">
        <f>SUM([1]Inicio:Final!R75)</f>
        <v>220682</v>
      </c>
      <c r="M76" s="22">
        <f>SUM([1]Inicio:Final!S75)</f>
        <v>3558711</v>
      </c>
      <c r="N76" s="22">
        <f>SUM([1]Inicio:Final!V75)</f>
        <v>3077075</v>
      </c>
      <c r="O76" s="25">
        <f>SUM([1]Inicio:Final!W75)</f>
        <v>16787000.699999999</v>
      </c>
    </row>
    <row r="77" spans="1:15" ht="15.75" hidden="1" thickBot="1" x14ac:dyDescent="0.3">
      <c r="A77" s="20"/>
      <c r="B77" s="21" t="s">
        <v>32</v>
      </c>
      <c r="C77" s="22">
        <f>SUM([1]Inicio:Final!E76)</f>
        <v>5016</v>
      </c>
      <c r="D77" s="22">
        <f>SUM([1]Inicio:Final!G76)</f>
        <v>629252</v>
      </c>
      <c r="E77" s="22">
        <f>SUM([1]Inicio:Final!J76)</f>
        <v>2409</v>
      </c>
      <c r="F77" s="22">
        <f>SUM([1]Inicio:Final!L76)</f>
        <v>867240</v>
      </c>
      <c r="G77" s="22">
        <f>SUM([1]Inicio:Final!M76)</f>
        <v>0</v>
      </c>
      <c r="H77" s="22">
        <f>SUM([1]Inicio:Final!N76)</f>
        <v>0</v>
      </c>
      <c r="I77" s="22">
        <f>SUM([1]Inicio:Final!O76)</f>
        <v>0</v>
      </c>
      <c r="J77" s="22">
        <f>SUM([1]Inicio:Final!P76)</f>
        <v>48000</v>
      </c>
      <c r="K77" s="22">
        <f>SUM([1]Inicio:Final!Q76)</f>
        <v>2760000</v>
      </c>
      <c r="L77" s="22">
        <f>SUM([1]Inicio:Final!R76)</f>
        <v>372525</v>
      </c>
      <c r="M77" s="22">
        <f>SUM([1]Inicio:Final!S76)</f>
        <v>4304492</v>
      </c>
      <c r="N77" s="22">
        <f>SUM([1]Inicio:Final!V76)</f>
        <v>3736840</v>
      </c>
      <c r="O77" s="25">
        <f>SUM([1]Inicio:Final!W76)</f>
        <v>17574712.699999999</v>
      </c>
    </row>
    <row r="78" spans="1:15" ht="15.75" hidden="1" thickBot="1" x14ac:dyDescent="0.3">
      <c r="A78" s="20"/>
      <c r="B78" s="21" t="s">
        <v>33</v>
      </c>
      <c r="C78" s="22">
        <f>SUM([1]Inicio:Final!E77)</f>
        <v>4255</v>
      </c>
      <c r="D78" s="22">
        <f>SUM([1]Inicio:Final!G77)</f>
        <v>506342</v>
      </c>
      <c r="E78" s="22">
        <f>SUM([1]Inicio:Final!J77)</f>
        <v>2545</v>
      </c>
      <c r="F78" s="22">
        <f>SUM([1]Inicio:Final!L77)</f>
        <v>916200</v>
      </c>
      <c r="G78" s="22">
        <f>SUM([1]Inicio:Final!M77)</f>
        <v>0</v>
      </c>
      <c r="H78" s="22">
        <f>SUM([1]Inicio:Final!N77)</f>
        <v>0</v>
      </c>
      <c r="I78" s="22">
        <f>SUM([1]Inicio:Final!O77)</f>
        <v>0</v>
      </c>
      <c r="J78" s="22">
        <f>SUM([1]Inicio:Final!P77)</f>
        <v>48000</v>
      </c>
      <c r="K78" s="22">
        <f>SUM([1]Inicio:Final!Q77)</f>
        <v>2760000</v>
      </c>
      <c r="L78" s="22">
        <f>SUM([1]Inicio:Final!R77)</f>
        <v>382240</v>
      </c>
      <c r="M78" s="22">
        <f>SUM([1]Inicio:Final!S77)</f>
        <v>4230542</v>
      </c>
      <c r="N78" s="22">
        <f>SUM([1]Inicio:Final!V77)</f>
        <v>3795800</v>
      </c>
      <c r="O78" s="25">
        <f>SUM([1]Inicio:Final!W77)</f>
        <v>18233910.719999999</v>
      </c>
    </row>
    <row r="79" spans="1:15" ht="15.75" hidden="1" thickBot="1" x14ac:dyDescent="0.3">
      <c r="A79" s="20"/>
      <c r="B79" s="21" t="s">
        <v>34</v>
      </c>
      <c r="C79" s="22">
        <f>SUM([1]Inicio:Final!E78)</f>
        <v>7685</v>
      </c>
      <c r="D79" s="22">
        <f>SUM([1]Inicio:Final!G78)</f>
        <v>899923</v>
      </c>
      <c r="E79" s="22">
        <f>SUM([1]Inicio:Final!J78)</f>
        <v>3693</v>
      </c>
      <c r="F79" s="22">
        <f>SUM([1]Inicio:Final!L78)</f>
        <v>1340280</v>
      </c>
      <c r="G79" s="22">
        <f>SUM([1]Inicio:Final!M78)</f>
        <v>0</v>
      </c>
      <c r="H79" s="22">
        <f>SUM([1]Inicio:Final!N78)</f>
        <v>0</v>
      </c>
      <c r="I79" s="22">
        <f>SUM([1]Inicio:Final!O78)</f>
        <v>0</v>
      </c>
      <c r="J79" s="22">
        <f>SUM([1]Inicio:Final!P78)</f>
        <v>48000</v>
      </c>
      <c r="K79" s="22">
        <f>SUM([1]Inicio:Final!Q78)</f>
        <v>2760000</v>
      </c>
      <c r="L79" s="22">
        <f>SUM([1]Inicio:Final!R78)</f>
        <v>432991.67000000004</v>
      </c>
      <c r="M79" s="22">
        <f>SUM([1]Inicio:Final!S78)</f>
        <v>5048203</v>
      </c>
      <c r="N79" s="22">
        <f>SUM([1]Inicio:Final!V78)</f>
        <v>4987049.6900000004</v>
      </c>
      <c r="O79" s="25">
        <f>SUM([1]Inicio:Final!W78)</f>
        <v>18816449.579999998</v>
      </c>
    </row>
    <row r="80" spans="1:15" ht="15.75" hidden="1" thickBot="1" x14ac:dyDescent="0.3">
      <c r="A80" s="20">
        <v>2009</v>
      </c>
      <c r="B80" s="21" t="s">
        <v>35</v>
      </c>
      <c r="C80" s="22">
        <f>SUM([1]Inicio:Final!E79)</f>
        <v>7464</v>
      </c>
      <c r="D80" s="22">
        <f>SUM([1]Inicio:Final!G79)</f>
        <v>926528</v>
      </c>
      <c r="E80" s="22">
        <f>SUM([1]Inicio:Final!J79)</f>
        <v>3439</v>
      </c>
      <c r="F80" s="22">
        <f>SUM([1]Inicio:Final!L79)</f>
        <v>1238040</v>
      </c>
      <c r="G80" s="22">
        <f>SUM([1]Inicio:Final!M79)</f>
        <v>0</v>
      </c>
      <c r="H80" s="22">
        <f>SUM([1]Inicio:Final!N79)</f>
        <v>0</v>
      </c>
      <c r="I80" s="22">
        <f>SUM([1]Inicio:Final!O79)</f>
        <v>0</v>
      </c>
      <c r="J80" s="22">
        <f>SUM([1]Inicio:Final!P79)</f>
        <v>48000</v>
      </c>
      <c r="K80" s="22">
        <f>SUM([1]Inicio:Final!Q79)</f>
        <v>2760000</v>
      </c>
      <c r="L80" s="22">
        <f>SUM([1]Inicio:Final!R79)</f>
        <v>543775.57000000007</v>
      </c>
      <c r="M80" s="22">
        <f>SUM([1]Inicio:Final!S79)</f>
        <v>5014568</v>
      </c>
      <c r="N80" s="22">
        <f>SUM([1]Inicio:Final!V79)</f>
        <v>4479096</v>
      </c>
      <c r="O80" s="25">
        <f>SUM([1]Inicio:Final!W79)</f>
        <v>18445106.93</v>
      </c>
    </row>
    <row r="81" spans="1:15" ht="15.75" hidden="1" thickBot="1" x14ac:dyDescent="0.3">
      <c r="A81" s="20"/>
      <c r="B81" s="21" t="s">
        <v>24</v>
      </c>
      <c r="C81" s="22">
        <f>SUM([1]Inicio:Final!E80)</f>
        <v>8538</v>
      </c>
      <c r="D81" s="22">
        <f>SUM([1]Inicio:Final!G80)</f>
        <v>1111030</v>
      </c>
      <c r="E81" s="22">
        <f>SUM([1]Inicio:Final!J80)</f>
        <v>3280</v>
      </c>
      <c r="F81" s="22">
        <f>SUM([1]Inicio:Final!L80)</f>
        <v>1528560</v>
      </c>
      <c r="G81" s="22">
        <f>SUM([1]Inicio:Final!M80)</f>
        <v>0</v>
      </c>
      <c r="H81" s="22">
        <f>SUM([1]Inicio:Final!N80)</f>
        <v>0</v>
      </c>
      <c r="I81" s="22">
        <f>SUM([1]Inicio:Final!O80)</f>
        <v>12000</v>
      </c>
      <c r="J81" s="22">
        <f>SUM([1]Inicio:Final!P80)</f>
        <v>48000</v>
      </c>
      <c r="K81" s="22">
        <f>SUM([1]Inicio:Final!Q80)</f>
        <v>2760000</v>
      </c>
      <c r="L81" s="22">
        <f>SUM([1]Inicio:Final!R80)</f>
        <v>550832</v>
      </c>
      <c r="M81" s="22">
        <f>SUM([1]Inicio:Final!S80)</f>
        <v>5447590</v>
      </c>
      <c r="N81" s="22">
        <f>SUM([1]Inicio:Final!V80)</f>
        <v>4016209</v>
      </c>
      <c r="O81" s="25">
        <f>SUM([1]Inicio:Final!W80)</f>
        <v>20240992.519999996</v>
      </c>
    </row>
    <row r="82" spans="1:15" ht="15.75" hidden="1" thickBot="1" x14ac:dyDescent="0.3">
      <c r="A82" s="20"/>
      <c r="B82" s="21" t="s">
        <v>25</v>
      </c>
      <c r="C82" s="22">
        <f>SUM([1]Inicio:Final!E81)</f>
        <v>7456</v>
      </c>
      <c r="D82" s="22">
        <f>SUM([1]Inicio:Final!G81)</f>
        <v>970160</v>
      </c>
      <c r="E82" s="22">
        <f>SUM([1]Inicio:Final!J81)</f>
        <v>3428</v>
      </c>
      <c r="F82" s="22">
        <f>SUM([1]Inicio:Final!L81)</f>
        <v>1595520</v>
      </c>
      <c r="G82" s="22">
        <f>SUM([1]Inicio:Final!M81)</f>
        <v>0</v>
      </c>
      <c r="H82" s="22">
        <f>SUM([1]Inicio:Final!N81)</f>
        <v>0</v>
      </c>
      <c r="I82" s="22">
        <f>SUM([1]Inicio:Final!O81)</f>
        <v>0</v>
      </c>
      <c r="J82" s="22">
        <f>SUM([1]Inicio:Final!P81)</f>
        <v>44000</v>
      </c>
      <c r="K82" s="22">
        <f>SUM([1]Inicio:Final!Q81)</f>
        <v>2760000</v>
      </c>
      <c r="L82" s="22">
        <f>SUM([1]Inicio:Final!R81)</f>
        <v>502180</v>
      </c>
      <c r="M82" s="22">
        <f>SUM([1]Inicio:Final!S81)</f>
        <v>5369680</v>
      </c>
      <c r="N82" s="22">
        <f>SUM([1]Inicio:Final!V81)</f>
        <v>5326798</v>
      </c>
      <c r="O82" s="25">
        <f>SUM([1]Inicio:Final!W81)</f>
        <v>20604896.519999996</v>
      </c>
    </row>
    <row r="83" spans="1:15" ht="15.75" hidden="1" thickBot="1" x14ac:dyDescent="0.3">
      <c r="A83" s="20"/>
      <c r="B83" s="21" t="s">
        <v>26</v>
      </c>
      <c r="C83" s="22">
        <f>SUM([1]Inicio:Final!E82)</f>
        <v>5077</v>
      </c>
      <c r="D83" s="22">
        <f>SUM([1]Inicio:Final!G82)</f>
        <v>713918</v>
      </c>
      <c r="E83" s="22">
        <f>SUM([1]Inicio:Final!J82)</f>
        <v>2238</v>
      </c>
      <c r="F83" s="22">
        <f>SUM([1]Inicio:Final!L82)</f>
        <v>884520</v>
      </c>
      <c r="G83" s="22">
        <f>SUM([1]Inicio:Final!M82)</f>
        <v>0</v>
      </c>
      <c r="H83" s="22">
        <f>SUM([1]Inicio:Final!N82)</f>
        <v>0</v>
      </c>
      <c r="I83" s="22">
        <f>SUM([1]Inicio:Final!O82)</f>
        <v>0</v>
      </c>
      <c r="J83" s="22">
        <f>SUM([1]Inicio:Final!P82)</f>
        <v>48000</v>
      </c>
      <c r="K83" s="22">
        <f>SUM([1]Inicio:Final!Q82)</f>
        <v>2760000</v>
      </c>
      <c r="L83" s="22">
        <f>SUM([1]Inicio:Final!R82)</f>
        <v>579844</v>
      </c>
      <c r="M83" s="22">
        <f>SUM([1]Inicio:Final!S82)</f>
        <v>4410438</v>
      </c>
      <c r="N83" s="22">
        <f>SUM([1]Inicio:Final!V82)</f>
        <v>5660345.9589999998</v>
      </c>
      <c r="O83" s="25">
        <f>SUM([1]Inicio:Final!W82)</f>
        <v>19565182.500999995</v>
      </c>
    </row>
    <row r="84" spans="1:15" ht="15.75" hidden="1" thickBot="1" x14ac:dyDescent="0.3">
      <c r="A84" s="20"/>
      <c r="B84" s="21" t="s">
        <v>27</v>
      </c>
      <c r="C84" s="22">
        <f>SUM([1]Inicio:Final!E83)</f>
        <v>4491</v>
      </c>
      <c r="D84" s="22">
        <f>SUM([1]Inicio:Final!G83)</f>
        <v>655674</v>
      </c>
      <c r="E84" s="22">
        <f>SUM([1]Inicio:Final!J83)</f>
        <v>1073</v>
      </c>
      <c r="F84" s="22">
        <f>SUM([1]Inicio:Final!L83)</f>
        <v>386280</v>
      </c>
      <c r="G84" s="22">
        <f>SUM([1]Inicio:Final!M83)</f>
        <v>0</v>
      </c>
      <c r="H84" s="22">
        <f>SUM([1]Inicio:Final!N83)</f>
        <v>0</v>
      </c>
      <c r="I84" s="22">
        <f>SUM([1]Inicio:Final!O83)</f>
        <v>0</v>
      </c>
      <c r="J84" s="22">
        <f>SUM([1]Inicio:Final!P83)</f>
        <v>60000</v>
      </c>
      <c r="K84" s="22">
        <f>SUM([1]Inicio:Final!Q83)</f>
        <v>2760000</v>
      </c>
      <c r="L84" s="22">
        <f>SUM([1]Inicio:Final!R83)</f>
        <v>466105</v>
      </c>
      <c r="M84" s="22">
        <f>SUM([1]Inicio:Final!S83)</f>
        <v>3861954</v>
      </c>
      <c r="N84" s="22">
        <f>SUM([1]Inicio:Final!V83)</f>
        <v>2924305</v>
      </c>
      <c r="O84" s="25">
        <f>SUM([1]Inicio:Final!W83)</f>
        <v>21061718.500999995</v>
      </c>
    </row>
    <row r="85" spans="1:15" ht="15.75" hidden="1" thickBot="1" x14ac:dyDescent="0.3">
      <c r="A85" s="20"/>
      <c r="B85" s="21" t="s">
        <v>28</v>
      </c>
      <c r="C85" s="22">
        <f>SUM([1]Inicio:Final!E84)</f>
        <v>5934</v>
      </c>
      <c r="D85" s="22">
        <f>SUM([1]Inicio:Final!G84)</f>
        <v>866364</v>
      </c>
      <c r="E85" s="22">
        <f>SUM([1]Inicio:Final!J84)</f>
        <v>737</v>
      </c>
      <c r="F85" s="22">
        <f>SUM([1]Inicio:Final!L84)</f>
        <v>265320</v>
      </c>
      <c r="G85" s="22">
        <f>SUM([1]Inicio:Final!M84)</f>
        <v>0</v>
      </c>
      <c r="H85" s="22">
        <f>SUM([1]Inicio:Final!N84)</f>
        <v>0</v>
      </c>
      <c r="I85" s="22">
        <f>SUM([1]Inicio:Final!O84)</f>
        <v>0</v>
      </c>
      <c r="J85" s="22">
        <f>SUM([1]Inicio:Final!P84)</f>
        <v>60000</v>
      </c>
      <c r="K85" s="22">
        <f>SUM([1]Inicio:Final!Q84)</f>
        <v>2770000</v>
      </c>
      <c r="L85" s="22">
        <f>SUM([1]Inicio:Final!R84)</f>
        <v>491222</v>
      </c>
      <c r="M85" s="22">
        <f>SUM([1]Inicio:Final!S84)</f>
        <v>3986698</v>
      </c>
      <c r="N85" s="22">
        <f>SUM([1]Inicio:Final!V84)</f>
        <v>4312775</v>
      </c>
      <c r="O85" s="25">
        <f>SUM([1]Inicio:Final!W84)</f>
        <v>20720071.500999995</v>
      </c>
    </row>
    <row r="86" spans="1:15" ht="15.75" hidden="1" thickBot="1" x14ac:dyDescent="0.3">
      <c r="A86" s="20"/>
      <c r="B86" s="21" t="s">
        <v>29</v>
      </c>
      <c r="C86" s="22">
        <f>SUM([1]Inicio:Final!E85)</f>
        <v>4864</v>
      </c>
      <c r="D86" s="22">
        <f>SUM([1]Inicio:Final!G85)</f>
        <v>710144</v>
      </c>
      <c r="E86" s="22">
        <f>SUM([1]Inicio:Final!J85)</f>
        <v>347</v>
      </c>
      <c r="F86" s="22">
        <f>SUM([1]Inicio:Final!L85)</f>
        <v>124920</v>
      </c>
      <c r="G86" s="22">
        <f>SUM([1]Inicio:Final!M85)</f>
        <v>0</v>
      </c>
      <c r="H86" s="22">
        <f>SUM([1]Inicio:Final!N85)</f>
        <v>0</v>
      </c>
      <c r="I86" s="22">
        <f>SUM([1]Inicio:Final!O85)</f>
        <v>12000</v>
      </c>
      <c r="J86" s="22">
        <f>SUM([1]Inicio:Final!P85)</f>
        <v>68000</v>
      </c>
      <c r="K86" s="22">
        <f>SUM([1]Inicio:Final!Q85)</f>
        <v>2760000</v>
      </c>
      <c r="L86" s="22">
        <f>SUM([1]Inicio:Final!R85)</f>
        <v>482501</v>
      </c>
      <c r="M86" s="22">
        <f>SUM([1]Inicio:Final!S85)</f>
        <v>3959064</v>
      </c>
      <c r="N86" s="22">
        <f>SUM([1]Inicio:Final!V85)</f>
        <v>3753933</v>
      </c>
      <c r="O86" s="25">
        <f>SUM([1]Inicio:Final!W85)</f>
        <v>24293910.500999995</v>
      </c>
    </row>
    <row r="87" spans="1:15" ht="15.75" hidden="1" thickBot="1" x14ac:dyDescent="0.3">
      <c r="A87" s="20"/>
      <c r="B87" s="21" t="s">
        <v>30</v>
      </c>
      <c r="C87" s="22">
        <f>SUM([1]Inicio:Final!E86)</f>
        <v>4673</v>
      </c>
      <c r="D87" s="22">
        <f>SUM([1]Inicio:Final!G86)</f>
        <v>682258</v>
      </c>
      <c r="E87" s="22">
        <f>SUM([1]Inicio:Final!J86)</f>
        <v>-5498</v>
      </c>
      <c r="F87" s="22">
        <f>SUM([1]Inicio:Final!L86)</f>
        <v>-1979280</v>
      </c>
      <c r="G87" s="22">
        <f>SUM([1]Inicio:Final!M86)</f>
        <v>0</v>
      </c>
      <c r="H87" s="22">
        <f>SUM([1]Inicio:Final!N86)</f>
        <v>0</v>
      </c>
      <c r="I87" s="22">
        <f>SUM([1]Inicio:Final!O86)</f>
        <v>0</v>
      </c>
      <c r="J87" s="22">
        <f>SUM([1]Inicio:Final!P86)</f>
        <v>60000</v>
      </c>
      <c r="K87" s="22">
        <f>SUM([1]Inicio:Final!Q86)</f>
        <v>3330000</v>
      </c>
      <c r="L87" s="22">
        <f>SUM([1]Inicio:Final!R86)</f>
        <v>478089</v>
      </c>
      <c r="M87" s="22">
        <f>SUM([1]Inicio:Final!S86)</f>
        <v>1792978</v>
      </c>
      <c r="N87" s="22">
        <f>SUM([1]Inicio:Final!V86)</f>
        <v>3488931</v>
      </c>
      <c r="O87" s="25">
        <f>SUM([1]Inicio:Final!W86)</f>
        <v>24847428.500999995</v>
      </c>
    </row>
    <row r="88" spans="1:15" ht="15.75" hidden="1" thickBot="1" x14ac:dyDescent="0.3">
      <c r="A88" s="20"/>
      <c r="B88" s="21" t="s">
        <v>31</v>
      </c>
      <c r="C88" s="22">
        <f>SUM([1]Inicio:Final!E87)</f>
        <v>6746</v>
      </c>
      <c r="D88" s="22">
        <f>SUM([1]Inicio:Final!G87)</f>
        <v>984916</v>
      </c>
      <c r="E88" s="22">
        <f>SUM([1]Inicio:Final!J87)</f>
        <v>838</v>
      </c>
      <c r="F88" s="22">
        <f>SUM([1]Inicio:Final!L87)</f>
        <v>328860</v>
      </c>
      <c r="G88" s="22">
        <f>SUM([1]Inicio:Final!M87)</f>
        <v>0</v>
      </c>
      <c r="H88" s="22">
        <f>SUM([1]Inicio:Final!N87)</f>
        <v>0</v>
      </c>
      <c r="I88" s="22">
        <f>SUM([1]Inicio:Final!O87)</f>
        <v>0</v>
      </c>
      <c r="J88" s="22">
        <f>SUM([1]Inicio:Final!P87)</f>
        <v>48000</v>
      </c>
      <c r="K88" s="22">
        <f>SUM([1]Inicio:Final!Q87)</f>
        <v>2770000</v>
      </c>
      <c r="L88" s="22">
        <f>SUM([1]Inicio:Final!R87)</f>
        <v>521582</v>
      </c>
      <c r="M88" s="22">
        <f>SUM([1]Inicio:Final!S87)</f>
        <v>4131776</v>
      </c>
      <c r="N88" s="22">
        <f>SUM([1]Inicio:Final!V87)</f>
        <v>2974471</v>
      </c>
      <c r="O88" s="25">
        <f>SUM([1]Inicio:Final!W87)</f>
        <v>26394853.500999995</v>
      </c>
    </row>
    <row r="89" spans="1:15" ht="15.75" hidden="1" thickBot="1" x14ac:dyDescent="0.3">
      <c r="A89" s="20"/>
      <c r="B89" s="21" t="s">
        <v>32</v>
      </c>
      <c r="C89" s="22">
        <f>SUM([1]Inicio:Final!E88)</f>
        <v>5633</v>
      </c>
      <c r="D89" s="22">
        <f>SUM([1]Inicio:Final!G88)</f>
        <v>835801</v>
      </c>
      <c r="E89" s="22">
        <f>SUM([1]Inicio:Final!J88)</f>
        <v>1965</v>
      </c>
      <c r="F89" s="22">
        <f>SUM([1]Inicio:Final!L88)</f>
        <v>755280</v>
      </c>
      <c r="G89" s="22">
        <f>SUM([1]Inicio:Final!M88)</f>
        <v>0</v>
      </c>
      <c r="H89" s="22">
        <f>SUM([1]Inicio:Final!N88)</f>
        <v>0</v>
      </c>
      <c r="I89" s="22">
        <f>SUM([1]Inicio:Final!O88)</f>
        <v>0</v>
      </c>
      <c r="J89" s="22">
        <f>SUM([1]Inicio:Final!P88)</f>
        <v>52000</v>
      </c>
      <c r="K89" s="22">
        <f>SUM([1]Inicio:Final!Q88)</f>
        <v>2770000</v>
      </c>
      <c r="L89" s="22">
        <f>SUM([1]Inicio:Final!R88)</f>
        <v>485840</v>
      </c>
      <c r="M89" s="22">
        <f>SUM([1]Inicio:Final!S88)</f>
        <v>4413081</v>
      </c>
      <c r="N89" s="22">
        <f>SUM([1]Inicio:Final!V88)</f>
        <v>4126239</v>
      </c>
      <c r="O89" s="25">
        <f>SUM([1]Inicio:Final!W88)</f>
        <v>26903661.500999995</v>
      </c>
    </row>
    <row r="90" spans="1:15" ht="15.75" hidden="1" thickBot="1" x14ac:dyDescent="0.3">
      <c r="A90" s="20"/>
      <c r="B90" s="21" t="s">
        <v>33</v>
      </c>
      <c r="C90" s="22">
        <f>SUM([1]Inicio:Final!E89)</f>
        <v>5894</v>
      </c>
      <c r="D90" s="22">
        <f>SUM([1]Inicio:Final!G89)</f>
        <v>860524</v>
      </c>
      <c r="E90" s="22">
        <f>SUM([1]Inicio:Final!J89)</f>
        <v>2587</v>
      </c>
      <c r="F90" s="22">
        <f>SUM([1]Inicio:Final!L89)</f>
        <v>1028160</v>
      </c>
      <c r="G90" s="22">
        <f>SUM([1]Inicio:Final!M89)</f>
        <v>0</v>
      </c>
      <c r="H90" s="22">
        <f>SUM([1]Inicio:Final!N89)</f>
        <v>0</v>
      </c>
      <c r="I90" s="22">
        <f>SUM([1]Inicio:Final!O89)</f>
        <v>0</v>
      </c>
      <c r="J90" s="22">
        <f>SUM([1]Inicio:Final!P89)</f>
        <v>56000</v>
      </c>
      <c r="K90" s="22">
        <f>SUM([1]Inicio:Final!Q89)</f>
        <v>2769000</v>
      </c>
      <c r="L90" s="22">
        <f>SUM([1]Inicio:Final!R89)</f>
        <v>711597</v>
      </c>
      <c r="M90" s="22">
        <f>SUM([1]Inicio:Final!S89)</f>
        <v>4730078</v>
      </c>
      <c r="N90" s="22">
        <f>SUM([1]Inicio:Final!V89)</f>
        <v>4350499</v>
      </c>
      <c r="O90" s="25">
        <f>SUM([1]Inicio:Final!W89)</f>
        <v>27808982.300999995</v>
      </c>
    </row>
    <row r="91" spans="1:15" ht="15.75" hidden="1" thickBot="1" x14ac:dyDescent="0.3">
      <c r="A91" s="20"/>
      <c r="B91" s="21" t="s">
        <v>34</v>
      </c>
      <c r="C91" s="22">
        <f>SUM([1]Inicio:Final!E90)</f>
        <v>7627</v>
      </c>
      <c r="D91" s="22">
        <f>SUM([1]Inicio:Final!G90)</f>
        <v>1113542</v>
      </c>
      <c r="E91" s="22">
        <f>SUM([1]Inicio:Final!J90)</f>
        <v>4520</v>
      </c>
      <c r="F91" s="22">
        <f>SUM([1]Inicio:Final!L90)</f>
        <v>2010060</v>
      </c>
      <c r="G91" s="22">
        <f>SUM([1]Inicio:Final!M90)</f>
        <v>0</v>
      </c>
      <c r="H91" s="22">
        <f>SUM([1]Inicio:Final!N90)</f>
        <v>0</v>
      </c>
      <c r="I91" s="22">
        <f>SUM([1]Inicio:Final!O90)</f>
        <v>0</v>
      </c>
      <c r="J91" s="22">
        <f>SUM([1]Inicio:Final!P90)</f>
        <v>56000</v>
      </c>
      <c r="K91" s="22">
        <f>SUM([1]Inicio:Final!Q90)</f>
        <v>2769000</v>
      </c>
      <c r="L91" s="22">
        <f>SUM([1]Inicio:Final!R90)</f>
        <v>597725</v>
      </c>
      <c r="M91" s="22">
        <f>SUM([1]Inicio:Final!S90)</f>
        <v>5948602</v>
      </c>
      <c r="N91" s="22">
        <f>SUM([1]Inicio:Final!V90)</f>
        <v>5232496</v>
      </c>
      <c r="O91" s="25">
        <f>SUM([1]Inicio:Final!W90)</f>
        <v>29015585.441</v>
      </c>
    </row>
    <row r="92" spans="1:15" ht="15.75" hidden="1" thickBot="1" x14ac:dyDescent="0.3">
      <c r="A92">
        <v>2010</v>
      </c>
      <c r="B92" s="21" t="s">
        <v>35</v>
      </c>
      <c r="C92" s="22">
        <f>SUM([1]Inicio:Final!E91)</f>
        <v>7460</v>
      </c>
      <c r="D92" s="22">
        <f>SUM([1]Inicio:Final!G91)</f>
        <v>1089160</v>
      </c>
      <c r="E92" s="22">
        <f>SUM([1]Inicio:Final!J91)</f>
        <v>4168</v>
      </c>
      <c r="F92" s="22">
        <f>SUM([1]Inicio:Final!L91)</f>
        <v>1536120</v>
      </c>
      <c r="G92" s="22">
        <f>SUM([1]Inicio:Final!M91)</f>
        <v>0</v>
      </c>
      <c r="H92" s="22">
        <f>SUM([1]Inicio:Final!N91)</f>
        <v>0</v>
      </c>
      <c r="I92" s="22">
        <f>SUM([1]Inicio:Final!O91)</f>
        <v>100000</v>
      </c>
      <c r="J92" s="22">
        <f>SUM([1]Inicio:Final!P91)</f>
        <v>56000</v>
      </c>
      <c r="K92" s="22">
        <f>SUM([1]Inicio:Final!Q91)</f>
        <v>3282000</v>
      </c>
      <c r="L92" s="22">
        <f>SUM([1]Inicio:Final!R91)</f>
        <v>720214</v>
      </c>
      <c r="M92" s="22">
        <f>SUM([1]Inicio:Final!S91)</f>
        <v>6263280</v>
      </c>
      <c r="N92" s="22">
        <f>SUM([1]Inicio:Final!V91)</f>
        <v>5914765</v>
      </c>
      <c r="O92" s="25">
        <f>SUM([1]Inicio:Final!W91)</f>
        <v>30330428.419</v>
      </c>
    </row>
    <row r="93" spans="1:15" ht="15.75" hidden="1" thickBot="1" x14ac:dyDescent="0.3">
      <c r="B93" s="21" t="s">
        <v>24</v>
      </c>
      <c r="C93" s="22">
        <f>SUM([1]Inicio:Final!E92)</f>
        <v>7992</v>
      </c>
      <c r="D93" s="22">
        <f>SUM([1]Inicio:Final!G92)</f>
        <v>1166832</v>
      </c>
      <c r="E93" s="22">
        <f>SUM([1]Inicio:Final!J92)</f>
        <v>4026</v>
      </c>
      <c r="F93" s="22">
        <f>SUM([1]Inicio:Final!L92)</f>
        <v>1455300</v>
      </c>
      <c r="G93" s="22">
        <f>SUM([1]Inicio:Final!M92)</f>
        <v>0</v>
      </c>
      <c r="H93" s="22">
        <f>SUM([1]Inicio:Final!N92)</f>
        <v>0</v>
      </c>
      <c r="I93" s="22">
        <f>SUM([1]Inicio:Final!O92)</f>
        <v>50000</v>
      </c>
      <c r="J93" s="22">
        <f>SUM([1]Inicio:Final!P92)</f>
        <v>56000</v>
      </c>
      <c r="K93" s="22">
        <f>SUM([1]Inicio:Final!Q92)</f>
        <v>3291000</v>
      </c>
      <c r="L93" s="22">
        <f>SUM([1]Inicio:Final!R92)</f>
        <v>772937</v>
      </c>
      <c r="M93" s="22">
        <f>SUM([1]Inicio:Final!S92)</f>
        <v>6269132</v>
      </c>
      <c r="N93" s="22">
        <f>SUM([1]Inicio:Final!V92)</f>
        <v>5484245</v>
      </c>
      <c r="O93" s="25">
        <f>SUM([1]Inicio:Final!W92)</f>
        <v>32670116.519000001</v>
      </c>
    </row>
    <row r="94" spans="1:15" ht="15.75" hidden="1" thickBot="1" x14ac:dyDescent="0.3">
      <c r="B94" s="21" t="s">
        <v>25</v>
      </c>
      <c r="C94" s="22">
        <f>SUM([1]Inicio:Final!E93)</f>
        <v>5489</v>
      </c>
      <c r="D94" s="22">
        <f>SUM([1]Inicio:Final!G93)</f>
        <v>801394</v>
      </c>
      <c r="E94" s="22">
        <f>SUM([1]Inicio:Final!J93)</f>
        <v>2992</v>
      </c>
      <c r="F94" s="22">
        <f>SUM([1]Inicio:Final!L93)</f>
        <v>1003500</v>
      </c>
      <c r="G94" s="22">
        <f>SUM([1]Inicio:Final!M93)</f>
        <v>0</v>
      </c>
      <c r="H94" s="22">
        <f>SUM([1]Inicio:Final!N93)</f>
        <v>0</v>
      </c>
      <c r="I94" s="22">
        <f>SUM([1]Inicio:Final!O93)</f>
        <v>50000</v>
      </c>
      <c r="J94" s="22">
        <f>SUM([1]Inicio:Final!P93)</f>
        <v>56000</v>
      </c>
      <c r="K94" s="22">
        <f>SUM([1]Inicio:Final!Q93)</f>
        <v>3300000</v>
      </c>
      <c r="L94" s="22">
        <f>SUM([1]Inicio:Final!R93)</f>
        <v>712631</v>
      </c>
      <c r="M94" s="22">
        <f>SUM([1]Inicio:Final!S93)</f>
        <v>5460894</v>
      </c>
      <c r="N94" s="22">
        <f>SUM([1]Inicio:Final!V93)</f>
        <v>5543533</v>
      </c>
      <c r="O94" s="25">
        <f>SUM([1]Inicio:Final!W93)</f>
        <v>33400352.519000001</v>
      </c>
    </row>
    <row r="95" spans="1:15" ht="15.75" hidden="1" thickBot="1" x14ac:dyDescent="0.3">
      <c r="B95" s="21" t="s">
        <v>26</v>
      </c>
      <c r="C95" s="22">
        <f>SUM([1]Inicio:Final!E94)</f>
        <v>5305</v>
      </c>
      <c r="D95" s="22">
        <f>SUM([1]Inicio:Final!G94)</f>
        <v>774530</v>
      </c>
      <c r="E95" s="22">
        <f>SUM([1]Inicio:Final!J94)</f>
        <v>2184</v>
      </c>
      <c r="F95" s="22">
        <f>SUM([1]Inicio:Final!L94)</f>
        <v>842580</v>
      </c>
      <c r="G95" s="22">
        <f>SUM([1]Inicio:Final!M94)</f>
        <v>0</v>
      </c>
      <c r="H95" s="22">
        <f>SUM([1]Inicio:Final!N94)</f>
        <v>0</v>
      </c>
      <c r="I95" s="22">
        <f>SUM([1]Inicio:Final!O94)</f>
        <v>50000</v>
      </c>
      <c r="J95" s="22">
        <f>SUM([1]Inicio:Final!P94)</f>
        <v>52000</v>
      </c>
      <c r="K95" s="22">
        <f>SUM([1]Inicio:Final!Q94)</f>
        <v>3300000</v>
      </c>
      <c r="L95" s="22">
        <f>SUM([1]Inicio:Final!R94)</f>
        <v>550344</v>
      </c>
      <c r="M95" s="22">
        <f>SUM([1]Inicio:Final!S94)</f>
        <v>5269110</v>
      </c>
      <c r="N95" s="22">
        <f>SUM([1]Inicio:Final!V94)</f>
        <v>4814396</v>
      </c>
      <c r="O95" s="25">
        <f>SUM([1]Inicio:Final!W94)</f>
        <v>34492920.749000005</v>
      </c>
    </row>
    <row r="96" spans="1:15" ht="15.75" hidden="1" thickBot="1" x14ac:dyDescent="0.3">
      <c r="B96" s="21" t="s">
        <v>27</v>
      </c>
      <c r="C96" s="22">
        <f>SUM([1]Inicio:Final!E95)</f>
        <v>4314</v>
      </c>
      <c r="D96" s="22">
        <f>SUM([1]Inicio:Final!G95)</f>
        <v>629844</v>
      </c>
      <c r="E96" s="22">
        <f>SUM([1]Inicio:Final!J95)</f>
        <v>1061</v>
      </c>
      <c r="F96" s="22">
        <f>SUM([1]Inicio:Final!L95)</f>
        <v>407160</v>
      </c>
      <c r="G96" s="22">
        <f>SUM([1]Inicio:Final!M95)</f>
        <v>0</v>
      </c>
      <c r="H96" s="22">
        <f>SUM([1]Inicio:Final!N95)</f>
        <v>0</v>
      </c>
      <c r="I96" s="22">
        <f>SUM([1]Inicio:Final!O95)</f>
        <v>50000</v>
      </c>
      <c r="J96" s="22">
        <f>SUM([1]Inicio:Final!P95)</f>
        <v>56000</v>
      </c>
      <c r="K96" s="22">
        <f>SUM([1]Inicio:Final!Q95)</f>
        <v>3300000</v>
      </c>
      <c r="L96" s="22">
        <f>SUM([1]Inicio:Final!R95)</f>
        <v>766929</v>
      </c>
      <c r="M96" s="22">
        <f>SUM([1]Inicio:Final!S95)</f>
        <v>4693004</v>
      </c>
      <c r="N96" s="22">
        <f>SUM([1]Inicio:Final!V95)</f>
        <v>4859355</v>
      </c>
      <c r="O96" s="25">
        <f>SUM([1]Inicio:Final!W95)</f>
        <v>35496044.749000005</v>
      </c>
    </row>
    <row r="97" spans="1:15" ht="15.75" hidden="1" thickBot="1" x14ac:dyDescent="0.3">
      <c r="B97" s="21" t="s">
        <v>28</v>
      </c>
      <c r="C97" s="22">
        <f>SUM([1]Inicio:Final!E96)</f>
        <v>4446</v>
      </c>
      <c r="D97" s="22">
        <f>SUM([1]Inicio:Final!G96)</f>
        <v>649116</v>
      </c>
      <c r="E97" s="22">
        <f>SUM([1]Inicio:Final!J96)</f>
        <v>488</v>
      </c>
      <c r="F97" s="22">
        <f>SUM([1]Inicio:Final!L96)</f>
        <v>175320</v>
      </c>
      <c r="G97" s="22">
        <f>SUM([1]Inicio:Final!M96)</f>
        <v>0</v>
      </c>
      <c r="H97" s="22">
        <f>SUM([1]Inicio:Final!N96)</f>
        <v>0</v>
      </c>
      <c r="I97" s="22">
        <f>SUM([1]Inicio:Final!O96)</f>
        <v>0</v>
      </c>
      <c r="J97" s="22">
        <f>SUM([1]Inicio:Final!P96)</f>
        <v>56000</v>
      </c>
      <c r="K97" s="22">
        <f>SUM([1]Inicio:Final!Q96)</f>
        <v>3300000</v>
      </c>
      <c r="L97" s="22">
        <f>SUM([1]Inicio:Final!R96)</f>
        <v>508848</v>
      </c>
      <c r="M97" s="22">
        <f>SUM([1]Inicio:Final!S96)</f>
        <v>4180436</v>
      </c>
      <c r="N97" s="22">
        <f>SUM([1]Inicio:Final!V96)</f>
        <v>3361324</v>
      </c>
      <c r="O97" s="25">
        <f>SUM([1]Inicio:Final!W96)</f>
        <v>36803486.149000004</v>
      </c>
    </row>
    <row r="98" spans="1:15" ht="15.75" hidden="1" thickBot="1" x14ac:dyDescent="0.3">
      <c r="A98" s="20"/>
      <c r="B98" s="21" t="s">
        <v>29</v>
      </c>
      <c r="C98" s="22">
        <f>SUM([1]Inicio:Final!E97)</f>
        <v>5420</v>
      </c>
      <c r="D98" s="22">
        <f>SUM([1]Inicio:Final!G97)</f>
        <v>791320</v>
      </c>
      <c r="E98" s="22">
        <f>SUM([1]Inicio:Final!J97)</f>
        <v>356</v>
      </c>
      <c r="F98" s="22">
        <f>SUM([1]Inicio:Final!L97)</f>
        <v>128160</v>
      </c>
      <c r="G98" s="22">
        <f>SUM([1]Inicio:Final!M97)</f>
        <v>0</v>
      </c>
      <c r="H98" s="22">
        <f>SUM([1]Inicio:Final!N97)</f>
        <v>0</v>
      </c>
      <c r="I98" s="22">
        <f>SUM([1]Inicio:Final!O97)</f>
        <v>59000</v>
      </c>
      <c r="J98" s="22">
        <f>SUM([1]Inicio:Final!P97)</f>
        <v>144246</v>
      </c>
      <c r="K98" s="22">
        <f>SUM([1]Inicio:Final!Q97)</f>
        <v>3555574.3</v>
      </c>
      <c r="L98" s="22">
        <f>SUM([1]Inicio:Final!R97)</f>
        <v>834870.3</v>
      </c>
      <c r="M98" s="22">
        <f>SUM([1]Inicio:Final!S97)</f>
        <v>5130284</v>
      </c>
      <c r="N98" s="22">
        <f>SUM([1]Inicio:Final!V97)</f>
        <v>4429905</v>
      </c>
      <c r="O98" s="25">
        <f>SUM([1]Inicio:Final!W97)</f>
        <v>32271683.149</v>
      </c>
    </row>
    <row r="99" spans="1:15" ht="15.75" hidden="1" thickBot="1" x14ac:dyDescent="0.3">
      <c r="A99" s="20"/>
      <c r="B99" s="21" t="s">
        <v>30</v>
      </c>
      <c r="C99" s="22">
        <f>SUM([1]Inicio:Final!E98)</f>
        <v>4572</v>
      </c>
      <c r="D99" s="22">
        <f>SUM([1]Inicio:Final!G98)</f>
        <v>667512</v>
      </c>
      <c r="E99" s="22">
        <f>SUM([1]Inicio:Final!J98)</f>
        <v>402</v>
      </c>
      <c r="F99" s="22">
        <f>SUM([1]Inicio:Final!L98)</f>
        <v>144720</v>
      </c>
      <c r="G99" s="22">
        <f>SUM([1]Inicio:Final!M98)</f>
        <v>0</v>
      </c>
      <c r="H99" s="22">
        <f>SUM([1]Inicio:Final!N98)</f>
        <v>55000</v>
      </c>
      <c r="I99" s="22">
        <f>SUM([1]Inicio:Final!O98)</f>
        <v>40500</v>
      </c>
      <c r="J99" s="22">
        <f>SUM([1]Inicio:Final!P98)</f>
        <v>189174</v>
      </c>
      <c r="K99" s="22">
        <f>SUM([1]Inicio:Final!Q98)</f>
        <v>3555874.3</v>
      </c>
      <c r="L99" s="22">
        <f>SUM([1]Inicio:Final!R98)</f>
        <v>657136.30000000005</v>
      </c>
      <c r="M99" s="22">
        <f>SUM([1]Inicio:Final!S98)</f>
        <v>4791646</v>
      </c>
      <c r="N99" s="22">
        <f>SUM([1]Inicio:Final!V98)</f>
        <v>11376347</v>
      </c>
      <c r="O99" s="25">
        <f>SUM([1]Inicio:Final!W98)</f>
        <v>25771552.148999996</v>
      </c>
    </row>
    <row r="100" spans="1:15" ht="15.75" hidden="1" thickBot="1" x14ac:dyDescent="0.3">
      <c r="A100" s="20"/>
      <c r="B100" s="21" t="s">
        <v>31</v>
      </c>
      <c r="C100" s="22">
        <f>SUM([1]Inicio:Final!E99)</f>
        <v>7319</v>
      </c>
      <c r="D100" s="22">
        <f>SUM([1]Inicio:Final!G99)</f>
        <v>1068574</v>
      </c>
      <c r="E100" s="22">
        <f>SUM([1]Inicio:Final!J99)</f>
        <v>1344</v>
      </c>
      <c r="F100" s="22">
        <f>SUM([1]Inicio:Final!L99)</f>
        <v>500400</v>
      </c>
      <c r="G100" s="22">
        <f>SUM([1]Inicio:Final!M99)</f>
        <v>0</v>
      </c>
      <c r="H100" s="22">
        <f>SUM([1]Inicio:Final!N99)</f>
        <v>0</v>
      </c>
      <c r="I100" s="22">
        <f>SUM([1]Inicio:Final!O99)</f>
        <v>44000</v>
      </c>
      <c r="J100" s="22">
        <f>SUM([1]Inicio:Final!P99)</f>
        <v>197334</v>
      </c>
      <c r="K100" s="22">
        <f>SUM([1]Inicio:Final!Q99)</f>
        <v>3594474.3</v>
      </c>
      <c r="L100" s="22">
        <f>SUM([1]Inicio:Final!R99)</f>
        <v>678513.3</v>
      </c>
      <c r="M100" s="22">
        <f>SUM([1]Inicio:Final!S99)</f>
        <v>5409580</v>
      </c>
      <c r="N100" s="22">
        <f>SUM([1]Inicio:Final!V99)</f>
        <v>3993155</v>
      </c>
      <c r="O100" s="25">
        <f>SUM([1]Inicio:Final!W99)</f>
        <v>27363030.149</v>
      </c>
    </row>
    <row r="101" spans="1:15" ht="15.75" hidden="1" thickBot="1" x14ac:dyDescent="0.3">
      <c r="A101" s="20"/>
      <c r="B101" s="21" t="s">
        <v>32</v>
      </c>
      <c r="C101" s="22">
        <f>SUM([1]Inicio:Final!E100)</f>
        <v>-7747</v>
      </c>
      <c r="D101" s="22">
        <f>SUM([1]Inicio:Final!G100)</f>
        <v>-1131062</v>
      </c>
      <c r="E101" s="22">
        <f>SUM([1]Inicio:Final!J100)</f>
        <v>-1713</v>
      </c>
      <c r="F101" s="22">
        <f>SUM([1]Inicio:Final!L100)</f>
        <v>-532440</v>
      </c>
      <c r="G101" s="22">
        <f>SUM([1]Inicio:Final!M100)</f>
        <v>0</v>
      </c>
      <c r="H101" s="22">
        <f>SUM([1]Inicio:Final!N100)</f>
        <v>0</v>
      </c>
      <c r="I101" s="22">
        <f>SUM([1]Inicio:Final!O100)</f>
        <v>4000</v>
      </c>
      <c r="J101" s="22">
        <f>SUM([1]Inicio:Final!P100)</f>
        <v>-3219270</v>
      </c>
      <c r="K101" s="22">
        <f>SUM([1]Inicio:Final!Q100)</f>
        <v>3647562.3</v>
      </c>
      <c r="L101" s="22">
        <f>SUM([1]Inicio:Final!R100)</f>
        <v>-2697303.7</v>
      </c>
      <c r="M101" s="22">
        <f>SUM([1]Inicio:Final!S100)</f>
        <v>5595172</v>
      </c>
      <c r="N101" s="22">
        <f>SUM([1]Inicio:Final!V100)</f>
        <v>5942619</v>
      </c>
      <c r="O101" s="25">
        <f>SUM([1]Inicio:Final!W100)</f>
        <v>23756911.149</v>
      </c>
    </row>
    <row r="102" spans="1:15" ht="15.75" hidden="1" thickBot="1" x14ac:dyDescent="0.3">
      <c r="A102" s="20"/>
      <c r="B102" s="21" t="s">
        <v>33</v>
      </c>
      <c r="C102" s="22">
        <f>SUM([1]Inicio:Final!E101)</f>
        <v>18993</v>
      </c>
      <c r="D102" s="22">
        <f>SUM([1]Inicio:Final!G101)</f>
        <v>2772978</v>
      </c>
      <c r="E102" s="22">
        <f>SUM([1]Inicio:Final!J101)</f>
        <v>7354</v>
      </c>
      <c r="F102" s="22">
        <f>SUM([1]Inicio:Final!L101)</f>
        <v>2932920</v>
      </c>
      <c r="G102" s="22">
        <f>SUM([1]Inicio:Final!M101)</f>
        <v>0</v>
      </c>
      <c r="H102" s="22">
        <f>SUM([1]Inicio:Final!N101)</f>
        <v>0</v>
      </c>
      <c r="I102" s="22">
        <f>SUM([1]Inicio:Final!O101)</f>
        <v>4000</v>
      </c>
      <c r="J102" s="22">
        <f>SUM([1]Inicio:Final!P101)</f>
        <v>3528626</v>
      </c>
      <c r="K102" s="22">
        <f>SUM([1]Inicio:Final!Q101)</f>
        <v>240768.29999999981</v>
      </c>
      <c r="L102" s="22">
        <f>SUM([1]Inicio:Final!R101)</f>
        <v>633155.29999999981</v>
      </c>
      <c r="M102" s="22">
        <f>SUM([1]Inicio:Final!S101)</f>
        <v>6178366</v>
      </c>
      <c r="N102" s="22">
        <f>SUM([1]Inicio:Final!V101)</f>
        <v>6220404</v>
      </c>
      <c r="O102" s="25">
        <f>SUM([1]Inicio:Final!W101)</f>
        <v>27188946.148999996</v>
      </c>
    </row>
    <row r="103" spans="1:15" ht="15.75" hidden="1" thickBot="1" x14ac:dyDescent="0.3">
      <c r="A103" s="20"/>
      <c r="B103" s="21" t="s">
        <v>34</v>
      </c>
      <c r="C103" s="22">
        <f>SUM([1]Inicio:Final!E102)</f>
        <v>5508</v>
      </c>
      <c r="D103" s="22">
        <f>SUM([1]Inicio:Final!G102)</f>
        <v>804168</v>
      </c>
      <c r="E103" s="22">
        <f>SUM([1]Inicio:Final!J102)</f>
        <v>4427</v>
      </c>
      <c r="F103" s="22">
        <f>SUM([1]Inicio:Final!L102)</f>
        <v>2093400</v>
      </c>
      <c r="G103" s="22">
        <f>SUM([1]Inicio:Final!M102)</f>
        <v>0</v>
      </c>
      <c r="H103" s="22">
        <f>SUM([1]Inicio:Final!N102)</f>
        <v>0</v>
      </c>
      <c r="I103" s="22">
        <f>SUM([1]Inicio:Final!O102)</f>
        <v>4000</v>
      </c>
      <c r="J103" s="22">
        <f>SUM([1]Inicio:Final!P102)</f>
        <v>234248</v>
      </c>
      <c r="K103" s="22">
        <f>SUM([1]Inicio:Final!Q102)</f>
        <v>3437704.3</v>
      </c>
      <c r="L103" s="22">
        <f>SUM([1]Inicio:Final!R102)</f>
        <v>462179.29999999981</v>
      </c>
      <c r="M103" s="22">
        <f>SUM([1]Inicio:Final!S102)</f>
        <v>6621847</v>
      </c>
      <c r="N103" s="22">
        <f>SUM([1]Inicio:Final!V102)</f>
        <v>6707733</v>
      </c>
      <c r="O103" s="25">
        <f>SUM([1]Inicio:Final!W102)</f>
        <v>27282466.148999996</v>
      </c>
    </row>
    <row r="104" spans="1:15" ht="15.75" hidden="1" thickBot="1" x14ac:dyDescent="0.3">
      <c r="A104" s="20">
        <v>2011</v>
      </c>
      <c r="B104" s="21" t="s">
        <v>35</v>
      </c>
      <c r="C104" s="22">
        <f>SUM([1]Inicio:Final!E103)</f>
        <v>17002</v>
      </c>
      <c r="D104" s="22">
        <f>SUM([1]Inicio:Final!G103)</f>
        <v>2482292</v>
      </c>
      <c r="E104" s="22">
        <f>SUM([1]Inicio:Final!J103)</f>
        <v>7591</v>
      </c>
      <c r="F104" s="22">
        <f>SUM([1]Inicio:Final!L103)</f>
        <v>3335400</v>
      </c>
      <c r="G104" s="22">
        <f>SUM([1]Inicio:Final!M103)</f>
        <v>29649</v>
      </c>
      <c r="H104" s="22">
        <f>SUM([1]Inicio:Final!N103)</f>
        <v>0</v>
      </c>
      <c r="I104" s="22">
        <f>SUM([1]Inicio:Final!O103)</f>
        <v>4000</v>
      </c>
      <c r="J104" s="22">
        <f>SUM([1]Inicio:Final!P103)</f>
        <v>60000</v>
      </c>
      <c r="K104" s="22">
        <f>SUM([1]Inicio:Final!Q103)</f>
        <v>3625600</v>
      </c>
      <c r="L104" s="22">
        <f>SUM([1]Inicio:Final!R103)</f>
        <v>263500</v>
      </c>
      <c r="M104" s="22">
        <f>SUM([1]Inicio:Final!S103)</f>
        <v>9796441</v>
      </c>
      <c r="N104" s="22">
        <f>SUM([1]Inicio:Final!V103)</f>
        <v>5633265</v>
      </c>
      <c r="O104" s="25">
        <f>SUM([1]Inicio:Final!W103)</f>
        <v>31492466.148999996</v>
      </c>
    </row>
    <row r="105" spans="1:15" ht="15.75" hidden="1" thickBot="1" x14ac:dyDescent="0.3">
      <c r="A105" s="20"/>
      <c r="B105" s="21" t="s">
        <v>24</v>
      </c>
      <c r="C105" s="22">
        <f>SUM([1]Inicio:Final!E104)</f>
        <v>6726</v>
      </c>
      <c r="D105" s="22">
        <f>SUM([1]Inicio:Final!G104)</f>
        <v>981996</v>
      </c>
      <c r="E105" s="22">
        <f>SUM([1]Inicio:Final!J104)</f>
        <v>4755</v>
      </c>
      <c r="F105" s="22">
        <f>SUM([1]Inicio:Final!L104)</f>
        <v>2343510</v>
      </c>
      <c r="G105" s="22">
        <f>SUM([1]Inicio:Final!M104)</f>
        <v>0</v>
      </c>
      <c r="H105" s="22">
        <f>SUM([1]Inicio:Final!N104)</f>
        <v>0</v>
      </c>
      <c r="I105" s="22">
        <f>SUM([1]Inicio:Final!O104)</f>
        <v>4000</v>
      </c>
      <c r="J105" s="22">
        <f>SUM([1]Inicio:Final!P104)</f>
        <v>60000</v>
      </c>
      <c r="K105" s="22">
        <f>SUM([1]Inicio:Final!Q104)</f>
        <v>3625600</v>
      </c>
      <c r="L105" s="22">
        <f>SUM([1]Inicio:Final!R104)</f>
        <v>273216</v>
      </c>
      <c r="M105" s="22">
        <f>SUM([1]Inicio:Final!S104)</f>
        <v>7284322</v>
      </c>
      <c r="N105" s="22">
        <f>SUM([1]Inicio:Final!V104)</f>
        <v>6358866</v>
      </c>
      <c r="O105" s="25">
        <f>SUM([1]Inicio:Final!W104)</f>
        <v>29926484.149</v>
      </c>
    </row>
    <row r="106" spans="1:15" ht="15.75" hidden="1" thickBot="1" x14ac:dyDescent="0.3">
      <c r="A106" s="20"/>
      <c r="B106" s="21" t="s">
        <v>25</v>
      </c>
      <c r="C106" s="22">
        <f>SUM([1]Inicio:Final!E105)</f>
        <v>5952</v>
      </c>
      <c r="D106" s="22">
        <f>SUM([1]Inicio:Final!G105)</f>
        <v>868992</v>
      </c>
      <c r="E106" s="22">
        <f>SUM([1]Inicio:Final!J105)</f>
        <v>3558</v>
      </c>
      <c r="F106" s="22">
        <f>SUM([1]Inicio:Final!L105)</f>
        <v>1519200</v>
      </c>
      <c r="G106" s="22">
        <f>SUM([1]Inicio:Final!M105)</f>
        <v>0</v>
      </c>
      <c r="H106" s="22">
        <f>SUM([1]Inicio:Final!N105)</f>
        <v>0</v>
      </c>
      <c r="I106" s="22">
        <f>SUM([1]Inicio:Final!O105)</f>
        <v>4000</v>
      </c>
      <c r="J106" s="22">
        <f>SUM([1]Inicio:Final!P105)</f>
        <v>56000</v>
      </c>
      <c r="K106" s="22">
        <f>SUM([1]Inicio:Final!Q105)</f>
        <v>3625600</v>
      </c>
      <c r="L106" s="22">
        <f>SUM([1]Inicio:Final!R105)</f>
        <v>316099</v>
      </c>
      <c r="M106" s="22">
        <f>SUM([1]Inicio:Final!S105)</f>
        <v>6345729</v>
      </c>
      <c r="N106" s="22">
        <f>SUM([1]Inicio:Final!V105)</f>
        <v>5544421</v>
      </c>
      <c r="O106" s="25">
        <f>SUM([1]Inicio:Final!W105)</f>
        <v>30682398.149</v>
      </c>
    </row>
    <row r="107" spans="1:15" ht="15.75" hidden="1" thickBot="1" x14ac:dyDescent="0.3">
      <c r="A107" s="20"/>
      <c r="B107" s="21" t="s">
        <v>26</v>
      </c>
      <c r="C107" s="22">
        <f>SUM([1]Inicio:Final!E106)</f>
        <v>6297</v>
      </c>
      <c r="D107" s="22">
        <f>SUM([1]Inicio:Final!G106)</f>
        <v>919362</v>
      </c>
      <c r="E107" s="22">
        <f>SUM([1]Inicio:Final!J106)</f>
        <v>2882</v>
      </c>
      <c r="F107" s="22">
        <f>SUM([1]Inicio:Final!L106)</f>
        <v>1186740</v>
      </c>
      <c r="G107" s="22">
        <f>SUM([1]Inicio:Final!M106)</f>
        <v>0</v>
      </c>
      <c r="H107" s="22">
        <f>SUM([1]Inicio:Final!N106)</f>
        <v>0</v>
      </c>
      <c r="I107" s="22">
        <f>SUM([1]Inicio:Final!O106)</f>
        <v>4000</v>
      </c>
      <c r="J107" s="22">
        <f>SUM([1]Inicio:Final!P106)</f>
        <v>56000</v>
      </c>
      <c r="K107" s="22">
        <f>SUM([1]Inicio:Final!Q106)</f>
        <v>3625600</v>
      </c>
      <c r="L107" s="22">
        <f>SUM([1]Inicio:Final!R106)</f>
        <v>271868</v>
      </c>
      <c r="M107" s="22">
        <f>SUM([1]Inicio:Final!S106)</f>
        <v>6059570</v>
      </c>
      <c r="N107" s="22">
        <f>SUM([1]Inicio:Final!V106)</f>
        <v>8409508</v>
      </c>
      <c r="O107" s="25">
        <f>SUM([1]Inicio:Final!W106)</f>
        <v>28276472.148999996</v>
      </c>
    </row>
    <row r="108" spans="1:15" ht="15.75" hidden="1" thickBot="1" x14ac:dyDescent="0.3">
      <c r="A108" s="20"/>
      <c r="B108" s="21" t="s">
        <v>27</v>
      </c>
      <c r="C108" s="22">
        <f>SUM([1]Inicio:Final!E107)</f>
        <v>4069</v>
      </c>
      <c r="D108" s="22">
        <f>SUM([1]Inicio:Final!G107)</f>
        <v>594074</v>
      </c>
      <c r="E108" s="22">
        <f>SUM([1]Inicio:Final!J107)</f>
        <v>1146</v>
      </c>
      <c r="F108" s="22">
        <f>SUM([1]Inicio:Final!L107)</f>
        <v>450720</v>
      </c>
      <c r="G108" s="22">
        <f>SUM([1]Inicio:Final!M107)</f>
        <v>0</v>
      </c>
      <c r="H108" s="22">
        <f>SUM([1]Inicio:Final!N107)</f>
        <v>0</v>
      </c>
      <c r="I108" s="22">
        <f>SUM([1]Inicio:Final!O107)</f>
        <v>4000</v>
      </c>
      <c r="J108" s="22">
        <f>SUM([1]Inicio:Final!P107)</f>
        <v>56000</v>
      </c>
      <c r="K108" s="22">
        <f>SUM([1]Inicio:Final!Q107)</f>
        <v>3625600</v>
      </c>
      <c r="L108" s="22">
        <f>SUM([1]Inicio:Final!R107)</f>
        <v>274218</v>
      </c>
      <c r="M108" s="22">
        <f>SUM([1]Inicio:Final!S107)</f>
        <v>5000612</v>
      </c>
      <c r="N108" s="22">
        <f>SUM([1]Inicio:Final!V107)</f>
        <v>4432575</v>
      </c>
      <c r="O108" s="25">
        <f>SUM([1]Inicio:Final!W107)</f>
        <v>28998053.148999996</v>
      </c>
    </row>
    <row r="109" spans="1:15" ht="15.75" hidden="1" thickBot="1" x14ac:dyDescent="0.3">
      <c r="A109" s="20"/>
      <c r="B109" s="21" t="s">
        <v>28</v>
      </c>
      <c r="C109" s="22">
        <f>SUM([1]Inicio:Final!E108)</f>
        <v>3984</v>
      </c>
      <c r="D109" s="22">
        <f>SUM([1]Inicio:Final!G108)</f>
        <v>581664</v>
      </c>
      <c r="E109" s="22">
        <f>SUM([1]Inicio:Final!J108)</f>
        <v>868</v>
      </c>
      <c r="F109" s="22">
        <f>SUM([1]Inicio:Final!L108)</f>
        <v>312480</v>
      </c>
      <c r="G109" s="22">
        <f>SUM([1]Inicio:Final!M108)</f>
        <v>0</v>
      </c>
      <c r="H109" s="22">
        <f>SUM([1]Inicio:Final!N108)</f>
        <v>0</v>
      </c>
      <c r="I109" s="22">
        <f>SUM([1]Inicio:Final!O108)</f>
        <v>4000</v>
      </c>
      <c r="J109" s="22">
        <f>SUM([1]Inicio:Final!P108)</f>
        <v>56000</v>
      </c>
      <c r="K109" s="22">
        <f>SUM([1]Inicio:Final!Q108)</f>
        <v>3625600</v>
      </c>
      <c r="L109" s="22">
        <f>SUM([1]Inicio:Final!R108)</f>
        <v>334785</v>
      </c>
      <c r="M109" s="22">
        <f>SUM([1]Inicio:Final!S108)</f>
        <v>4910529</v>
      </c>
      <c r="N109" s="22">
        <f>SUM([1]Inicio:Final!V108)</f>
        <v>3373824</v>
      </c>
      <c r="O109" s="25">
        <f>SUM([1]Inicio:Final!W108)</f>
        <v>30538758.148999996</v>
      </c>
    </row>
    <row r="110" spans="1:15" ht="15.75" hidden="1" thickBot="1" x14ac:dyDescent="0.3">
      <c r="A110" s="20"/>
      <c r="B110" s="21" t="s">
        <v>29</v>
      </c>
      <c r="C110" s="22">
        <f>SUM([1]Inicio:Final!E109)</f>
        <v>4922</v>
      </c>
      <c r="D110" s="22">
        <f>SUM([1]Inicio:Final!G109)</f>
        <v>718612</v>
      </c>
      <c r="E110" s="22">
        <f>SUM([1]Inicio:Final!J109)</f>
        <v>511</v>
      </c>
      <c r="F110" s="22">
        <f>SUM([1]Inicio:Final!L109)</f>
        <v>183960</v>
      </c>
      <c r="G110" s="22">
        <f>SUM([1]Inicio:Final!M109)</f>
        <v>0</v>
      </c>
      <c r="H110" s="22">
        <f>SUM([1]Inicio:Final!N109)</f>
        <v>0</v>
      </c>
      <c r="I110" s="22">
        <f>SUM([1]Inicio:Final!O109)</f>
        <v>8000</v>
      </c>
      <c r="J110" s="22">
        <f>SUM([1]Inicio:Final!P109)</f>
        <v>68000</v>
      </c>
      <c r="K110" s="22">
        <f>SUM([1]Inicio:Final!Q109)</f>
        <v>3625600</v>
      </c>
      <c r="L110" s="22">
        <f>SUM([1]Inicio:Final!R109)</f>
        <v>307258</v>
      </c>
      <c r="M110" s="22">
        <f>SUM([1]Inicio:Final!S109)</f>
        <v>4903430</v>
      </c>
      <c r="N110" s="22">
        <f>SUM([1]Inicio:Final!V109)</f>
        <v>4734936</v>
      </c>
      <c r="O110" s="25">
        <f>SUM([1]Inicio:Final!W109)</f>
        <v>30657580.148999996</v>
      </c>
    </row>
    <row r="111" spans="1:15" ht="15.75" hidden="1" thickBot="1" x14ac:dyDescent="0.3">
      <c r="A111" s="20"/>
      <c r="B111" s="21" t="s">
        <v>30</v>
      </c>
      <c r="C111" s="22">
        <f>SUM([1]Inicio:Final!E110)</f>
        <v>4109</v>
      </c>
      <c r="D111" s="22">
        <f>SUM([1]Inicio:Final!G110)</f>
        <v>599914</v>
      </c>
      <c r="E111" s="22">
        <f>SUM([1]Inicio:Final!J110)</f>
        <v>458</v>
      </c>
      <c r="F111" s="22">
        <f>SUM([1]Inicio:Final!L110)</f>
        <v>164880</v>
      </c>
      <c r="G111" s="22">
        <f>SUM([1]Inicio:Final!M110)</f>
        <v>0</v>
      </c>
      <c r="H111" s="22">
        <f>SUM([1]Inicio:Final!N110)</f>
        <v>0</v>
      </c>
      <c r="I111" s="22">
        <f>SUM([1]Inicio:Final!O110)</f>
        <v>8000</v>
      </c>
      <c r="J111" s="22">
        <f>SUM([1]Inicio:Final!P110)</f>
        <v>68000</v>
      </c>
      <c r="K111" s="22">
        <f>SUM([1]Inicio:Final!Q110)</f>
        <v>3625600</v>
      </c>
      <c r="L111" s="22">
        <f>SUM([1]Inicio:Final!R110)</f>
        <v>350956</v>
      </c>
      <c r="M111" s="22">
        <f>SUM([1]Inicio:Final!S110)</f>
        <v>4809350</v>
      </c>
      <c r="N111" s="22">
        <f>SUM([1]Inicio:Final!V110)</f>
        <v>3390323</v>
      </c>
      <c r="O111" s="25">
        <f>SUM([1]Inicio:Final!W110)</f>
        <v>32146279.148999996</v>
      </c>
    </row>
    <row r="112" spans="1:15" ht="15.75" hidden="1" thickBot="1" x14ac:dyDescent="0.3">
      <c r="A112" s="20"/>
      <c r="B112" s="21" t="s">
        <v>31</v>
      </c>
      <c r="C112" s="22">
        <f>SUM([1]Inicio:Final!E111)</f>
        <v>5121</v>
      </c>
      <c r="D112" s="22">
        <f>SUM([1]Inicio:Final!G111)</f>
        <v>747666</v>
      </c>
      <c r="E112" s="22">
        <f>SUM([1]Inicio:Final!J111)</f>
        <v>1082</v>
      </c>
      <c r="F112" s="22">
        <f>SUM([1]Inicio:Final!L111)</f>
        <v>389520</v>
      </c>
      <c r="G112" s="22">
        <f>SUM([1]Inicio:Final!M111)</f>
        <v>0</v>
      </c>
      <c r="H112" s="22">
        <f>SUM([1]Inicio:Final!N111)</f>
        <v>0</v>
      </c>
      <c r="I112" s="22">
        <f>SUM([1]Inicio:Final!O111)</f>
        <v>8000</v>
      </c>
      <c r="J112" s="22">
        <f>SUM([1]Inicio:Final!P111)</f>
        <v>68000</v>
      </c>
      <c r="K112" s="22">
        <f>SUM([1]Inicio:Final!Q111)</f>
        <v>3625600</v>
      </c>
      <c r="L112" s="22">
        <f>SUM([1]Inicio:Final!R111)</f>
        <v>360293</v>
      </c>
      <c r="M112" s="22">
        <f>SUM([1]Inicio:Final!S111)</f>
        <v>5191079</v>
      </c>
      <c r="N112" s="22">
        <f>SUM([1]Inicio:Final!V111)</f>
        <v>4384746</v>
      </c>
      <c r="O112" s="25">
        <f>SUM([1]Inicio:Final!W111)</f>
        <v>32964612.148999996</v>
      </c>
    </row>
    <row r="113" spans="1:15" ht="15.75" hidden="1" thickBot="1" x14ac:dyDescent="0.3">
      <c r="A113" s="20"/>
      <c r="B113" s="21" t="s">
        <v>32</v>
      </c>
      <c r="C113" s="22">
        <f>SUM([1]Inicio:Final!E112)</f>
        <v>5120</v>
      </c>
      <c r="D113" s="22">
        <f>SUM([1]Inicio:Final!G112)</f>
        <v>747520</v>
      </c>
      <c r="E113" s="22">
        <f>SUM([1]Inicio:Final!J112)</f>
        <v>2020</v>
      </c>
      <c r="F113" s="22">
        <f>SUM([1]Inicio:Final!L112)</f>
        <v>747360</v>
      </c>
      <c r="G113" s="22">
        <f>SUM([1]Inicio:Final!M112)</f>
        <v>0</v>
      </c>
      <c r="H113" s="22">
        <f>SUM([1]Inicio:Final!N112)</f>
        <v>0</v>
      </c>
      <c r="I113" s="22">
        <f>SUM([1]Inicio:Final!O112)</f>
        <v>8000</v>
      </c>
      <c r="J113" s="22">
        <f>SUM([1]Inicio:Final!P112)</f>
        <v>68000</v>
      </c>
      <c r="K113" s="22">
        <f>SUM([1]Inicio:Final!Q112)</f>
        <v>3625600</v>
      </c>
      <c r="L113" s="22">
        <f>SUM([1]Inicio:Final!R112)</f>
        <v>309473</v>
      </c>
      <c r="M113" s="22">
        <f>SUM([1]Inicio:Final!S112)</f>
        <v>5497953</v>
      </c>
      <c r="N113" s="22">
        <f>SUM([1]Inicio:Final!V112)</f>
        <v>4615660</v>
      </c>
      <c r="O113" s="25">
        <f>SUM([1]Inicio:Final!W112)</f>
        <v>33858905.148999996</v>
      </c>
    </row>
    <row r="114" spans="1:15" ht="15.75" hidden="1" thickBot="1" x14ac:dyDescent="0.3">
      <c r="A114" s="20"/>
      <c r="B114" s="21" t="s">
        <v>33</v>
      </c>
      <c r="C114" s="22">
        <f>SUM([1]Inicio:Final!E113)</f>
        <v>6171</v>
      </c>
      <c r="D114" s="22">
        <f>SUM([1]Inicio:Final!G113)</f>
        <v>900966</v>
      </c>
      <c r="E114" s="22">
        <f>SUM([1]Inicio:Final!J113)</f>
        <v>2973</v>
      </c>
      <c r="F114" s="22">
        <f>SUM([1]Inicio:Final!L113)</f>
        <v>1358820</v>
      </c>
      <c r="G114" s="22">
        <f>SUM([1]Inicio:Final!M113)</f>
        <v>0</v>
      </c>
      <c r="H114" s="22">
        <f>SUM([1]Inicio:Final!N113)</f>
        <v>0</v>
      </c>
      <c r="I114" s="22">
        <f>SUM([1]Inicio:Final!O113)</f>
        <v>8000</v>
      </c>
      <c r="J114" s="22">
        <f>SUM([1]Inicio:Final!P113)</f>
        <v>68000</v>
      </c>
      <c r="K114" s="22">
        <f>SUM([1]Inicio:Final!Q113)</f>
        <v>3627809</v>
      </c>
      <c r="L114" s="22">
        <f>SUM([1]Inicio:Final!R113)</f>
        <v>324404</v>
      </c>
      <c r="M114" s="22">
        <f>SUM([1]Inicio:Final!S113)</f>
        <v>6266582</v>
      </c>
      <c r="N114" s="22">
        <f>SUM([1]Inicio:Final!V113)</f>
        <v>6591078</v>
      </c>
      <c r="O114" s="25">
        <f>SUM([1]Inicio:Final!W113)</f>
        <v>33503030.148999996</v>
      </c>
    </row>
    <row r="115" spans="1:15" ht="15.75" hidden="1" thickBot="1" x14ac:dyDescent="0.3">
      <c r="A115" s="20"/>
      <c r="B115" s="21" t="s">
        <v>34</v>
      </c>
      <c r="C115" s="22">
        <f>SUM([1]Inicio:Final!E114)</f>
        <v>7386</v>
      </c>
      <c r="D115" s="22">
        <f>SUM([1]Inicio:Final!G114)</f>
        <v>1078356</v>
      </c>
      <c r="E115" s="22">
        <f>SUM([1]Inicio:Final!J114)</f>
        <v>4734</v>
      </c>
      <c r="F115" s="22">
        <f>SUM([1]Inicio:Final!L114)</f>
        <v>2310840</v>
      </c>
      <c r="G115" s="22">
        <f>SUM([1]Inicio:Final!M114)</f>
        <v>0</v>
      </c>
      <c r="H115" s="22">
        <f>SUM([1]Inicio:Final!N114)</f>
        <v>0</v>
      </c>
      <c r="I115" s="22">
        <f>SUM([1]Inicio:Final!O114)</f>
        <v>8000</v>
      </c>
      <c r="J115" s="22">
        <f>SUM([1]Inicio:Final!P114)</f>
        <v>68000</v>
      </c>
      <c r="K115" s="22">
        <f>SUM([1]Inicio:Final!Q114)</f>
        <v>3627809</v>
      </c>
      <c r="L115" s="22">
        <f>SUM([1]Inicio:Final!R114)</f>
        <v>388941</v>
      </c>
      <c r="M115" s="22">
        <f>SUM([1]Inicio:Final!S114)</f>
        <v>7473946</v>
      </c>
      <c r="N115" s="22">
        <f>SUM([1]Inicio:Final!V114)</f>
        <v>7333028</v>
      </c>
      <c r="O115" s="25">
        <f>SUM([1]Inicio:Final!W114)</f>
        <v>33712744.148999996</v>
      </c>
    </row>
    <row r="116" spans="1:15" ht="15.75" hidden="1" thickBot="1" x14ac:dyDescent="0.3">
      <c r="A116" s="20">
        <v>2012</v>
      </c>
      <c r="B116" s="21" t="s">
        <v>35</v>
      </c>
      <c r="C116" s="22">
        <f>SUM([1]Inicio:Final!E115)</f>
        <v>8492</v>
      </c>
      <c r="D116" s="22">
        <f>SUM([1]Inicio:Final!G115)</f>
        <v>1239832</v>
      </c>
      <c r="E116" s="22">
        <f>SUM([1]Inicio:Final!J115)</f>
        <v>5008</v>
      </c>
      <c r="F116" s="22">
        <f>SUM([1]Inicio:Final!L115)</f>
        <v>2416680</v>
      </c>
      <c r="G116" s="22">
        <f>SUM([1]Inicio:Final!M115)</f>
        <v>0</v>
      </c>
      <c r="H116" s="22">
        <f>SUM([1]Inicio:Final!N115)</f>
        <v>0</v>
      </c>
      <c r="I116" s="22">
        <f>SUM([1]Inicio:Final!O115)</f>
        <v>33466</v>
      </c>
      <c r="J116" s="22">
        <f>SUM([1]Inicio:Final!P115)</f>
        <v>131665</v>
      </c>
      <c r="K116" s="22">
        <f>SUM([1]Inicio:Final!Q115)</f>
        <v>3766976</v>
      </c>
      <c r="L116" s="22">
        <f>SUM([1]Inicio:Final!R115)</f>
        <v>369910</v>
      </c>
      <c r="M116" s="22">
        <f>SUM([1]Inicio:Final!S115)</f>
        <v>7950529</v>
      </c>
      <c r="N116" s="22">
        <f>SUM([1]Inicio:Final!V115)</f>
        <v>6052319</v>
      </c>
      <c r="O116" s="25">
        <f>SUM([1]Inicio:Final!W115)</f>
        <v>35622954.148999996</v>
      </c>
    </row>
    <row r="117" spans="1:15" ht="15.75" hidden="1" thickBot="1" x14ac:dyDescent="0.3">
      <c r="A117" s="20"/>
      <c r="B117" s="21" t="s">
        <v>24</v>
      </c>
      <c r="C117" s="22">
        <f>SUM([1]Inicio:Final!E116)</f>
        <v>7794</v>
      </c>
      <c r="D117" s="22">
        <f>SUM([1]Inicio:Final!G116)</f>
        <v>1137924</v>
      </c>
      <c r="E117" s="22">
        <f>SUM([1]Inicio:Final!J116)</f>
        <v>4307</v>
      </c>
      <c r="F117" s="22">
        <f>SUM([1]Inicio:Final!L116)</f>
        <v>1917720</v>
      </c>
      <c r="G117" s="22">
        <f>SUM([1]Inicio:Final!M116)</f>
        <v>0</v>
      </c>
      <c r="H117" s="22">
        <f>SUM([1]Inicio:Final!N116)</f>
        <v>0</v>
      </c>
      <c r="I117" s="22">
        <f>SUM([1]Inicio:Final!O116)</f>
        <v>8000</v>
      </c>
      <c r="J117" s="22">
        <f>SUM([1]Inicio:Final!P116)</f>
        <v>68000</v>
      </c>
      <c r="K117" s="22">
        <f>SUM([1]Inicio:Final!Q116)</f>
        <v>3766976</v>
      </c>
      <c r="L117" s="22">
        <f>SUM([1]Inicio:Final!R116)</f>
        <v>385246</v>
      </c>
      <c r="M117" s="22">
        <f>SUM([1]Inicio:Final!S116)</f>
        <v>7251413</v>
      </c>
      <c r="N117" s="22">
        <f>SUM([1]Inicio:Final!V116)</f>
        <v>6048894</v>
      </c>
      <c r="O117" s="25">
        <f>SUM([1]Inicio:Final!W116)</f>
        <v>36874659.149000004</v>
      </c>
    </row>
    <row r="118" spans="1:15" ht="15.75" hidden="1" thickBot="1" x14ac:dyDescent="0.3">
      <c r="A118" s="20"/>
      <c r="B118" s="21" t="s">
        <v>25</v>
      </c>
      <c r="C118" s="22">
        <f>SUM([1]Inicio:Final!E117)</f>
        <v>7614</v>
      </c>
      <c r="D118" s="22">
        <f>SUM([1]Inicio:Final!G117)</f>
        <v>1111644</v>
      </c>
      <c r="E118" s="22">
        <f>SUM([1]Inicio:Final!J117)</f>
        <v>4078</v>
      </c>
      <c r="F118" s="22">
        <f>SUM([1]Inicio:Final!L117)</f>
        <v>1768500</v>
      </c>
      <c r="G118" s="22">
        <f>SUM([1]Inicio:Final!M117)</f>
        <v>0</v>
      </c>
      <c r="H118" s="22">
        <f>SUM([1]Inicio:Final!N117)</f>
        <v>0</v>
      </c>
      <c r="I118" s="22">
        <f>SUM([1]Inicio:Final!O117)</f>
        <v>8000</v>
      </c>
      <c r="J118" s="22">
        <f>SUM([1]Inicio:Final!P117)</f>
        <v>68000</v>
      </c>
      <c r="K118" s="22">
        <f>SUM([1]Inicio:Final!Q117)</f>
        <v>3766976</v>
      </c>
      <c r="L118" s="22">
        <f>SUM([1]Inicio:Final!R117)</f>
        <v>392731</v>
      </c>
      <c r="M118" s="22">
        <f>SUM([1]Inicio:Final!S117)</f>
        <v>7107851</v>
      </c>
      <c r="N118" s="22">
        <f>SUM([1]Inicio:Final!V117)</f>
        <v>6495359</v>
      </c>
      <c r="O118" s="25">
        <f>SUM([1]Inicio:Final!W117)</f>
        <v>37499151.149000004</v>
      </c>
    </row>
    <row r="119" spans="1:15" ht="15.75" hidden="1" thickBot="1" x14ac:dyDescent="0.3">
      <c r="A119" s="20"/>
      <c r="B119" s="21" t="s">
        <v>26</v>
      </c>
      <c r="C119" s="22">
        <f>SUM([1]Inicio:Final!E118)</f>
        <v>5931</v>
      </c>
      <c r="D119" s="22">
        <f>SUM([1]Inicio:Final!G118)</f>
        <v>865926</v>
      </c>
      <c r="E119" s="22">
        <f>SUM([1]Inicio:Final!J118)</f>
        <v>2770</v>
      </c>
      <c r="F119" s="22">
        <f>SUM([1]Inicio:Final!L118)</f>
        <v>1060560</v>
      </c>
      <c r="G119" s="22">
        <f>SUM([1]Inicio:Final!M118)</f>
        <v>0</v>
      </c>
      <c r="H119" s="22">
        <f>SUM([1]Inicio:Final!N118)</f>
        <v>0</v>
      </c>
      <c r="I119" s="22">
        <f>SUM([1]Inicio:Final!O118)</f>
        <v>71432</v>
      </c>
      <c r="J119" s="22">
        <f>SUM([1]Inicio:Final!P118)</f>
        <v>68000</v>
      </c>
      <c r="K119" s="22">
        <f>SUM([1]Inicio:Final!Q118)</f>
        <v>3766976</v>
      </c>
      <c r="L119" s="22">
        <f>SUM([1]Inicio:Final!R118)</f>
        <v>372044</v>
      </c>
      <c r="M119" s="22">
        <f>SUM([1]Inicio:Final!S118)</f>
        <v>6165888</v>
      </c>
      <c r="N119" s="22">
        <f>SUM([1]Inicio:Final!V118)</f>
        <v>5314576</v>
      </c>
      <c r="O119" s="25">
        <f>SUM([1]Inicio:Final!W118)</f>
        <v>38334654.149000004</v>
      </c>
    </row>
    <row r="120" spans="1:15" ht="15.75" hidden="1" thickBot="1" x14ac:dyDescent="0.3">
      <c r="A120" s="20"/>
      <c r="B120" s="21" t="s">
        <v>27</v>
      </c>
      <c r="C120" s="22">
        <f>SUM([1]Inicio:Final!E119)</f>
        <v>7483</v>
      </c>
      <c r="D120" s="22">
        <f>SUM([1]Inicio:Final!G119)</f>
        <v>1092518</v>
      </c>
      <c r="E120" s="22">
        <f>SUM([1]Inicio:Final!J119)</f>
        <v>2826</v>
      </c>
      <c r="F120" s="22">
        <f>SUM([1]Inicio:Final!L119)</f>
        <v>1362240</v>
      </c>
      <c r="G120" s="22">
        <f>SUM([1]Inicio:Final!M119)</f>
        <v>0</v>
      </c>
      <c r="H120" s="22">
        <f>SUM([1]Inicio:Final!N119)</f>
        <v>0</v>
      </c>
      <c r="I120" s="22">
        <f>SUM([1]Inicio:Final!O119)</f>
        <v>188000</v>
      </c>
      <c r="J120" s="22">
        <f>SUM([1]Inicio:Final!P119)</f>
        <v>68000</v>
      </c>
      <c r="K120" s="22">
        <f>SUM([1]Inicio:Final!Q119)</f>
        <v>3766976</v>
      </c>
      <c r="L120" s="22">
        <f>SUM([1]Inicio:Final!R119)</f>
        <v>379256</v>
      </c>
      <c r="M120" s="22">
        <f>SUM([1]Inicio:Final!S119)</f>
        <v>6728990</v>
      </c>
      <c r="N120" s="22">
        <f>SUM([1]Inicio:Final!V119)</f>
        <v>6052094</v>
      </c>
      <c r="O120" s="25">
        <f>SUM([1]Inicio:Final!W119)</f>
        <v>39282409.149000004</v>
      </c>
    </row>
    <row r="121" spans="1:15" ht="15.75" hidden="1" thickBot="1" x14ac:dyDescent="0.3">
      <c r="A121" s="20"/>
      <c r="B121" s="21" t="s">
        <v>28</v>
      </c>
      <c r="C121" s="22">
        <f>SUM([1]Inicio:Final!E120)</f>
        <v>2175</v>
      </c>
      <c r="D121" s="22">
        <f>SUM([1]Inicio:Final!G120)</f>
        <v>707662</v>
      </c>
      <c r="E121" s="22">
        <f>SUM([1]Inicio:Final!J120)</f>
        <v>427</v>
      </c>
      <c r="F121" s="22">
        <f>SUM([1]Inicio:Final!L120)</f>
        <v>153720</v>
      </c>
      <c r="G121" s="22">
        <f>SUM([1]Inicio:Final!M120)</f>
        <v>0</v>
      </c>
      <c r="H121" s="22">
        <f>SUM([1]Inicio:Final!N120)</f>
        <v>0</v>
      </c>
      <c r="I121" s="22">
        <f>SUM([1]Inicio:Final!O120)</f>
        <v>88000</v>
      </c>
      <c r="J121" s="22">
        <f>SUM([1]Inicio:Final!P120)</f>
        <v>72000</v>
      </c>
      <c r="K121" s="22">
        <f>SUM([1]Inicio:Final!Q120)</f>
        <v>3766976</v>
      </c>
      <c r="L121" s="22">
        <f>SUM([1]Inicio:Final!R120)</f>
        <v>353852</v>
      </c>
      <c r="M121" s="22">
        <f>SUM([1]Inicio:Final!S120)</f>
        <v>5114595</v>
      </c>
      <c r="N121" s="22">
        <f>SUM([1]Inicio:Final!V120)</f>
        <v>6144996</v>
      </c>
      <c r="O121" s="25">
        <f>SUM([1]Inicio:Final!W120)</f>
        <v>38224764.148999996</v>
      </c>
    </row>
    <row r="122" spans="1:15" ht="15.75" hidden="1" thickBot="1" x14ac:dyDescent="0.3">
      <c r="A122" s="20"/>
      <c r="B122" s="21" t="s">
        <v>29</v>
      </c>
      <c r="C122" s="22">
        <f>SUM([1]Inicio:Final!E121)</f>
        <v>7614</v>
      </c>
      <c r="D122" s="22">
        <f>SUM([1]Inicio:Final!G121)</f>
        <v>721532</v>
      </c>
      <c r="E122" s="22">
        <f>SUM([1]Inicio:Final!J121)</f>
        <v>504</v>
      </c>
      <c r="F122" s="22">
        <f>SUM([1]Inicio:Final!L121)</f>
        <v>181440</v>
      </c>
      <c r="G122" s="22">
        <f>SUM([1]Inicio:Final!M121)</f>
        <v>0</v>
      </c>
      <c r="H122" s="22">
        <f>SUM([1]Inicio:Final!N121)</f>
        <v>63432</v>
      </c>
      <c r="I122" s="22">
        <f>SUM([1]Inicio:Final!O121)</f>
        <v>67432</v>
      </c>
      <c r="J122" s="22">
        <f>SUM([1]Inicio:Final!P121)</f>
        <v>76000</v>
      </c>
      <c r="K122" s="22">
        <f>SUM([1]Inicio:Final!Q121)</f>
        <v>3766976</v>
      </c>
      <c r="L122" s="22">
        <f>SUM([1]Inicio:Final!R121)</f>
        <v>389043</v>
      </c>
      <c r="M122" s="22">
        <f>SUM([1]Inicio:Final!S121)</f>
        <v>5198423</v>
      </c>
      <c r="N122" s="22">
        <f>SUM([1]Inicio:Final!V121)</f>
        <v>4975041</v>
      </c>
      <c r="O122" s="25">
        <f>SUM([1]Inicio:Final!W121)</f>
        <v>38531294.148999996</v>
      </c>
    </row>
    <row r="123" spans="1:15" ht="15.75" hidden="1" thickBot="1" x14ac:dyDescent="0.3">
      <c r="A123" s="20"/>
      <c r="B123" s="21" t="s">
        <v>30</v>
      </c>
      <c r="C123" s="22">
        <f>SUM([1]Inicio:Final!E122)</f>
        <v>4973</v>
      </c>
      <c r="D123" s="22">
        <f>SUM([1]Inicio:Final!G122)</f>
        <v>726058</v>
      </c>
      <c r="E123" s="22">
        <f>SUM([1]Inicio:Final!J122)</f>
        <v>578</v>
      </c>
      <c r="F123" s="22">
        <f>SUM([1]Inicio:Final!L122)</f>
        <v>208080</v>
      </c>
      <c r="G123" s="22">
        <f>SUM([1]Inicio:Final!M122)</f>
        <v>0</v>
      </c>
      <c r="H123" s="22">
        <f>SUM([1]Inicio:Final!N122)</f>
        <v>0</v>
      </c>
      <c r="I123" s="22">
        <f>SUM([1]Inicio:Final!O122)</f>
        <v>0</v>
      </c>
      <c r="J123" s="22">
        <f>SUM([1]Inicio:Final!P122)</f>
        <v>215000</v>
      </c>
      <c r="K123" s="22">
        <f>SUM([1]Inicio:Final!Q122)</f>
        <v>3766976</v>
      </c>
      <c r="L123" s="22">
        <f>SUM([1]Inicio:Final!R122)</f>
        <v>352914</v>
      </c>
      <c r="M123" s="22">
        <f>SUM([1]Inicio:Final!S122)</f>
        <v>5269028</v>
      </c>
      <c r="N123" s="22">
        <f>SUM([1]Inicio:Final!V122)</f>
        <v>4378318</v>
      </c>
      <c r="O123" s="25">
        <f>SUM([1]Inicio:Final!W122)</f>
        <v>39469147.148999996</v>
      </c>
    </row>
    <row r="124" spans="1:15" ht="15.75" hidden="1" thickBot="1" x14ac:dyDescent="0.3">
      <c r="A124" s="20"/>
      <c r="B124" s="21" t="s">
        <v>31</v>
      </c>
      <c r="C124" s="22">
        <f>SUM([1]Inicio:Final!E123)</f>
        <v>5709</v>
      </c>
      <c r="D124" s="22">
        <f>SUM([1]Inicio:Final!G123)</f>
        <v>833514</v>
      </c>
      <c r="E124" s="22">
        <f>SUM([1]Inicio:Final!J123)</f>
        <v>1371</v>
      </c>
      <c r="F124" s="22">
        <f>SUM([1]Inicio:Final!L123)</f>
        <v>493560</v>
      </c>
      <c r="G124" s="22">
        <f>SUM([1]Inicio:Final!M123)</f>
        <v>0</v>
      </c>
      <c r="H124" s="22">
        <f>SUM([1]Inicio:Final!N123)</f>
        <v>0</v>
      </c>
      <c r="I124" s="22">
        <f>SUM([1]Inicio:Final!O123)</f>
        <v>0</v>
      </c>
      <c r="J124" s="22">
        <f>SUM([1]Inicio:Final!P123)</f>
        <v>225000</v>
      </c>
      <c r="K124" s="22">
        <f>SUM([1]Inicio:Final!Q123)</f>
        <v>3766976</v>
      </c>
      <c r="L124" s="22">
        <f>SUM([1]Inicio:Final!R123)</f>
        <v>391993</v>
      </c>
      <c r="M124" s="22">
        <f>SUM([1]Inicio:Final!S123)</f>
        <v>5694182</v>
      </c>
      <c r="N124" s="22">
        <f>SUM([1]Inicio:Final!V123)</f>
        <v>5507917</v>
      </c>
      <c r="O124" s="25">
        <f>SUM([1]Inicio:Final!W123)</f>
        <v>39672273.148999996</v>
      </c>
    </row>
    <row r="125" spans="1:15" ht="15.75" hidden="1" thickBot="1" x14ac:dyDescent="0.3">
      <c r="A125" s="20"/>
      <c r="B125" s="21" t="s">
        <v>32</v>
      </c>
      <c r="C125" s="22">
        <f>SUM([1]Inicio:Final!E124)</f>
        <v>2682</v>
      </c>
      <c r="D125" s="22">
        <f>SUM([1]Inicio:Final!G124)</f>
        <v>781684</v>
      </c>
      <c r="E125" s="22">
        <f>SUM([1]Inicio:Final!J124)</f>
        <v>1753</v>
      </c>
      <c r="F125" s="22">
        <f>SUM([1]Inicio:Final!L124)</f>
        <v>634320</v>
      </c>
      <c r="G125" s="22">
        <f>SUM([1]Inicio:Final!M124)</f>
        <v>0</v>
      </c>
      <c r="H125" s="22">
        <f>SUM([1]Inicio:Final!N124)</f>
        <v>0</v>
      </c>
      <c r="I125" s="22">
        <f>SUM([1]Inicio:Final!O124)</f>
        <v>0</v>
      </c>
      <c r="J125" s="22">
        <f>SUM([1]Inicio:Final!P124)</f>
        <v>215000</v>
      </c>
      <c r="K125" s="22">
        <f>SUM([1]Inicio:Final!Q124)</f>
        <v>3766976</v>
      </c>
      <c r="L125" s="22">
        <f>SUM([1]Inicio:Final!R124)</f>
        <v>318262</v>
      </c>
      <c r="M125" s="22">
        <f>SUM([1]Inicio:Final!S124)</f>
        <v>5716242</v>
      </c>
      <c r="N125" s="22">
        <f>SUM([1]Inicio:Final!V124)</f>
        <v>4826808</v>
      </c>
      <c r="O125" s="25">
        <f>SUM([1]Inicio:Final!W124)</f>
        <v>40499940.148999996</v>
      </c>
    </row>
    <row r="126" spans="1:15" ht="15.75" hidden="1" thickBot="1" x14ac:dyDescent="0.3">
      <c r="A126" s="20"/>
      <c r="B126" s="21" t="s">
        <v>33</v>
      </c>
      <c r="C126" s="22">
        <f>SUM([1]Inicio:Final!E125)</f>
        <v>5653</v>
      </c>
      <c r="D126" s="22">
        <f>SUM([1]Inicio:Final!G125)</f>
        <v>825338</v>
      </c>
      <c r="E126" s="22">
        <f>SUM([1]Inicio:Final!J125)</f>
        <v>4242</v>
      </c>
      <c r="F126" s="22">
        <f>SUM([1]Inicio:Final!L125)</f>
        <v>2157120</v>
      </c>
      <c r="G126" s="22">
        <f>SUM([1]Inicio:Final!M125)</f>
        <v>0</v>
      </c>
      <c r="H126" s="22">
        <f>SUM([1]Inicio:Final!N125)</f>
        <v>0</v>
      </c>
      <c r="I126" s="22">
        <f>SUM([1]Inicio:Final!O125)</f>
        <v>139912</v>
      </c>
      <c r="J126" s="22">
        <f>SUM([1]Inicio:Final!P125)</f>
        <v>215000</v>
      </c>
      <c r="K126" s="22">
        <f>SUM([1]Inicio:Final!Q125)</f>
        <v>3767851</v>
      </c>
      <c r="L126" s="22">
        <f>SUM([1]Inicio:Final!R125)</f>
        <v>563946</v>
      </c>
      <c r="M126" s="22">
        <f>SUM([1]Inicio:Final!S125)</f>
        <v>7583028</v>
      </c>
      <c r="N126" s="22">
        <f>SUM([1]Inicio:Final!V125)</f>
        <v>5602386</v>
      </c>
      <c r="O126" s="25">
        <f>SUM([1]Inicio:Final!W125)</f>
        <v>42654525.848999999</v>
      </c>
    </row>
    <row r="127" spans="1:15" ht="15.75" hidden="1" thickBot="1" x14ac:dyDescent="0.3">
      <c r="A127" s="20"/>
      <c r="B127" s="21" t="s">
        <v>34</v>
      </c>
      <c r="C127" s="22">
        <f>SUM([1]Inicio:Final!E126)</f>
        <v>6048</v>
      </c>
      <c r="D127" s="22">
        <f>SUM([1]Inicio:Final!G126)</f>
        <v>883008</v>
      </c>
      <c r="E127" s="22">
        <f>SUM([1]Inicio:Final!J126)</f>
        <v>4091</v>
      </c>
      <c r="F127" s="22">
        <f>SUM([1]Inicio:Final!L126)</f>
        <v>1530720</v>
      </c>
      <c r="G127" s="22">
        <f>SUM([1]Inicio:Final!M126)</f>
        <v>0</v>
      </c>
      <c r="H127" s="22">
        <f>SUM([1]Inicio:Final!N126)</f>
        <v>0</v>
      </c>
      <c r="I127" s="22">
        <f>SUM([1]Inicio:Final!O126)</f>
        <v>12288</v>
      </c>
      <c r="J127" s="22">
        <f>SUM([1]Inicio:Final!P126)</f>
        <v>215000</v>
      </c>
      <c r="K127" s="22">
        <f>SUM([1]Inicio:Final!Q126)</f>
        <v>3767851</v>
      </c>
      <c r="L127" s="22">
        <f>SUM([1]Inicio:Final!R126)</f>
        <v>335890</v>
      </c>
      <c r="M127" s="22">
        <f>SUM([1]Inicio:Final!S126)</f>
        <v>6744757</v>
      </c>
      <c r="N127" s="22">
        <f>SUM([1]Inicio:Final!V126)</f>
        <v>7408239</v>
      </c>
      <c r="O127" s="25">
        <f>SUM([1]Inicio:Final!W126)</f>
        <v>41932184.949000001</v>
      </c>
    </row>
    <row r="128" spans="1:15" ht="15.75" hidden="1" thickBot="1" x14ac:dyDescent="0.3">
      <c r="A128" s="20">
        <v>2013</v>
      </c>
      <c r="B128" s="21" t="s">
        <v>35</v>
      </c>
      <c r="C128" s="22">
        <f>SUM([1]Inicio:Final!E127)</f>
        <v>9146</v>
      </c>
      <c r="D128" s="22">
        <f>SUM([1]Inicio:Final!G127)</f>
        <v>1337944</v>
      </c>
      <c r="E128" s="22">
        <f>SUM([1]Inicio:Final!J127)</f>
        <v>5393</v>
      </c>
      <c r="F128" s="22">
        <f>SUM([1]Inicio:Final!L127)</f>
        <v>2593440</v>
      </c>
      <c r="G128" s="22">
        <f>SUM([1]Inicio:Final!M127)</f>
        <v>0</v>
      </c>
      <c r="H128" s="22">
        <f>SUM([1]Inicio:Final!N127)</f>
        <v>0</v>
      </c>
      <c r="I128" s="22">
        <f>SUM([1]Inicio:Final!O127)</f>
        <v>0</v>
      </c>
      <c r="J128" s="22">
        <f>SUM([1]Inicio:Final!P127)</f>
        <v>215000</v>
      </c>
      <c r="K128" s="22">
        <f>SUM([1]Inicio:Final!Q127)</f>
        <v>3822976</v>
      </c>
      <c r="L128" s="22">
        <f>SUM([1]Inicio:Final!R127)</f>
        <v>494722</v>
      </c>
      <c r="M128" s="22">
        <f>SUM([1]Inicio:Final!S127)</f>
        <v>8392469</v>
      </c>
      <c r="N128" s="22">
        <f>SUM([1]Inicio:Final!V127)</f>
        <v>7329047</v>
      </c>
      <c r="O128" s="25">
        <f>SUM([1]Inicio:Final!W127)</f>
        <v>43004448.949000001</v>
      </c>
    </row>
    <row r="129" spans="1:15" ht="15.75" hidden="1" thickBot="1" x14ac:dyDescent="0.3">
      <c r="A129" s="20"/>
      <c r="B129" s="21" t="s">
        <v>24</v>
      </c>
      <c r="C129" s="22">
        <f>SUM([1]Inicio:Final!E128)</f>
        <v>8749</v>
      </c>
      <c r="D129" s="22">
        <f>SUM([1]Inicio:Final!G128)</f>
        <v>1277354</v>
      </c>
      <c r="E129" s="22">
        <f>SUM([1]Inicio:Final!J128)</f>
        <v>4485</v>
      </c>
      <c r="F129" s="22">
        <f>SUM([1]Inicio:Final!L128)</f>
        <v>1911780</v>
      </c>
      <c r="G129" s="22">
        <f>SUM([1]Inicio:Final!M128)</f>
        <v>0</v>
      </c>
      <c r="H129" s="22">
        <f>SUM([1]Inicio:Final!N128)</f>
        <v>565248</v>
      </c>
      <c r="I129" s="22">
        <f>SUM([1]Inicio:Final!O128)</f>
        <v>147456</v>
      </c>
      <c r="J129" s="22">
        <f>SUM([1]Inicio:Final!P128)</f>
        <v>205000</v>
      </c>
      <c r="K129" s="22">
        <f>SUM([1]Inicio:Final!Q128)</f>
        <v>3822976</v>
      </c>
      <c r="L129" s="22">
        <f>SUM([1]Inicio:Final!R128)</f>
        <v>414314</v>
      </c>
      <c r="M129" s="22">
        <f>SUM([1]Inicio:Final!S128)</f>
        <v>8153023</v>
      </c>
      <c r="N129" s="22">
        <f>SUM([1]Inicio:Final!V128)</f>
        <v>6931446</v>
      </c>
      <c r="O129" s="25">
        <f>SUM([1]Inicio:Final!W128)</f>
        <v>44639772.949000001</v>
      </c>
    </row>
    <row r="130" spans="1:15" ht="15.75" hidden="1" thickBot="1" x14ac:dyDescent="0.3">
      <c r="A130" s="20"/>
      <c r="B130" s="21" t="s">
        <v>25</v>
      </c>
      <c r="C130" s="22">
        <f>SUM([1]Inicio:Final!E129)</f>
        <v>6973</v>
      </c>
      <c r="D130" s="22">
        <f>SUM([1]Inicio:Final!G129)</f>
        <v>1018058</v>
      </c>
      <c r="E130" s="22">
        <f>SUM([1]Inicio:Final!J129)</f>
        <v>3992</v>
      </c>
      <c r="F130" s="22">
        <f>SUM([1]Inicio:Final!L129)</f>
        <v>1842840</v>
      </c>
      <c r="G130" s="22">
        <f>SUM([1]Inicio:Final!M129)</f>
        <v>0</v>
      </c>
      <c r="H130" s="22">
        <f>SUM([1]Inicio:Final!N129)</f>
        <v>0</v>
      </c>
      <c r="I130" s="22">
        <f>SUM([1]Inicio:Final!O129)</f>
        <v>0</v>
      </c>
      <c r="J130" s="22">
        <f>SUM([1]Inicio:Final!P129)</f>
        <v>205000</v>
      </c>
      <c r="K130" s="22">
        <f>SUM([1]Inicio:Final!Q129)</f>
        <v>3822976</v>
      </c>
      <c r="L130" s="22">
        <f>SUM([1]Inicio:Final!R129)</f>
        <v>538235</v>
      </c>
      <c r="M130" s="22">
        <f>SUM([1]Inicio:Final!S129)</f>
        <v>7427109</v>
      </c>
      <c r="N130" s="22">
        <f>SUM([1]Inicio:Final!V129)</f>
        <v>7492844</v>
      </c>
      <c r="O130" s="25">
        <f>SUM([1]Inicio:Final!W129)</f>
        <v>44514305.949000001</v>
      </c>
    </row>
    <row r="131" spans="1:15" ht="15.75" hidden="1" thickBot="1" x14ac:dyDescent="0.3">
      <c r="A131" s="20"/>
      <c r="B131" s="21" t="s">
        <v>26</v>
      </c>
      <c r="C131" s="22">
        <f>SUM([1]Inicio:Final!E130)</f>
        <v>6518</v>
      </c>
      <c r="D131" s="22">
        <f>SUM([1]Inicio:Final!G130)</f>
        <v>951628</v>
      </c>
      <c r="E131" s="22">
        <f>SUM([1]Inicio:Final!J130)</f>
        <v>3161</v>
      </c>
      <c r="F131" s="22">
        <f>SUM([1]Inicio:Final!L130)</f>
        <v>1312200</v>
      </c>
      <c r="G131" s="22">
        <f>SUM([1]Inicio:Final!M130)</f>
        <v>0</v>
      </c>
      <c r="H131" s="22">
        <f>SUM([1]Inicio:Final!N130)</f>
        <v>0</v>
      </c>
      <c r="I131" s="22">
        <f>SUM([1]Inicio:Final!O130)</f>
        <v>0</v>
      </c>
      <c r="J131" s="22">
        <f>SUM([1]Inicio:Final!P130)</f>
        <v>210000</v>
      </c>
      <c r="K131" s="22">
        <f>SUM([1]Inicio:Final!Q130)</f>
        <v>3822976</v>
      </c>
      <c r="L131" s="22">
        <f>SUM([1]Inicio:Final!R130)</f>
        <v>408063</v>
      </c>
      <c r="M131" s="22">
        <f>SUM([1]Inicio:Final!S130)</f>
        <v>6704867</v>
      </c>
      <c r="N131" s="22">
        <f>SUM([1]Inicio:Final!V130)</f>
        <v>4791475</v>
      </c>
      <c r="O131" s="25">
        <f>SUM([1]Inicio:Final!W130)</f>
        <v>46434208.949000001</v>
      </c>
    </row>
    <row r="132" spans="1:15" ht="15.75" hidden="1" thickBot="1" x14ac:dyDescent="0.3">
      <c r="A132" s="20"/>
      <c r="B132" s="21" t="s">
        <v>27</v>
      </c>
      <c r="C132" s="22">
        <f>SUM([1]Inicio:Final!E131)</f>
        <v>7072</v>
      </c>
      <c r="D132" s="22">
        <f>SUM([1]Inicio:Final!G131)</f>
        <v>1037038</v>
      </c>
      <c r="E132" s="22">
        <f>SUM([1]Inicio:Final!J131)</f>
        <v>1534</v>
      </c>
      <c r="F132" s="22">
        <f>SUM([1]Inicio:Final!L131)</f>
        <v>560880</v>
      </c>
      <c r="G132" s="22">
        <f>SUM([1]Inicio:Final!M131)</f>
        <v>0</v>
      </c>
      <c r="H132" s="22">
        <f>SUM([1]Inicio:Final!N131)</f>
        <v>0</v>
      </c>
      <c r="I132" s="22">
        <f>SUM([1]Inicio:Final!O131)</f>
        <v>0</v>
      </c>
      <c r="J132" s="22">
        <f>SUM([1]Inicio:Final!P131)</f>
        <v>200000</v>
      </c>
      <c r="K132" s="22">
        <f>SUM([1]Inicio:Final!Q131)</f>
        <v>3822976</v>
      </c>
      <c r="L132" s="22">
        <f>SUM([1]Inicio:Final!R131)</f>
        <v>584900</v>
      </c>
      <c r="M132" s="22">
        <f>SUM([1]Inicio:Final!S131)</f>
        <v>6145782</v>
      </c>
      <c r="N132" s="22">
        <f>SUM([1]Inicio:Final!V131)</f>
        <v>5262651</v>
      </c>
      <c r="O132" s="25">
        <f>SUM([1]Inicio:Final!W131)</f>
        <v>47282443.949000001</v>
      </c>
    </row>
    <row r="133" spans="1:15" ht="15.75" hidden="1" thickBot="1" x14ac:dyDescent="0.3">
      <c r="A133" s="20"/>
      <c r="B133" s="21" t="s">
        <v>28</v>
      </c>
      <c r="C133" s="22">
        <f>SUM([1]Inicio:Final!E132)</f>
        <v>5600</v>
      </c>
      <c r="D133" s="22">
        <f>SUM([1]Inicio:Final!G132)</f>
        <v>817600</v>
      </c>
      <c r="E133" s="22">
        <f>SUM([1]Inicio:Final!J132)</f>
        <v>424</v>
      </c>
      <c r="F133" s="22">
        <f>SUM([1]Inicio:Final!L132)</f>
        <v>152640</v>
      </c>
      <c r="G133" s="22">
        <f>SUM([1]Inicio:Final!M132)</f>
        <v>0</v>
      </c>
      <c r="H133" s="22">
        <f>SUM([1]Inicio:Final!N132)</f>
        <v>0</v>
      </c>
      <c r="I133" s="22">
        <f>SUM([1]Inicio:Final!O132)</f>
        <v>0</v>
      </c>
      <c r="J133" s="22">
        <f>SUM([1]Inicio:Final!P132)</f>
        <v>200000</v>
      </c>
      <c r="K133" s="22">
        <f>SUM([1]Inicio:Final!Q132)</f>
        <v>3822976</v>
      </c>
      <c r="L133" s="22">
        <f>SUM([1]Inicio:Final!R132)</f>
        <v>501473</v>
      </c>
      <c r="M133" s="22">
        <f>SUM([1]Inicio:Final!S132)</f>
        <v>5494689</v>
      </c>
      <c r="N133" s="22">
        <f>SUM([1]Inicio:Final!V132)</f>
        <v>21617885</v>
      </c>
      <c r="O133" s="25">
        <f>SUM([1]Inicio:Final!W132)</f>
        <v>31086086.948999997</v>
      </c>
    </row>
    <row r="134" spans="1:15" ht="15.75" hidden="1" thickBot="1" x14ac:dyDescent="0.3">
      <c r="A134" s="20"/>
      <c r="B134" s="21" t="s">
        <v>29</v>
      </c>
      <c r="C134" s="22">
        <f>SUM([1]Inicio:Final!E133)</f>
        <v>5498</v>
      </c>
      <c r="D134" s="22">
        <f>SUM([1]Inicio:Final!G133)</f>
        <v>827090</v>
      </c>
      <c r="E134" s="22">
        <f>SUM([1]Inicio:Final!J133)</f>
        <v>410</v>
      </c>
      <c r="F134" s="22">
        <f>SUM([1]Inicio:Final!L133)</f>
        <v>147600</v>
      </c>
      <c r="G134" s="22">
        <f>SUM([1]Inicio:Final!M133)</f>
        <v>0</v>
      </c>
      <c r="H134" s="22">
        <f>SUM([1]Inicio:Final!N133)</f>
        <v>0</v>
      </c>
      <c r="I134" s="22">
        <f>SUM([1]Inicio:Final!O133)</f>
        <v>0</v>
      </c>
      <c r="J134" s="22">
        <f>SUM([1]Inicio:Final!P133)</f>
        <v>200000</v>
      </c>
      <c r="K134" s="22">
        <f>SUM([1]Inicio:Final!Q133)</f>
        <v>3822976</v>
      </c>
      <c r="L134" s="22">
        <f>SUM([1]Inicio:Final!R133)</f>
        <v>304811</v>
      </c>
      <c r="M134" s="22">
        <f>SUM([1]Inicio:Final!S133)</f>
        <v>5302477</v>
      </c>
      <c r="N134" s="22">
        <f>SUM([1]Inicio:Final!V133)</f>
        <v>3916008</v>
      </c>
      <c r="O134" s="25">
        <f>SUM([1]Inicio:Final!W133)</f>
        <v>32383495.948999997</v>
      </c>
    </row>
    <row r="135" spans="1:15" ht="15.75" hidden="1" thickBot="1" x14ac:dyDescent="0.3">
      <c r="A135" s="20"/>
      <c r="B135" s="21" t="s">
        <v>30</v>
      </c>
      <c r="C135" s="22">
        <f>SUM([1]Inicio:Final!E134)</f>
        <v>5364</v>
      </c>
      <c r="D135" s="22">
        <f>SUM([1]Inicio:Final!G134)</f>
        <v>783144</v>
      </c>
      <c r="E135" s="22">
        <f>SUM([1]Inicio:Final!J134)</f>
        <v>730</v>
      </c>
      <c r="F135" s="22">
        <f>SUM([1]Inicio:Final!L134)</f>
        <v>262800</v>
      </c>
      <c r="G135" s="22">
        <f>SUM([1]Inicio:Final!M134)</f>
        <v>15075</v>
      </c>
      <c r="H135" s="22">
        <f>SUM([1]Inicio:Final!N134)</f>
        <v>0</v>
      </c>
      <c r="I135" s="22">
        <f>SUM([1]Inicio:Final!O134)</f>
        <v>149960</v>
      </c>
      <c r="J135" s="22">
        <f>SUM([1]Inicio:Final!P134)</f>
        <v>200000</v>
      </c>
      <c r="K135" s="22">
        <f>SUM([1]Inicio:Final!Q134)</f>
        <v>3822976</v>
      </c>
      <c r="L135" s="22">
        <f>SUM([1]Inicio:Final!R134)</f>
        <v>509504</v>
      </c>
      <c r="M135" s="22">
        <f>SUM([1]Inicio:Final!S134)</f>
        <v>5743459</v>
      </c>
      <c r="N135" s="22">
        <f>SUM([1]Inicio:Final!V134)</f>
        <v>5023601</v>
      </c>
      <c r="O135" s="25">
        <f>SUM([1]Inicio:Final!W134)</f>
        <v>33043626.948999997</v>
      </c>
    </row>
    <row r="136" spans="1:15" ht="15.75" hidden="1" thickBot="1" x14ac:dyDescent="0.3">
      <c r="A136" s="20"/>
      <c r="B136" s="21" t="s">
        <v>31</v>
      </c>
      <c r="C136" s="22">
        <f>SUM([1]Inicio:Final!E135)</f>
        <v>6448</v>
      </c>
      <c r="D136" s="22">
        <f>SUM([1]Inicio:Final!G135)</f>
        <v>941408</v>
      </c>
      <c r="E136" s="22">
        <f>SUM([1]Inicio:Final!J135)</f>
        <v>1158</v>
      </c>
      <c r="F136" s="22">
        <f>SUM([1]Inicio:Final!L135)</f>
        <v>416880</v>
      </c>
      <c r="G136" s="22">
        <f>SUM([1]Inicio:Final!M135)</f>
        <v>0</v>
      </c>
      <c r="H136" s="22">
        <f>SUM([1]Inicio:Final!N135)</f>
        <v>0</v>
      </c>
      <c r="I136" s="22">
        <f>SUM([1]Inicio:Final!O135)</f>
        <v>54470</v>
      </c>
      <c r="J136" s="22">
        <f>SUM([1]Inicio:Final!P135)</f>
        <v>200000</v>
      </c>
      <c r="K136" s="22">
        <f>SUM([1]Inicio:Final!Q135)</f>
        <v>3822976</v>
      </c>
      <c r="L136" s="22">
        <f>SUM([1]Inicio:Final!R135)</f>
        <v>250230</v>
      </c>
      <c r="M136" s="22">
        <f>SUM([1]Inicio:Final!S135)</f>
        <v>5685964</v>
      </c>
      <c r="N136" s="22">
        <f>SUM([1]Inicio:Final!V135)</f>
        <v>13933234</v>
      </c>
      <c r="O136" s="25">
        <f>SUM([1]Inicio:Final!W135)</f>
        <v>20830944.949000001</v>
      </c>
    </row>
    <row r="137" spans="1:15" ht="15.75" hidden="1" thickBot="1" x14ac:dyDescent="0.3">
      <c r="A137" s="20"/>
      <c r="B137" s="21" t="s">
        <v>32</v>
      </c>
      <c r="C137" s="22">
        <f>SUM([1]Inicio:Final!E136)</f>
        <v>6526</v>
      </c>
      <c r="D137" s="22">
        <f>SUM([1]Inicio:Final!G136)</f>
        <v>952796</v>
      </c>
      <c r="E137" s="22">
        <f>SUM([1]Inicio:Final!J136)</f>
        <v>3290</v>
      </c>
      <c r="F137" s="22">
        <f>SUM([1]Inicio:Final!L136)</f>
        <v>1292220</v>
      </c>
      <c r="G137" s="22">
        <f>SUM([1]Inicio:Final!M136)</f>
        <v>0</v>
      </c>
      <c r="H137" s="22">
        <f>SUM([1]Inicio:Final!N136)</f>
        <v>49330</v>
      </c>
      <c r="I137" s="22">
        <f>SUM([1]Inicio:Final!O136)</f>
        <v>12570</v>
      </c>
      <c r="J137" s="22">
        <f>SUM([1]Inicio:Final!P136)</f>
        <v>202500</v>
      </c>
      <c r="K137" s="22">
        <f>SUM([1]Inicio:Final!Q136)</f>
        <v>3822976</v>
      </c>
      <c r="L137" s="22">
        <f>SUM([1]Inicio:Final!R136)</f>
        <v>356065</v>
      </c>
      <c r="M137" s="22">
        <f>SUM([1]Inicio:Final!S136)</f>
        <v>6659127</v>
      </c>
      <c r="N137" s="22">
        <f>SUM([1]Inicio:Final!V136)</f>
        <v>5844237</v>
      </c>
      <c r="O137" s="25">
        <f>SUM([1]Inicio:Final!W136)</f>
        <v>21615439.948999997</v>
      </c>
    </row>
    <row r="138" spans="1:15" ht="15.75" hidden="1" thickBot="1" x14ac:dyDescent="0.3">
      <c r="A138" s="20"/>
      <c r="B138" s="21" t="s">
        <v>33</v>
      </c>
      <c r="C138" s="22">
        <f>SUM([1]Inicio:Final!E137)</f>
        <v>6543</v>
      </c>
      <c r="D138" s="22">
        <f>SUM([1]Inicio:Final!G137)</f>
        <v>955278</v>
      </c>
      <c r="E138" s="22">
        <f>SUM([1]Inicio:Final!J137)</f>
        <v>3448</v>
      </c>
      <c r="F138" s="22">
        <f>SUM([1]Inicio:Final!L137)</f>
        <v>1463580</v>
      </c>
      <c r="G138" s="22">
        <f>SUM([1]Inicio:Final!M137)</f>
        <v>0</v>
      </c>
      <c r="H138" s="22">
        <f>SUM([1]Inicio:Final!N137)</f>
        <v>5000</v>
      </c>
      <c r="I138" s="22">
        <f>SUM([1]Inicio:Final!O137)</f>
        <v>0</v>
      </c>
      <c r="J138" s="22">
        <f>SUM([1]Inicio:Final!P137)</f>
        <v>205000</v>
      </c>
      <c r="K138" s="22">
        <f>SUM([1]Inicio:Final!Q137)</f>
        <v>3824778</v>
      </c>
      <c r="L138" s="22">
        <f>SUM([1]Inicio:Final!R137)</f>
        <v>270397</v>
      </c>
      <c r="M138" s="22">
        <f>SUM([1]Inicio:Final!S137)</f>
        <v>6724033</v>
      </c>
      <c r="N138" s="22">
        <f>SUM([1]Inicio:Final!V137)</f>
        <v>5817575</v>
      </c>
      <c r="O138" s="25">
        <f>SUM([1]Inicio:Final!W137)</f>
        <v>22445805.948999997</v>
      </c>
    </row>
    <row r="139" spans="1:15" ht="15.75" hidden="1" thickBot="1" x14ac:dyDescent="0.3">
      <c r="A139" s="20"/>
      <c r="B139" s="21" t="s">
        <v>34</v>
      </c>
      <c r="C139" s="22">
        <f>SUM([1]Inicio:Final!E138)</f>
        <v>6434</v>
      </c>
      <c r="D139" s="22">
        <f>SUM([1]Inicio:Final!G138)</f>
        <v>939364</v>
      </c>
      <c r="E139" s="22">
        <f>SUM([1]Inicio:Final!J138)</f>
        <v>5478</v>
      </c>
      <c r="F139" s="22">
        <f>SUM([1]Inicio:Final!L138)</f>
        <v>2814120</v>
      </c>
      <c r="G139" s="22">
        <f>SUM([1]Inicio:Final!M138)</f>
        <v>0</v>
      </c>
      <c r="H139" s="22">
        <f>SUM([1]Inicio:Final!N138)</f>
        <v>1085000</v>
      </c>
      <c r="I139" s="22">
        <f>SUM([1]Inicio:Final!O138)</f>
        <v>202154</v>
      </c>
      <c r="J139" s="22">
        <f>SUM([1]Inicio:Final!P138)</f>
        <v>205000</v>
      </c>
      <c r="K139" s="22">
        <f>SUM([1]Inicio:Final!Q138)</f>
        <v>3824778</v>
      </c>
      <c r="L139" s="22">
        <f>SUM([1]Inicio:Final!R138)</f>
        <v>312434</v>
      </c>
      <c r="M139" s="22">
        <f>SUM([1]Inicio:Final!S138)</f>
        <v>9102850</v>
      </c>
      <c r="N139" s="22">
        <f>SUM([1]Inicio:Final!V138)</f>
        <v>9368385</v>
      </c>
      <c r="O139" s="25">
        <f>SUM([1]Inicio:Final!W138)</f>
        <v>22640329.948999997</v>
      </c>
    </row>
    <row r="140" spans="1:15" ht="15.75" hidden="1" thickBot="1" x14ac:dyDescent="0.3">
      <c r="A140" s="20">
        <v>2014</v>
      </c>
      <c r="B140" s="21" t="s">
        <v>35</v>
      </c>
      <c r="C140" s="22">
        <f>SUM([1]Inicio:Final!E139)</f>
        <v>8117</v>
      </c>
      <c r="D140" s="22">
        <f>SUM([1]Inicio:Final!G139)</f>
        <v>1185082</v>
      </c>
      <c r="E140" s="22">
        <f>SUM([1]Inicio:Final!J139)</f>
        <v>4651</v>
      </c>
      <c r="F140" s="22">
        <f>SUM([1]Inicio:Final!L139)</f>
        <v>3411000</v>
      </c>
      <c r="G140" s="22">
        <f>SUM([1]Inicio:Final!M139)</f>
        <v>0</v>
      </c>
      <c r="H140" s="22">
        <f>SUM([1]Inicio:Final!N139)</f>
        <v>275000</v>
      </c>
      <c r="I140" s="22">
        <f>SUM([1]Inicio:Final!O139)</f>
        <v>135869</v>
      </c>
      <c r="J140" s="22">
        <f>SUM([1]Inicio:Final!P139)</f>
        <v>205000</v>
      </c>
      <c r="K140" s="22">
        <f>SUM([1]Inicio:Final!Q139)</f>
        <v>3938304</v>
      </c>
      <c r="L140" s="22">
        <f>SUM([1]Inicio:Final!R139)</f>
        <v>305430</v>
      </c>
      <c r="M140" s="22">
        <f>SUM([1]Inicio:Final!S139)</f>
        <v>9372960</v>
      </c>
      <c r="N140" s="22">
        <f>SUM([1]Inicio:Final!V139)</f>
        <v>8711441</v>
      </c>
      <c r="O140" s="25">
        <f>SUM([1]Inicio:Final!W139)</f>
        <v>23401114.948999997</v>
      </c>
    </row>
    <row r="141" spans="1:15" ht="15.75" hidden="1" thickBot="1" x14ac:dyDescent="0.3">
      <c r="A141" s="20"/>
      <c r="B141" s="21" t="s">
        <v>24</v>
      </c>
      <c r="C141" s="22">
        <f>SUM([1]Inicio:Final!E140)</f>
        <v>8288</v>
      </c>
      <c r="D141" s="22">
        <f>SUM([1]Inicio:Final!G140)</f>
        <v>1210048</v>
      </c>
      <c r="E141" s="22">
        <f>SUM([1]Inicio:Final!J140)</f>
        <v>3296</v>
      </c>
      <c r="F141" s="22">
        <f>SUM([1]Inicio:Final!L140)</f>
        <v>1652400</v>
      </c>
      <c r="G141" s="22">
        <f>SUM([1]Inicio:Final!M140)</f>
        <v>0</v>
      </c>
      <c r="H141" s="22">
        <f>SUM([1]Inicio:Final!N140)</f>
        <v>275000</v>
      </c>
      <c r="I141" s="22">
        <f>SUM([1]Inicio:Final!O140)</f>
        <v>16541</v>
      </c>
      <c r="J141" s="22">
        <f>SUM([1]Inicio:Final!P140)</f>
        <v>205000</v>
      </c>
      <c r="K141" s="22">
        <f>SUM([1]Inicio:Final!Q140)</f>
        <v>3938304</v>
      </c>
      <c r="L141" s="22">
        <f>SUM([1]Inicio:Final!R140)</f>
        <v>296470</v>
      </c>
      <c r="M141" s="22">
        <f>SUM([1]Inicio:Final!S140)</f>
        <v>7507222</v>
      </c>
      <c r="N141" s="22">
        <f>SUM([1]Inicio:Final!V140)</f>
        <v>7145729</v>
      </c>
      <c r="O141" s="25">
        <f>SUM([1]Inicio:Final!W140)</f>
        <v>23775926.948999997</v>
      </c>
    </row>
    <row r="142" spans="1:15" ht="15.75" hidden="1" thickBot="1" x14ac:dyDescent="0.3">
      <c r="A142" s="20"/>
      <c r="B142" s="21" t="s">
        <v>25</v>
      </c>
      <c r="C142" s="22">
        <f>SUM([1]Inicio:Final!E141)</f>
        <v>6918</v>
      </c>
      <c r="D142" s="22">
        <f>SUM([1]Inicio:Final!G141)</f>
        <v>1010028</v>
      </c>
      <c r="E142" s="22">
        <f>SUM([1]Inicio:Final!J141)</f>
        <v>3047</v>
      </c>
      <c r="F142" s="22">
        <f>SUM([1]Inicio:Final!L141)</f>
        <v>1568160</v>
      </c>
      <c r="G142" s="22">
        <f>SUM([1]Inicio:Final!M141)</f>
        <v>0</v>
      </c>
      <c r="H142" s="22">
        <f>SUM([1]Inicio:Final!N141)</f>
        <v>275000</v>
      </c>
      <c r="I142" s="22">
        <f>SUM([1]Inicio:Final!O141)</f>
        <v>16541</v>
      </c>
      <c r="J142" s="22">
        <f>SUM([1]Inicio:Final!P141)</f>
        <v>210000</v>
      </c>
      <c r="K142" s="22">
        <f>SUM([1]Inicio:Final!Q141)</f>
        <v>3938304</v>
      </c>
      <c r="L142" s="22">
        <f>SUM([1]Inicio:Final!R141)</f>
        <v>312042</v>
      </c>
      <c r="M142" s="22">
        <f>SUM([1]Inicio:Final!S141)</f>
        <v>7260075</v>
      </c>
      <c r="N142" s="22">
        <f>SUM([1]Inicio:Final!V141)</f>
        <v>15817157</v>
      </c>
      <c r="O142" s="25">
        <f>SUM([1]Inicio:Final!W141)</f>
        <v>15370446.949000001</v>
      </c>
    </row>
    <row r="143" spans="1:15" ht="15.75" hidden="1" thickBot="1" x14ac:dyDescent="0.3">
      <c r="A143" s="20"/>
      <c r="B143" s="21" t="s">
        <v>26</v>
      </c>
      <c r="C143" s="22">
        <f>SUM([1]Inicio:Final!E142)</f>
        <v>6615</v>
      </c>
      <c r="D143" s="22">
        <f>SUM([1]Inicio:Final!G142)</f>
        <v>965790</v>
      </c>
      <c r="E143" s="22">
        <f>SUM([1]Inicio:Final!J142)</f>
        <v>2838</v>
      </c>
      <c r="F143" s="22">
        <f>SUM([1]Inicio:Final!L142)</f>
        <v>1148940</v>
      </c>
      <c r="G143" s="22">
        <f>SUM([1]Inicio:Final!M142)</f>
        <v>0</v>
      </c>
      <c r="H143" s="22">
        <f>SUM([1]Inicio:Final!N142)</f>
        <v>275000</v>
      </c>
      <c r="I143" s="22">
        <f>SUM([1]Inicio:Final!O142)</f>
        <v>0</v>
      </c>
      <c r="J143" s="22">
        <f>SUM([1]Inicio:Final!P142)</f>
        <v>205000</v>
      </c>
      <c r="K143" s="22">
        <f>SUM([1]Inicio:Final!Q142)</f>
        <v>3938304</v>
      </c>
      <c r="L143" s="22">
        <f>SUM([1]Inicio:Final!R142)</f>
        <v>313152</v>
      </c>
      <c r="M143" s="22">
        <f>SUM([1]Inicio:Final!S142)</f>
        <v>6776186</v>
      </c>
      <c r="N143" s="22">
        <f>SUM([1]Inicio:Final!V142)</f>
        <v>5357483</v>
      </c>
      <c r="O143" s="25">
        <f>SUM([1]Inicio:Final!W142)</f>
        <v>16859149.949000001</v>
      </c>
    </row>
    <row r="144" spans="1:15" ht="15.75" hidden="1" thickBot="1" x14ac:dyDescent="0.3">
      <c r="A144" s="20"/>
      <c r="B144" s="21" t="s">
        <v>27</v>
      </c>
      <c r="C144" s="22">
        <f>SUM([1]Inicio:Final!E143)</f>
        <v>5748</v>
      </c>
      <c r="D144" s="22">
        <f>SUM([1]Inicio:Final!G143)</f>
        <v>839208</v>
      </c>
      <c r="E144" s="22">
        <f>SUM([1]Inicio:Final!J143)</f>
        <v>1329</v>
      </c>
      <c r="F144" s="22">
        <f>SUM([1]Inicio:Final!L143)</f>
        <v>512640</v>
      </c>
      <c r="G144" s="22">
        <f>SUM([1]Inicio:Final!M143)</f>
        <v>0</v>
      </c>
      <c r="H144" s="22">
        <f>SUM([1]Inicio:Final!N143)</f>
        <v>280000</v>
      </c>
      <c r="I144" s="22">
        <f>SUM([1]Inicio:Final!O143)</f>
        <v>55000</v>
      </c>
      <c r="J144" s="22">
        <f>SUM([1]Inicio:Final!P143)</f>
        <v>205000</v>
      </c>
      <c r="K144" s="22">
        <f>SUM([1]Inicio:Final!Q143)</f>
        <v>3938304</v>
      </c>
      <c r="L144" s="22">
        <f>SUM([1]Inicio:Final!R143)</f>
        <v>317176</v>
      </c>
      <c r="M144" s="22">
        <f>SUM([1]Inicio:Final!S143)</f>
        <v>6133328</v>
      </c>
      <c r="N144" s="22">
        <f>SUM([1]Inicio:Final!V143)</f>
        <v>6446294</v>
      </c>
      <c r="O144" s="25">
        <f>SUM([1]Inicio:Final!W143)</f>
        <v>16631183.949000001</v>
      </c>
    </row>
    <row r="145" spans="1:15" ht="15.75" hidden="1" thickBot="1" x14ac:dyDescent="0.3">
      <c r="A145" s="20"/>
      <c r="B145" s="21" t="s">
        <v>28</v>
      </c>
      <c r="C145" s="22">
        <f>SUM([1]Inicio:Final!E144)</f>
        <v>4679</v>
      </c>
      <c r="D145" s="22">
        <f>SUM([1]Inicio:Final!G144)</f>
        <v>683134</v>
      </c>
      <c r="E145" s="22">
        <f>SUM([1]Inicio:Final!J144)</f>
        <v>579</v>
      </c>
      <c r="F145" s="22">
        <f>SUM([1]Inicio:Final!L144)</f>
        <v>208440</v>
      </c>
      <c r="G145" s="22">
        <f>SUM([1]Inicio:Final!M144)</f>
        <v>0</v>
      </c>
      <c r="H145" s="22">
        <f>SUM([1]Inicio:Final!N144)</f>
        <v>285000</v>
      </c>
      <c r="I145" s="22">
        <f>SUM([1]Inicio:Final!O144)</f>
        <v>0</v>
      </c>
      <c r="J145" s="22">
        <f>SUM([1]Inicio:Final!P144)</f>
        <v>225000</v>
      </c>
      <c r="K145" s="22">
        <f>SUM([1]Inicio:Final!Q144)</f>
        <v>3938304</v>
      </c>
      <c r="L145" s="22">
        <f>SUM([1]Inicio:Final!R144)</f>
        <v>302603</v>
      </c>
      <c r="M145" s="22">
        <f>SUM([1]Inicio:Final!S144)</f>
        <v>5572481</v>
      </c>
      <c r="N145" s="22">
        <f>SUM([1]Inicio:Final!V144)</f>
        <v>4729958</v>
      </c>
      <c r="O145" s="25">
        <f>SUM([1]Inicio:Final!W144)</f>
        <v>14463332.949000001</v>
      </c>
    </row>
    <row r="146" spans="1:15" ht="15.75" hidden="1" thickBot="1" x14ac:dyDescent="0.3">
      <c r="A146" s="20"/>
      <c r="B146" s="21" t="s">
        <v>29</v>
      </c>
      <c r="C146" s="22">
        <f>SUM([1]Inicio:Final!E145)</f>
        <v>5954</v>
      </c>
      <c r="D146" s="22">
        <f>SUM([1]Inicio:Final!G145)</f>
        <v>869284</v>
      </c>
      <c r="E146" s="22">
        <f>SUM([1]Inicio:Final!J145)</f>
        <v>464</v>
      </c>
      <c r="F146" s="22">
        <f>SUM([1]Inicio:Final!L145)</f>
        <v>167040</v>
      </c>
      <c r="G146" s="22">
        <f>SUM([1]Inicio:Final!M145)</f>
        <v>0</v>
      </c>
      <c r="H146" s="22">
        <f>SUM([1]Inicio:Final!N145)</f>
        <v>275000</v>
      </c>
      <c r="I146" s="22">
        <f>SUM([1]Inicio:Final!O145)</f>
        <v>0</v>
      </c>
      <c r="J146" s="22">
        <f>SUM([1]Inicio:Final!P145)</f>
        <v>225000</v>
      </c>
      <c r="K146" s="22">
        <f>SUM([1]Inicio:Final!Q145)</f>
        <v>3938304</v>
      </c>
      <c r="L146" s="22">
        <f>SUM([1]Inicio:Final!R145)</f>
        <v>254186</v>
      </c>
      <c r="M146" s="22">
        <f>SUM([1]Inicio:Final!S145)</f>
        <v>5658814</v>
      </c>
      <c r="N146" s="22">
        <f>SUM([1]Inicio:Final!V145)</f>
        <v>6883770</v>
      </c>
      <c r="O146" s="25">
        <f>SUM([1]Inicio:Final!W145)</f>
        <v>13308376.949000001</v>
      </c>
    </row>
    <row r="147" spans="1:15" ht="15.75" hidden="1" thickBot="1" x14ac:dyDescent="0.3">
      <c r="A147" s="20"/>
      <c r="B147" s="21" t="s">
        <v>30</v>
      </c>
      <c r="C147" s="22">
        <f>SUM([1]Inicio:Final!E146)</f>
        <v>4792</v>
      </c>
      <c r="D147" s="22">
        <f>SUM([1]Inicio:Final!G146)</f>
        <v>699632</v>
      </c>
      <c r="E147" s="22">
        <f>SUM([1]Inicio:Final!J146)</f>
        <v>489</v>
      </c>
      <c r="F147" s="22">
        <f>SUM([1]Inicio:Final!L146)</f>
        <v>176040</v>
      </c>
      <c r="G147" s="22">
        <f>SUM([1]Inicio:Final!M146)</f>
        <v>0</v>
      </c>
      <c r="H147" s="22">
        <f>SUM([1]Inicio:Final!N146)</f>
        <v>275000</v>
      </c>
      <c r="I147" s="22">
        <f>SUM([1]Inicio:Final!O146)</f>
        <v>0</v>
      </c>
      <c r="J147" s="22">
        <f>SUM([1]Inicio:Final!P146)</f>
        <v>215000</v>
      </c>
      <c r="K147" s="22">
        <f>SUM([1]Inicio:Final!Q146)</f>
        <v>3938304</v>
      </c>
      <c r="L147" s="22">
        <f>SUM([1]Inicio:Final!R146)</f>
        <v>332731</v>
      </c>
      <c r="M147" s="22">
        <f>SUM([1]Inicio:Final!S146)</f>
        <v>5508716</v>
      </c>
      <c r="N147" s="22">
        <f>SUM([1]Inicio:Final!V146)</f>
        <v>5347416</v>
      </c>
      <c r="O147" s="25">
        <f>SUM([1]Inicio:Final!W146)</f>
        <v>13597667.949000001</v>
      </c>
    </row>
    <row r="148" spans="1:15" ht="15.75" hidden="1" thickBot="1" x14ac:dyDescent="0.3">
      <c r="A148" s="20"/>
      <c r="B148" s="21" t="s">
        <v>31</v>
      </c>
      <c r="C148" s="22">
        <f>SUM([1]Inicio:Final!E147)</f>
        <v>6051</v>
      </c>
      <c r="D148" s="22">
        <f>SUM([1]Inicio:Final!G147)</f>
        <v>883446</v>
      </c>
      <c r="E148" s="22">
        <f>SUM([1]Inicio:Final!J147)</f>
        <v>734</v>
      </c>
      <c r="F148" s="22">
        <f>SUM([1]Inicio:Final!L147)</f>
        <v>264240</v>
      </c>
      <c r="G148" s="22">
        <f>SUM([1]Inicio:Final!M147)</f>
        <v>0</v>
      </c>
      <c r="H148" s="22">
        <f>SUM([1]Inicio:Final!N147)</f>
        <v>275000</v>
      </c>
      <c r="I148" s="22">
        <f>SUM([1]Inicio:Final!O147)</f>
        <v>0</v>
      </c>
      <c r="J148" s="22">
        <f>SUM([1]Inicio:Final!P147)</f>
        <v>215000</v>
      </c>
      <c r="K148" s="22">
        <f>SUM([1]Inicio:Final!Q147)</f>
        <v>3938304</v>
      </c>
      <c r="L148" s="22">
        <f>SUM([1]Inicio:Final!R147)</f>
        <v>288185</v>
      </c>
      <c r="M148" s="22">
        <f>SUM([1]Inicio:Final!S147)</f>
        <v>5794175</v>
      </c>
      <c r="N148" s="22">
        <f>SUM([1]Inicio:Final!V147)</f>
        <v>13207210</v>
      </c>
      <c r="O148" s="25">
        <f>SUM([1]Inicio:Final!W147)</f>
        <v>6254632.949000001</v>
      </c>
    </row>
    <row r="149" spans="1:15" ht="15.75" hidden="1" thickBot="1" x14ac:dyDescent="0.3">
      <c r="A149" s="20"/>
      <c r="B149" s="21" t="s">
        <v>32</v>
      </c>
      <c r="C149" s="22">
        <f>SUM([1]Inicio:Final!E148)</f>
        <v>6354</v>
      </c>
      <c r="D149" s="22">
        <f>SUM([1]Inicio:Final!G148)</f>
        <v>927684</v>
      </c>
      <c r="E149" s="22">
        <f>SUM([1]Inicio:Final!J148)</f>
        <v>1667</v>
      </c>
      <c r="F149" s="22">
        <f>SUM([1]Inicio:Final!L148)</f>
        <v>615780</v>
      </c>
      <c r="G149" s="22">
        <f>SUM([1]Inicio:Final!M148)</f>
        <v>0</v>
      </c>
      <c r="H149" s="22">
        <f>SUM([1]Inicio:Final!N148)</f>
        <v>277000</v>
      </c>
      <c r="I149" s="22">
        <f>SUM([1]Inicio:Final!O148)</f>
        <v>0</v>
      </c>
      <c r="J149" s="22">
        <f>SUM([1]Inicio:Final!P148)</f>
        <v>215000</v>
      </c>
      <c r="K149" s="22">
        <f>SUM([1]Inicio:Final!Q148)</f>
        <v>3938304</v>
      </c>
      <c r="L149" s="22">
        <f>SUM([1]Inicio:Final!R148)</f>
        <v>437886</v>
      </c>
      <c r="M149" s="22">
        <f>SUM([1]Inicio:Final!S148)</f>
        <v>6293000</v>
      </c>
      <c r="N149" s="22">
        <f>SUM([1]Inicio:Final!V148)</f>
        <v>5977611</v>
      </c>
      <c r="O149" s="25">
        <f>SUM([1]Inicio:Final!W148)</f>
        <v>6688675.949000001</v>
      </c>
    </row>
    <row r="150" spans="1:15" ht="15.75" hidden="1" thickBot="1" x14ac:dyDescent="0.3">
      <c r="A150" s="20"/>
      <c r="B150" s="21" t="s">
        <v>33</v>
      </c>
      <c r="C150" s="22">
        <f>SUM([1]Inicio:Final!E149)</f>
        <v>7256</v>
      </c>
      <c r="D150" s="22">
        <f>SUM([1]Inicio:Final!G149)</f>
        <v>1059376</v>
      </c>
      <c r="E150" s="22">
        <f>SUM([1]Inicio:Final!J149)</f>
        <v>3534</v>
      </c>
      <c r="F150" s="22">
        <f>SUM([1]Inicio:Final!L149)</f>
        <v>1959480</v>
      </c>
      <c r="G150" s="22">
        <f>SUM([1]Inicio:Final!M149)</f>
        <v>0</v>
      </c>
      <c r="H150" s="22">
        <f>SUM([1]Inicio:Final!N149)</f>
        <v>277000</v>
      </c>
      <c r="I150" s="22">
        <f>SUM([1]Inicio:Final!O149)</f>
        <v>37311</v>
      </c>
      <c r="J150" s="22">
        <f>SUM([1]Inicio:Final!P149)</f>
        <v>215000</v>
      </c>
      <c r="K150" s="22">
        <f>SUM([1]Inicio:Final!Q149)</f>
        <v>3941163</v>
      </c>
      <c r="L150" s="22">
        <f>SUM([1]Inicio:Final!R149)</f>
        <v>392856</v>
      </c>
      <c r="M150" s="22">
        <f>SUM([1]Inicio:Final!S149)</f>
        <v>7763079</v>
      </c>
      <c r="N150" s="22">
        <f>SUM([1]Inicio:Final!V149)</f>
        <v>7480459</v>
      </c>
      <c r="O150" s="25">
        <f>SUM([1]Inicio:Final!W149)</f>
        <v>7090602.949000001</v>
      </c>
    </row>
    <row r="151" spans="1:15" ht="15.75" hidden="1" thickBot="1" x14ac:dyDescent="0.3">
      <c r="A151" s="20"/>
      <c r="B151" s="21" t="s">
        <v>34</v>
      </c>
      <c r="C151" s="22">
        <f>SUM([1]Inicio:Final!E150)</f>
        <v>-1357</v>
      </c>
      <c r="D151" s="22">
        <f>SUM([1]Inicio:Final!G150)</f>
        <v>1045360</v>
      </c>
      <c r="E151" s="22">
        <f>SUM([1]Inicio:Final!J150)</f>
        <v>3132</v>
      </c>
      <c r="F151" s="22">
        <f>SUM([1]Inicio:Final!L150)</f>
        <v>1371240</v>
      </c>
      <c r="G151" s="22">
        <f>SUM([1]Inicio:Final!M150)</f>
        <v>0</v>
      </c>
      <c r="H151" s="22">
        <f>SUM([1]Inicio:Final!N150)</f>
        <v>385000</v>
      </c>
      <c r="I151" s="22">
        <f>SUM([1]Inicio:Final!O150)</f>
        <v>0</v>
      </c>
      <c r="J151" s="22">
        <f>SUM([1]Inicio:Final!P150)</f>
        <v>210000</v>
      </c>
      <c r="K151" s="22">
        <f>SUM([1]Inicio:Final!Q150)</f>
        <v>3941163</v>
      </c>
      <c r="L151" s="22">
        <f>SUM([1]Inicio:Final!R150)</f>
        <v>394032</v>
      </c>
      <c r="M151" s="22">
        <f>SUM([1]Inicio:Final!S150)</f>
        <v>7248795</v>
      </c>
      <c r="N151" s="22">
        <f>SUM([1]Inicio:Final!V150)</f>
        <v>7461119</v>
      </c>
      <c r="O151" s="25">
        <f>SUM([1]Inicio:Final!W150)</f>
        <v>6976078.949000001</v>
      </c>
    </row>
    <row r="152" spans="1:15" ht="15.75" hidden="1" thickBot="1" x14ac:dyDescent="0.3">
      <c r="A152" s="20">
        <v>2015</v>
      </c>
      <c r="B152" s="21" t="s">
        <v>35</v>
      </c>
      <c r="C152" s="22">
        <f>SUM([1]Inicio:Final!E151)</f>
        <v>8587</v>
      </c>
      <c r="D152" s="22">
        <f>SUM([1]Inicio:Final!G151)</f>
        <v>1253702</v>
      </c>
      <c r="E152" s="22">
        <f>SUM([1]Inicio:Final!J151)</f>
        <v>4029</v>
      </c>
      <c r="F152" s="22">
        <f>SUM([1]Inicio:Final!L151)</f>
        <v>2370600</v>
      </c>
      <c r="G152" s="22">
        <f>SUM([1]Inicio:Final!M151)</f>
        <v>0</v>
      </c>
      <c r="H152" s="22">
        <f>SUM([1]Inicio:Final!N151)</f>
        <v>389959</v>
      </c>
      <c r="I152" s="22">
        <f>SUM([1]Inicio:Final!O151)</f>
        <v>0</v>
      </c>
      <c r="J152" s="22">
        <f>SUM([1]Inicio:Final!P151)</f>
        <v>202500</v>
      </c>
      <c r="K152" s="22">
        <f>SUM([1]Inicio:Final!Q151)</f>
        <v>4121280</v>
      </c>
      <c r="L152" s="22">
        <f>SUM([1]Inicio:Final!R151)</f>
        <v>313798</v>
      </c>
      <c r="M152" s="22">
        <f>SUM([1]Inicio:Final!S151)</f>
        <v>8553839</v>
      </c>
      <c r="N152" s="22">
        <f>SUM([1]Inicio:Final!V151)</f>
        <v>8208134</v>
      </c>
      <c r="O152" s="25">
        <f>SUM([1]Inicio:Final!W151)</f>
        <v>7419783.949000001</v>
      </c>
    </row>
    <row r="153" spans="1:15" ht="15.75" hidden="1" thickBot="1" x14ac:dyDescent="0.3">
      <c r="A153" s="20"/>
      <c r="B153" s="21" t="s">
        <v>24</v>
      </c>
      <c r="C153" s="22">
        <f>SUM([1]Inicio:Final!E152)</f>
        <v>9077</v>
      </c>
      <c r="D153" s="22">
        <f>SUM([1]Inicio:Final!G152)</f>
        <v>1325242</v>
      </c>
      <c r="E153" s="22">
        <f>SUM([1]Inicio:Final!J152)</f>
        <v>4189</v>
      </c>
      <c r="F153" s="22">
        <f>SUM([1]Inicio:Final!L152)</f>
        <v>2499120</v>
      </c>
      <c r="G153" s="22">
        <f>SUM([1]Inicio:Final!M152)</f>
        <v>0</v>
      </c>
      <c r="H153" s="22">
        <f>SUM([1]Inicio:Final!N152)</f>
        <v>389959</v>
      </c>
      <c r="I153" s="22">
        <f>SUM([1]Inicio:Final!O152)</f>
        <v>0</v>
      </c>
      <c r="J153" s="22">
        <f>SUM([1]Inicio:Final!P152)</f>
        <v>190000</v>
      </c>
      <c r="K153" s="22">
        <f>SUM([1]Inicio:Final!Q152)</f>
        <v>4121280</v>
      </c>
      <c r="L153" s="22">
        <f>SUM([1]Inicio:Final!R152)</f>
        <v>392720</v>
      </c>
      <c r="M153" s="22">
        <f>SUM([1]Inicio:Final!S152)</f>
        <v>8771231</v>
      </c>
      <c r="N153" s="22">
        <f>SUM([1]Inicio:Final!V152)</f>
        <v>7547219</v>
      </c>
      <c r="O153" s="25">
        <f>SUM([1]Inicio:Final!W152)</f>
        <v>8790885.949000001</v>
      </c>
    </row>
    <row r="154" spans="1:15" ht="15.75" hidden="1" thickBot="1" x14ac:dyDescent="0.3">
      <c r="A154" s="20"/>
      <c r="B154" s="21" t="s">
        <v>25</v>
      </c>
      <c r="C154" s="22">
        <f>SUM([1]Inicio:Final!E153)</f>
        <v>7289</v>
      </c>
      <c r="D154" s="22">
        <f>SUM([1]Inicio:Final!G153)</f>
        <v>1064194</v>
      </c>
      <c r="E154" s="22">
        <f>SUM([1]Inicio:Final!J153)</f>
        <v>3167</v>
      </c>
      <c r="F154" s="22">
        <f>SUM([1]Inicio:Final!L153)</f>
        <v>1496700</v>
      </c>
      <c r="G154" s="22">
        <f>SUM([1]Inicio:Final!M153)</f>
        <v>0</v>
      </c>
      <c r="H154" s="22">
        <f>SUM([1]Inicio:Final!N153)</f>
        <v>551126</v>
      </c>
      <c r="I154" s="22">
        <f>SUM([1]Inicio:Final!O153)</f>
        <v>7438</v>
      </c>
      <c r="J154" s="22">
        <f>SUM([1]Inicio:Final!P153)</f>
        <v>190000</v>
      </c>
      <c r="K154" s="22">
        <f>SUM([1]Inicio:Final!Q153)</f>
        <v>4123759</v>
      </c>
      <c r="L154" s="22">
        <f>SUM([1]Inicio:Final!R153)</f>
        <v>443214</v>
      </c>
      <c r="M154" s="22">
        <f>SUM([1]Inicio:Final!S153)</f>
        <v>7672157</v>
      </c>
      <c r="N154" s="22">
        <f>SUM([1]Inicio:Final!V153)</f>
        <v>6678476</v>
      </c>
      <c r="O154" s="25">
        <f>SUM([1]Inicio:Final!W153)</f>
        <v>9988840.949000001</v>
      </c>
    </row>
    <row r="155" spans="1:15" ht="15.75" hidden="1" thickBot="1" x14ac:dyDescent="0.3">
      <c r="A155" s="20"/>
      <c r="B155" s="21" t="s">
        <v>26</v>
      </c>
      <c r="C155" s="22">
        <f>SUM([1]Inicio:Final!E154)</f>
        <v>7232</v>
      </c>
      <c r="D155" s="22">
        <f>SUM([1]Inicio:Final!G154)</f>
        <v>1055872</v>
      </c>
      <c r="E155" s="22">
        <f>SUM([1]Inicio:Final!J154)</f>
        <v>2687</v>
      </c>
      <c r="F155" s="22">
        <f>SUM([1]Inicio:Final!L154)</f>
        <v>1102320</v>
      </c>
      <c r="G155" s="22">
        <f>SUM([1]Inicio:Final!M154)</f>
        <v>0</v>
      </c>
      <c r="H155" s="22">
        <f>SUM([1]Inicio:Final!N154)</f>
        <v>551126</v>
      </c>
      <c r="I155" s="22">
        <f>SUM([1]Inicio:Final!O154)</f>
        <v>7438</v>
      </c>
      <c r="J155" s="22">
        <f>SUM([1]Inicio:Final!P154)</f>
        <v>190000</v>
      </c>
      <c r="K155" s="22">
        <f>SUM([1]Inicio:Final!Q154)</f>
        <v>4123759</v>
      </c>
      <c r="L155" s="22">
        <f>SUM([1]Inicio:Final!R154)</f>
        <v>445581</v>
      </c>
      <c r="M155" s="22">
        <f>SUM([1]Inicio:Final!S154)</f>
        <v>7271559</v>
      </c>
      <c r="N155" s="22">
        <f>SUM([1]Inicio:Final!V154)</f>
        <v>7635899</v>
      </c>
      <c r="O155" s="25">
        <f>SUM([1]Inicio:Final!W154)</f>
        <v>9829037.949000001</v>
      </c>
    </row>
    <row r="156" spans="1:15" ht="15.75" hidden="1" thickBot="1" x14ac:dyDescent="0.3">
      <c r="A156" s="20"/>
      <c r="B156" s="21" t="s">
        <v>27</v>
      </c>
      <c r="C156" s="22">
        <f>SUM([1]Inicio:Final!E155)</f>
        <v>6634</v>
      </c>
      <c r="D156" s="22">
        <f>SUM([1]Inicio:Final!G155)</f>
        <v>968564</v>
      </c>
      <c r="E156" s="22">
        <f>SUM([1]Inicio:Final!J155)</f>
        <v>2346</v>
      </c>
      <c r="F156" s="22">
        <f>SUM([1]Inicio:Final!L155)</f>
        <v>853290</v>
      </c>
      <c r="G156" s="22">
        <f>SUM([1]Inicio:Final!M155)</f>
        <v>0</v>
      </c>
      <c r="H156" s="22">
        <f>SUM([1]Inicio:Final!N155)</f>
        <v>551126</v>
      </c>
      <c r="I156" s="22">
        <f>SUM([1]Inicio:Final!O155)</f>
        <v>7438</v>
      </c>
      <c r="J156" s="22">
        <f>SUM([1]Inicio:Final!P155)</f>
        <v>180000</v>
      </c>
      <c r="K156" s="22">
        <f>SUM([1]Inicio:Final!Q155)</f>
        <v>4123759</v>
      </c>
      <c r="L156" s="22">
        <f>SUM([1]Inicio:Final!R155)</f>
        <v>448290</v>
      </c>
      <c r="M156" s="22">
        <f>SUM([1]Inicio:Final!S155)</f>
        <v>6977439</v>
      </c>
      <c r="N156" s="22">
        <f>SUM([1]Inicio:Final!V155)</f>
        <v>5857035</v>
      </c>
      <c r="O156" s="25">
        <f>SUM([1]Inicio:Final!W155)</f>
        <v>11104469.949000001</v>
      </c>
    </row>
    <row r="157" spans="1:15" ht="15.75" hidden="1" thickBot="1" x14ac:dyDescent="0.3">
      <c r="A157" s="20"/>
      <c r="B157" s="21" t="s">
        <v>28</v>
      </c>
      <c r="C157" s="22">
        <f>SUM([1]Inicio:Final!E156)</f>
        <v>6046</v>
      </c>
      <c r="D157" s="22">
        <f>SUM([1]Inicio:Final!G156)</f>
        <v>883884</v>
      </c>
      <c r="E157" s="22">
        <f>SUM([1]Inicio:Final!J156)</f>
        <v>975</v>
      </c>
      <c r="F157" s="22">
        <f>SUM([1]Inicio:Final!L156)</f>
        <v>501030</v>
      </c>
      <c r="G157" s="22">
        <f>SUM([1]Inicio:Final!M156)</f>
        <v>0</v>
      </c>
      <c r="H157" s="22">
        <f>SUM([1]Inicio:Final!N156)</f>
        <v>551126</v>
      </c>
      <c r="I157" s="22">
        <f>SUM([1]Inicio:Final!O156)</f>
        <v>7438</v>
      </c>
      <c r="J157" s="22">
        <f>SUM([1]Inicio:Final!P156)</f>
        <v>180000</v>
      </c>
      <c r="K157" s="22">
        <f>SUM([1]Inicio:Final!Q156)</f>
        <v>4123759</v>
      </c>
      <c r="L157" s="22">
        <f>SUM([1]Inicio:Final!R156)</f>
        <v>449694</v>
      </c>
      <c r="M157" s="22">
        <f>SUM([1]Inicio:Final!S156)</f>
        <v>6491937</v>
      </c>
      <c r="N157" s="22">
        <f>SUM([1]Inicio:Final!V156)</f>
        <v>7228844</v>
      </c>
      <c r="O157" s="25">
        <f>SUM([1]Inicio:Final!W156)</f>
        <v>10572556.949000001</v>
      </c>
    </row>
    <row r="158" spans="1:15" ht="15.75" hidden="1" thickBot="1" x14ac:dyDescent="0.3">
      <c r="A158" s="20"/>
      <c r="B158" s="21" t="s">
        <v>29</v>
      </c>
      <c r="C158" s="22">
        <f>SUM([1]Inicio:Final!E157)</f>
        <v>6738</v>
      </c>
      <c r="D158" s="22">
        <f>SUM([1]Inicio:Final!G157)</f>
        <v>983748</v>
      </c>
      <c r="E158" s="22">
        <f>SUM([1]Inicio:Final!J157)</f>
        <v>773</v>
      </c>
      <c r="F158" s="22">
        <f>SUM([1]Inicio:Final!L157)</f>
        <v>423270</v>
      </c>
      <c r="G158" s="22">
        <f>SUM([1]Inicio:Final!M157)</f>
        <v>0</v>
      </c>
      <c r="H158" s="22">
        <f>SUM([1]Inicio:Final!N157)</f>
        <v>551126</v>
      </c>
      <c r="I158" s="22">
        <f>SUM([1]Inicio:Final!O157)</f>
        <v>7438</v>
      </c>
      <c r="J158" s="22">
        <f>SUM([1]Inicio:Final!P157)</f>
        <v>180000</v>
      </c>
      <c r="K158" s="22">
        <f>SUM([1]Inicio:Final!Q157)</f>
        <v>4123759</v>
      </c>
      <c r="L158" s="22">
        <f>SUM([1]Inicio:Final!R157)</f>
        <v>551903</v>
      </c>
      <c r="M158" s="22">
        <f>SUM([1]Inicio:Final!S157)</f>
        <v>6616043</v>
      </c>
      <c r="N158" s="22">
        <f>SUM([1]Inicio:Final!V157)</f>
        <v>5435792</v>
      </c>
      <c r="O158" s="25">
        <f>SUM([1]Inicio:Final!W157)</f>
        <v>11958008.949000001</v>
      </c>
    </row>
    <row r="159" spans="1:15" ht="15.75" hidden="1" thickBot="1" x14ac:dyDescent="0.3">
      <c r="A159" s="20"/>
      <c r="B159" s="21" t="s">
        <v>30</v>
      </c>
      <c r="C159" s="22">
        <f>SUM([1]Inicio:Final!E158)</f>
        <v>5725</v>
      </c>
      <c r="D159" s="22">
        <f>SUM([1]Inicio:Final!G158)</f>
        <v>835850</v>
      </c>
      <c r="E159" s="22">
        <f>SUM([1]Inicio:Final!J158)</f>
        <v>560</v>
      </c>
      <c r="F159" s="22">
        <f>SUM([1]Inicio:Final!L158)</f>
        <v>353430</v>
      </c>
      <c r="G159" s="22">
        <f>SUM([1]Inicio:Final!M158)</f>
        <v>0</v>
      </c>
      <c r="H159" s="22">
        <f>SUM([1]Inicio:Final!N158)</f>
        <v>551126</v>
      </c>
      <c r="I159" s="22">
        <f>SUM([1]Inicio:Final!O158)</f>
        <v>7438</v>
      </c>
      <c r="J159" s="22">
        <f>SUM([1]Inicio:Final!P158)</f>
        <v>180000</v>
      </c>
      <c r="K159" s="22">
        <f>SUM([1]Inicio:Final!Q158)</f>
        <v>4123759</v>
      </c>
      <c r="L159" s="22">
        <f>SUM([1]Inicio:Final!R158)</f>
        <v>539880</v>
      </c>
      <c r="M159" s="22">
        <f>SUM([1]Inicio:Final!S158)</f>
        <v>6400455</v>
      </c>
      <c r="N159" s="22">
        <f>SUM([1]Inicio:Final!V158)</f>
        <v>5758528</v>
      </c>
      <c r="O159" s="25">
        <f>SUM([1]Inicio:Final!W158)</f>
        <v>12790963.949000001</v>
      </c>
    </row>
    <row r="160" spans="1:15" ht="15.75" hidden="1" thickBot="1" x14ac:dyDescent="0.3">
      <c r="A160" s="20"/>
      <c r="B160" s="21" t="s">
        <v>31</v>
      </c>
      <c r="C160" s="22">
        <f>SUM([1]Inicio:Final!E159)</f>
        <v>6837</v>
      </c>
      <c r="D160" s="22">
        <f>SUM([1]Inicio:Final!G159)</f>
        <v>998202</v>
      </c>
      <c r="E160" s="22">
        <f>SUM([1]Inicio:Final!J159)</f>
        <v>871</v>
      </c>
      <c r="F160" s="22">
        <f>SUM([1]Inicio:Final!L159)</f>
        <v>313560</v>
      </c>
      <c r="G160" s="22">
        <f>SUM([1]Inicio:Final!M159)</f>
        <v>0</v>
      </c>
      <c r="H160" s="22">
        <f>SUM([1]Inicio:Final!N159)</f>
        <v>551126</v>
      </c>
      <c r="I160" s="22">
        <f>SUM([1]Inicio:Final!O159)</f>
        <v>7438</v>
      </c>
      <c r="J160" s="22">
        <f>SUM([1]Inicio:Final!P159)</f>
        <v>180000</v>
      </c>
      <c r="K160" s="22">
        <f>SUM([1]Inicio:Final!Q159)</f>
        <v>4123759</v>
      </c>
      <c r="L160" s="22">
        <f>SUM([1]Inicio:Final!R159)</f>
        <v>710010</v>
      </c>
      <c r="M160" s="22">
        <f>SUM([1]Inicio:Final!S159)</f>
        <v>6729067</v>
      </c>
      <c r="N160" s="22">
        <f>SUM([1]Inicio:Final!V159)</f>
        <v>6260141</v>
      </c>
      <c r="O160" s="25">
        <f>SUM([1]Inicio:Final!W159)</f>
        <v>13414917.949000001</v>
      </c>
    </row>
    <row r="161" spans="1:15" ht="15.75" hidden="1" thickBot="1" x14ac:dyDescent="0.3">
      <c r="A161" s="20"/>
      <c r="B161" s="21" t="s">
        <v>32</v>
      </c>
      <c r="C161" s="22">
        <f>SUM([1]Inicio:Final!E160)</f>
        <v>7458</v>
      </c>
      <c r="D161" s="22">
        <f>SUM([1]Inicio:Final!G160)</f>
        <v>1088868</v>
      </c>
      <c r="E161" s="22">
        <f>SUM([1]Inicio:Final!J160)</f>
        <v>855</v>
      </c>
      <c r="F161" s="22">
        <f>SUM([1]Inicio:Final!L160)</f>
        <v>308340</v>
      </c>
      <c r="G161" s="22">
        <f>SUM([1]Inicio:Final!M160)</f>
        <v>0</v>
      </c>
      <c r="H161" s="22">
        <f>SUM([1]Inicio:Final!N160)</f>
        <v>550832</v>
      </c>
      <c r="I161" s="22">
        <f>SUM([1]Inicio:Final!O160)</f>
        <v>7438</v>
      </c>
      <c r="J161" s="22">
        <f>SUM([1]Inicio:Final!P160)</f>
        <v>180000</v>
      </c>
      <c r="K161" s="22">
        <f>SUM([1]Inicio:Final!Q160)</f>
        <v>4123759</v>
      </c>
      <c r="L161" s="22">
        <f>SUM([1]Inicio:Final!R160)</f>
        <v>458820</v>
      </c>
      <c r="M161" s="22">
        <f>SUM([1]Inicio:Final!S160)</f>
        <v>6563029</v>
      </c>
      <c r="N161" s="22">
        <f>SUM([1]Inicio:Final!V160)</f>
        <v>6130853</v>
      </c>
      <c r="O161" s="25">
        <f>SUM([1]Inicio:Final!W160)</f>
        <v>14002121.949000001</v>
      </c>
    </row>
    <row r="162" spans="1:15" ht="15.75" hidden="1" thickBot="1" x14ac:dyDescent="0.3">
      <c r="A162" s="20"/>
      <c r="B162" s="21" t="s">
        <v>33</v>
      </c>
      <c r="C162" s="22">
        <f>SUM([1]Inicio:Final!E161)</f>
        <v>7431</v>
      </c>
      <c r="D162" s="22">
        <f>SUM([1]Inicio:Final!G161)</f>
        <v>1084926</v>
      </c>
      <c r="E162" s="22">
        <f>SUM([1]Inicio:Final!J161)</f>
        <v>2079</v>
      </c>
      <c r="F162" s="22">
        <f>SUM([1]Inicio:Final!L161)</f>
        <v>807480</v>
      </c>
      <c r="G162" s="22">
        <f>SUM([1]Inicio:Final!M161)</f>
        <v>0</v>
      </c>
      <c r="H162" s="22">
        <f>SUM([1]Inicio:Final!N161)</f>
        <v>550832</v>
      </c>
      <c r="I162" s="22">
        <f>SUM([1]Inicio:Final!O161)</f>
        <v>7438</v>
      </c>
      <c r="J162" s="22">
        <f>SUM([1]Inicio:Final!P161)</f>
        <v>180000</v>
      </c>
      <c r="K162" s="22">
        <f>SUM([1]Inicio:Final!Q161)</f>
        <v>4133759</v>
      </c>
      <c r="L162" s="22">
        <f>SUM([1]Inicio:Final!R161)</f>
        <v>409576</v>
      </c>
      <c r="M162" s="22">
        <f>SUM([1]Inicio:Final!S161)</f>
        <v>7018983</v>
      </c>
      <c r="N162" s="22">
        <f>SUM([1]Inicio:Final!V161)</f>
        <v>6958478</v>
      </c>
      <c r="O162" s="25">
        <f>SUM([1]Inicio:Final!W161)</f>
        <v>14217654.949000001</v>
      </c>
    </row>
    <row r="163" spans="1:15" ht="15.75" hidden="1" thickBot="1" x14ac:dyDescent="0.3">
      <c r="A163" s="20"/>
      <c r="B163" s="21" t="s">
        <v>34</v>
      </c>
      <c r="C163" s="22">
        <f>SUM([1]Inicio:Final!E162)</f>
        <v>10305</v>
      </c>
      <c r="D163" s="22">
        <f>SUM([1]Inicio:Final!G162)</f>
        <v>1504530</v>
      </c>
      <c r="E163" s="22">
        <f>SUM([1]Inicio:Final!J162)</f>
        <v>3256</v>
      </c>
      <c r="F163" s="22">
        <f>SUM([1]Inicio:Final!L162)</f>
        <v>1351980</v>
      </c>
      <c r="G163" s="22">
        <f>SUM([1]Inicio:Final!M162)</f>
        <v>0</v>
      </c>
      <c r="H163" s="22">
        <f>SUM([1]Inicio:Final!N162)</f>
        <v>543610</v>
      </c>
      <c r="I163" s="22">
        <f>SUM([1]Inicio:Final!O162)</f>
        <v>6998</v>
      </c>
      <c r="J163" s="22">
        <f>SUM([1]Inicio:Final!P162)</f>
        <v>178333</v>
      </c>
      <c r="K163" s="22">
        <f>SUM([1]Inicio:Final!Q162)</f>
        <v>4133613</v>
      </c>
      <c r="L163" s="22">
        <f>SUM([1]Inicio:Final!R162)</f>
        <v>358806</v>
      </c>
      <c r="M163" s="22">
        <f>SUM([1]Inicio:Final!S162)</f>
        <v>7923890</v>
      </c>
      <c r="N163" s="22">
        <f>SUM([1]Inicio:Final!V162)</f>
        <v>9576457</v>
      </c>
      <c r="O163" s="25">
        <f>SUM([1]Inicio:Final!W162)</f>
        <v>12719067.949000001</v>
      </c>
    </row>
    <row r="164" spans="1:15" ht="15.75" hidden="1" thickBot="1" x14ac:dyDescent="0.3">
      <c r="A164" s="20">
        <v>2016</v>
      </c>
      <c r="B164" s="21" t="s">
        <v>35</v>
      </c>
      <c r="C164" s="22">
        <f>SUM([1]Inicio:Final!E163)</f>
        <v>7953</v>
      </c>
      <c r="D164" s="22">
        <f>SUM([1]Inicio:Final!G163)</f>
        <v>1160408</v>
      </c>
      <c r="E164" s="22">
        <f>SUM([1]Inicio:Final!J163)</f>
        <v>2640</v>
      </c>
      <c r="F164" s="22">
        <f>SUM([1]Inicio:Final!L163)</f>
        <v>979560</v>
      </c>
      <c r="G164" s="22">
        <f>SUM([1]Inicio:Final!M163)</f>
        <v>0</v>
      </c>
      <c r="H164" s="22">
        <f>SUM([1]Inicio:Final!N163)</f>
        <v>543610</v>
      </c>
      <c r="I164" s="22">
        <f>SUM([1]Inicio:Final!O163)</f>
        <v>6998</v>
      </c>
      <c r="J164" s="22">
        <f>SUM([1]Inicio:Final!P163)</f>
        <v>170000</v>
      </c>
      <c r="K164" s="22">
        <f>SUM([1]Inicio:Final!Q163)</f>
        <v>4763613</v>
      </c>
      <c r="L164" s="22">
        <f>SUM([1]Inicio:Final!R163)</f>
        <v>358806</v>
      </c>
      <c r="M164" s="22">
        <f>SUM([1]Inicio:Final!S163)</f>
        <v>7777757</v>
      </c>
      <c r="N164" s="22">
        <f>SUM([1]Inicio:Final!V163)</f>
        <v>6747830</v>
      </c>
      <c r="O164" s="25">
        <f>SUM([1]Inicio:Final!W163)</f>
        <v>13954232.949000001</v>
      </c>
    </row>
    <row r="165" spans="1:15" ht="15.75" hidden="1" thickBot="1" x14ac:dyDescent="0.3">
      <c r="A165" s="20"/>
      <c r="B165" s="21" t="s">
        <v>24</v>
      </c>
      <c r="C165" s="22">
        <f>SUM([1]Inicio:Final!E164)</f>
        <v>8972</v>
      </c>
      <c r="D165" s="22">
        <f>SUM([1]Inicio:Final!G164)</f>
        <v>1309912</v>
      </c>
      <c r="E165" s="22">
        <f>SUM([1]Inicio:Final!J164)</f>
        <v>2766</v>
      </c>
      <c r="F165" s="22">
        <f>SUM([1]Inicio:Final!L164)</f>
        <v>1044720</v>
      </c>
      <c r="G165" s="22">
        <f>SUM([1]Inicio:Final!M164)</f>
        <v>0</v>
      </c>
      <c r="H165" s="22">
        <f>SUM([1]Inicio:Final!N164)</f>
        <v>543654</v>
      </c>
      <c r="I165" s="22">
        <f>SUM([1]Inicio:Final!O164)</f>
        <v>6998</v>
      </c>
      <c r="J165" s="22">
        <f>SUM([1]Inicio:Final!P164)</f>
        <v>170000</v>
      </c>
      <c r="K165" s="22">
        <f>SUM([1]Inicio:Final!Q164)</f>
        <v>4763613</v>
      </c>
      <c r="L165" s="22">
        <f>SUM([1]Inicio:Final!R164)</f>
        <v>308610</v>
      </c>
      <c r="M165" s="22">
        <f>SUM([1]Inicio:Final!S164)</f>
        <v>7942092</v>
      </c>
      <c r="N165" s="22">
        <f>SUM([1]Inicio:Final!V164)</f>
        <v>7599503</v>
      </c>
      <c r="O165" s="25">
        <f>SUM([1]Inicio:Final!W164)</f>
        <v>14502236.949000001</v>
      </c>
    </row>
    <row r="166" spans="1:15" ht="15.75" hidden="1" thickBot="1" x14ac:dyDescent="0.3">
      <c r="A166" s="20"/>
      <c r="B166" s="21" t="s">
        <v>25</v>
      </c>
      <c r="C166" s="22">
        <f>SUM([1]Inicio:Final!E165)</f>
        <v>8063</v>
      </c>
      <c r="D166" s="22">
        <f>SUM([1]Inicio:Final!G165)</f>
        <v>1177198</v>
      </c>
      <c r="E166" s="22">
        <f>SUM([1]Inicio:Final!J165)</f>
        <v>2911</v>
      </c>
      <c r="F166" s="22">
        <f>SUM([1]Inicio:Final!L165)</f>
        <v>1704420</v>
      </c>
      <c r="G166" s="22">
        <f>SUM([1]Inicio:Final!M165)</f>
        <v>0</v>
      </c>
      <c r="H166" s="22">
        <f>SUM([1]Inicio:Final!N165)</f>
        <v>543654</v>
      </c>
      <c r="I166" s="22">
        <f>SUM([1]Inicio:Final!O165)</f>
        <v>6998</v>
      </c>
      <c r="J166" s="22">
        <f>SUM([1]Inicio:Final!P165)</f>
        <v>170000</v>
      </c>
      <c r="K166" s="22">
        <f>SUM([1]Inicio:Final!Q165)</f>
        <v>4763613</v>
      </c>
      <c r="L166" s="22">
        <f>SUM([1]Inicio:Final!R165)</f>
        <v>258120</v>
      </c>
      <c r="M166" s="22">
        <f>SUM([1]Inicio:Final!S165)</f>
        <v>8470023</v>
      </c>
      <c r="N166" s="22">
        <f>SUM([1]Inicio:Final!V165)</f>
        <v>6744022</v>
      </c>
      <c r="O166" s="25">
        <f>SUM([1]Inicio:Final!W165)</f>
        <v>16382217.948999999</v>
      </c>
    </row>
    <row r="167" spans="1:15" ht="15.75" hidden="1" thickBot="1" x14ac:dyDescent="0.3">
      <c r="A167" s="20"/>
      <c r="B167" s="21" t="s">
        <v>26</v>
      </c>
      <c r="C167" s="22">
        <f>SUM([1]Inicio:Final!E166)</f>
        <v>8053</v>
      </c>
      <c r="D167" s="22">
        <f>SUM([1]Inicio:Final!G166)</f>
        <v>1183330</v>
      </c>
      <c r="E167" s="22">
        <f>SUM([1]Inicio:Final!J166)</f>
        <v>1331</v>
      </c>
      <c r="F167" s="22">
        <f>SUM([1]Inicio:Final!L166)</f>
        <v>496260</v>
      </c>
      <c r="G167" s="22">
        <f>SUM([1]Inicio:Final!M166)</f>
        <v>0</v>
      </c>
      <c r="H167" s="22">
        <f>SUM([1]Inicio:Final!N166)</f>
        <v>545106</v>
      </c>
      <c r="I167" s="22">
        <f>SUM([1]Inicio:Final!O166)</f>
        <v>7064</v>
      </c>
      <c r="J167" s="22">
        <f>SUM([1]Inicio:Final!P166)</f>
        <v>160000</v>
      </c>
      <c r="K167" s="22">
        <f>SUM([1]Inicio:Final!Q166)</f>
        <v>4763635</v>
      </c>
      <c r="L167" s="22">
        <f>SUM([1]Inicio:Final!R166)</f>
        <v>155442</v>
      </c>
      <c r="M167" s="22">
        <f>SUM([1]Inicio:Final!S166)</f>
        <v>7156329</v>
      </c>
      <c r="N167" s="22">
        <f>SUM([1]Inicio:Final!V166)</f>
        <v>8391574</v>
      </c>
      <c r="O167" s="25">
        <f>SUM([1]Inicio:Final!W166)</f>
        <v>15301480.949000001</v>
      </c>
    </row>
    <row r="168" spans="1:15" ht="15.75" hidden="1" thickBot="1" x14ac:dyDescent="0.3">
      <c r="A168" s="20"/>
      <c r="B168" s="21" t="s">
        <v>27</v>
      </c>
      <c r="C168" s="22">
        <f>SUM([1]Inicio:Final!E167)</f>
        <v>5685</v>
      </c>
      <c r="D168" s="22">
        <f>SUM([1]Inicio:Final!G167)</f>
        <v>830010</v>
      </c>
      <c r="E168" s="22">
        <f>SUM([1]Inicio:Final!J167)</f>
        <v>498</v>
      </c>
      <c r="F168" s="22">
        <f>SUM([1]Inicio:Final!L167)</f>
        <v>179280</v>
      </c>
      <c r="G168" s="22">
        <f>SUM([1]Inicio:Final!M167)</f>
        <v>0</v>
      </c>
      <c r="H168" s="22">
        <f>SUM([1]Inicio:Final!N167)</f>
        <v>544712</v>
      </c>
      <c r="I168" s="22">
        <f>SUM([1]Inicio:Final!O167)</f>
        <v>7064</v>
      </c>
      <c r="J168" s="22">
        <f>SUM([1]Inicio:Final!P167)</f>
        <v>160000</v>
      </c>
      <c r="K168" s="22">
        <f>SUM([1]Inicio:Final!Q167)</f>
        <v>4763635</v>
      </c>
      <c r="L168" s="22">
        <f>SUM([1]Inicio:Final!R167)</f>
        <v>207944</v>
      </c>
      <c r="M168" s="22">
        <f>SUM([1]Inicio:Final!S167)</f>
        <v>6538137</v>
      </c>
      <c r="N168" s="22">
        <f>SUM([1]Inicio:Final!V167)</f>
        <v>7009464</v>
      </c>
      <c r="O168" s="25">
        <f>SUM([1]Inicio:Final!W167)</f>
        <v>14984661.949000001</v>
      </c>
    </row>
    <row r="169" spans="1:15" ht="15.75" hidden="1" thickBot="1" x14ac:dyDescent="0.3">
      <c r="A169" s="20"/>
      <c r="B169" s="21" t="s">
        <v>28</v>
      </c>
      <c r="C169" s="22">
        <f>SUM([1]Inicio:Final!E168)</f>
        <v>7386</v>
      </c>
      <c r="D169" s="22">
        <f>SUM([1]Inicio:Final!G168)</f>
        <v>1188099</v>
      </c>
      <c r="E169" s="22">
        <f>SUM([1]Inicio:Final!J168)</f>
        <v>357</v>
      </c>
      <c r="F169" s="22">
        <f>SUM([1]Inicio:Final!L168)</f>
        <v>128520</v>
      </c>
      <c r="G169" s="22">
        <f>SUM([1]Inicio:Final!M168)</f>
        <v>0</v>
      </c>
      <c r="H169" s="22">
        <f>SUM([1]Inicio:Final!N168)</f>
        <v>544082</v>
      </c>
      <c r="I169" s="22">
        <f>SUM([1]Inicio:Final!O168)</f>
        <v>7064</v>
      </c>
      <c r="J169" s="22">
        <f>SUM([1]Inicio:Final!P168)</f>
        <v>160000</v>
      </c>
      <c r="K169" s="22">
        <f>SUM([1]Inicio:Final!Q168)</f>
        <v>4763635</v>
      </c>
      <c r="L169" s="22">
        <f>SUM([1]Inicio:Final!R168)</f>
        <v>260520</v>
      </c>
      <c r="M169" s="22">
        <f>SUM([1]Inicio:Final!S168)</f>
        <v>6897412</v>
      </c>
      <c r="N169" s="22">
        <f>SUM([1]Inicio:Final!V168)</f>
        <v>6889823</v>
      </c>
      <c r="O169" s="25">
        <f>SUM([1]Inicio:Final!W168)</f>
        <v>15146758.949000001</v>
      </c>
    </row>
    <row r="170" spans="1:15" ht="15.75" hidden="1" thickBot="1" x14ac:dyDescent="0.3">
      <c r="A170" s="20"/>
      <c r="B170" s="21" t="s">
        <v>29</v>
      </c>
      <c r="C170" s="22">
        <f>SUM([1]Inicio:Final!E169)</f>
        <v>6120</v>
      </c>
      <c r="D170" s="22">
        <f>SUM([1]Inicio:Final!G169)</f>
        <v>893520</v>
      </c>
      <c r="E170" s="22">
        <f>SUM([1]Inicio:Final!J169)</f>
        <v>374</v>
      </c>
      <c r="F170" s="22">
        <f>SUM([1]Inicio:Final!L169)</f>
        <v>134640</v>
      </c>
      <c r="G170" s="22">
        <f>SUM([1]Inicio:Final!M169)</f>
        <v>0</v>
      </c>
      <c r="H170" s="22">
        <f>SUM([1]Inicio:Final!N169)</f>
        <v>527395</v>
      </c>
      <c r="I170" s="22">
        <f>SUM([1]Inicio:Final!O169)</f>
        <v>6473</v>
      </c>
      <c r="J170" s="22">
        <f>SUM([1]Inicio:Final!P169)</f>
        <v>160000</v>
      </c>
      <c r="K170" s="22">
        <f>SUM([1]Inicio:Final!Q169)</f>
        <v>4763438</v>
      </c>
      <c r="L170" s="22">
        <f>SUM([1]Inicio:Final!R169)</f>
        <v>313698</v>
      </c>
      <c r="M170" s="22">
        <f>SUM([1]Inicio:Final!S169)</f>
        <v>6649384</v>
      </c>
      <c r="N170" s="22">
        <f>SUM([1]Inicio:Final!V169)</f>
        <v>5740022</v>
      </c>
      <c r="O170" s="25">
        <f>SUM([1]Inicio:Final!W169)</f>
        <v>16205900.949000001</v>
      </c>
    </row>
    <row r="171" spans="1:15" ht="15.75" hidden="1" thickBot="1" x14ac:dyDescent="0.3">
      <c r="A171" s="20"/>
      <c r="B171" s="21" t="s">
        <v>30</v>
      </c>
      <c r="C171" s="22">
        <f>SUM([1]Inicio:Final!E170)</f>
        <v>5957</v>
      </c>
      <c r="D171" s="22">
        <f>SUM([1]Inicio:Final!G170)</f>
        <v>869722</v>
      </c>
      <c r="E171" s="22">
        <f>SUM([1]Inicio:Final!J170)</f>
        <v>509</v>
      </c>
      <c r="F171" s="22">
        <f>SUM([1]Inicio:Final!L170)</f>
        <v>205020</v>
      </c>
      <c r="G171" s="22">
        <f>SUM([1]Inicio:Final!M170)</f>
        <v>0</v>
      </c>
      <c r="H171" s="22">
        <f>SUM([1]Inicio:Final!N170)</f>
        <v>527395</v>
      </c>
      <c r="I171" s="22">
        <f>SUM([1]Inicio:Final!O170)</f>
        <v>6473</v>
      </c>
      <c r="J171" s="22">
        <f>SUM([1]Inicio:Final!P170)</f>
        <v>160000</v>
      </c>
      <c r="K171" s="22">
        <f>SUM([1]Inicio:Final!Q170)</f>
        <v>4763438</v>
      </c>
      <c r="L171" s="22">
        <f>SUM([1]Inicio:Final!R170)</f>
        <v>262090</v>
      </c>
      <c r="M171" s="22">
        <f>SUM([1]Inicio:Final!S170)</f>
        <v>6644358</v>
      </c>
      <c r="N171" s="22">
        <f>SUM([1]Inicio:Final!V170)</f>
        <v>6106103</v>
      </c>
      <c r="O171" s="25">
        <f>SUM([1]Inicio:Final!W170)</f>
        <v>16893935.949000001</v>
      </c>
    </row>
    <row r="172" spans="1:15" ht="15.75" hidden="1" thickBot="1" x14ac:dyDescent="0.3">
      <c r="A172" s="20"/>
      <c r="B172" s="21" t="s">
        <v>31</v>
      </c>
      <c r="C172" s="22">
        <f>SUM([1]Inicio:Final!E171)</f>
        <v>6884</v>
      </c>
      <c r="D172" s="22">
        <f>SUM([1]Inicio:Final!G171)</f>
        <v>1005064</v>
      </c>
      <c r="E172" s="22">
        <f>SUM([1]Inicio:Final!J171)</f>
        <v>1252</v>
      </c>
      <c r="F172" s="22">
        <f>SUM([1]Inicio:Final!L171)</f>
        <v>451920</v>
      </c>
      <c r="G172" s="22">
        <f>SUM([1]Inicio:Final!M171)</f>
        <v>0</v>
      </c>
      <c r="H172" s="22">
        <f>SUM([1]Inicio:Final!N171)</f>
        <v>385000</v>
      </c>
      <c r="I172" s="22">
        <f>SUM([1]Inicio:Final!O171)</f>
        <v>0</v>
      </c>
      <c r="J172" s="22">
        <f>SUM([1]Inicio:Final!P171)</f>
        <v>160000</v>
      </c>
      <c r="K172" s="22">
        <f>SUM([1]Inicio:Final!Q171)</f>
        <v>4761280</v>
      </c>
      <c r="L172" s="22">
        <f>SUM([1]Inicio:Final!R171)</f>
        <v>314688</v>
      </c>
      <c r="M172" s="22">
        <f>SUM([1]Inicio:Final!S171)</f>
        <v>6986952</v>
      </c>
      <c r="N172" s="22">
        <f>SUM([1]Inicio:Final!V171)</f>
        <v>6420192</v>
      </c>
      <c r="O172" s="25">
        <f>SUM([1]Inicio:Final!W171)</f>
        <v>17551695.949000001</v>
      </c>
    </row>
    <row r="173" spans="1:15" ht="15.75" hidden="1" thickBot="1" x14ac:dyDescent="0.3">
      <c r="A173" s="20"/>
      <c r="B173" s="21" t="s">
        <v>32</v>
      </c>
      <c r="C173" s="22">
        <f>SUM([1]Inicio:Final!E172)</f>
        <v>5814</v>
      </c>
      <c r="D173" s="22">
        <f>SUM([1]Inicio:Final!G172)</f>
        <v>848844</v>
      </c>
      <c r="E173" s="22">
        <f>SUM([1]Inicio:Final!J172)</f>
        <v>1485</v>
      </c>
      <c r="F173" s="22">
        <f>SUM([1]Inicio:Final!L172)</f>
        <v>541260</v>
      </c>
      <c r="G173" s="22">
        <f>SUM([1]Inicio:Final!M172)</f>
        <v>0</v>
      </c>
      <c r="H173" s="22">
        <f>SUM([1]Inicio:Final!N172)</f>
        <v>385000</v>
      </c>
      <c r="I173" s="22">
        <f>SUM([1]Inicio:Final!O172)</f>
        <v>0</v>
      </c>
      <c r="J173" s="22">
        <f>SUM([1]Inicio:Final!P172)</f>
        <v>160000</v>
      </c>
      <c r="K173" s="22">
        <f>SUM([1]Inicio:Final!Q172)</f>
        <v>4761280</v>
      </c>
      <c r="L173" s="22">
        <f>SUM([1]Inicio:Final!R172)</f>
        <v>262615</v>
      </c>
      <c r="M173" s="22">
        <f>SUM([1]Inicio:Final!S172)</f>
        <v>6867999</v>
      </c>
      <c r="N173" s="22">
        <f>SUM([1]Inicio:Final!V172)</f>
        <v>7093788</v>
      </c>
      <c r="O173" s="25">
        <f>SUM([1]Inicio:Final!W172)</f>
        <v>17416906.949000001</v>
      </c>
    </row>
    <row r="174" spans="1:15" ht="15.75" hidden="1" thickBot="1" x14ac:dyDescent="0.3">
      <c r="A174" s="20"/>
      <c r="B174" s="21" t="s">
        <v>33</v>
      </c>
      <c r="C174" s="22">
        <f>SUM([1]Inicio:Final!E173)</f>
        <v>6511</v>
      </c>
      <c r="D174" s="22">
        <f>SUM([1]Inicio:Final!G173)</f>
        <v>968418</v>
      </c>
      <c r="E174" s="22">
        <f>SUM([1]Inicio:Final!J173)</f>
        <v>2576</v>
      </c>
      <c r="F174" s="22">
        <f>SUM([1]Inicio:Final!L173)</f>
        <v>1114494</v>
      </c>
      <c r="G174" s="22">
        <f>SUM([1]Inicio:Final!M173)</f>
        <v>3731</v>
      </c>
      <c r="H174" s="22">
        <f>SUM([1]Inicio:Final!N173)</f>
        <v>385000</v>
      </c>
      <c r="I174" s="22">
        <f>SUM([1]Inicio:Final!O173)</f>
        <v>0</v>
      </c>
      <c r="J174" s="22">
        <f>SUM([1]Inicio:Final!P173)</f>
        <v>160000</v>
      </c>
      <c r="K174" s="22">
        <f>SUM([1]Inicio:Final!Q173)</f>
        <v>4763295</v>
      </c>
      <c r="L174" s="22">
        <f>SUM([1]Inicio:Final!R173)</f>
        <v>157881</v>
      </c>
      <c r="M174" s="22">
        <f>SUM([1]Inicio:Final!S173)</f>
        <v>7461819</v>
      </c>
      <c r="N174" s="22">
        <f>SUM([1]Inicio:Final!V173)</f>
        <v>9029611</v>
      </c>
      <c r="O174" s="25">
        <f>SUM([1]Inicio:Final!W173)</f>
        <v>15940114.949000001</v>
      </c>
    </row>
    <row r="175" spans="1:15" ht="15.75" hidden="1" thickBot="1" x14ac:dyDescent="0.3">
      <c r="A175" s="20"/>
      <c r="B175" s="21" t="s">
        <v>34</v>
      </c>
      <c r="C175" s="22">
        <f>SUM([1]Inicio:Final!E174)</f>
        <v>8295</v>
      </c>
      <c r="D175" s="22">
        <f>SUM([1]Inicio:Final!G174)</f>
        <v>1211070</v>
      </c>
      <c r="E175" s="22">
        <f>SUM([1]Inicio:Final!J174)</f>
        <v>3040</v>
      </c>
      <c r="F175" s="22">
        <f>SUM([1]Inicio:Final!L174)</f>
        <v>1228353</v>
      </c>
      <c r="G175" s="22">
        <f>SUM([1]Inicio:Final!M174)</f>
        <v>3731</v>
      </c>
      <c r="H175" s="22">
        <f>SUM([1]Inicio:Final!N174)</f>
        <v>385000</v>
      </c>
      <c r="I175" s="22">
        <f>SUM([1]Inicio:Final!O174)</f>
        <v>0</v>
      </c>
      <c r="J175" s="22">
        <f>SUM([1]Inicio:Final!P174)</f>
        <v>160000</v>
      </c>
      <c r="K175" s="22">
        <f>SUM([1]Inicio:Final!Q174)</f>
        <v>4763295</v>
      </c>
      <c r="L175" s="22">
        <f>SUM([1]Inicio:Final!R174)</f>
        <v>158088</v>
      </c>
      <c r="M175" s="22">
        <f>SUM([1]Inicio:Final!S174)</f>
        <v>7818537</v>
      </c>
      <c r="N175" s="22">
        <f>SUM([1]Inicio:Final!V174)</f>
        <v>8005284</v>
      </c>
      <c r="O175" s="25">
        <f>SUM([1]Inicio:Final!W174)</f>
        <v>15844367.949000001</v>
      </c>
    </row>
    <row r="176" spans="1:15" ht="15.75" hidden="1" thickBot="1" x14ac:dyDescent="0.3">
      <c r="A176" s="20">
        <v>2017</v>
      </c>
      <c r="B176" s="81" t="s">
        <v>35</v>
      </c>
      <c r="C176" s="36">
        <f>SUM(Inicio:Final!E175)</f>
        <v>2881</v>
      </c>
      <c r="D176" s="22">
        <f>SUM(Inicio:Final!G175)</f>
        <v>420626</v>
      </c>
      <c r="E176" s="36">
        <f>SUM(Inicio:Final!J175)</f>
        <v>272</v>
      </c>
      <c r="F176" s="22">
        <f>SUM(Inicio:Final!L175)</f>
        <v>127106</v>
      </c>
      <c r="G176" s="22">
        <f>SUM(Inicio:Final!M175)</f>
        <v>0</v>
      </c>
      <c r="H176" s="22">
        <f>SUM(Inicio:Final!N175)</f>
        <v>0</v>
      </c>
      <c r="I176" s="22">
        <f>SUM(Inicio:Final!O175)</f>
        <v>0</v>
      </c>
      <c r="J176" s="22">
        <f>SUM(Inicio:Final!P175)</f>
        <v>10000</v>
      </c>
      <c r="K176" s="22">
        <f>SUM(Inicio:Final!Q175)</f>
        <v>77405</v>
      </c>
      <c r="L176" s="22">
        <f>SUM(Inicio:Final!R175)</f>
        <v>0</v>
      </c>
      <c r="M176" s="22">
        <f>SUM(Inicio:Final!S175)</f>
        <v>635137</v>
      </c>
      <c r="N176" s="22">
        <f>SUM(Inicio:Final!V175)</f>
        <v>563296</v>
      </c>
      <c r="O176" s="25">
        <f>SUM(Inicio:Final!W175)</f>
        <v>118881</v>
      </c>
    </row>
    <row r="177" spans="1:16" ht="15.75" hidden="1" thickBot="1" x14ac:dyDescent="0.3">
      <c r="A177" s="20"/>
      <c r="B177" s="81" t="s">
        <v>24</v>
      </c>
      <c r="C177" s="36">
        <f>SUM(Inicio:Final!E176)</f>
        <v>3737</v>
      </c>
      <c r="D177" s="22">
        <f>SUM(Inicio:Final!G176)</f>
        <v>545602</v>
      </c>
      <c r="E177" s="36">
        <f>SUM(Inicio:Final!J176)</f>
        <v>102</v>
      </c>
      <c r="F177" s="22">
        <f>SUM(Inicio:Final!L176)</f>
        <v>36720</v>
      </c>
      <c r="G177" s="22">
        <f>SUM(Inicio:Final!M176)</f>
        <v>0</v>
      </c>
      <c r="H177" s="22">
        <f>SUM(Inicio:Final!N176)</f>
        <v>0</v>
      </c>
      <c r="I177" s="22">
        <f>SUM(Inicio:Final!O176)</f>
        <v>0</v>
      </c>
      <c r="J177" s="22">
        <f>SUM(Inicio:Final!P176)</f>
        <v>10000</v>
      </c>
      <c r="K177" s="22">
        <f>SUM(Inicio:Final!Q176)</f>
        <v>77405</v>
      </c>
      <c r="L177" s="22">
        <f>SUM(Inicio:Final!R176)</f>
        <v>0</v>
      </c>
      <c r="M177" s="22">
        <f>SUM(Inicio:Final!S176)</f>
        <v>669727</v>
      </c>
      <c r="N177" s="22">
        <f>SUM(Inicio:Final!V176)</f>
        <v>588338</v>
      </c>
      <c r="O177" s="25">
        <f>SUM(Inicio:Final!W176)</f>
        <v>200270</v>
      </c>
    </row>
    <row r="178" spans="1:16" ht="15.75" hidden="1" thickBot="1" x14ac:dyDescent="0.3">
      <c r="A178" s="20"/>
      <c r="B178" s="81" t="s">
        <v>25</v>
      </c>
      <c r="C178" s="36">
        <f>SUM(Inicio:Final!E177)</f>
        <v>3511</v>
      </c>
      <c r="D178" s="22">
        <f>SUM(Inicio:Final!G177)</f>
        <v>512606</v>
      </c>
      <c r="E178" s="36">
        <f>SUM(Inicio:Final!J177)</f>
        <v>154</v>
      </c>
      <c r="F178" s="22">
        <f>SUM(Inicio:Final!L177)</f>
        <v>55440</v>
      </c>
      <c r="G178" s="22">
        <f>SUM(Inicio:Final!M177)</f>
        <v>0</v>
      </c>
      <c r="H178" s="22">
        <f>SUM(Inicio:Final!N177)</f>
        <v>0</v>
      </c>
      <c r="I178" s="22">
        <f>SUM(Inicio:Final!O177)</f>
        <v>272365</v>
      </c>
      <c r="J178" s="22">
        <f>SUM(Inicio:Final!P177)</f>
        <v>10000</v>
      </c>
      <c r="K178" s="22">
        <f>SUM(Inicio:Final!Q177)</f>
        <v>77405</v>
      </c>
      <c r="L178" s="22">
        <f>SUM(Inicio:Final!R177)</f>
        <v>0</v>
      </c>
      <c r="M178" s="22">
        <f>SUM(Inicio:Final!S177)</f>
        <v>927816</v>
      </c>
      <c r="N178" s="22">
        <f>SUM(Inicio:Final!V177)</f>
        <v>923964</v>
      </c>
      <c r="O178" s="25">
        <f>SUM(Inicio:Final!W177)</f>
        <v>204122</v>
      </c>
    </row>
    <row r="179" spans="1:16" ht="15.75" hidden="1" thickBot="1" x14ac:dyDescent="0.3">
      <c r="A179" s="20"/>
      <c r="B179" s="81" t="s">
        <v>26</v>
      </c>
      <c r="C179" s="36">
        <f>SUM(Inicio:Final!E178)</f>
        <v>2013</v>
      </c>
      <c r="D179" s="22">
        <f>SUM(Inicio:Final!G178)</f>
        <v>293898</v>
      </c>
      <c r="E179" s="36">
        <f>SUM(Inicio:Final!J178)</f>
        <v>113</v>
      </c>
      <c r="F179" s="22">
        <f>SUM(Inicio:Final!L178)</f>
        <v>40680</v>
      </c>
      <c r="G179" s="22">
        <f>SUM(Inicio:Final!M178)</f>
        <v>0</v>
      </c>
      <c r="H179" s="22">
        <f>SUM(Inicio:Final!N178)</f>
        <v>0</v>
      </c>
      <c r="I179" s="22">
        <f>SUM(Inicio:Final!O178)</f>
        <v>112500</v>
      </c>
      <c r="J179" s="22">
        <f>SUM(Inicio:Final!P178)</f>
        <v>10000</v>
      </c>
      <c r="K179" s="22">
        <f>SUM(Inicio:Final!Q178)</f>
        <v>77405</v>
      </c>
      <c r="L179" s="22">
        <f>SUM(Inicio:Final!R178)</f>
        <v>0</v>
      </c>
      <c r="M179" s="22">
        <f>SUM(Inicio:Final!S178)</f>
        <v>534483</v>
      </c>
      <c r="N179" s="22">
        <f>SUM(Inicio:Final!V178)</f>
        <v>734523</v>
      </c>
      <c r="O179" s="25">
        <f>SUM(Inicio:Final!W178)</f>
        <v>4082</v>
      </c>
    </row>
    <row r="180" spans="1:16" ht="15.75" hidden="1" thickBot="1" x14ac:dyDescent="0.3">
      <c r="A180" s="20"/>
      <c r="B180" s="81" t="s">
        <v>27</v>
      </c>
      <c r="C180" s="36">
        <f>SUM(Inicio:Final!E179)</f>
        <v>1982</v>
      </c>
      <c r="D180" s="22">
        <f>SUM(Inicio:Final!G179)</f>
        <v>289372</v>
      </c>
      <c r="E180" s="36">
        <f>SUM(Inicio:Final!J179)</f>
        <v>22</v>
      </c>
      <c r="F180" s="22">
        <f>SUM(Inicio:Final!L179)</f>
        <v>7920</v>
      </c>
      <c r="G180" s="22">
        <f>SUM(Inicio:Final!M179)</f>
        <v>0</v>
      </c>
      <c r="H180" s="22">
        <f>SUM(Inicio:Final!N179)</f>
        <v>0</v>
      </c>
      <c r="I180" s="22">
        <f>SUM(Inicio:Final!O179)</f>
        <v>0</v>
      </c>
      <c r="J180" s="22">
        <f>SUM(Inicio:Final!P179)</f>
        <v>10000</v>
      </c>
      <c r="K180" s="22">
        <f>SUM(Inicio:Final!Q179)</f>
        <v>77405</v>
      </c>
      <c r="L180" s="22">
        <f>SUM(Inicio:Final!R179)</f>
        <v>0</v>
      </c>
      <c r="M180" s="22">
        <f>SUM(Inicio:Final!S179)</f>
        <v>384697</v>
      </c>
      <c r="N180" s="22">
        <f>SUM(Inicio:Final!V179)</f>
        <v>423649</v>
      </c>
      <c r="O180" s="25">
        <f>SUM(Inicio:Final!W179)</f>
        <v>-34870</v>
      </c>
    </row>
    <row r="181" spans="1:16" ht="15.75" hidden="1" thickBot="1" x14ac:dyDescent="0.3">
      <c r="A181" s="20"/>
      <c r="B181" s="81" t="s">
        <v>28</v>
      </c>
      <c r="C181" s="36">
        <f>SUM(Inicio:Final!E180)</f>
        <v>1712</v>
      </c>
      <c r="D181" s="22">
        <f>SUM(Inicio:Final!G180)</f>
        <v>249952</v>
      </c>
      <c r="E181" s="36">
        <f>SUM(Inicio:Final!J180)</f>
        <v>21</v>
      </c>
      <c r="F181" s="22">
        <f>SUM(Inicio:Final!L180)</f>
        <v>7560</v>
      </c>
      <c r="G181" s="22">
        <f>SUM(Inicio:Final!M180)</f>
        <v>0</v>
      </c>
      <c r="H181" s="22">
        <f>SUM(Inicio:Final!N180)</f>
        <v>0</v>
      </c>
      <c r="I181" s="22">
        <f>SUM(Inicio:Final!O180)</f>
        <v>0</v>
      </c>
      <c r="J181" s="22">
        <f>SUM(Inicio:Final!P180)</f>
        <v>10000</v>
      </c>
      <c r="K181" s="22">
        <f>SUM(Inicio:Final!Q180)</f>
        <v>77405</v>
      </c>
      <c r="L181" s="22">
        <f>SUM(Inicio:Final!R180)</f>
        <v>0</v>
      </c>
      <c r="M181" s="22">
        <f>SUM(Inicio:Final!S180)</f>
        <v>344917</v>
      </c>
      <c r="N181" s="22">
        <f>SUM(Inicio:Final!V180)</f>
        <v>272593</v>
      </c>
      <c r="O181" s="25">
        <f>SUM(Inicio:Final!W180)</f>
        <v>37454</v>
      </c>
    </row>
    <row r="182" spans="1:16" ht="15.75" hidden="1" thickBot="1" x14ac:dyDescent="0.3">
      <c r="A182" s="20"/>
      <c r="B182" s="81" t="s">
        <v>29</v>
      </c>
      <c r="C182" s="36">
        <f>SUM(Inicio:Final!E181)</f>
        <v>1348</v>
      </c>
      <c r="D182" s="22">
        <f>SUM(Inicio:Final!G181)</f>
        <v>196808</v>
      </c>
      <c r="E182" s="36">
        <f>SUM(Inicio:Final!J181)</f>
        <v>12</v>
      </c>
      <c r="F182" s="22">
        <f>SUM(Inicio:Final!L181)</f>
        <v>4320</v>
      </c>
      <c r="G182" s="22">
        <f>SUM(Inicio:Final!M181)</f>
        <v>0</v>
      </c>
      <c r="H182" s="22">
        <f>SUM(Inicio:Final!N181)</f>
        <v>0</v>
      </c>
      <c r="I182" s="22">
        <f>SUM(Inicio:Final!O181)</f>
        <v>0</v>
      </c>
      <c r="J182" s="22">
        <f>SUM(Inicio:Final!P181)</f>
        <v>10000</v>
      </c>
      <c r="K182" s="22">
        <f>SUM(Inicio:Final!Q181)</f>
        <v>77405</v>
      </c>
      <c r="L182" s="22">
        <f>SUM(Inicio:Final!R181)</f>
        <v>0</v>
      </c>
      <c r="M182" s="22">
        <f>SUM(Inicio:Final!S181)</f>
        <v>288533</v>
      </c>
      <c r="N182" s="22">
        <f>SUM(Inicio:Final!V181)</f>
        <v>332441</v>
      </c>
      <c r="O182" s="25">
        <f>SUM(Inicio:Final!W181)</f>
        <v>-6454</v>
      </c>
    </row>
    <row r="183" spans="1:16" ht="18" hidden="1" customHeight="1" thickBot="1" x14ac:dyDescent="0.3">
      <c r="A183" s="20"/>
      <c r="B183" s="81" t="s">
        <v>30</v>
      </c>
      <c r="C183" s="36">
        <f>SUM(Inicio:Final!E182)</f>
        <v>1012</v>
      </c>
      <c r="D183" s="22">
        <f>SUM(Inicio:Final!G182)</f>
        <v>147752</v>
      </c>
      <c r="E183" s="36">
        <f>SUM(Inicio:Final!J182)</f>
        <v>33</v>
      </c>
      <c r="F183" s="22">
        <f>SUM(Inicio:Final!L182)</f>
        <v>11880</v>
      </c>
      <c r="G183" s="22">
        <f>SUM(Inicio:Final!M182)</f>
        <v>0</v>
      </c>
      <c r="H183" s="22">
        <f>SUM(Inicio:Final!N182)</f>
        <v>0</v>
      </c>
      <c r="I183" s="22">
        <f>SUM(Inicio:Final!O182)</f>
        <v>0</v>
      </c>
      <c r="J183" s="22">
        <f>SUM(Inicio:Final!P182)</f>
        <v>10000</v>
      </c>
      <c r="K183" s="22">
        <f>SUM(Inicio:Final!Q182)</f>
        <v>77405</v>
      </c>
      <c r="L183" s="22">
        <f>SUM(Inicio:Final!R182)</f>
        <v>0</v>
      </c>
      <c r="M183" s="22">
        <f>SUM(Inicio:Final!S182)</f>
        <v>247037</v>
      </c>
      <c r="N183" s="22">
        <f>SUM(Inicio:Final!V182)</f>
        <v>249055</v>
      </c>
      <c r="O183" s="25">
        <f>SUM(Inicio:Final!W182)</f>
        <v>-8472</v>
      </c>
    </row>
    <row r="184" spans="1:16" ht="15.75" hidden="1" thickBot="1" x14ac:dyDescent="0.3">
      <c r="A184" s="20"/>
      <c r="B184" s="81" t="s">
        <v>31</v>
      </c>
      <c r="C184" s="36">
        <f>SUM(Inicio:Final!E183)</f>
        <v>1419</v>
      </c>
      <c r="D184" s="22">
        <f>SUM(Inicio:Final!G183)</f>
        <v>207174</v>
      </c>
      <c r="E184" s="36">
        <f>SUM(Inicio:Final!J183)</f>
        <v>31</v>
      </c>
      <c r="F184" s="22">
        <f>SUM(Inicio:Final!L183)</f>
        <v>11160</v>
      </c>
      <c r="G184" s="22">
        <f>SUM(Inicio:Final!M183)</f>
        <v>0</v>
      </c>
      <c r="H184" s="22">
        <f>SUM(Inicio:Final!N183)</f>
        <v>0</v>
      </c>
      <c r="I184" s="22">
        <f>SUM(Inicio:Final!O183)</f>
        <v>0</v>
      </c>
      <c r="J184" s="22">
        <f>SUM(Inicio:Final!P183)</f>
        <v>10000</v>
      </c>
      <c r="K184" s="22">
        <f>SUM(Inicio:Final!Q183)</f>
        <v>77405</v>
      </c>
      <c r="L184" s="22">
        <f>SUM(Inicio:Final!R183)</f>
        <v>0</v>
      </c>
      <c r="M184" s="22">
        <f>SUM(Inicio:Final!S183)</f>
        <v>305739</v>
      </c>
      <c r="N184" s="22">
        <f>SUM(Inicio:Final!V183)</f>
        <v>200150</v>
      </c>
      <c r="O184" s="25">
        <f>SUM(Inicio:Final!W183)</f>
        <v>97117</v>
      </c>
    </row>
    <row r="185" spans="1:16" ht="15.75" hidden="1" thickBot="1" x14ac:dyDescent="0.3">
      <c r="A185" s="20"/>
      <c r="B185" s="81" t="s">
        <v>32</v>
      </c>
      <c r="C185" s="36">
        <f>SUM(Inicio:Final!E184)</f>
        <v>1702</v>
      </c>
      <c r="D185" s="22">
        <f>SUM(Inicio:Final!G184)</f>
        <v>248492</v>
      </c>
      <c r="E185" s="36">
        <f>SUM(Inicio:Final!J184)</f>
        <v>102</v>
      </c>
      <c r="F185" s="22">
        <f>SUM(Inicio:Final!L184)</f>
        <v>36720</v>
      </c>
      <c r="G185" s="22">
        <f>SUM(Inicio:Final!M184)</f>
        <v>0</v>
      </c>
      <c r="H185" s="22">
        <f>SUM(Inicio:Final!N184)</f>
        <v>0</v>
      </c>
      <c r="I185" s="22">
        <f>SUM(Inicio:Final!O184)</f>
        <v>0</v>
      </c>
      <c r="J185" s="22">
        <f>SUM(Inicio:Final!P184)</f>
        <v>10000</v>
      </c>
      <c r="K185" s="22">
        <f>SUM(Inicio:Final!Q184)</f>
        <v>77405</v>
      </c>
      <c r="L185" s="22">
        <f>SUM(Inicio:Final!R184)</f>
        <v>0</v>
      </c>
      <c r="M185" s="22">
        <f>SUM(Inicio:Final!S184)</f>
        <v>372617</v>
      </c>
      <c r="N185" s="22">
        <f>SUM(Inicio:Final!V184)</f>
        <v>392151</v>
      </c>
      <c r="O185" s="25">
        <f>SUM(Inicio:Final!W184)</f>
        <v>77583</v>
      </c>
    </row>
    <row r="186" spans="1:16" ht="15.75" hidden="1" thickBot="1" x14ac:dyDescent="0.3">
      <c r="A186" s="20"/>
      <c r="B186" s="81" t="s">
        <v>33</v>
      </c>
      <c r="C186" s="36">
        <f>SUM(Inicio:Final!E185)</f>
        <v>2409</v>
      </c>
      <c r="D186" s="22">
        <f>SUM(Inicio:Final!G185)</f>
        <v>351714</v>
      </c>
      <c r="E186" s="36">
        <f>SUM(Inicio:Final!J185)</f>
        <v>189</v>
      </c>
      <c r="F186" s="22">
        <f>SUM(Inicio:Final!L185)</f>
        <v>92299</v>
      </c>
      <c r="G186" s="22">
        <f>SUM(Inicio:Final!M185)</f>
        <v>0</v>
      </c>
      <c r="H186" s="22">
        <f>SUM(Inicio:Final!N185)</f>
        <v>0</v>
      </c>
      <c r="I186" s="22">
        <f>SUM(Inicio:Final!O185)</f>
        <v>14000</v>
      </c>
      <c r="J186" s="22">
        <f>SUM(Inicio:Final!P185)</f>
        <v>10000</v>
      </c>
      <c r="K186" s="22">
        <f>SUM(Inicio:Final!Q185)</f>
        <v>77405</v>
      </c>
      <c r="L186" s="22">
        <f>SUM(Inicio:Final!R185)</f>
        <v>0</v>
      </c>
      <c r="M186" s="22">
        <f>SUM(Inicio:Final!S185)</f>
        <v>545418</v>
      </c>
      <c r="N186" s="22">
        <f>SUM(Inicio:Final!V185)</f>
        <v>616699</v>
      </c>
      <c r="O186" s="25">
        <f>SUM(Inicio:Final!W185)</f>
        <v>6302</v>
      </c>
    </row>
    <row r="187" spans="1:16" ht="15.75" hidden="1" thickBot="1" x14ac:dyDescent="0.3">
      <c r="A187" s="20"/>
      <c r="B187" s="83" t="s">
        <v>34</v>
      </c>
      <c r="C187" s="36">
        <f>SUM(Inicio:Final!E186)</f>
        <v>2554</v>
      </c>
      <c r="D187" s="22">
        <f>SUM(Inicio:Final!G186)</f>
        <v>372884</v>
      </c>
      <c r="E187" s="36">
        <f>SUM(Inicio:Final!J186)</f>
        <v>100</v>
      </c>
      <c r="F187" s="22">
        <f>SUM(Inicio:Final!L186)</f>
        <v>36000</v>
      </c>
      <c r="G187" s="22">
        <f>SUM(Inicio:Final!M186)</f>
        <v>0</v>
      </c>
      <c r="H187" s="22">
        <f>SUM(Inicio:Final!N186)</f>
        <v>0</v>
      </c>
      <c r="I187" s="22">
        <f>SUM(Inicio:Final!O186)</f>
        <v>0</v>
      </c>
      <c r="J187" s="22">
        <f>SUM(Inicio:Final!P186)</f>
        <v>10000</v>
      </c>
      <c r="K187" s="22">
        <f>SUM(Inicio:Final!Q186)</f>
        <v>77405</v>
      </c>
      <c r="L187" s="22">
        <f>SUM(Inicio:Final!R186)</f>
        <v>0</v>
      </c>
      <c r="M187" s="22">
        <f>SUM(Inicio:Final!S186)</f>
        <v>496289</v>
      </c>
      <c r="N187" s="22">
        <f>SUM(Inicio:Final!V186)</f>
        <v>410214</v>
      </c>
      <c r="O187" s="25">
        <f>SUM(Inicio:Final!W186)</f>
        <v>92377</v>
      </c>
    </row>
    <row r="188" spans="1:16" ht="16.5" hidden="1" thickTop="1" thickBot="1" x14ac:dyDescent="0.3">
      <c r="A188" s="85">
        <v>2018</v>
      </c>
      <c r="B188" s="86" t="s">
        <v>35</v>
      </c>
      <c r="C188" s="36">
        <f>SUM(Inicio:Final!E187)</f>
        <v>4018</v>
      </c>
      <c r="D188" s="22">
        <f>SUM(Inicio:Final!G187)</f>
        <v>586628</v>
      </c>
      <c r="E188" s="36">
        <f>SUM(Inicio:Final!J187)</f>
        <v>227</v>
      </c>
      <c r="F188" s="22">
        <f>SUM(Inicio:Final!L187)</f>
        <v>81720</v>
      </c>
      <c r="G188" s="22">
        <f>SUM(Inicio:Final!M187)</f>
        <v>0</v>
      </c>
      <c r="H188" s="22">
        <f>SUM(Inicio:Final!N187)</f>
        <v>0</v>
      </c>
      <c r="I188" s="22">
        <f>SUM(Inicio:Final!O187)</f>
        <v>24850</v>
      </c>
      <c r="J188" s="22">
        <f>SUM(Inicio:Final!P187)</f>
        <v>0</v>
      </c>
      <c r="K188" s="22">
        <f>SUM(Inicio:Final!Q187)</f>
        <v>79160</v>
      </c>
      <c r="L188" s="22">
        <f>SUM(Inicio:Final!R187)</f>
        <v>0</v>
      </c>
      <c r="M188" s="22">
        <f>SUM(Inicio:Final!S187)</f>
        <v>772358</v>
      </c>
      <c r="N188" s="22">
        <f>SUM(Inicio:Final!V187)</f>
        <v>719066</v>
      </c>
      <c r="O188" s="25">
        <f>SUM(Inicio:Final!W187)</f>
        <v>145669</v>
      </c>
    </row>
    <row r="189" spans="1:16" ht="16.5" hidden="1" thickTop="1" thickBot="1" x14ac:dyDescent="0.3">
      <c r="A189" s="20"/>
      <c r="B189" s="87" t="s">
        <v>24</v>
      </c>
      <c r="C189" s="36">
        <f>SUM(Inicio:Final!E188)</f>
        <v>3068</v>
      </c>
      <c r="D189" s="22">
        <f>SUM(Inicio:Final!G188)</f>
        <v>447928</v>
      </c>
      <c r="E189" s="36">
        <f>SUM(Inicio:Final!J188)</f>
        <v>118</v>
      </c>
      <c r="F189" s="22">
        <f>SUM(Inicio:Final!L188)</f>
        <v>42480</v>
      </c>
      <c r="G189" s="22">
        <f>SUM(Inicio:Final!M188)</f>
        <v>0</v>
      </c>
      <c r="H189" s="22">
        <f>SUM(Inicio:Final!N188)</f>
        <v>0</v>
      </c>
      <c r="I189" s="22">
        <f>SUM(Inicio:Final!O188)</f>
        <v>0</v>
      </c>
      <c r="J189" s="22">
        <f>SUM(Inicio:Final!P188)</f>
        <v>0</v>
      </c>
      <c r="K189" s="22">
        <f>SUM(Inicio:Final!Q188)</f>
        <v>79160</v>
      </c>
      <c r="L189" s="22">
        <f>SUM(Inicio:Final!R188)</f>
        <v>0</v>
      </c>
      <c r="M189" s="22">
        <f>SUM(Inicio:Final!S188)</f>
        <v>569568</v>
      </c>
      <c r="N189" s="22">
        <f>SUM(Inicio:Final!V188)</f>
        <v>540358</v>
      </c>
      <c r="O189" s="25">
        <f>SUM(Inicio:Final!W188)</f>
        <v>174879</v>
      </c>
      <c r="P189" s="84"/>
    </row>
    <row r="190" spans="1:16" ht="16.5" hidden="1" thickTop="1" thickBot="1" x14ac:dyDescent="0.3">
      <c r="A190" s="20"/>
      <c r="B190" s="86" t="s">
        <v>25</v>
      </c>
      <c r="C190" s="36">
        <f>SUM(Inicio:Final!E189)</f>
        <v>2765</v>
      </c>
      <c r="D190" s="22">
        <f>SUM(Inicio:Final!G189)</f>
        <v>403690</v>
      </c>
      <c r="E190" s="36">
        <f>SUM(Inicio:Final!J189)</f>
        <v>76</v>
      </c>
      <c r="F190" s="22">
        <f>SUM(Inicio:Final!L189)</f>
        <v>27360</v>
      </c>
      <c r="G190" s="22">
        <f>SUM(Inicio:Final!M189)</f>
        <v>0</v>
      </c>
      <c r="H190" s="22">
        <f>SUM(Inicio:Final!N189)</f>
        <v>0</v>
      </c>
      <c r="I190" s="22">
        <f>SUM(Inicio:Final!O189)</f>
        <v>0</v>
      </c>
      <c r="J190" s="22">
        <f>SUM(Inicio:Final!P189)</f>
        <v>0</v>
      </c>
      <c r="K190" s="22">
        <f>SUM(Inicio:Final!Q189)</f>
        <v>79160</v>
      </c>
      <c r="L190" s="22">
        <f>SUM(Inicio:Final!R189)</f>
        <v>0</v>
      </c>
      <c r="M190" s="22">
        <f>SUM(Inicio:Final!S189)</f>
        <v>510210</v>
      </c>
      <c r="N190" s="22">
        <f>SUM(Inicio:Final!V189)</f>
        <v>458664</v>
      </c>
      <c r="O190" s="25">
        <f>SUM(Inicio:Final!W189)</f>
        <v>226425</v>
      </c>
    </row>
    <row r="191" spans="1:16" ht="16.5" hidden="1" thickTop="1" thickBot="1" x14ac:dyDescent="0.3">
      <c r="A191" s="20"/>
      <c r="B191" s="87" t="s">
        <v>26</v>
      </c>
      <c r="C191" s="36">
        <f>SUM(Inicio:Final!E190)</f>
        <v>2152</v>
      </c>
      <c r="D191" s="22">
        <f>SUM(Inicio:Final!G190)</f>
        <v>314192</v>
      </c>
      <c r="E191" s="36">
        <f>SUM(Inicio:Final!J190)</f>
        <v>69</v>
      </c>
      <c r="F191" s="22">
        <f>SUM(Inicio:Final!L190)</f>
        <v>24840</v>
      </c>
      <c r="G191" s="22">
        <f>SUM(Inicio:Final!M190)</f>
        <v>0</v>
      </c>
      <c r="H191" s="22">
        <f>SUM(Inicio:Final!N190)</f>
        <v>0</v>
      </c>
      <c r="I191" s="22">
        <f>SUM(Inicio:Final!O190)</f>
        <v>212500</v>
      </c>
      <c r="J191" s="22">
        <f>SUM(Inicio:Final!P190)</f>
        <v>0</v>
      </c>
      <c r="K191" s="22">
        <f>SUM(Inicio:Final!Q190)</f>
        <v>79160</v>
      </c>
      <c r="L191" s="22">
        <f>SUM(Inicio:Final!R190)</f>
        <v>0</v>
      </c>
      <c r="M191" s="22">
        <f>SUM(Inicio:Final!S190)</f>
        <v>630692</v>
      </c>
      <c r="N191" s="22">
        <f>SUM(Inicio:Final!V190)</f>
        <v>506380</v>
      </c>
      <c r="O191" s="25">
        <f>SUM(Inicio:Final!W190)</f>
        <v>350737</v>
      </c>
    </row>
    <row r="192" spans="1:16" ht="16.5" hidden="1" thickTop="1" thickBot="1" x14ac:dyDescent="0.3">
      <c r="A192" s="20"/>
      <c r="B192" s="86" t="s">
        <v>27</v>
      </c>
      <c r="C192" s="36">
        <f>SUM(Inicio:Final!E191)</f>
        <v>3053</v>
      </c>
      <c r="D192" s="22">
        <f>SUM(Inicio:Final!G191)</f>
        <v>445738</v>
      </c>
      <c r="E192" s="36">
        <f>SUM(Inicio:Final!J191)</f>
        <v>91</v>
      </c>
      <c r="F192" s="22">
        <f>SUM(Inicio:Final!L191)</f>
        <v>32760</v>
      </c>
      <c r="G192" s="22">
        <f>SUM(Inicio:Final!M191)</f>
        <v>0</v>
      </c>
      <c r="H192" s="22">
        <f>SUM(Inicio:Final!N191)</f>
        <v>0</v>
      </c>
      <c r="I192" s="22">
        <f>SUM(Inicio:Final!O191)</f>
        <v>0</v>
      </c>
      <c r="J192" s="22">
        <f>SUM(Inicio:Final!P191)</f>
        <v>0</v>
      </c>
      <c r="K192" s="22">
        <f>SUM(Inicio:Final!Q191)</f>
        <v>79160</v>
      </c>
      <c r="L192" s="22">
        <f>SUM(Inicio:Final!R191)</f>
        <v>0</v>
      </c>
      <c r="M192" s="22">
        <f>SUM(Inicio:Final!S191)</f>
        <v>557658</v>
      </c>
      <c r="N192" s="22">
        <f>SUM(Inicio:Final!V191)</f>
        <v>409410</v>
      </c>
      <c r="O192" s="25">
        <f>SUM(Inicio:Final!W191)</f>
        <v>498985</v>
      </c>
    </row>
    <row r="193" spans="1:15" ht="16.5" hidden="1" thickTop="1" thickBot="1" x14ac:dyDescent="0.3">
      <c r="A193" s="20"/>
      <c r="B193" s="87" t="s">
        <v>28</v>
      </c>
      <c r="C193" s="36">
        <f>SUM(Inicio:Final!E192)</f>
        <v>1369</v>
      </c>
      <c r="D193" s="22">
        <f>SUM(Inicio:Final!G192)</f>
        <v>199874</v>
      </c>
      <c r="E193" s="36">
        <f>SUM(Inicio:Final!J192)</f>
        <v>5</v>
      </c>
      <c r="F193" s="22">
        <f>SUM(Inicio:Final!L192)</f>
        <v>1800</v>
      </c>
      <c r="G193" s="22">
        <f>SUM(Inicio:Final!M192)</f>
        <v>0</v>
      </c>
      <c r="H193" s="22">
        <f>SUM(Inicio:Final!N192)</f>
        <v>0</v>
      </c>
      <c r="I193" s="22">
        <f>SUM(Inicio:Final!O192)</f>
        <v>520835</v>
      </c>
      <c r="J193" s="22">
        <f>SUM(Inicio:Final!P192)</f>
        <v>0</v>
      </c>
      <c r="K193" s="22">
        <f>SUM(Inicio:Final!Q192)</f>
        <v>79160</v>
      </c>
      <c r="L193" s="22">
        <f>SUM(Inicio:Final!R192)</f>
        <v>0</v>
      </c>
      <c r="M193" s="22">
        <f>SUM(Inicio:Final!S192)</f>
        <v>801669</v>
      </c>
      <c r="N193" s="22">
        <f>SUM(Inicio:Final!V192)</f>
        <v>835407</v>
      </c>
      <c r="O193" s="25">
        <f>SUM(Inicio:Final!W192)</f>
        <v>465247</v>
      </c>
    </row>
    <row r="194" spans="1:15" ht="16.5" hidden="1" thickTop="1" thickBot="1" x14ac:dyDescent="0.3">
      <c r="A194" s="20"/>
      <c r="B194" s="86" t="s">
        <v>29</v>
      </c>
      <c r="C194" s="36">
        <f>SUM(Inicio:Final!E193)</f>
        <v>1054</v>
      </c>
      <c r="D194" s="22">
        <f>SUM(Inicio:Final!G193)</f>
        <v>153884</v>
      </c>
      <c r="E194" s="36">
        <f>SUM(Inicio:Final!J193)</f>
        <v>6</v>
      </c>
      <c r="F194" s="22">
        <f>SUM(Inicio:Final!L193)</f>
        <v>2160</v>
      </c>
      <c r="G194" s="22">
        <f>SUM(Inicio:Final!M193)</f>
        <v>0</v>
      </c>
      <c r="H194" s="22">
        <f>SUM(Inicio:Final!N193)</f>
        <v>0</v>
      </c>
      <c r="I194" s="22">
        <f>SUM(Inicio:Final!O193)</f>
        <v>167150</v>
      </c>
      <c r="J194" s="22">
        <f>SUM(Inicio:Final!P193)</f>
        <v>22222</v>
      </c>
      <c r="K194" s="22">
        <f>SUM(Inicio:Final!Q193)</f>
        <v>79160</v>
      </c>
      <c r="L194" s="22">
        <f>SUM(Inicio:Final!R193)</f>
        <v>0</v>
      </c>
      <c r="M194" s="22">
        <f>SUM(Inicio:Final!S193)</f>
        <v>424576</v>
      </c>
      <c r="N194" s="22">
        <f>SUM(Inicio:Final!V193)</f>
        <v>436851</v>
      </c>
      <c r="O194" s="25">
        <f>SUM(Inicio:Final!W193)</f>
        <v>452972</v>
      </c>
    </row>
    <row r="195" spans="1:15" ht="16.5" hidden="1" thickTop="1" thickBot="1" x14ac:dyDescent="0.3">
      <c r="A195" s="20"/>
      <c r="B195" s="87" t="s">
        <v>30</v>
      </c>
      <c r="C195" s="36">
        <f>SUM(Inicio:Final!E194)</f>
        <v>958</v>
      </c>
      <c r="D195" s="22">
        <f>SUM(Inicio:Final!G194)</f>
        <v>139868</v>
      </c>
      <c r="E195" s="36">
        <f>SUM(Inicio:Final!J194)</f>
        <v>10</v>
      </c>
      <c r="F195" s="22">
        <f>SUM(Inicio:Final!L194)</f>
        <v>3600</v>
      </c>
      <c r="G195" s="22">
        <f>SUM(Inicio:Final!M194)</f>
        <v>0</v>
      </c>
      <c r="H195" s="22">
        <f>SUM(Inicio:Final!N194)</f>
        <v>0</v>
      </c>
      <c r="I195" s="22">
        <f>SUM(Inicio:Final!O194)</f>
        <v>0</v>
      </c>
      <c r="J195" s="22">
        <f>SUM(Inicio:Final!P194)</f>
        <v>0</v>
      </c>
      <c r="K195" s="22">
        <f>SUM(Inicio:Final!Q194)</f>
        <v>79160</v>
      </c>
      <c r="L195" s="22">
        <f>SUM(Inicio:Final!R194)</f>
        <v>0</v>
      </c>
      <c r="M195" s="22">
        <f>SUM(Inicio:Final!S194)</f>
        <v>222628</v>
      </c>
      <c r="N195" s="22">
        <f>SUM(Inicio:Final!V194)</f>
        <v>205872</v>
      </c>
      <c r="O195" s="25">
        <f>SUM(Inicio:Final!W194)</f>
        <v>469728</v>
      </c>
    </row>
    <row r="196" spans="1:15" ht="16.5" hidden="1" thickTop="1" thickBot="1" x14ac:dyDescent="0.3">
      <c r="A196" s="20"/>
      <c r="B196" s="86" t="s">
        <v>31</v>
      </c>
      <c r="C196" s="36">
        <f>SUM(Inicio:Final!E195)</f>
        <v>1430</v>
      </c>
      <c r="D196" s="22">
        <f>SUM(Inicio:Final!G195)</f>
        <v>208780</v>
      </c>
      <c r="E196" s="36">
        <f>SUM(Inicio:Final!J195)</f>
        <v>29</v>
      </c>
      <c r="F196" s="22">
        <f>SUM(Inicio:Final!L195)</f>
        <v>10440</v>
      </c>
      <c r="G196" s="22">
        <f>SUM(Inicio:Final!M195)</f>
        <v>0</v>
      </c>
      <c r="H196" s="22">
        <f>SUM(Inicio:Final!N195)</f>
        <v>0</v>
      </c>
      <c r="I196" s="22">
        <f>SUM(Inicio:Final!O195)</f>
        <v>0</v>
      </c>
      <c r="J196" s="22">
        <f>SUM(Inicio:Final!P195)</f>
        <v>0</v>
      </c>
      <c r="K196" s="22">
        <f>SUM(Inicio:Final!Q195)</f>
        <v>79160</v>
      </c>
      <c r="L196" s="22">
        <f>SUM(Inicio:Final!R195)</f>
        <v>0</v>
      </c>
      <c r="M196" s="22">
        <f>SUM(Inicio:Final!S195)</f>
        <v>298380</v>
      </c>
      <c r="N196" s="22">
        <f>SUM(Inicio:Final!V195)</f>
        <v>282462</v>
      </c>
      <c r="O196" s="25">
        <f>SUM(Inicio:Final!W195)</f>
        <v>485646</v>
      </c>
    </row>
    <row r="197" spans="1:15" ht="16.5" hidden="1" thickTop="1" thickBot="1" x14ac:dyDescent="0.3">
      <c r="A197" s="20"/>
      <c r="B197" s="87" t="s">
        <v>32</v>
      </c>
      <c r="C197" s="36">
        <f>SUM(Inicio:Final!E196)</f>
        <v>1439</v>
      </c>
      <c r="D197" s="22">
        <f>SUM(Inicio:Final!G196)</f>
        <v>210094</v>
      </c>
      <c r="E197" s="36">
        <f>SUM(Inicio:Final!J196)</f>
        <v>39</v>
      </c>
      <c r="F197" s="22">
        <f>SUM(Inicio:Final!L196)</f>
        <v>47970</v>
      </c>
      <c r="G197" s="22">
        <f>SUM(Inicio:Final!M196)</f>
        <v>0</v>
      </c>
      <c r="H197" s="22">
        <f>SUM(Inicio:Final!N196)</f>
        <v>0</v>
      </c>
      <c r="I197" s="22">
        <f>SUM(Inicio:Final!O196)</f>
        <v>55555</v>
      </c>
      <c r="J197" s="22">
        <f>SUM(Inicio:Final!P196)</f>
        <v>0</v>
      </c>
      <c r="K197" s="22">
        <f>SUM(Inicio:Final!Q196)</f>
        <v>79160</v>
      </c>
      <c r="L197" s="22">
        <f>SUM(Inicio:Final!R196)</f>
        <v>0</v>
      </c>
      <c r="M197" s="22">
        <f>SUM(Inicio:Final!S196)</f>
        <v>392779</v>
      </c>
      <c r="N197" s="22">
        <f>SUM(Inicio:Final!V196)</f>
        <v>885019</v>
      </c>
      <c r="O197" s="25">
        <f>SUM(Inicio:Final!W196)</f>
        <v>-6594</v>
      </c>
    </row>
    <row r="198" spans="1:15" ht="16.5" hidden="1" thickTop="1" thickBot="1" x14ac:dyDescent="0.3">
      <c r="A198" s="20"/>
      <c r="B198" s="86" t="s">
        <v>33</v>
      </c>
      <c r="C198" s="36">
        <f>SUM(Inicio:Final!E197)</f>
        <v>1884</v>
      </c>
      <c r="D198" s="22">
        <f>SUM(Inicio:Final!G197)</f>
        <v>275064</v>
      </c>
      <c r="E198" s="36">
        <f>SUM(Inicio:Final!J197)</f>
        <v>88</v>
      </c>
      <c r="F198" s="22">
        <f>SUM(Inicio:Final!L197)</f>
        <v>108240</v>
      </c>
      <c r="G198" s="22">
        <f>SUM(Inicio:Final!M197)</f>
        <v>0</v>
      </c>
      <c r="H198" s="22">
        <f>SUM(Inicio:Final!N197)</f>
        <v>0</v>
      </c>
      <c r="I198" s="22">
        <f>SUM(Inicio:Final!O197)</f>
        <v>0</v>
      </c>
      <c r="J198" s="22">
        <f>SUM(Inicio:Final!P197)</f>
        <v>0</v>
      </c>
      <c r="K198" s="22">
        <f>SUM(Inicio:Final!Q197)</f>
        <v>0</v>
      </c>
      <c r="L198" s="22">
        <f>SUM(Inicio:Final!R197)</f>
        <v>0</v>
      </c>
      <c r="M198" s="22">
        <f>SUM(Inicio:Final!S197)</f>
        <v>383304</v>
      </c>
      <c r="N198" s="22">
        <f>SUM(Inicio:Final!V197)</f>
        <v>377008</v>
      </c>
      <c r="O198" s="25">
        <f>SUM(Inicio:Final!W197)</f>
        <v>-298</v>
      </c>
    </row>
    <row r="199" spans="1:15" ht="16.5" hidden="1" thickTop="1" thickBot="1" x14ac:dyDescent="0.3">
      <c r="A199" s="20"/>
      <c r="B199" s="87" t="s">
        <v>34</v>
      </c>
      <c r="C199" s="36">
        <f>SUM(Inicio:Final!E198)</f>
        <v>2453</v>
      </c>
      <c r="D199" s="22">
        <f>SUM(Inicio:Final!G198)</f>
        <v>358138</v>
      </c>
      <c r="E199" s="36">
        <f>SUM(Inicio:Final!J198)</f>
        <v>160</v>
      </c>
      <c r="F199" s="22">
        <f>SUM(Inicio:Final!L198)</f>
        <v>196800</v>
      </c>
      <c r="G199" s="22">
        <f>SUM(Inicio:Final!M198)</f>
        <v>0</v>
      </c>
      <c r="H199" s="22">
        <f>SUM(Inicio:Final!N198)</f>
        <v>0</v>
      </c>
      <c r="I199" s="22">
        <f>SUM(Inicio:Final!O198)</f>
        <v>0</v>
      </c>
      <c r="J199" s="22">
        <f>SUM(Inicio:Final!P198)</f>
        <v>0</v>
      </c>
      <c r="K199" s="22">
        <f>SUM(Inicio:Final!Q198)</f>
        <v>0</v>
      </c>
      <c r="L199" s="22">
        <f>SUM(Inicio:Final!R198)</f>
        <v>0</v>
      </c>
      <c r="M199" s="22">
        <f>SUM(Inicio:Final!S198)</f>
        <v>554938</v>
      </c>
      <c r="N199" s="22">
        <f>SUM(Inicio:Final!V198)</f>
        <v>438735</v>
      </c>
      <c r="O199" s="25">
        <f>SUM(Inicio:Final!W198)</f>
        <v>115905</v>
      </c>
    </row>
    <row r="200" spans="1:15" ht="15.75" thickBot="1" x14ac:dyDescent="0.3">
      <c r="A200">
        <v>2019</v>
      </c>
      <c r="B200" s="115" t="s">
        <v>35</v>
      </c>
      <c r="C200" s="36">
        <f>SUM(Inicio:Final!E199)</f>
        <v>2994</v>
      </c>
      <c r="D200" s="22">
        <f>SUM(Inicio:Final!G199)</f>
        <v>449100</v>
      </c>
      <c r="E200" s="36">
        <f>SUM(Inicio:Final!J199)</f>
        <v>79</v>
      </c>
      <c r="F200" s="22">
        <f>SUM(Inicio:Final!L199)</f>
        <v>97170</v>
      </c>
      <c r="G200" s="22">
        <f>SUM(Inicio:Final!M199)</f>
        <v>1</v>
      </c>
      <c r="H200" s="22">
        <f>SUM(Inicio:Final!N199)</f>
        <v>0</v>
      </c>
      <c r="I200" s="22">
        <f>SUM(Inicio:Final!O199)</f>
        <v>33333</v>
      </c>
      <c r="J200" s="22">
        <f>SUM(Inicio:Final!P199)</f>
        <v>0</v>
      </c>
      <c r="K200" s="22">
        <f>SUM(Inicio:Final!Q199)</f>
        <v>0</v>
      </c>
      <c r="L200" s="22">
        <f>SUM(Inicio:Final!R199)</f>
        <v>0</v>
      </c>
      <c r="M200" s="22">
        <f>SUM(Inicio:Final!S199)</f>
        <v>579604</v>
      </c>
      <c r="N200" s="22">
        <f>SUM(Inicio:Final!V199)</f>
        <v>697109</v>
      </c>
      <c r="O200" s="25">
        <f>SUM(Inicio:Final!W199)</f>
        <v>-1600</v>
      </c>
    </row>
    <row r="201" spans="1:15" ht="16.5" thickTop="1" thickBot="1" x14ac:dyDescent="0.3">
      <c r="B201" s="115" t="s">
        <v>24</v>
      </c>
      <c r="C201" s="36">
        <f>SUM(Inicio:Final!E200)</f>
        <v>2366</v>
      </c>
      <c r="D201" s="22">
        <f>SUM(Inicio:Final!G200)</f>
        <v>354900</v>
      </c>
      <c r="E201" s="36">
        <f>SUM(Inicio:Final!J200)</f>
        <v>0</v>
      </c>
      <c r="F201" s="22">
        <f>SUM(Inicio:Final!L200)</f>
        <v>0</v>
      </c>
      <c r="G201" s="22">
        <f>SUM(Inicio:Final!M200)</f>
        <v>0</v>
      </c>
      <c r="H201" s="22">
        <f>SUM(Inicio:Final!N200)</f>
        <v>0</v>
      </c>
      <c r="I201" s="22">
        <f>SUM(Inicio:Final!O200)</f>
        <v>0</v>
      </c>
      <c r="J201" s="22">
        <f>SUM(Inicio:Final!P200)</f>
        <v>0</v>
      </c>
      <c r="K201" s="22">
        <f>SUM(Inicio:Final!Q200)</f>
        <v>0</v>
      </c>
      <c r="L201" s="22">
        <f>SUM(Inicio:Final!R200)</f>
        <v>0</v>
      </c>
      <c r="M201" s="22">
        <f>SUM(Inicio:Final!S200)</f>
        <v>354900</v>
      </c>
      <c r="N201" s="22">
        <f>SUM(Inicio:Final!V200)</f>
        <v>353304</v>
      </c>
      <c r="O201" s="25">
        <f>SUM(Inicio:Final!W200)</f>
        <v>-4</v>
      </c>
    </row>
    <row r="202" spans="1:15" ht="16.5" thickTop="1" thickBot="1" x14ac:dyDescent="0.3">
      <c r="B202" s="115" t="s">
        <v>25</v>
      </c>
      <c r="C202" s="36">
        <f>SUM(Inicio:Final!E201)</f>
        <v>2233</v>
      </c>
      <c r="D202" s="22">
        <f>SUM(Inicio:Final!G201)</f>
        <v>334950</v>
      </c>
      <c r="E202" s="36">
        <f>SUM(Inicio:Final!J201)</f>
        <v>0</v>
      </c>
      <c r="F202" s="22">
        <f>SUM(Inicio:Final!L201)</f>
        <v>0</v>
      </c>
      <c r="G202" s="22">
        <f>SUM(Inicio:Final!M201)</f>
        <v>0</v>
      </c>
      <c r="H202" s="22">
        <f>SUM(Inicio:Final!N201)</f>
        <v>0</v>
      </c>
      <c r="I202" s="22">
        <f>SUM(Inicio:Final!O201)</f>
        <v>0</v>
      </c>
      <c r="J202" s="22">
        <f>SUM(Inicio:Final!P201)</f>
        <v>0</v>
      </c>
      <c r="K202" s="22">
        <f>SUM(Inicio:Final!Q201)</f>
        <v>0</v>
      </c>
      <c r="L202" s="22">
        <f>SUM(Inicio:Final!R201)</f>
        <v>0</v>
      </c>
      <c r="M202" s="22">
        <f>SUM(Inicio:Final!S201)</f>
        <v>334950</v>
      </c>
      <c r="N202" s="22">
        <f>SUM(Inicio:Final!V201)</f>
        <v>335596</v>
      </c>
      <c r="O202" s="25">
        <f>SUM(Inicio:Final!W201)</f>
        <v>-650</v>
      </c>
    </row>
    <row r="203" spans="1:15" ht="16.5" thickTop="1" thickBot="1" x14ac:dyDescent="0.3">
      <c r="B203" s="115" t="s">
        <v>26</v>
      </c>
      <c r="C203" s="36">
        <f>SUM(Inicio:Final!E202)</f>
        <v>2293</v>
      </c>
      <c r="D203" s="22">
        <f>SUM(Inicio:Final!G202)</f>
        <v>343950</v>
      </c>
      <c r="E203" s="36">
        <f>SUM(Inicio:Final!J202)</f>
        <v>0</v>
      </c>
      <c r="F203" s="22">
        <f>SUM(Inicio:Final!L202)</f>
        <v>0</v>
      </c>
      <c r="G203" s="22">
        <f>SUM(Inicio:Final!M202)</f>
        <v>0</v>
      </c>
      <c r="H203" s="22">
        <f>SUM(Inicio:Final!N202)</f>
        <v>0</v>
      </c>
      <c r="I203" s="22">
        <f>SUM(Inicio:Final!O202)</f>
        <v>0</v>
      </c>
      <c r="J203" s="22">
        <f>SUM(Inicio:Final!P202)</f>
        <v>0</v>
      </c>
      <c r="K203" s="22">
        <f>SUM(Inicio:Final!Q202)</f>
        <v>0</v>
      </c>
      <c r="L203" s="22">
        <f>SUM(Inicio:Final!R202)</f>
        <v>0</v>
      </c>
      <c r="M203" s="22">
        <f>SUM(Inicio:Final!S202)</f>
        <v>343950</v>
      </c>
      <c r="N203" s="22">
        <f>SUM(Inicio:Final!V202)</f>
        <v>349250</v>
      </c>
      <c r="O203" s="25">
        <f>SUM(Inicio:Final!W202)</f>
        <v>-5950</v>
      </c>
    </row>
    <row r="204" spans="1:15" ht="16.5" thickTop="1" thickBot="1" x14ac:dyDescent="0.3">
      <c r="B204" s="115" t="s">
        <v>27</v>
      </c>
      <c r="C204" s="36">
        <f>SUM(Inicio:Final!E203)</f>
        <v>2265</v>
      </c>
      <c r="D204" s="22">
        <f>SUM(Inicio:Final!G203)</f>
        <v>339750</v>
      </c>
      <c r="E204" s="36">
        <f>SUM(Inicio:Final!J203)</f>
        <v>0</v>
      </c>
      <c r="F204" s="22">
        <f>SUM(Inicio:Final!L203)</f>
        <v>0</v>
      </c>
      <c r="G204" s="22">
        <f>SUM(Inicio:Final!M203)</f>
        <v>0</v>
      </c>
      <c r="H204" s="22">
        <f>SUM(Inicio:Final!N203)</f>
        <v>0</v>
      </c>
      <c r="I204" s="22">
        <f>SUM(Inicio:Final!O203)</f>
        <v>0</v>
      </c>
      <c r="J204" s="22">
        <f>SUM(Inicio:Final!P203)</f>
        <v>0</v>
      </c>
      <c r="K204" s="22">
        <f>SUM(Inicio:Final!Q203)</f>
        <v>0</v>
      </c>
      <c r="L204" s="22">
        <f>SUM(Inicio:Final!R203)</f>
        <v>0</v>
      </c>
      <c r="M204" s="22">
        <f>SUM(Inicio:Final!S203)</f>
        <v>339750</v>
      </c>
      <c r="N204" s="22">
        <f>SUM(Inicio:Final!V203)</f>
        <v>0</v>
      </c>
      <c r="O204" s="25">
        <f>SUM(Inicio:Final!W203)</f>
        <v>333800</v>
      </c>
    </row>
    <row r="205" spans="1:15" ht="16.5" thickTop="1" thickBot="1" x14ac:dyDescent="0.3">
      <c r="B205" s="115" t="s">
        <v>28</v>
      </c>
      <c r="C205" s="36">
        <f>SUM(Inicio:Final!E204)</f>
        <v>-149532</v>
      </c>
      <c r="D205" s="22">
        <f>SUM(Inicio:Final!G204)</f>
        <v>-22429800</v>
      </c>
      <c r="E205" s="36">
        <f>SUM(Inicio:Final!J204)</f>
        <v>0</v>
      </c>
      <c r="F205" s="22">
        <f>SUM(Inicio:Final!L204)</f>
        <v>0</v>
      </c>
      <c r="G205" s="22">
        <f>SUM(Inicio:Final!M204)</f>
        <v>0</v>
      </c>
      <c r="H205" s="22">
        <f>SUM(Inicio:Final!N204)</f>
        <v>0</v>
      </c>
      <c r="I205" s="22">
        <f>SUM(Inicio:Final!O204)</f>
        <v>0</v>
      </c>
      <c r="J205" s="22">
        <f>SUM(Inicio:Final!P204)</f>
        <v>0</v>
      </c>
      <c r="K205" s="22">
        <f>SUM(Inicio:Final!Q204)</f>
        <v>0</v>
      </c>
      <c r="L205" s="22">
        <f>SUM(Inicio:Final!R204)</f>
        <v>0</v>
      </c>
      <c r="M205" s="22">
        <f>SUM(Inicio:Final!S204)</f>
        <v>-22429800</v>
      </c>
      <c r="N205" s="22">
        <f>SUM(Inicio:Final!V204)</f>
        <v>0</v>
      </c>
      <c r="O205" s="25">
        <f>SUM(Inicio:Final!W204)</f>
        <v>-22096000</v>
      </c>
    </row>
    <row r="206" spans="1:15" ht="16.5" thickTop="1" thickBot="1" x14ac:dyDescent="0.3">
      <c r="B206" s="115" t="s">
        <v>29</v>
      </c>
      <c r="C206" s="36">
        <f>SUM(Inicio:Final!E205)</f>
        <v>0</v>
      </c>
      <c r="D206" s="22">
        <f>SUM(Inicio:Final!G205)</f>
        <v>0</v>
      </c>
      <c r="E206" s="36">
        <f>SUM(Inicio:Final!J205)</f>
        <v>0</v>
      </c>
      <c r="F206" s="22">
        <f>SUM(Inicio:Final!L205)</f>
        <v>0</v>
      </c>
      <c r="G206" s="22">
        <f>SUM(Inicio:Final!M205)</f>
        <v>0</v>
      </c>
      <c r="H206" s="22">
        <f>SUM(Inicio:Final!N205)</f>
        <v>0</v>
      </c>
      <c r="I206" s="22">
        <f>SUM(Inicio:Final!O205)</f>
        <v>0</v>
      </c>
      <c r="J206" s="22">
        <f>SUM(Inicio:Final!P205)</f>
        <v>0</v>
      </c>
      <c r="K206" s="22">
        <f>SUM(Inicio:Final!Q205)</f>
        <v>0</v>
      </c>
      <c r="L206" s="22">
        <f>SUM(Inicio:Final!R205)</f>
        <v>0</v>
      </c>
      <c r="M206" s="22">
        <f>SUM(Inicio:Final!S205)</f>
        <v>0</v>
      </c>
      <c r="N206" s="22">
        <f>SUM(Inicio:Final!V205)</f>
        <v>0</v>
      </c>
      <c r="O206" s="25">
        <f>SUM(Inicio:Final!W205)</f>
        <v>-22096000</v>
      </c>
    </row>
    <row r="207" spans="1:15" ht="16.5" thickTop="1" thickBot="1" x14ac:dyDescent="0.3">
      <c r="B207" s="115" t="s">
        <v>30</v>
      </c>
      <c r="C207" s="36">
        <f>SUM(Inicio:Final!E206)</f>
        <v>0</v>
      </c>
      <c r="D207" s="22">
        <f>SUM(Inicio:Final!G206)</f>
        <v>0</v>
      </c>
      <c r="E207" s="36">
        <f>SUM(Inicio:Final!J206)</f>
        <v>0</v>
      </c>
      <c r="F207" s="22">
        <f>SUM(Inicio:Final!L206)</f>
        <v>0</v>
      </c>
      <c r="G207" s="22">
        <f>SUM(Inicio:Final!M206)</f>
        <v>0</v>
      </c>
      <c r="H207" s="22">
        <f>SUM(Inicio:Final!N206)</f>
        <v>0</v>
      </c>
      <c r="I207" s="22">
        <f>SUM(Inicio:Final!O206)</f>
        <v>0</v>
      </c>
      <c r="J207" s="22">
        <f>SUM(Inicio:Final!P206)</f>
        <v>0</v>
      </c>
      <c r="K207" s="22">
        <f>SUM(Inicio:Final!Q206)</f>
        <v>0</v>
      </c>
      <c r="L207" s="22">
        <f>SUM(Inicio:Final!R206)</f>
        <v>0</v>
      </c>
      <c r="M207" s="22">
        <f>SUM(Inicio:Final!S206)</f>
        <v>0</v>
      </c>
      <c r="N207" s="22">
        <f>SUM(Inicio:Final!V206)</f>
        <v>0</v>
      </c>
      <c r="O207" s="25">
        <f>SUM(Inicio:Final!W206)</f>
        <v>-22096000</v>
      </c>
    </row>
    <row r="208" spans="1:15" ht="16.5" thickTop="1" thickBot="1" x14ac:dyDescent="0.3">
      <c r="B208" s="115" t="s">
        <v>31</v>
      </c>
      <c r="C208" s="36">
        <f>SUM(Inicio:Final!E207)</f>
        <v>0</v>
      </c>
      <c r="D208" s="22">
        <f>SUM(Inicio:Final!G207)</f>
        <v>0</v>
      </c>
      <c r="E208" s="36">
        <f>SUM(Inicio:Final!J207)</f>
        <v>0</v>
      </c>
      <c r="F208" s="22">
        <f>SUM(Inicio:Final!L207)</f>
        <v>0</v>
      </c>
      <c r="G208" s="22">
        <f>SUM(Inicio:Final!M207)</f>
        <v>0</v>
      </c>
      <c r="H208" s="22">
        <f>SUM(Inicio:Final!N207)</f>
        <v>0</v>
      </c>
      <c r="I208" s="22">
        <f>SUM(Inicio:Final!O207)</f>
        <v>0</v>
      </c>
      <c r="J208" s="22">
        <f>SUM(Inicio:Final!P207)</f>
        <v>0</v>
      </c>
      <c r="K208" s="22">
        <f>SUM(Inicio:Final!Q207)</f>
        <v>0</v>
      </c>
      <c r="L208" s="22">
        <f>SUM(Inicio:Final!R207)</f>
        <v>0</v>
      </c>
      <c r="M208" s="22">
        <f>SUM(Inicio:Final!S207)</f>
        <v>0</v>
      </c>
      <c r="N208" s="22">
        <f>SUM(Inicio:Final!V207)</f>
        <v>0</v>
      </c>
      <c r="O208" s="25">
        <f>SUM(Inicio:Final!W207)</f>
        <v>-22096000</v>
      </c>
    </row>
    <row r="209" spans="1:15" ht="16.5" thickTop="1" thickBot="1" x14ac:dyDescent="0.3">
      <c r="A209" s="20"/>
      <c r="B209" s="115" t="s">
        <v>32</v>
      </c>
      <c r="C209" s="36">
        <f>SUM(Inicio:Final!E208)</f>
        <v>0</v>
      </c>
      <c r="D209" s="22">
        <f>SUM(Inicio:Final!G208)</f>
        <v>0</v>
      </c>
      <c r="E209" s="36">
        <f>SUM(Inicio:Final!J208)</f>
        <v>0</v>
      </c>
      <c r="F209" s="22">
        <f>SUM(Inicio:Final!L208)</f>
        <v>0</v>
      </c>
      <c r="G209" s="22">
        <f>SUM(Inicio:Final!M208)</f>
        <v>0</v>
      </c>
      <c r="H209" s="22">
        <f>SUM(Inicio:Final!N208)</f>
        <v>0</v>
      </c>
      <c r="I209" s="22">
        <f>SUM(Inicio:Final!O208)</f>
        <v>0</v>
      </c>
      <c r="J209" s="22">
        <f>SUM(Inicio:Final!P208)</f>
        <v>0</v>
      </c>
      <c r="K209" s="22">
        <f>SUM(Inicio:Final!Q208)</f>
        <v>0</v>
      </c>
      <c r="L209" s="22">
        <f>SUM(Inicio:Final!R208)</f>
        <v>0</v>
      </c>
      <c r="M209" s="22">
        <f>SUM(Inicio:Final!S208)</f>
        <v>0</v>
      </c>
      <c r="N209" s="22">
        <f>SUM(Inicio:Final!V208)</f>
        <v>0</v>
      </c>
      <c r="O209" s="25">
        <f>SUM(Inicio:Final!W208)</f>
        <v>-22096000</v>
      </c>
    </row>
    <row r="210" spans="1:15" ht="16.5" thickTop="1" thickBot="1" x14ac:dyDescent="0.3">
      <c r="B210" s="115" t="s">
        <v>33</v>
      </c>
      <c r="C210" s="36">
        <f>SUM(Inicio:Final!E209)</f>
        <v>0</v>
      </c>
      <c r="D210" s="22">
        <f>SUM(Inicio:Final!G209)</f>
        <v>0</v>
      </c>
      <c r="E210" s="36">
        <f>SUM(Inicio:Final!J209)</f>
        <v>0</v>
      </c>
      <c r="F210" s="22">
        <f>SUM(Inicio:Final!L209)</f>
        <v>0</v>
      </c>
      <c r="G210" s="22">
        <f>SUM(Inicio:Final!M209)</f>
        <v>0</v>
      </c>
      <c r="H210" s="22">
        <f>SUM(Inicio:Final!N209)</f>
        <v>0</v>
      </c>
      <c r="I210" s="22">
        <f>SUM(Inicio:Final!O209)</f>
        <v>0</v>
      </c>
      <c r="J210" s="22">
        <f>SUM(Inicio:Final!P209)</f>
        <v>0</v>
      </c>
      <c r="K210" s="22">
        <f>SUM(Inicio:Final!Q209)</f>
        <v>0</v>
      </c>
      <c r="L210" s="22">
        <f>SUM(Inicio:Final!R209)</f>
        <v>0</v>
      </c>
      <c r="M210" s="22">
        <f>SUM(Inicio:Final!S209)</f>
        <v>0</v>
      </c>
      <c r="N210" s="22">
        <f>SUM(Inicio:Final!V209)</f>
        <v>0</v>
      </c>
      <c r="O210" s="25">
        <f>SUM(Inicio:Final!W209)</f>
        <v>-22096000</v>
      </c>
    </row>
    <row r="211" spans="1:15" ht="16.5" thickTop="1" thickBot="1" x14ac:dyDescent="0.3">
      <c r="B211" s="115" t="s">
        <v>34</v>
      </c>
      <c r="C211" s="36">
        <f>SUM(Inicio:Final!E210)</f>
        <v>0</v>
      </c>
      <c r="D211" s="22">
        <f>SUM(Inicio:Final!G210)</f>
        <v>0</v>
      </c>
      <c r="E211" s="36">
        <f>SUM(Inicio:Final!J210)</f>
        <v>0</v>
      </c>
      <c r="F211" s="22">
        <f>SUM(Inicio:Final!L210)</f>
        <v>0</v>
      </c>
      <c r="G211" s="22">
        <f>SUM(Inicio:Final!M210)</f>
        <v>0</v>
      </c>
      <c r="H211" s="22">
        <f>SUM(Inicio:Final!N210)</f>
        <v>0</v>
      </c>
      <c r="I211" s="22">
        <f>SUM(Inicio:Final!O210)</f>
        <v>0</v>
      </c>
      <c r="J211" s="22">
        <f>SUM(Inicio:Final!P210)</f>
        <v>0</v>
      </c>
      <c r="K211" s="22">
        <f>SUM(Inicio:Final!Q210)</f>
        <v>0</v>
      </c>
      <c r="L211" s="22">
        <f>SUM(Inicio:Final!R210)</f>
        <v>0</v>
      </c>
      <c r="M211" s="22">
        <f>SUM(Inicio:Final!S210)</f>
        <v>0</v>
      </c>
      <c r="N211" s="22">
        <f>SUM(Inicio:Final!V210)</f>
        <v>0</v>
      </c>
      <c r="O211" s="25">
        <f>SUM(Inicio:Final!W210)</f>
        <v>-22096000</v>
      </c>
    </row>
    <row r="212" spans="1:15" ht="15.75" thickTop="1" x14ac:dyDescent="0.25"/>
    <row r="215" spans="1:15" ht="15.75" thickBot="1" x14ac:dyDescent="0.3"/>
    <row r="216" spans="1:15" ht="15.75" thickBot="1" x14ac:dyDescent="0.3">
      <c r="B216" s="82">
        <v>2017</v>
      </c>
      <c r="C216" s="55" t="s">
        <v>64</v>
      </c>
      <c r="D216" s="55" t="s">
        <v>36</v>
      </c>
    </row>
    <row r="217" spans="1:15" ht="15.75" thickBot="1" x14ac:dyDescent="0.3">
      <c r="B217" s="55" t="s">
        <v>35</v>
      </c>
      <c r="C217" s="27">
        <f t="shared" ref="C217:C228" si="0">M176</f>
        <v>635137</v>
      </c>
      <c r="D217" s="27">
        <f t="shared" ref="D217:D228" si="1">N176</f>
        <v>563296</v>
      </c>
    </row>
    <row r="218" spans="1:15" ht="15.75" thickBot="1" x14ac:dyDescent="0.3">
      <c r="B218" s="55" t="s">
        <v>24</v>
      </c>
      <c r="C218" s="27">
        <f t="shared" si="0"/>
        <v>669727</v>
      </c>
      <c r="D218" s="27">
        <f t="shared" si="1"/>
        <v>588338</v>
      </c>
    </row>
    <row r="219" spans="1:15" ht="15.75" thickBot="1" x14ac:dyDescent="0.3">
      <c r="B219" s="55" t="s">
        <v>25</v>
      </c>
      <c r="C219" s="27">
        <f t="shared" si="0"/>
        <v>927816</v>
      </c>
      <c r="D219" s="27">
        <f t="shared" si="1"/>
        <v>923964</v>
      </c>
    </row>
    <row r="220" spans="1:15" ht="15.75" thickBot="1" x14ac:dyDescent="0.3">
      <c r="B220" s="55" t="s">
        <v>26</v>
      </c>
      <c r="C220" s="27">
        <f t="shared" si="0"/>
        <v>534483</v>
      </c>
      <c r="D220" s="27">
        <f t="shared" si="1"/>
        <v>734523</v>
      </c>
    </row>
    <row r="221" spans="1:15" ht="15.75" thickBot="1" x14ac:dyDescent="0.3">
      <c r="B221" s="55" t="s">
        <v>27</v>
      </c>
      <c r="C221" s="27">
        <f t="shared" si="0"/>
        <v>384697</v>
      </c>
      <c r="D221" s="27">
        <f t="shared" si="1"/>
        <v>423649</v>
      </c>
      <c r="O221" s="2"/>
    </row>
    <row r="222" spans="1:15" ht="15.75" thickBot="1" x14ac:dyDescent="0.3">
      <c r="B222" s="55" t="s">
        <v>28</v>
      </c>
      <c r="C222" s="27">
        <f t="shared" si="0"/>
        <v>344917</v>
      </c>
      <c r="D222" s="27">
        <f t="shared" si="1"/>
        <v>272593</v>
      </c>
    </row>
    <row r="223" spans="1:15" ht="15.75" thickBot="1" x14ac:dyDescent="0.3">
      <c r="B223" s="55" t="s">
        <v>29</v>
      </c>
      <c r="C223" s="27">
        <f t="shared" si="0"/>
        <v>288533</v>
      </c>
      <c r="D223" s="27">
        <f t="shared" si="1"/>
        <v>332441</v>
      </c>
    </row>
    <row r="224" spans="1:15" ht="15.75" thickBot="1" x14ac:dyDescent="0.3">
      <c r="B224" s="55" t="s">
        <v>30</v>
      </c>
      <c r="C224" s="27">
        <f t="shared" si="0"/>
        <v>247037</v>
      </c>
      <c r="D224" s="27">
        <f t="shared" si="1"/>
        <v>249055</v>
      </c>
    </row>
    <row r="225" spans="2:4" ht="15.75" thickBot="1" x14ac:dyDescent="0.3">
      <c r="B225" s="55" t="s">
        <v>31</v>
      </c>
      <c r="C225" s="27">
        <f t="shared" si="0"/>
        <v>305739</v>
      </c>
      <c r="D225" s="27">
        <f t="shared" si="1"/>
        <v>200150</v>
      </c>
    </row>
    <row r="226" spans="2:4" ht="15.75" thickBot="1" x14ac:dyDescent="0.3">
      <c r="B226" s="55" t="s">
        <v>32</v>
      </c>
      <c r="C226" s="27">
        <f t="shared" si="0"/>
        <v>372617</v>
      </c>
      <c r="D226" s="27">
        <f t="shared" si="1"/>
        <v>392151</v>
      </c>
    </row>
    <row r="227" spans="2:4" ht="15.75" thickBot="1" x14ac:dyDescent="0.3">
      <c r="B227" s="55" t="s">
        <v>33</v>
      </c>
      <c r="C227" s="27">
        <f t="shared" si="0"/>
        <v>545418</v>
      </c>
      <c r="D227" s="27">
        <f t="shared" si="1"/>
        <v>616699</v>
      </c>
    </row>
    <row r="228" spans="2:4" ht="15.75" thickBot="1" x14ac:dyDescent="0.3">
      <c r="B228" s="55" t="s">
        <v>34</v>
      </c>
      <c r="C228" s="27">
        <f t="shared" si="0"/>
        <v>496289</v>
      </c>
      <c r="D228" s="27">
        <f t="shared" si="1"/>
        <v>410214</v>
      </c>
    </row>
    <row r="236" spans="2:4" ht="15.75" thickBot="1" x14ac:dyDescent="0.3"/>
    <row r="237" spans="2:4" ht="15.75" thickBot="1" x14ac:dyDescent="0.3">
      <c r="B237" s="82">
        <v>2018</v>
      </c>
      <c r="C237" s="55" t="s">
        <v>64</v>
      </c>
      <c r="D237" s="55" t="s">
        <v>36</v>
      </c>
    </row>
    <row r="238" spans="2:4" ht="15.75" thickBot="1" x14ac:dyDescent="0.3">
      <c r="B238" s="55" t="s">
        <v>35</v>
      </c>
      <c r="C238" s="27">
        <f>M188</f>
        <v>772358</v>
      </c>
      <c r="D238" s="27">
        <f>N188</f>
        <v>719066</v>
      </c>
    </row>
    <row r="239" spans="2:4" ht="15.75" thickBot="1" x14ac:dyDescent="0.3">
      <c r="B239" s="55" t="s">
        <v>24</v>
      </c>
      <c r="C239" s="27">
        <f t="shared" ref="C239:C240" si="2">M189</f>
        <v>569568</v>
      </c>
      <c r="D239" s="27">
        <f t="shared" ref="D239:D249" si="3">N189</f>
        <v>540358</v>
      </c>
    </row>
    <row r="240" spans="2:4" ht="15.75" thickBot="1" x14ac:dyDescent="0.3">
      <c r="B240" s="55" t="s">
        <v>25</v>
      </c>
      <c r="C240" s="27">
        <f t="shared" si="2"/>
        <v>510210</v>
      </c>
      <c r="D240" s="27">
        <f t="shared" si="3"/>
        <v>458664</v>
      </c>
    </row>
    <row r="241" spans="2:4" ht="15.75" thickBot="1" x14ac:dyDescent="0.3">
      <c r="B241" s="55" t="s">
        <v>26</v>
      </c>
      <c r="C241" s="27">
        <f t="shared" ref="C241:C249" si="4">M191</f>
        <v>630692</v>
      </c>
      <c r="D241" s="27">
        <f t="shared" si="3"/>
        <v>506380</v>
      </c>
    </row>
    <row r="242" spans="2:4" ht="15.75" thickBot="1" x14ac:dyDescent="0.3">
      <c r="B242" s="55" t="s">
        <v>27</v>
      </c>
      <c r="C242" s="27">
        <f t="shared" si="4"/>
        <v>557658</v>
      </c>
      <c r="D242" s="27">
        <f t="shared" si="3"/>
        <v>409410</v>
      </c>
    </row>
    <row r="243" spans="2:4" ht="15.75" thickBot="1" x14ac:dyDescent="0.3">
      <c r="B243" s="55" t="s">
        <v>28</v>
      </c>
      <c r="C243" s="27">
        <f t="shared" si="4"/>
        <v>801669</v>
      </c>
      <c r="D243" s="27">
        <f t="shared" si="3"/>
        <v>835407</v>
      </c>
    </row>
    <row r="244" spans="2:4" ht="15.75" thickBot="1" x14ac:dyDescent="0.3">
      <c r="B244" s="55" t="s">
        <v>29</v>
      </c>
      <c r="C244" s="27">
        <f t="shared" si="4"/>
        <v>424576</v>
      </c>
      <c r="D244" s="27">
        <f t="shared" si="3"/>
        <v>436851</v>
      </c>
    </row>
    <row r="245" spans="2:4" ht="15.75" thickBot="1" x14ac:dyDescent="0.3">
      <c r="B245" s="55" t="s">
        <v>30</v>
      </c>
      <c r="C245" s="27">
        <f t="shared" si="4"/>
        <v>222628</v>
      </c>
      <c r="D245" s="27">
        <f t="shared" si="3"/>
        <v>205872</v>
      </c>
    </row>
    <row r="246" spans="2:4" ht="15.75" thickBot="1" x14ac:dyDescent="0.3">
      <c r="B246" s="55" t="s">
        <v>31</v>
      </c>
      <c r="C246" s="27">
        <f t="shared" si="4"/>
        <v>298380</v>
      </c>
      <c r="D246" s="27">
        <f t="shared" si="3"/>
        <v>282462</v>
      </c>
    </row>
    <row r="247" spans="2:4" ht="15.75" thickBot="1" x14ac:dyDescent="0.3">
      <c r="B247" s="55" t="s">
        <v>32</v>
      </c>
      <c r="C247" s="27">
        <f t="shared" si="4"/>
        <v>392779</v>
      </c>
      <c r="D247" s="27">
        <f t="shared" si="3"/>
        <v>885019</v>
      </c>
    </row>
    <row r="248" spans="2:4" ht="15.75" thickBot="1" x14ac:dyDescent="0.3">
      <c r="B248" s="55" t="s">
        <v>33</v>
      </c>
      <c r="C248" s="27">
        <f t="shared" si="4"/>
        <v>383304</v>
      </c>
      <c r="D248" s="27">
        <f t="shared" si="3"/>
        <v>377008</v>
      </c>
    </row>
    <row r="249" spans="2:4" ht="15.75" thickBot="1" x14ac:dyDescent="0.3">
      <c r="B249" s="55" t="s">
        <v>34</v>
      </c>
      <c r="C249" s="27">
        <f t="shared" si="4"/>
        <v>554938</v>
      </c>
      <c r="D249" s="27">
        <f t="shared" si="3"/>
        <v>438735</v>
      </c>
    </row>
  </sheetData>
  <mergeCells count="3">
    <mergeCell ref="C5:D5"/>
    <mergeCell ref="G5:K5"/>
    <mergeCell ref="L5:O5"/>
  </mergeCells>
  <conditionalFormatting sqref="O8:O211">
    <cfRule type="cellIs" dxfId="20" priority="1" stopIfTrue="1" operator="lessThan">
      <formula>-0.999999</formula>
    </cfRule>
    <cfRule type="cellIs" dxfId="19" priority="2" stopIfTrue="1" operator="greaterThan">
      <formula>0.9999999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B1:Y43"/>
  <sheetViews>
    <sheetView workbookViewId="0">
      <selection activeCell="L9" sqref="L9"/>
    </sheetView>
  </sheetViews>
  <sheetFormatPr baseColWidth="10" defaultRowHeight="15" x14ac:dyDescent="0.25"/>
  <cols>
    <col min="2" max="2" width="43.5703125" customWidth="1"/>
    <col min="5" max="5" width="14" customWidth="1"/>
    <col min="6" max="6" width="11.85546875" customWidth="1"/>
    <col min="7" max="7" width="41.5703125" customWidth="1"/>
    <col min="8" max="9" width="11.85546875" customWidth="1"/>
    <col min="10" max="10" width="15.28515625" customWidth="1"/>
    <col min="11" max="11" width="11.85546875" customWidth="1"/>
    <col min="12" max="12" width="41.5703125" customWidth="1"/>
    <col min="13" max="14" width="11.85546875" customWidth="1"/>
    <col min="15" max="15" width="15.28515625" customWidth="1"/>
  </cols>
  <sheetData>
    <row r="1" spans="2:25" ht="15.75" thickBot="1" x14ac:dyDescent="0.3"/>
    <row r="2" spans="2:25" ht="15.75" thickBot="1" x14ac:dyDescent="0.3">
      <c r="C2" s="55" t="s">
        <v>22</v>
      </c>
      <c r="D2" s="26" t="s">
        <v>30</v>
      </c>
    </row>
    <row r="3" spans="2:25" ht="15.75" thickBot="1" x14ac:dyDescent="0.3">
      <c r="C3" s="55" t="s">
        <v>65</v>
      </c>
      <c r="D3" s="26">
        <v>2017</v>
      </c>
    </row>
    <row r="6" spans="2:25" ht="15.75" thickBot="1" x14ac:dyDescent="0.3"/>
    <row r="7" spans="2:25" ht="15.75" thickBot="1" x14ac:dyDescent="0.3">
      <c r="B7" s="163" t="s">
        <v>66</v>
      </c>
      <c r="C7" s="164"/>
      <c r="D7" s="164"/>
      <c r="E7" s="165"/>
      <c r="G7" s="163" t="s">
        <v>67</v>
      </c>
      <c r="H7" s="164"/>
      <c r="I7" s="164"/>
      <c r="J7" s="165"/>
      <c r="L7" s="163" t="s">
        <v>68</v>
      </c>
      <c r="M7" s="164"/>
      <c r="N7" s="164"/>
      <c r="O7" s="165"/>
    </row>
    <row r="8" spans="2:25" ht="15.75" thickBot="1" x14ac:dyDescent="0.3">
      <c r="B8" s="26" t="s">
        <v>69</v>
      </c>
      <c r="C8" s="26" t="s">
        <v>70</v>
      </c>
      <c r="D8" s="26" t="s">
        <v>71</v>
      </c>
      <c r="E8" s="26" t="s">
        <v>6</v>
      </c>
      <c r="G8" s="26" t="s">
        <v>69</v>
      </c>
      <c r="H8" s="26" t="s">
        <v>70</v>
      </c>
      <c r="I8" s="26" t="s">
        <v>71</v>
      </c>
      <c r="J8" s="26" t="s">
        <v>6</v>
      </c>
      <c r="L8" s="26" t="s">
        <v>69</v>
      </c>
      <c r="M8" s="26" t="s">
        <v>70</v>
      </c>
      <c r="N8" s="26" t="s">
        <v>71</v>
      </c>
      <c r="O8" s="26" t="s">
        <v>6</v>
      </c>
    </row>
    <row r="9" spans="2:25" ht="15.75" thickBot="1" x14ac:dyDescent="0.3">
      <c r="B9" s="26" t="s">
        <v>52</v>
      </c>
      <c r="C9" s="26">
        <v>2</v>
      </c>
      <c r="D9" s="26">
        <v>12</v>
      </c>
      <c r="E9" s="57">
        <v>99477</v>
      </c>
      <c r="G9" s="26">
        <v>0</v>
      </c>
      <c r="H9" s="26">
        <v>0</v>
      </c>
      <c r="I9" s="26">
        <v>0</v>
      </c>
      <c r="J9" s="56">
        <v>0</v>
      </c>
      <c r="L9" s="26" t="s">
        <v>40</v>
      </c>
      <c r="M9" s="26">
        <v>3</v>
      </c>
      <c r="N9" s="26">
        <v>2</v>
      </c>
      <c r="O9" s="57">
        <v>24392</v>
      </c>
    </row>
    <row r="10" spans="2:25" ht="15.75" thickBot="1" x14ac:dyDescent="0.3">
      <c r="B10" s="26">
        <v>0</v>
      </c>
      <c r="C10" s="26">
        <v>0</v>
      </c>
      <c r="D10" s="26">
        <v>0</v>
      </c>
      <c r="E10" s="56">
        <v>0</v>
      </c>
      <c r="G10" s="26">
        <v>0</v>
      </c>
      <c r="H10" s="26">
        <v>0</v>
      </c>
      <c r="I10" s="26">
        <v>0</v>
      </c>
      <c r="J10" s="56">
        <v>0</v>
      </c>
      <c r="L10" s="26">
        <v>0</v>
      </c>
      <c r="M10" s="26">
        <v>0</v>
      </c>
      <c r="N10" s="26">
        <v>0</v>
      </c>
      <c r="O10" s="56">
        <v>0</v>
      </c>
    </row>
    <row r="11" spans="2:25" ht="15.75" thickBot="1" x14ac:dyDescent="0.3">
      <c r="B11" s="26">
        <v>0</v>
      </c>
      <c r="C11" s="26">
        <v>0</v>
      </c>
      <c r="D11" s="26">
        <v>0</v>
      </c>
      <c r="E11" s="56">
        <v>0</v>
      </c>
      <c r="G11" s="26">
        <v>0</v>
      </c>
      <c r="H11" s="26">
        <v>0</v>
      </c>
      <c r="I11" s="26">
        <v>0</v>
      </c>
      <c r="J11" s="26">
        <v>0</v>
      </c>
      <c r="L11" s="26">
        <v>0</v>
      </c>
      <c r="M11" s="26">
        <v>0</v>
      </c>
      <c r="N11" s="26">
        <v>0</v>
      </c>
      <c r="O11" s="56">
        <v>0</v>
      </c>
      <c r="Y11">
        <v>2003</v>
      </c>
    </row>
    <row r="12" spans="2:25" ht="15.75" thickBot="1" x14ac:dyDescent="0.3">
      <c r="B12" s="26">
        <v>0</v>
      </c>
      <c r="C12" s="26">
        <v>0</v>
      </c>
      <c r="D12" s="26">
        <v>0</v>
      </c>
      <c r="E12" s="56">
        <v>0</v>
      </c>
      <c r="G12" s="26">
        <v>0</v>
      </c>
      <c r="H12" s="26">
        <v>0</v>
      </c>
      <c r="I12" s="26">
        <v>0</v>
      </c>
      <c r="J12" s="26">
        <v>0</v>
      </c>
      <c r="L12" s="26">
        <v>0</v>
      </c>
      <c r="M12" s="26">
        <v>0</v>
      </c>
      <c r="N12" s="26">
        <v>0</v>
      </c>
      <c r="O12" s="56">
        <v>0</v>
      </c>
      <c r="Y12">
        <v>2004</v>
      </c>
    </row>
    <row r="13" spans="2:25" ht="15.75" thickBot="1" x14ac:dyDescent="0.3">
      <c r="B13" s="26">
        <v>0</v>
      </c>
      <c r="C13" s="26">
        <v>0</v>
      </c>
      <c r="D13" s="26">
        <v>0</v>
      </c>
      <c r="E13" s="56">
        <v>0</v>
      </c>
      <c r="G13" s="26">
        <v>0</v>
      </c>
      <c r="H13" s="26">
        <v>0</v>
      </c>
      <c r="I13" s="26">
        <v>0</v>
      </c>
      <c r="J13" s="26">
        <v>0</v>
      </c>
      <c r="L13" s="26">
        <v>0</v>
      </c>
      <c r="M13" s="26">
        <v>0</v>
      </c>
      <c r="N13" s="26">
        <v>0</v>
      </c>
      <c r="O13" s="56">
        <v>0</v>
      </c>
      <c r="Y13">
        <v>2005</v>
      </c>
    </row>
    <row r="14" spans="2:25" ht="15.75" thickBot="1" x14ac:dyDescent="0.3">
      <c r="B14" s="26">
        <v>0</v>
      </c>
      <c r="C14" s="26">
        <v>0</v>
      </c>
      <c r="D14" s="26">
        <v>0</v>
      </c>
      <c r="E14" s="56">
        <v>0</v>
      </c>
      <c r="G14" s="26">
        <v>0</v>
      </c>
      <c r="H14" s="26">
        <v>0</v>
      </c>
      <c r="I14" s="26">
        <v>0</v>
      </c>
      <c r="J14" s="26">
        <v>0</v>
      </c>
      <c r="L14" s="26">
        <v>0</v>
      </c>
      <c r="M14" s="26">
        <v>0</v>
      </c>
      <c r="N14" s="26">
        <v>0</v>
      </c>
      <c r="O14" s="56">
        <v>0</v>
      </c>
      <c r="Y14">
        <v>2006</v>
      </c>
    </row>
    <row r="15" spans="2:25" ht="15.75" thickBot="1" x14ac:dyDescent="0.3">
      <c r="B15" s="26">
        <v>0</v>
      </c>
      <c r="C15" s="26">
        <v>0</v>
      </c>
      <c r="D15" s="26">
        <v>0</v>
      </c>
      <c r="E15" s="56">
        <v>0</v>
      </c>
      <c r="G15" s="26">
        <v>0</v>
      </c>
      <c r="H15" s="26">
        <v>0</v>
      </c>
      <c r="I15" s="26">
        <v>0</v>
      </c>
      <c r="J15" s="56">
        <v>0</v>
      </c>
      <c r="L15" s="26">
        <v>0</v>
      </c>
      <c r="M15" s="26">
        <v>0</v>
      </c>
      <c r="N15" s="26">
        <v>0</v>
      </c>
      <c r="O15" s="56">
        <v>0</v>
      </c>
      <c r="Y15">
        <v>2007</v>
      </c>
    </row>
    <row r="16" spans="2:25" ht="15.75" thickBot="1" x14ac:dyDescent="0.3">
      <c r="B16" s="26">
        <v>0</v>
      </c>
      <c r="C16" s="26">
        <v>0</v>
      </c>
      <c r="D16" s="26">
        <v>0</v>
      </c>
      <c r="E16" s="56">
        <v>0</v>
      </c>
      <c r="G16" s="26">
        <v>0</v>
      </c>
      <c r="H16" s="26">
        <v>0</v>
      </c>
      <c r="I16" s="26">
        <v>0</v>
      </c>
      <c r="J16" s="56">
        <v>0</v>
      </c>
      <c r="L16" s="26">
        <v>0</v>
      </c>
      <c r="M16" s="26">
        <v>0</v>
      </c>
      <c r="N16" s="26">
        <v>0</v>
      </c>
      <c r="O16" s="56">
        <v>0</v>
      </c>
      <c r="Y16">
        <v>2008</v>
      </c>
    </row>
    <row r="17" spans="2:25" ht="15.75" thickBot="1" x14ac:dyDescent="0.3">
      <c r="B17" s="26">
        <v>0</v>
      </c>
      <c r="C17" s="26">
        <v>0</v>
      </c>
      <c r="D17" s="26">
        <v>0</v>
      </c>
      <c r="E17" s="56">
        <v>0</v>
      </c>
      <c r="G17" s="26">
        <v>0</v>
      </c>
      <c r="H17" s="26">
        <v>0</v>
      </c>
      <c r="I17" s="26">
        <v>0</v>
      </c>
      <c r="J17" s="56">
        <v>0</v>
      </c>
      <c r="L17" s="26">
        <v>0</v>
      </c>
      <c r="M17" s="26">
        <v>0</v>
      </c>
      <c r="N17" s="26">
        <v>0</v>
      </c>
      <c r="O17" s="56">
        <v>0</v>
      </c>
      <c r="Y17">
        <v>2009</v>
      </c>
    </row>
    <row r="18" spans="2:25" ht="15.75" thickBot="1" x14ac:dyDescent="0.3">
      <c r="B18" s="26">
        <v>0</v>
      </c>
      <c r="C18" s="26">
        <v>0</v>
      </c>
      <c r="D18" s="26">
        <v>0</v>
      </c>
      <c r="E18" s="56">
        <v>0</v>
      </c>
      <c r="G18" s="26">
        <v>0</v>
      </c>
      <c r="H18" s="26">
        <v>0</v>
      </c>
      <c r="I18" s="26">
        <v>0</v>
      </c>
      <c r="J18" s="26">
        <v>0</v>
      </c>
      <c r="L18" s="26">
        <v>0</v>
      </c>
      <c r="M18" s="26">
        <v>0</v>
      </c>
      <c r="N18" s="26">
        <v>0</v>
      </c>
      <c r="O18" s="56">
        <v>0</v>
      </c>
      <c r="Y18">
        <v>2010</v>
      </c>
    </row>
    <row r="19" spans="2:25" ht="15.75" thickBot="1" x14ac:dyDescent="0.3">
      <c r="B19" s="26">
        <v>0</v>
      </c>
      <c r="C19" s="26">
        <v>0</v>
      </c>
      <c r="D19" s="26">
        <v>0</v>
      </c>
      <c r="E19" s="56">
        <v>0</v>
      </c>
      <c r="G19" s="26">
        <v>0</v>
      </c>
      <c r="H19" s="26">
        <v>0</v>
      </c>
      <c r="I19" s="26">
        <v>0</v>
      </c>
      <c r="J19" s="26">
        <v>0</v>
      </c>
      <c r="L19" s="26">
        <v>0</v>
      </c>
      <c r="M19" s="26">
        <v>0</v>
      </c>
      <c r="N19" s="26">
        <v>0</v>
      </c>
      <c r="O19" s="56">
        <v>0</v>
      </c>
      <c r="Y19">
        <v>2011</v>
      </c>
    </row>
    <row r="20" spans="2:25" ht="15.75" thickBot="1" x14ac:dyDescent="0.3">
      <c r="B20" s="26">
        <v>0</v>
      </c>
      <c r="C20" s="26">
        <v>0</v>
      </c>
      <c r="D20" s="26">
        <v>0</v>
      </c>
      <c r="E20" s="56">
        <v>0</v>
      </c>
      <c r="G20" s="26">
        <v>0</v>
      </c>
      <c r="H20" s="26">
        <v>0</v>
      </c>
      <c r="I20" s="26">
        <v>0</v>
      </c>
      <c r="J20" s="56">
        <v>0</v>
      </c>
      <c r="L20" s="26">
        <v>0</v>
      </c>
      <c r="M20" s="26">
        <v>0</v>
      </c>
      <c r="N20" s="26">
        <v>0</v>
      </c>
      <c r="O20" s="56">
        <v>0</v>
      </c>
      <c r="Y20">
        <v>2012</v>
      </c>
    </row>
    <row r="21" spans="2:25" ht="15.75" thickBot="1" x14ac:dyDescent="0.3">
      <c r="B21" s="26">
        <v>0</v>
      </c>
      <c r="C21" s="26">
        <v>0</v>
      </c>
      <c r="D21" s="26">
        <v>0</v>
      </c>
      <c r="E21" s="56">
        <v>0</v>
      </c>
      <c r="G21" s="26">
        <v>0</v>
      </c>
      <c r="H21" s="26">
        <v>0</v>
      </c>
      <c r="I21" s="26">
        <v>0</v>
      </c>
      <c r="J21" s="26">
        <v>0</v>
      </c>
      <c r="L21" s="26">
        <v>0</v>
      </c>
      <c r="M21" s="26">
        <v>0</v>
      </c>
      <c r="N21" s="26">
        <v>0</v>
      </c>
      <c r="O21" s="56">
        <v>0</v>
      </c>
      <c r="Y21">
        <v>2013</v>
      </c>
    </row>
    <row r="22" spans="2:25" ht="15.75" thickBot="1" x14ac:dyDescent="0.3">
      <c r="B22" s="26">
        <v>0</v>
      </c>
      <c r="C22" s="26">
        <v>0</v>
      </c>
      <c r="D22" s="26">
        <v>0</v>
      </c>
      <c r="E22" s="56">
        <v>0</v>
      </c>
      <c r="G22" s="26">
        <v>0</v>
      </c>
      <c r="H22" s="26">
        <v>0</v>
      </c>
      <c r="I22" s="26">
        <v>0</v>
      </c>
      <c r="J22" s="26">
        <v>0</v>
      </c>
      <c r="L22" s="26">
        <v>0</v>
      </c>
      <c r="M22" s="26">
        <v>0</v>
      </c>
      <c r="N22" s="26">
        <v>0</v>
      </c>
      <c r="O22" s="56">
        <v>0</v>
      </c>
      <c r="Y22">
        <v>2014</v>
      </c>
    </row>
    <row r="23" spans="2:25" ht="15.75" thickBot="1" x14ac:dyDescent="0.3">
      <c r="B23" s="26">
        <v>0</v>
      </c>
      <c r="C23" s="26">
        <v>0</v>
      </c>
      <c r="D23" s="26">
        <v>0</v>
      </c>
      <c r="E23" s="56">
        <v>0</v>
      </c>
      <c r="G23" s="26">
        <v>0</v>
      </c>
      <c r="H23" s="26">
        <v>0</v>
      </c>
      <c r="I23" s="26">
        <v>0</v>
      </c>
      <c r="J23" s="26">
        <v>0</v>
      </c>
      <c r="L23" s="26">
        <v>0</v>
      </c>
      <c r="M23" s="26">
        <v>0</v>
      </c>
      <c r="N23" s="26">
        <v>0</v>
      </c>
      <c r="O23" s="26">
        <v>0</v>
      </c>
      <c r="Y23">
        <v>2015</v>
      </c>
    </row>
    <row r="24" spans="2:25" ht="15.75" thickBot="1" x14ac:dyDescent="0.3">
      <c r="B24" s="26">
        <v>0</v>
      </c>
      <c r="C24" s="26">
        <v>0</v>
      </c>
      <c r="D24" s="26">
        <v>0</v>
      </c>
      <c r="E24" s="56">
        <v>0</v>
      </c>
      <c r="G24" s="26">
        <v>0</v>
      </c>
      <c r="H24" s="26">
        <v>0</v>
      </c>
      <c r="I24" s="26">
        <v>0</v>
      </c>
      <c r="J24" s="26">
        <v>0</v>
      </c>
      <c r="L24" s="26">
        <v>0</v>
      </c>
      <c r="M24" s="26">
        <v>0</v>
      </c>
      <c r="N24" s="26">
        <v>0</v>
      </c>
      <c r="O24" s="26">
        <v>0</v>
      </c>
      <c r="Y24">
        <v>2016</v>
      </c>
    </row>
    <row r="25" spans="2:25" ht="15.75" thickBot="1" x14ac:dyDescent="0.3">
      <c r="B25" s="26">
        <v>0</v>
      </c>
      <c r="C25" s="26">
        <v>0</v>
      </c>
      <c r="D25" s="26">
        <v>0</v>
      </c>
      <c r="E25" s="56">
        <v>0</v>
      </c>
      <c r="G25" s="26">
        <v>0</v>
      </c>
      <c r="H25" s="26">
        <v>0</v>
      </c>
      <c r="I25" s="26">
        <v>0</v>
      </c>
      <c r="J25" s="26">
        <v>0</v>
      </c>
      <c r="L25" s="26">
        <v>0</v>
      </c>
      <c r="M25" s="26">
        <v>0</v>
      </c>
      <c r="N25" s="26">
        <v>0</v>
      </c>
      <c r="O25" s="26">
        <v>0</v>
      </c>
      <c r="Y25">
        <v>2017</v>
      </c>
    </row>
    <row r="26" spans="2:25" ht="15.75" thickBot="1" x14ac:dyDescent="0.3">
      <c r="B26" s="26">
        <v>0</v>
      </c>
      <c r="C26" s="26">
        <v>0</v>
      </c>
      <c r="D26" s="26">
        <v>0</v>
      </c>
      <c r="E26" s="56">
        <v>0</v>
      </c>
      <c r="G26" s="26">
        <v>0</v>
      </c>
      <c r="H26" s="26">
        <v>0</v>
      </c>
      <c r="I26" s="26">
        <v>0</v>
      </c>
      <c r="J26" s="26">
        <v>0</v>
      </c>
      <c r="L26" s="26">
        <v>0</v>
      </c>
      <c r="M26" s="26">
        <v>0</v>
      </c>
      <c r="N26" s="26">
        <v>0</v>
      </c>
      <c r="O26" s="26">
        <v>0</v>
      </c>
    </row>
    <row r="27" spans="2:25" ht="15.75" thickBot="1" x14ac:dyDescent="0.3">
      <c r="B27" s="26">
        <v>0</v>
      </c>
      <c r="C27" s="26">
        <v>0</v>
      </c>
      <c r="D27" s="26">
        <v>0</v>
      </c>
      <c r="E27" s="56">
        <v>0</v>
      </c>
      <c r="G27" s="26">
        <v>0</v>
      </c>
      <c r="H27" s="26">
        <v>0</v>
      </c>
      <c r="I27" s="26">
        <v>0</v>
      </c>
      <c r="J27" s="26">
        <v>0</v>
      </c>
      <c r="L27" s="26">
        <v>0</v>
      </c>
      <c r="M27" s="26">
        <v>0</v>
      </c>
      <c r="N27" s="26">
        <v>0</v>
      </c>
      <c r="O27" s="26">
        <v>0</v>
      </c>
    </row>
    <row r="28" spans="2:25" ht="15.75" thickBot="1" x14ac:dyDescent="0.3">
      <c r="B28" s="26">
        <v>0</v>
      </c>
      <c r="C28" s="26">
        <v>0</v>
      </c>
      <c r="D28" s="26">
        <v>0</v>
      </c>
      <c r="E28" s="56">
        <v>0</v>
      </c>
      <c r="G28" s="26">
        <v>0</v>
      </c>
      <c r="H28" s="26">
        <v>0</v>
      </c>
      <c r="I28" s="26">
        <v>0</v>
      </c>
      <c r="J28" s="26">
        <v>0</v>
      </c>
      <c r="L28" s="26">
        <v>0</v>
      </c>
      <c r="M28" s="26">
        <v>0</v>
      </c>
      <c r="N28" s="26">
        <v>0</v>
      </c>
      <c r="O28" s="26">
        <v>0</v>
      </c>
    </row>
    <row r="29" spans="2:25" ht="15.75" thickBot="1" x14ac:dyDescent="0.3">
      <c r="B29" s="26">
        <v>0</v>
      </c>
      <c r="C29" s="26">
        <v>0</v>
      </c>
      <c r="D29" s="26">
        <v>0</v>
      </c>
      <c r="E29" s="56">
        <v>0</v>
      </c>
      <c r="G29" s="26">
        <v>0</v>
      </c>
      <c r="H29" s="26">
        <v>0</v>
      </c>
      <c r="I29" s="26">
        <v>0</v>
      </c>
      <c r="J29" s="26">
        <v>0</v>
      </c>
      <c r="L29" s="26">
        <v>0</v>
      </c>
      <c r="M29" s="26">
        <v>0</v>
      </c>
      <c r="N29" s="26">
        <v>0</v>
      </c>
      <c r="O29" s="26">
        <v>0</v>
      </c>
    </row>
    <row r="30" spans="2:25" ht="15.75" thickBot="1" x14ac:dyDescent="0.3">
      <c r="B30" s="26">
        <v>0</v>
      </c>
      <c r="C30" s="26">
        <v>0</v>
      </c>
      <c r="D30" s="26">
        <v>0</v>
      </c>
      <c r="E30" s="56">
        <v>0</v>
      </c>
      <c r="G30" s="26">
        <v>0</v>
      </c>
      <c r="H30" s="26">
        <v>0</v>
      </c>
      <c r="I30" s="26">
        <v>0</v>
      </c>
      <c r="J30" s="26">
        <v>0</v>
      </c>
      <c r="L30" s="26">
        <v>0</v>
      </c>
      <c r="M30" s="26">
        <v>0</v>
      </c>
      <c r="N30" s="26">
        <v>0</v>
      </c>
      <c r="O30" s="26">
        <v>0</v>
      </c>
    </row>
    <row r="31" spans="2:25" ht="15.75" thickBot="1" x14ac:dyDescent="0.3">
      <c r="B31" s="26">
        <v>0</v>
      </c>
      <c r="C31" s="26">
        <v>0</v>
      </c>
      <c r="D31" s="26">
        <v>0</v>
      </c>
      <c r="E31" s="26">
        <v>0</v>
      </c>
      <c r="G31" s="26">
        <v>0</v>
      </c>
      <c r="H31" s="26">
        <v>0</v>
      </c>
      <c r="I31" s="26">
        <v>0</v>
      </c>
      <c r="J31" s="26">
        <v>0</v>
      </c>
      <c r="L31" s="26">
        <v>0</v>
      </c>
      <c r="M31" s="26">
        <v>0</v>
      </c>
      <c r="N31" s="26">
        <v>0</v>
      </c>
      <c r="O31" s="56">
        <v>0</v>
      </c>
    </row>
    <row r="32" spans="2:25" ht="15.75" thickBot="1" x14ac:dyDescent="0.3">
      <c r="B32" s="26">
        <v>0</v>
      </c>
      <c r="C32" s="26">
        <v>0</v>
      </c>
      <c r="D32" s="26">
        <v>0</v>
      </c>
      <c r="E32" s="26">
        <v>0</v>
      </c>
      <c r="G32" s="26">
        <v>0</v>
      </c>
      <c r="H32" s="26">
        <v>0</v>
      </c>
      <c r="I32" s="26">
        <v>0</v>
      </c>
      <c r="J32" s="26">
        <v>0</v>
      </c>
      <c r="L32" s="26">
        <v>0</v>
      </c>
      <c r="M32" s="26">
        <v>0</v>
      </c>
      <c r="N32" s="26">
        <v>0</v>
      </c>
      <c r="O32" s="56">
        <v>0</v>
      </c>
    </row>
    <row r="33" spans="2:15" ht="15.75" thickBot="1" x14ac:dyDescent="0.3">
      <c r="B33" s="26">
        <v>0</v>
      </c>
      <c r="C33" s="26">
        <v>0</v>
      </c>
      <c r="D33" s="26">
        <v>0</v>
      </c>
      <c r="E33" s="56">
        <v>0</v>
      </c>
      <c r="G33" s="26">
        <v>0</v>
      </c>
      <c r="H33" s="26">
        <v>0</v>
      </c>
      <c r="I33" s="26">
        <v>0</v>
      </c>
      <c r="J33" s="26">
        <v>0</v>
      </c>
      <c r="L33" s="26">
        <v>0</v>
      </c>
      <c r="M33" s="26">
        <v>0</v>
      </c>
      <c r="N33" s="26">
        <v>0</v>
      </c>
      <c r="O33" s="26">
        <v>0</v>
      </c>
    </row>
    <row r="34" spans="2:15" ht="15.75" thickBot="1" x14ac:dyDescent="0.3">
      <c r="B34" s="26">
        <v>0</v>
      </c>
      <c r="C34" s="26">
        <v>0</v>
      </c>
      <c r="D34" s="26">
        <v>0</v>
      </c>
      <c r="E34" s="26">
        <v>0</v>
      </c>
      <c r="G34" s="26">
        <v>0</v>
      </c>
      <c r="H34" s="26">
        <v>0</v>
      </c>
      <c r="I34" s="26">
        <v>0</v>
      </c>
      <c r="J34" s="26">
        <v>0</v>
      </c>
      <c r="L34" s="26">
        <v>0</v>
      </c>
      <c r="M34" s="26">
        <v>0</v>
      </c>
      <c r="N34" s="26">
        <v>0</v>
      </c>
      <c r="O34" s="56">
        <v>0</v>
      </c>
    </row>
    <row r="35" spans="2:15" ht="15.75" thickBot="1" x14ac:dyDescent="0.3">
      <c r="B35" s="26">
        <v>0</v>
      </c>
      <c r="C35" s="26">
        <v>0</v>
      </c>
      <c r="D35" s="26">
        <v>0</v>
      </c>
      <c r="E35" s="26">
        <v>0</v>
      </c>
      <c r="G35" s="26">
        <v>0</v>
      </c>
      <c r="H35" s="26">
        <v>0</v>
      </c>
      <c r="I35" s="26">
        <v>0</v>
      </c>
      <c r="J35" s="26">
        <v>0</v>
      </c>
      <c r="L35" s="26">
        <v>0</v>
      </c>
      <c r="M35" s="26">
        <v>0</v>
      </c>
      <c r="N35" s="26">
        <v>0</v>
      </c>
      <c r="O35" s="56">
        <v>0</v>
      </c>
    </row>
    <row r="36" spans="2:15" ht="15.75" thickBot="1" x14ac:dyDescent="0.3">
      <c r="B36" s="26">
        <v>0</v>
      </c>
      <c r="C36" s="26">
        <v>0</v>
      </c>
      <c r="D36" s="26">
        <v>0</v>
      </c>
      <c r="E36" s="56">
        <v>0</v>
      </c>
      <c r="G36" s="26">
        <v>0</v>
      </c>
      <c r="H36" s="26">
        <v>0</v>
      </c>
      <c r="I36" s="26">
        <v>0</v>
      </c>
      <c r="J36" s="26">
        <v>0</v>
      </c>
      <c r="L36" s="26">
        <v>0</v>
      </c>
      <c r="M36" s="26">
        <v>0</v>
      </c>
      <c r="N36" s="26">
        <v>0</v>
      </c>
      <c r="O36" s="26">
        <v>0</v>
      </c>
    </row>
    <row r="37" spans="2:15" ht="15.75" thickBot="1" x14ac:dyDescent="0.3">
      <c r="B37" s="26">
        <v>0</v>
      </c>
      <c r="C37" s="26">
        <v>0</v>
      </c>
      <c r="D37" s="26">
        <v>0</v>
      </c>
      <c r="E37" s="26">
        <v>0</v>
      </c>
      <c r="G37" s="26">
        <v>0</v>
      </c>
      <c r="H37" s="26">
        <v>0</v>
      </c>
      <c r="I37" s="26">
        <v>0</v>
      </c>
      <c r="J37" s="26">
        <v>0</v>
      </c>
      <c r="L37" s="26">
        <v>0</v>
      </c>
      <c r="M37" s="26">
        <v>0</v>
      </c>
      <c r="N37" s="26">
        <v>0</v>
      </c>
      <c r="O37" s="56">
        <v>0</v>
      </c>
    </row>
    <row r="38" spans="2:15" ht="15.75" thickBot="1" x14ac:dyDescent="0.3">
      <c r="B38" s="26">
        <v>0</v>
      </c>
      <c r="C38" s="26">
        <v>0</v>
      </c>
      <c r="D38" s="26">
        <v>0</v>
      </c>
      <c r="E38" s="26">
        <v>0</v>
      </c>
      <c r="G38" s="26">
        <v>0</v>
      </c>
      <c r="H38" s="26">
        <v>0</v>
      </c>
      <c r="I38" s="26">
        <v>0</v>
      </c>
      <c r="J38" s="26">
        <v>0</v>
      </c>
      <c r="L38" s="26">
        <v>0</v>
      </c>
      <c r="M38" s="26">
        <v>0</v>
      </c>
      <c r="N38" s="26">
        <v>0</v>
      </c>
      <c r="O38" s="56">
        <v>0</v>
      </c>
    </row>
    <row r="39" spans="2:15" ht="15.75" thickBot="1" x14ac:dyDescent="0.3">
      <c r="B39" s="26">
        <v>0</v>
      </c>
      <c r="C39" s="26">
        <v>0</v>
      </c>
      <c r="D39" s="26">
        <v>0</v>
      </c>
      <c r="E39" s="26">
        <v>0</v>
      </c>
      <c r="G39" s="26">
        <v>0</v>
      </c>
      <c r="H39" s="26">
        <v>0</v>
      </c>
      <c r="I39" s="26">
        <v>0</v>
      </c>
      <c r="J39" s="26">
        <v>0</v>
      </c>
      <c r="L39" s="26">
        <v>0</v>
      </c>
      <c r="M39" s="26">
        <v>0</v>
      </c>
      <c r="N39" s="26">
        <v>0</v>
      </c>
      <c r="O39" s="56">
        <v>0</v>
      </c>
    </row>
    <row r="40" spans="2:15" ht="15.75" thickBot="1" x14ac:dyDescent="0.3">
      <c r="B40" s="26">
        <v>0</v>
      </c>
      <c r="C40" s="26">
        <v>0</v>
      </c>
      <c r="D40" s="26">
        <v>0</v>
      </c>
      <c r="E40" s="56">
        <v>0</v>
      </c>
      <c r="G40" s="26">
        <v>0</v>
      </c>
      <c r="H40" s="26">
        <v>0</v>
      </c>
      <c r="I40" s="26">
        <v>0</v>
      </c>
      <c r="J40" s="26">
        <v>0</v>
      </c>
      <c r="L40" s="26">
        <v>0</v>
      </c>
      <c r="M40" s="26">
        <v>0</v>
      </c>
      <c r="N40" s="26">
        <v>0</v>
      </c>
      <c r="O40" s="26">
        <v>0</v>
      </c>
    </row>
    <row r="41" spans="2:15" ht="15.75" thickBot="1" x14ac:dyDescent="0.3">
      <c r="B41" s="26">
        <v>0</v>
      </c>
      <c r="C41" s="26">
        <v>0</v>
      </c>
      <c r="D41" s="26">
        <v>0</v>
      </c>
      <c r="E41" s="56">
        <v>0</v>
      </c>
      <c r="G41" s="26">
        <v>0</v>
      </c>
      <c r="H41" s="26">
        <v>0</v>
      </c>
      <c r="I41" s="26">
        <v>0</v>
      </c>
      <c r="J41" s="26">
        <v>0</v>
      </c>
      <c r="L41" s="26">
        <v>0</v>
      </c>
      <c r="M41" s="26">
        <v>0</v>
      </c>
      <c r="N41" s="26">
        <v>0</v>
      </c>
      <c r="O41" s="26">
        <v>0</v>
      </c>
    </row>
    <row r="42" spans="2:15" ht="15.75" thickBot="1" x14ac:dyDescent="0.3">
      <c r="B42" s="26">
        <v>0</v>
      </c>
      <c r="C42" s="26">
        <v>0</v>
      </c>
      <c r="D42" s="26">
        <v>0</v>
      </c>
      <c r="E42" s="56">
        <v>0</v>
      </c>
      <c r="G42" s="26">
        <v>0</v>
      </c>
      <c r="H42" s="26">
        <v>0</v>
      </c>
      <c r="I42" s="26">
        <v>0</v>
      </c>
      <c r="J42" s="26">
        <v>0</v>
      </c>
      <c r="L42" s="26">
        <v>0</v>
      </c>
      <c r="M42" s="26">
        <v>0</v>
      </c>
      <c r="N42" s="26">
        <v>0</v>
      </c>
      <c r="O42" s="26">
        <v>0</v>
      </c>
    </row>
    <row r="43" spans="2:15" ht="15.75" thickBot="1" x14ac:dyDescent="0.3">
      <c r="B43" s="26">
        <v>0</v>
      </c>
      <c r="C43" s="26">
        <v>0</v>
      </c>
      <c r="D43" s="26">
        <v>0</v>
      </c>
      <c r="E43" s="56">
        <v>0</v>
      </c>
      <c r="G43" s="26">
        <v>0</v>
      </c>
      <c r="H43" s="26">
        <v>0</v>
      </c>
      <c r="I43" s="26">
        <v>0</v>
      </c>
      <c r="J43" s="26">
        <v>0</v>
      </c>
      <c r="L43" s="26">
        <v>0</v>
      </c>
      <c r="M43" s="26">
        <v>0</v>
      </c>
      <c r="N43" s="26">
        <v>0</v>
      </c>
      <c r="O43" s="26">
        <v>0</v>
      </c>
    </row>
  </sheetData>
  <mergeCells count="3">
    <mergeCell ref="B7:E7"/>
    <mergeCell ref="G7:J7"/>
    <mergeCell ref="L7:O7"/>
  </mergeCells>
  <dataValidations count="1">
    <dataValidation type="list" allowBlank="1" showInputMessage="1" showErrorMessage="1" sqref="D3" xr:uid="{00000000-0002-0000-0100-000000000000}">
      <formula1>$Y$11:$Y$25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'C:\Users\mi pc\Desktop\planillas\[Bosques.xlsm]LBA-P1'!#REF!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"/>
  <sheetViews>
    <sheetView topLeftCell="N1" workbookViewId="0">
      <selection activeCell="V7" sqref="V7:V192"/>
    </sheetView>
  </sheetViews>
  <sheetFormatPr baseColWidth="10" defaultRowHeight="15" x14ac:dyDescent="0.25"/>
  <sheetData/>
  <conditionalFormatting sqref="J7:J199">
    <cfRule type="cellIs" dxfId="18" priority="2" operator="greaterThan">
      <formula>100</formula>
    </cfRule>
  </conditionalFormatting>
  <conditionalFormatting sqref="V7:V192">
    <cfRule type="cellIs" dxfId="17" priority="1" operator="less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Y186"/>
  <sheetViews>
    <sheetView zoomScaleNormal="100" workbookViewId="0">
      <selection activeCell="S195" sqref="S195"/>
    </sheetView>
  </sheetViews>
  <sheetFormatPr baseColWidth="10" defaultRowHeight="15" x14ac:dyDescent="0.25"/>
  <cols>
    <col min="4" max="4" width="13" customWidth="1"/>
    <col min="5" max="12" width="11.42578125" hidden="1" customWidth="1"/>
    <col min="13" max="14" width="0" hidden="1" customWidth="1"/>
    <col min="20" max="20" width="13.7109375" customWidth="1"/>
    <col min="21" max="21" width="12.7109375" customWidth="1"/>
    <col min="23" max="23" width="12.7109375" customWidth="1"/>
    <col min="25" max="25" width="0" hidden="1" customWidth="1"/>
  </cols>
  <sheetData>
    <row r="1" spans="1:25" x14ac:dyDescent="0.25">
      <c r="B1" s="169" t="s">
        <v>37</v>
      </c>
      <c r="C1" s="169"/>
      <c r="D1" s="170">
        <v>1</v>
      </c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37" t="s">
        <v>50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38" t="s">
        <v>51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 t="s">
        <v>2</v>
      </c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 t="s">
        <v>10</v>
      </c>
      <c r="Q5" s="9" t="s">
        <v>11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21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/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/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/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/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/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/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/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/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/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/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/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/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/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/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/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/>
      <c r="P23" s="36">
        <v>0</v>
      </c>
      <c r="Q23" s="36">
        <v>0</v>
      </c>
      <c r="R23" s="36">
        <v>0</v>
      </c>
      <c r="S23" s="36">
        <v>0</v>
      </c>
      <c r="T23" s="25">
        <f t="shared" ref="T23:T86" si="1">W22</f>
        <v>0</v>
      </c>
      <c r="U23" s="25">
        <f t="shared" ref="U23:U86" si="2">S23+T23</f>
        <v>0</v>
      </c>
      <c r="V23" s="36"/>
      <c r="W23" s="25">
        <f t="shared" ref="W23:W86" si="3">U23-V23</f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/>
      <c r="P24" s="36">
        <v>0</v>
      </c>
      <c r="Q24" s="36">
        <v>0</v>
      </c>
      <c r="R24" s="36">
        <v>0</v>
      </c>
      <c r="S24" s="36">
        <v>0</v>
      </c>
      <c r="T24" s="25">
        <f t="shared" si="1"/>
        <v>0</v>
      </c>
      <c r="U24" s="25">
        <f t="shared" si="2"/>
        <v>0</v>
      </c>
      <c r="V24" s="36"/>
      <c r="W24" s="25">
        <f t="shared" si="3"/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/>
      <c r="P25" s="36">
        <v>0</v>
      </c>
      <c r="Q25" s="36">
        <v>0</v>
      </c>
      <c r="R25" s="36">
        <v>0</v>
      </c>
      <c r="S25" s="36">
        <v>0</v>
      </c>
      <c r="T25" s="25">
        <f t="shared" si="1"/>
        <v>0</v>
      </c>
      <c r="U25" s="25">
        <f t="shared" si="2"/>
        <v>0</v>
      </c>
      <c r="V25" s="36"/>
      <c r="W25" s="25">
        <f t="shared" si="3"/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/>
      <c r="P26" s="36">
        <v>0</v>
      </c>
      <c r="Q26" s="36">
        <v>0</v>
      </c>
      <c r="R26" s="36">
        <v>0</v>
      </c>
      <c r="S26" s="36">
        <v>0</v>
      </c>
      <c r="T26" s="25">
        <f t="shared" si="1"/>
        <v>0</v>
      </c>
      <c r="U26" s="25">
        <f t="shared" si="2"/>
        <v>0</v>
      </c>
      <c r="V26" s="36"/>
      <c r="W26" s="25">
        <f t="shared" si="3"/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/>
      <c r="P27" s="36">
        <v>0</v>
      </c>
      <c r="Q27" s="36">
        <v>0</v>
      </c>
      <c r="R27" s="36">
        <v>0</v>
      </c>
      <c r="S27" s="36">
        <v>0</v>
      </c>
      <c r="T27" s="25">
        <f t="shared" si="1"/>
        <v>0</v>
      </c>
      <c r="U27" s="25">
        <f t="shared" si="2"/>
        <v>0</v>
      </c>
      <c r="V27" s="36"/>
      <c r="W27" s="25">
        <f t="shared" si="3"/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/>
      <c r="P28" s="36">
        <v>0</v>
      </c>
      <c r="Q28" s="36">
        <v>0</v>
      </c>
      <c r="R28" s="36">
        <v>0</v>
      </c>
      <c r="S28" s="36">
        <v>0</v>
      </c>
      <c r="T28" s="25">
        <f t="shared" si="1"/>
        <v>0</v>
      </c>
      <c r="U28" s="25">
        <f t="shared" si="2"/>
        <v>0</v>
      </c>
      <c r="V28" s="36"/>
      <c r="W28" s="25">
        <f t="shared" si="3"/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/>
      <c r="P29" s="36">
        <v>0</v>
      </c>
      <c r="Q29" s="36">
        <v>0</v>
      </c>
      <c r="R29" s="36">
        <v>0</v>
      </c>
      <c r="S29" s="36">
        <v>0</v>
      </c>
      <c r="T29" s="25">
        <f t="shared" si="1"/>
        <v>0</v>
      </c>
      <c r="U29" s="25">
        <f t="shared" si="2"/>
        <v>0</v>
      </c>
      <c r="V29" s="36"/>
      <c r="W29" s="25">
        <f t="shared" si="3"/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/>
      <c r="P30" s="36">
        <v>0</v>
      </c>
      <c r="Q30" s="36">
        <v>0</v>
      </c>
      <c r="R30" s="36">
        <v>0</v>
      </c>
      <c r="S30" s="36">
        <v>0</v>
      </c>
      <c r="T30" s="25">
        <f t="shared" si="1"/>
        <v>0</v>
      </c>
      <c r="U30" s="25">
        <f t="shared" si="2"/>
        <v>0</v>
      </c>
      <c r="V30" s="36"/>
      <c r="W30" s="25">
        <f t="shared" si="3"/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/>
      <c r="P31" s="36">
        <v>0</v>
      </c>
      <c r="Q31" s="36">
        <v>0</v>
      </c>
      <c r="R31" s="36">
        <v>0</v>
      </c>
      <c r="S31" s="36">
        <v>0</v>
      </c>
      <c r="T31" s="25">
        <f t="shared" si="1"/>
        <v>0</v>
      </c>
      <c r="U31" s="25">
        <f t="shared" si="2"/>
        <v>0</v>
      </c>
      <c r="V31" s="36"/>
      <c r="W31" s="25">
        <f t="shared" si="3"/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/>
      <c r="P32" s="36">
        <v>0</v>
      </c>
      <c r="Q32" s="36">
        <v>0</v>
      </c>
      <c r="R32" s="36">
        <v>0</v>
      </c>
      <c r="S32" s="36">
        <v>0</v>
      </c>
      <c r="T32" s="25">
        <f t="shared" si="1"/>
        <v>0</v>
      </c>
      <c r="U32" s="25">
        <f t="shared" si="2"/>
        <v>0</v>
      </c>
      <c r="V32" s="36"/>
      <c r="W32" s="25">
        <f t="shared" si="3"/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/>
      <c r="P33" s="36">
        <v>0</v>
      </c>
      <c r="Q33" s="36">
        <v>0</v>
      </c>
      <c r="R33" s="36">
        <v>0</v>
      </c>
      <c r="S33" s="36">
        <v>0</v>
      </c>
      <c r="T33" s="25">
        <f t="shared" si="1"/>
        <v>0</v>
      </c>
      <c r="U33" s="25">
        <f t="shared" si="2"/>
        <v>0</v>
      </c>
      <c r="V33" s="36"/>
      <c r="W33" s="25">
        <f t="shared" si="3"/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/>
      <c r="P34" s="36">
        <v>0</v>
      </c>
      <c r="Q34" s="36">
        <v>0</v>
      </c>
      <c r="R34" s="36">
        <v>0</v>
      </c>
      <c r="S34" s="36">
        <v>0</v>
      </c>
      <c r="T34" s="25">
        <f t="shared" si="1"/>
        <v>0</v>
      </c>
      <c r="U34" s="25">
        <f t="shared" si="2"/>
        <v>0</v>
      </c>
      <c r="V34" s="36"/>
      <c r="W34" s="25">
        <f t="shared" si="3"/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/>
      <c r="P35" s="36">
        <v>0</v>
      </c>
      <c r="Q35" s="36">
        <v>0</v>
      </c>
      <c r="R35" s="36">
        <v>0</v>
      </c>
      <c r="S35" s="36">
        <v>0</v>
      </c>
      <c r="T35" s="25">
        <f t="shared" si="1"/>
        <v>0</v>
      </c>
      <c r="U35" s="25">
        <f t="shared" si="2"/>
        <v>0</v>
      </c>
      <c r="V35" s="36"/>
      <c r="W35" s="25">
        <f t="shared" si="3"/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/>
      <c r="P36" s="36">
        <v>0</v>
      </c>
      <c r="Q36" s="36">
        <v>0</v>
      </c>
      <c r="R36" s="36">
        <v>0</v>
      </c>
      <c r="S36" s="36">
        <v>0</v>
      </c>
      <c r="T36" s="25">
        <f t="shared" si="1"/>
        <v>0</v>
      </c>
      <c r="U36" s="25">
        <f t="shared" si="2"/>
        <v>0</v>
      </c>
      <c r="V36" s="36"/>
      <c r="W36" s="25">
        <f t="shared" si="3"/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/>
      <c r="P37" s="36">
        <v>0</v>
      </c>
      <c r="Q37" s="36">
        <v>0</v>
      </c>
      <c r="R37" s="36">
        <v>0</v>
      </c>
      <c r="S37" s="36">
        <v>0</v>
      </c>
      <c r="T37" s="25">
        <f t="shared" si="1"/>
        <v>0</v>
      </c>
      <c r="U37" s="25">
        <f t="shared" si="2"/>
        <v>0</v>
      </c>
      <c r="V37" s="36"/>
      <c r="W37" s="25">
        <f t="shared" si="3"/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/>
      <c r="P38" s="36">
        <v>0</v>
      </c>
      <c r="Q38" s="36">
        <v>0</v>
      </c>
      <c r="R38" s="36">
        <v>0</v>
      </c>
      <c r="S38" s="36">
        <v>0</v>
      </c>
      <c r="T38" s="25">
        <f t="shared" si="1"/>
        <v>0</v>
      </c>
      <c r="U38" s="25">
        <f t="shared" si="2"/>
        <v>0</v>
      </c>
      <c r="V38" s="36"/>
      <c r="W38" s="25">
        <f t="shared" si="3"/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/>
      <c r="P39" s="36">
        <v>0</v>
      </c>
      <c r="Q39" s="36">
        <v>0</v>
      </c>
      <c r="R39" s="36">
        <v>0</v>
      </c>
      <c r="S39" s="36">
        <v>0</v>
      </c>
      <c r="T39" s="25">
        <f t="shared" si="1"/>
        <v>0</v>
      </c>
      <c r="U39" s="25">
        <f t="shared" si="2"/>
        <v>0</v>
      </c>
      <c r="V39" s="36"/>
      <c r="W39" s="25">
        <f t="shared" si="3"/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/>
      <c r="P40" s="36">
        <v>0</v>
      </c>
      <c r="Q40" s="36">
        <v>0</v>
      </c>
      <c r="R40" s="36">
        <v>0</v>
      </c>
      <c r="S40" s="36">
        <v>0</v>
      </c>
      <c r="T40" s="25">
        <f t="shared" si="1"/>
        <v>0</v>
      </c>
      <c r="U40" s="25">
        <f t="shared" si="2"/>
        <v>0</v>
      </c>
      <c r="V40" s="36"/>
      <c r="W40" s="25">
        <f t="shared" si="3"/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/>
      <c r="P41" s="36">
        <v>0</v>
      </c>
      <c r="Q41" s="36">
        <v>0</v>
      </c>
      <c r="R41" s="36">
        <v>0</v>
      </c>
      <c r="S41" s="36">
        <v>0</v>
      </c>
      <c r="T41" s="25">
        <f t="shared" si="1"/>
        <v>0</v>
      </c>
      <c r="U41" s="25">
        <f t="shared" si="2"/>
        <v>0</v>
      </c>
      <c r="V41" s="36"/>
      <c r="W41" s="25">
        <f t="shared" si="3"/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/>
      <c r="P42" s="36">
        <v>0</v>
      </c>
      <c r="Q42" s="36">
        <v>0</v>
      </c>
      <c r="R42" s="36">
        <v>0</v>
      </c>
      <c r="S42" s="36">
        <v>0</v>
      </c>
      <c r="T42" s="25">
        <f t="shared" si="1"/>
        <v>0</v>
      </c>
      <c r="U42" s="25">
        <f t="shared" si="2"/>
        <v>0</v>
      </c>
      <c r="V42" s="36"/>
      <c r="W42" s="25">
        <f t="shared" si="3"/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/>
      <c r="P43" s="36">
        <v>0</v>
      </c>
      <c r="Q43" s="36">
        <v>0</v>
      </c>
      <c r="R43" s="36">
        <v>0</v>
      </c>
      <c r="S43" s="36">
        <v>0</v>
      </c>
      <c r="T43" s="25">
        <f t="shared" si="1"/>
        <v>0</v>
      </c>
      <c r="U43" s="25">
        <f t="shared" si="2"/>
        <v>0</v>
      </c>
      <c r="V43" s="36"/>
      <c r="W43" s="25">
        <f t="shared" si="3"/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/>
      <c r="P44" s="36">
        <v>0</v>
      </c>
      <c r="Q44" s="36">
        <v>0</v>
      </c>
      <c r="R44" s="36">
        <v>0</v>
      </c>
      <c r="S44" s="36">
        <v>0</v>
      </c>
      <c r="T44" s="25">
        <f t="shared" si="1"/>
        <v>0</v>
      </c>
      <c r="U44" s="25">
        <f t="shared" si="2"/>
        <v>0</v>
      </c>
      <c r="V44" s="36"/>
      <c r="W44" s="25">
        <f t="shared" si="3"/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/>
      <c r="P45" s="36">
        <v>0</v>
      </c>
      <c r="Q45" s="36">
        <v>0</v>
      </c>
      <c r="R45" s="36">
        <v>0</v>
      </c>
      <c r="S45" s="36">
        <v>0</v>
      </c>
      <c r="T45" s="25">
        <f t="shared" si="1"/>
        <v>0</v>
      </c>
      <c r="U45" s="25">
        <f t="shared" si="2"/>
        <v>0</v>
      </c>
      <c r="V45" s="36"/>
      <c r="W45" s="25">
        <f t="shared" si="3"/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/>
      <c r="P46" s="36">
        <v>0</v>
      </c>
      <c r="Q46" s="36">
        <v>0</v>
      </c>
      <c r="R46" s="36">
        <v>0</v>
      </c>
      <c r="S46" s="36">
        <v>0</v>
      </c>
      <c r="T46" s="25">
        <f t="shared" si="1"/>
        <v>0</v>
      </c>
      <c r="U46" s="25">
        <f t="shared" si="2"/>
        <v>0</v>
      </c>
      <c r="V46" s="36"/>
      <c r="W46" s="25">
        <f t="shared" si="3"/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/>
      <c r="P47" s="36">
        <v>0</v>
      </c>
      <c r="Q47" s="36">
        <v>0</v>
      </c>
      <c r="R47" s="36">
        <v>0</v>
      </c>
      <c r="S47" s="36">
        <v>0</v>
      </c>
      <c r="T47" s="25">
        <f t="shared" si="1"/>
        <v>0</v>
      </c>
      <c r="U47" s="25">
        <f t="shared" si="2"/>
        <v>0</v>
      </c>
      <c r="V47" s="36"/>
      <c r="W47" s="25">
        <f t="shared" si="3"/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/>
      <c r="P48" s="36">
        <v>0</v>
      </c>
      <c r="Q48" s="36">
        <v>0</v>
      </c>
      <c r="R48" s="36">
        <v>0</v>
      </c>
      <c r="S48" s="36">
        <v>0</v>
      </c>
      <c r="T48" s="25">
        <f t="shared" si="1"/>
        <v>0</v>
      </c>
      <c r="U48" s="25">
        <f t="shared" si="2"/>
        <v>0</v>
      </c>
      <c r="V48" s="36"/>
      <c r="W48" s="25">
        <f t="shared" si="3"/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/>
      <c r="P49" s="36">
        <v>0</v>
      </c>
      <c r="Q49" s="36">
        <v>0</v>
      </c>
      <c r="R49" s="36">
        <v>0</v>
      </c>
      <c r="S49" s="36">
        <v>0</v>
      </c>
      <c r="T49" s="25">
        <f t="shared" si="1"/>
        <v>0</v>
      </c>
      <c r="U49" s="25">
        <f t="shared" si="2"/>
        <v>0</v>
      </c>
      <c r="V49" s="36"/>
      <c r="W49" s="25">
        <f t="shared" si="3"/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/>
      <c r="P50" s="36">
        <v>0</v>
      </c>
      <c r="Q50" s="36">
        <v>0</v>
      </c>
      <c r="R50" s="36">
        <v>0</v>
      </c>
      <c r="S50" s="36">
        <v>0</v>
      </c>
      <c r="T50" s="25">
        <f t="shared" si="1"/>
        <v>0</v>
      </c>
      <c r="U50" s="25">
        <f t="shared" si="2"/>
        <v>0</v>
      </c>
      <c r="V50" s="36"/>
      <c r="W50" s="25">
        <f t="shared" si="3"/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/>
      <c r="P51" s="36">
        <v>0</v>
      </c>
      <c r="Q51" s="36">
        <v>0</v>
      </c>
      <c r="R51" s="36">
        <v>0</v>
      </c>
      <c r="S51" s="36">
        <v>0</v>
      </c>
      <c r="T51" s="25">
        <f t="shared" si="1"/>
        <v>0</v>
      </c>
      <c r="U51" s="25">
        <f t="shared" si="2"/>
        <v>0</v>
      </c>
      <c r="V51" s="36"/>
      <c r="W51" s="25">
        <f t="shared" si="3"/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/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/>
      <c r="W52" s="25">
        <f t="shared" si="3"/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/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/>
      <c r="W53" s="25">
        <f t="shared" si="3"/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/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/>
      <c r="W54" s="25">
        <f t="shared" si="3"/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/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/>
      <c r="W55" s="25">
        <f t="shared" si="3"/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/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/>
      <c r="W56" s="25">
        <f t="shared" si="3"/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/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/>
      <c r="W57" s="25">
        <f t="shared" si="3"/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/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/>
      <c r="W58" s="25">
        <f t="shared" si="3"/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/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/>
      <c r="W59" s="25">
        <f t="shared" si="3"/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/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/>
      <c r="W60" s="25">
        <f t="shared" si="3"/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/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/>
      <c r="W61" s="25">
        <f t="shared" si="3"/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/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/>
      <c r="W62" s="25">
        <f t="shared" si="3"/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/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/>
      <c r="W63" s="25">
        <f t="shared" si="3"/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/>
      <c r="P64" s="36">
        <v>0</v>
      </c>
      <c r="Q64" s="36">
        <v>0</v>
      </c>
      <c r="R64" s="36">
        <v>0</v>
      </c>
      <c r="S64" s="36">
        <v>0</v>
      </c>
      <c r="T64" s="25">
        <f t="shared" si="1"/>
        <v>0</v>
      </c>
      <c r="U64" s="25">
        <f t="shared" si="2"/>
        <v>0</v>
      </c>
      <c r="V64" s="36"/>
      <c r="W64" s="25">
        <f t="shared" si="3"/>
        <v>0</v>
      </c>
      <c r="Y64">
        <f t="shared" si="0"/>
        <v>0</v>
      </c>
    </row>
    <row r="65" spans="1:25" ht="15.75" hidden="1" thickBot="1" x14ac:dyDescent="0.3">
      <c r="A65" s="20"/>
      <c r="B65" s="21" t="s">
        <v>33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/>
      <c r="P65" s="36">
        <v>0</v>
      </c>
      <c r="Q65" s="36">
        <v>0</v>
      </c>
      <c r="R65" s="36">
        <v>0</v>
      </c>
      <c r="S65" s="36">
        <v>0</v>
      </c>
      <c r="T65" s="25">
        <f t="shared" si="1"/>
        <v>0</v>
      </c>
      <c r="U65" s="25">
        <f t="shared" si="2"/>
        <v>0</v>
      </c>
      <c r="V65" s="36"/>
      <c r="W65" s="25">
        <f t="shared" si="3"/>
        <v>0</v>
      </c>
      <c r="Y65">
        <f t="shared" si="0"/>
        <v>0</v>
      </c>
    </row>
    <row r="66" spans="1:25" ht="15.75" hidden="1" thickBot="1" x14ac:dyDescent="0.3">
      <c r="A66" s="20"/>
      <c r="B66" s="21" t="s">
        <v>34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/>
      <c r="P66" s="36">
        <v>0</v>
      </c>
      <c r="Q66" s="36">
        <v>0</v>
      </c>
      <c r="R66" s="36">
        <v>0</v>
      </c>
      <c r="S66" s="36">
        <f t="shared" ref="S66:S129" si="4">L66+G66+M66+N66+O66+P66+R66+Q66</f>
        <v>0</v>
      </c>
      <c r="T66" s="25">
        <f t="shared" si="1"/>
        <v>0</v>
      </c>
      <c r="U66" s="25">
        <f t="shared" si="2"/>
        <v>0</v>
      </c>
      <c r="V66" s="36"/>
      <c r="W66" s="25">
        <f t="shared" si="3"/>
        <v>0</v>
      </c>
      <c r="Y66">
        <f t="shared" si="0"/>
        <v>0</v>
      </c>
    </row>
    <row r="67" spans="1:25" ht="15.75" hidden="1" thickBot="1" x14ac:dyDescent="0.3">
      <c r="A67" s="20">
        <v>2008</v>
      </c>
      <c r="B67" s="21" t="s">
        <v>35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/>
      <c r="P67" s="36">
        <v>0</v>
      </c>
      <c r="Q67" s="36">
        <v>0</v>
      </c>
      <c r="R67" s="36">
        <v>0</v>
      </c>
      <c r="S67" s="36">
        <f t="shared" si="4"/>
        <v>0</v>
      </c>
      <c r="T67" s="25">
        <f t="shared" si="1"/>
        <v>0</v>
      </c>
      <c r="U67" s="25">
        <f t="shared" si="2"/>
        <v>0</v>
      </c>
      <c r="V67" s="36"/>
      <c r="W67" s="25">
        <f t="shared" si="3"/>
        <v>0</v>
      </c>
      <c r="Y67">
        <f t="shared" si="0"/>
        <v>0</v>
      </c>
    </row>
    <row r="68" spans="1:25" ht="15.75" hidden="1" thickBot="1" x14ac:dyDescent="0.3">
      <c r="A68" s="20"/>
      <c r="B68" s="21" t="s">
        <v>24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/>
      <c r="P68" s="36">
        <v>0</v>
      </c>
      <c r="Q68" s="36">
        <v>0</v>
      </c>
      <c r="R68" s="36">
        <v>0</v>
      </c>
      <c r="S68" s="36">
        <f t="shared" si="4"/>
        <v>0</v>
      </c>
      <c r="T68" s="25">
        <f t="shared" si="1"/>
        <v>0</v>
      </c>
      <c r="U68" s="25">
        <f t="shared" si="2"/>
        <v>0</v>
      </c>
      <c r="V68" s="36"/>
      <c r="W68" s="25">
        <f t="shared" si="3"/>
        <v>0</v>
      </c>
      <c r="Y68">
        <f t="shared" si="0"/>
        <v>0</v>
      </c>
    </row>
    <row r="69" spans="1:25" ht="15.75" hidden="1" thickBot="1" x14ac:dyDescent="0.3">
      <c r="A69" s="20"/>
      <c r="B69" s="21" t="s">
        <v>25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/>
      <c r="P69" s="36">
        <v>0</v>
      </c>
      <c r="Q69" s="36">
        <v>0</v>
      </c>
      <c r="R69" s="36">
        <v>0</v>
      </c>
      <c r="S69" s="36">
        <f t="shared" si="4"/>
        <v>0</v>
      </c>
      <c r="T69" s="25">
        <f t="shared" si="1"/>
        <v>0</v>
      </c>
      <c r="U69" s="25">
        <f t="shared" si="2"/>
        <v>0</v>
      </c>
      <c r="V69" s="36"/>
      <c r="W69" s="25">
        <f t="shared" si="3"/>
        <v>0</v>
      </c>
      <c r="Y69">
        <f t="shared" si="0"/>
        <v>0</v>
      </c>
    </row>
    <row r="70" spans="1:25" ht="15.75" hidden="1" thickBot="1" x14ac:dyDescent="0.3">
      <c r="A70" s="20"/>
      <c r="B70" s="21" t="s">
        <v>26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/>
      <c r="P70" s="36">
        <v>0</v>
      </c>
      <c r="Q70" s="36">
        <v>0</v>
      </c>
      <c r="R70" s="36">
        <v>0</v>
      </c>
      <c r="S70" s="36">
        <f t="shared" si="4"/>
        <v>0</v>
      </c>
      <c r="T70" s="25">
        <f t="shared" si="1"/>
        <v>0</v>
      </c>
      <c r="U70" s="25">
        <f t="shared" si="2"/>
        <v>0</v>
      </c>
      <c r="V70" s="36"/>
      <c r="W70" s="25">
        <f t="shared" si="3"/>
        <v>0</v>
      </c>
      <c r="Y70">
        <f t="shared" si="0"/>
        <v>0</v>
      </c>
    </row>
    <row r="71" spans="1:25" ht="15.75" hidden="1" thickBot="1" x14ac:dyDescent="0.3">
      <c r="A71" s="20"/>
      <c r="B71" s="21" t="s">
        <v>27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/>
      <c r="P71" s="36">
        <v>0</v>
      </c>
      <c r="Q71" s="36">
        <v>0</v>
      </c>
      <c r="R71" s="36">
        <v>0</v>
      </c>
      <c r="S71" s="36">
        <f t="shared" si="4"/>
        <v>0</v>
      </c>
      <c r="T71" s="25">
        <f t="shared" si="1"/>
        <v>0</v>
      </c>
      <c r="U71" s="25">
        <f t="shared" si="2"/>
        <v>0</v>
      </c>
      <c r="V71" s="36"/>
      <c r="W71" s="25">
        <f t="shared" si="3"/>
        <v>0</v>
      </c>
      <c r="Y71">
        <f t="shared" si="0"/>
        <v>0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/>
      <c r="P72" s="36">
        <v>0</v>
      </c>
      <c r="Q72" s="36">
        <v>0</v>
      </c>
      <c r="R72" s="36">
        <v>0</v>
      </c>
      <c r="S72" s="36">
        <f t="shared" si="4"/>
        <v>0</v>
      </c>
      <c r="T72" s="25">
        <f t="shared" si="1"/>
        <v>0</v>
      </c>
      <c r="U72" s="25">
        <f t="shared" si="2"/>
        <v>0</v>
      </c>
      <c r="V72" s="36"/>
      <c r="W72" s="25">
        <f t="shared" si="3"/>
        <v>0</v>
      </c>
      <c r="Y72">
        <f t="shared" si="0"/>
        <v>0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/>
      <c r="P73" s="36">
        <v>0</v>
      </c>
      <c r="Q73" s="36">
        <v>0</v>
      </c>
      <c r="R73" s="36">
        <v>0</v>
      </c>
      <c r="S73" s="36">
        <f t="shared" si="4"/>
        <v>0</v>
      </c>
      <c r="T73" s="25">
        <f t="shared" si="1"/>
        <v>0</v>
      </c>
      <c r="U73" s="25">
        <f t="shared" si="2"/>
        <v>0</v>
      </c>
      <c r="V73" s="36"/>
      <c r="W73" s="25">
        <f t="shared" si="3"/>
        <v>0</v>
      </c>
      <c r="Y73">
        <f t="shared" ref="Y73:Y136" si="5">IF(W73&gt;1,Y72+1,)</f>
        <v>0</v>
      </c>
    </row>
    <row r="74" spans="1:25" ht="15.75" hidden="1" thickBot="1" x14ac:dyDescent="0.3">
      <c r="A74" s="20"/>
      <c r="B74" s="21" t="s">
        <v>30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/>
      <c r="P74" s="36">
        <v>0</v>
      </c>
      <c r="Q74" s="36">
        <v>0</v>
      </c>
      <c r="R74" s="36">
        <v>0</v>
      </c>
      <c r="S74" s="36">
        <f t="shared" si="4"/>
        <v>0</v>
      </c>
      <c r="T74" s="25">
        <f t="shared" si="1"/>
        <v>0</v>
      </c>
      <c r="U74" s="25">
        <f t="shared" si="2"/>
        <v>0</v>
      </c>
      <c r="V74" s="36"/>
      <c r="W74" s="25">
        <f t="shared" si="3"/>
        <v>0</v>
      </c>
      <c r="Y74">
        <f t="shared" si="5"/>
        <v>0</v>
      </c>
    </row>
    <row r="75" spans="1:25" ht="15.75" hidden="1" thickBot="1" x14ac:dyDescent="0.3">
      <c r="A75" s="20"/>
      <c r="B75" s="21" t="s">
        <v>31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/>
      <c r="P75" s="36">
        <v>0</v>
      </c>
      <c r="Q75" s="36">
        <v>0</v>
      </c>
      <c r="R75" s="36">
        <v>0</v>
      </c>
      <c r="S75" s="36">
        <f t="shared" si="4"/>
        <v>0</v>
      </c>
      <c r="T75" s="25">
        <f t="shared" si="1"/>
        <v>0</v>
      </c>
      <c r="U75" s="25">
        <f t="shared" si="2"/>
        <v>0</v>
      </c>
      <c r="V75" s="36"/>
      <c r="W75" s="25">
        <f t="shared" si="3"/>
        <v>0</v>
      </c>
      <c r="Y75">
        <f t="shared" si="5"/>
        <v>0</v>
      </c>
    </row>
    <row r="76" spans="1:25" ht="15.75" hidden="1" thickBot="1" x14ac:dyDescent="0.3">
      <c r="A76" s="20"/>
      <c r="B76" s="21" t="s">
        <v>32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/>
      <c r="P76" s="36">
        <v>0</v>
      </c>
      <c r="Q76" s="36">
        <v>0</v>
      </c>
      <c r="R76" s="36">
        <v>0</v>
      </c>
      <c r="S76" s="36">
        <f t="shared" si="4"/>
        <v>0</v>
      </c>
      <c r="T76" s="25">
        <f t="shared" si="1"/>
        <v>0</v>
      </c>
      <c r="U76" s="25">
        <f t="shared" si="2"/>
        <v>0</v>
      </c>
      <c r="V76" s="36"/>
      <c r="W76" s="25">
        <f t="shared" si="3"/>
        <v>0</v>
      </c>
      <c r="Y76">
        <f t="shared" si="5"/>
        <v>0</v>
      </c>
    </row>
    <row r="77" spans="1:25" ht="15.75" hidden="1" thickBot="1" x14ac:dyDescent="0.3">
      <c r="A77" s="20"/>
      <c r="B77" s="21" t="s">
        <v>33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/>
      <c r="P77" s="36">
        <v>0</v>
      </c>
      <c r="Q77" s="36">
        <v>0</v>
      </c>
      <c r="R77" s="36">
        <v>0</v>
      </c>
      <c r="S77" s="36">
        <f t="shared" si="4"/>
        <v>0</v>
      </c>
      <c r="T77" s="25">
        <f t="shared" si="1"/>
        <v>0</v>
      </c>
      <c r="U77" s="25">
        <f t="shared" si="2"/>
        <v>0</v>
      </c>
      <c r="V77" s="36"/>
      <c r="W77" s="25">
        <f t="shared" si="3"/>
        <v>0</v>
      </c>
      <c r="Y77">
        <f t="shared" si="5"/>
        <v>0</v>
      </c>
    </row>
    <row r="78" spans="1:25" ht="15.75" hidden="1" thickBot="1" x14ac:dyDescent="0.3">
      <c r="A78" s="20"/>
      <c r="B78" s="21" t="s">
        <v>34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/>
      <c r="P78" s="36">
        <v>0</v>
      </c>
      <c r="Q78" s="36">
        <v>0</v>
      </c>
      <c r="R78" s="36">
        <v>0</v>
      </c>
      <c r="S78" s="36">
        <f t="shared" si="4"/>
        <v>0</v>
      </c>
      <c r="T78" s="25">
        <f t="shared" si="1"/>
        <v>0</v>
      </c>
      <c r="U78" s="25">
        <f t="shared" si="2"/>
        <v>0</v>
      </c>
      <c r="V78" s="36"/>
      <c r="W78" s="25">
        <f t="shared" si="3"/>
        <v>0</v>
      </c>
      <c r="Y78">
        <f t="shared" si="5"/>
        <v>0</v>
      </c>
    </row>
    <row r="79" spans="1:25" ht="15.75" hidden="1" thickBot="1" x14ac:dyDescent="0.3">
      <c r="A79" s="20">
        <v>2009</v>
      </c>
      <c r="B79" s="21" t="s">
        <v>35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/>
      <c r="P79" s="36">
        <v>0</v>
      </c>
      <c r="Q79" s="36">
        <v>0</v>
      </c>
      <c r="R79" s="36">
        <v>0</v>
      </c>
      <c r="S79" s="36">
        <f t="shared" si="4"/>
        <v>0</v>
      </c>
      <c r="T79" s="25">
        <f t="shared" si="1"/>
        <v>0</v>
      </c>
      <c r="U79" s="25">
        <f t="shared" si="2"/>
        <v>0</v>
      </c>
      <c r="V79" s="36"/>
      <c r="W79" s="25">
        <f t="shared" si="3"/>
        <v>0</v>
      </c>
      <c r="Y79">
        <f t="shared" si="5"/>
        <v>0</v>
      </c>
    </row>
    <row r="80" spans="1:25" ht="15.75" hidden="1" thickBot="1" x14ac:dyDescent="0.3">
      <c r="A80" s="20"/>
      <c r="B80" s="21" t="s">
        <v>24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/>
      <c r="P80" s="36">
        <v>0</v>
      </c>
      <c r="Q80" s="36">
        <v>0</v>
      </c>
      <c r="R80" s="36">
        <v>0</v>
      </c>
      <c r="S80" s="36">
        <f t="shared" si="4"/>
        <v>0</v>
      </c>
      <c r="T80" s="25">
        <f t="shared" si="1"/>
        <v>0</v>
      </c>
      <c r="U80" s="25">
        <f t="shared" si="2"/>
        <v>0</v>
      </c>
      <c r="V80" s="36"/>
      <c r="W80" s="25">
        <f t="shared" si="3"/>
        <v>0</v>
      </c>
      <c r="Y80">
        <f t="shared" si="5"/>
        <v>0</v>
      </c>
    </row>
    <row r="81" spans="1:25" ht="15.75" hidden="1" thickBot="1" x14ac:dyDescent="0.3">
      <c r="A81" s="20"/>
      <c r="B81" s="21" t="s">
        <v>25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/>
      <c r="P81" s="36">
        <v>0</v>
      </c>
      <c r="Q81" s="36">
        <v>0</v>
      </c>
      <c r="R81" s="36">
        <v>0</v>
      </c>
      <c r="S81" s="36">
        <f t="shared" si="4"/>
        <v>0</v>
      </c>
      <c r="T81" s="25">
        <f t="shared" si="1"/>
        <v>0</v>
      </c>
      <c r="U81" s="25">
        <f t="shared" si="2"/>
        <v>0</v>
      </c>
      <c r="V81" s="36"/>
      <c r="W81" s="25">
        <f t="shared" si="3"/>
        <v>0</v>
      </c>
      <c r="Y81">
        <f t="shared" si="5"/>
        <v>0</v>
      </c>
    </row>
    <row r="82" spans="1:25" ht="15.75" hidden="1" thickBot="1" x14ac:dyDescent="0.3">
      <c r="A82" s="20"/>
      <c r="B82" s="21" t="s">
        <v>26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/>
      <c r="P82" s="36">
        <v>0</v>
      </c>
      <c r="Q82" s="36">
        <v>0</v>
      </c>
      <c r="R82" s="36">
        <v>0</v>
      </c>
      <c r="S82" s="36">
        <f t="shared" si="4"/>
        <v>0</v>
      </c>
      <c r="T82" s="25">
        <f t="shared" si="1"/>
        <v>0</v>
      </c>
      <c r="U82" s="25">
        <f t="shared" si="2"/>
        <v>0</v>
      </c>
      <c r="V82" s="36"/>
      <c r="W82" s="25">
        <f t="shared" si="3"/>
        <v>0</v>
      </c>
      <c r="Y82">
        <f t="shared" si="5"/>
        <v>0</v>
      </c>
    </row>
    <row r="83" spans="1:25" ht="15.75" hidden="1" thickBot="1" x14ac:dyDescent="0.3">
      <c r="A83" s="20"/>
      <c r="B83" s="21" t="s">
        <v>27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/>
      <c r="P83" s="36">
        <v>0</v>
      </c>
      <c r="Q83" s="36">
        <v>0</v>
      </c>
      <c r="R83" s="36">
        <v>0</v>
      </c>
      <c r="S83" s="36">
        <f t="shared" si="4"/>
        <v>0</v>
      </c>
      <c r="T83" s="25">
        <f t="shared" si="1"/>
        <v>0</v>
      </c>
      <c r="U83" s="25">
        <f t="shared" si="2"/>
        <v>0</v>
      </c>
      <c r="V83" s="36"/>
      <c r="W83" s="25">
        <f t="shared" si="3"/>
        <v>0</v>
      </c>
      <c r="Y83">
        <f t="shared" si="5"/>
        <v>0</v>
      </c>
    </row>
    <row r="84" spans="1:25" ht="15.75" hidden="1" thickBot="1" x14ac:dyDescent="0.3">
      <c r="A84" s="20"/>
      <c r="B84" s="21" t="s">
        <v>28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/>
      <c r="P84" s="36">
        <v>0</v>
      </c>
      <c r="Q84" s="36">
        <v>0</v>
      </c>
      <c r="R84" s="36">
        <v>0</v>
      </c>
      <c r="S84" s="36">
        <f t="shared" si="4"/>
        <v>0</v>
      </c>
      <c r="T84" s="25">
        <f t="shared" si="1"/>
        <v>0</v>
      </c>
      <c r="U84" s="25">
        <f t="shared" si="2"/>
        <v>0</v>
      </c>
      <c r="V84" s="36"/>
      <c r="W84" s="25">
        <f t="shared" si="3"/>
        <v>0</v>
      </c>
      <c r="Y84">
        <f t="shared" si="5"/>
        <v>0</v>
      </c>
    </row>
    <row r="85" spans="1:25" ht="15.75" hidden="1" thickBot="1" x14ac:dyDescent="0.3">
      <c r="A85" s="20"/>
      <c r="B85" s="21" t="s">
        <v>29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/>
      <c r="P85" s="36">
        <v>0</v>
      </c>
      <c r="Q85" s="36">
        <v>0</v>
      </c>
      <c r="R85" s="36">
        <v>0</v>
      </c>
      <c r="S85" s="36">
        <f t="shared" si="4"/>
        <v>0</v>
      </c>
      <c r="T85" s="25">
        <f t="shared" si="1"/>
        <v>0</v>
      </c>
      <c r="U85" s="25">
        <f t="shared" si="2"/>
        <v>0</v>
      </c>
      <c r="V85" s="36"/>
      <c r="W85" s="25">
        <f t="shared" si="3"/>
        <v>0</v>
      </c>
      <c r="Y85">
        <f t="shared" si="5"/>
        <v>0</v>
      </c>
    </row>
    <row r="86" spans="1:25" ht="15.75" hidden="1" thickBot="1" x14ac:dyDescent="0.3">
      <c r="A86" s="20"/>
      <c r="B86" s="21" t="s">
        <v>30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/>
      <c r="P86" s="36">
        <v>0</v>
      </c>
      <c r="Q86" s="36">
        <v>0</v>
      </c>
      <c r="R86" s="36">
        <v>0</v>
      </c>
      <c r="S86" s="36">
        <f t="shared" si="4"/>
        <v>0</v>
      </c>
      <c r="T86" s="25">
        <f t="shared" si="1"/>
        <v>0</v>
      </c>
      <c r="U86" s="25">
        <f t="shared" si="2"/>
        <v>0</v>
      </c>
      <c r="V86" s="36"/>
      <c r="W86" s="25">
        <f t="shared" si="3"/>
        <v>0</v>
      </c>
      <c r="Y86">
        <f t="shared" si="5"/>
        <v>0</v>
      </c>
    </row>
    <row r="87" spans="1:25" ht="15.75" hidden="1" thickBot="1" x14ac:dyDescent="0.3">
      <c r="A87" s="20"/>
      <c r="B87" s="21" t="s">
        <v>31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/>
      <c r="P87" s="36">
        <v>0</v>
      </c>
      <c r="Q87" s="36">
        <v>0</v>
      </c>
      <c r="R87" s="36">
        <v>0</v>
      </c>
      <c r="S87" s="36">
        <f t="shared" si="4"/>
        <v>0</v>
      </c>
      <c r="T87" s="25">
        <f t="shared" ref="T87:T150" si="6">W86</f>
        <v>0</v>
      </c>
      <c r="U87" s="25">
        <f t="shared" ref="U87:U150" si="7">S87+T87</f>
        <v>0</v>
      </c>
      <c r="V87" s="36"/>
      <c r="W87" s="25">
        <f t="shared" ref="W87:W150" si="8">U87-V87</f>
        <v>0</v>
      </c>
      <c r="Y87">
        <f t="shared" si="5"/>
        <v>0</v>
      </c>
    </row>
    <row r="88" spans="1:25" ht="15.75" hidden="1" thickBot="1" x14ac:dyDescent="0.3">
      <c r="A88" s="20"/>
      <c r="B88" s="21" t="s">
        <v>32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/>
      <c r="P88" s="36">
        <v>0</v>
      </c>
      <c r="Q88" s="36">
        <v>0</v>
      </c>
      <c r="R88" s="36">
        <v>0</v>
      </c>
      <c r="S88" s="36">
        <f t="shared" si="4"/>
        <v>0</v>
      </c>
      <c r="T88" s="25">
        <f t="shared" si="6"/>
        <v>0</v>
      </c>
      <c r="U88" s="25">
        <f t="shared" si="7"/>
        <v>0</v>
      </c>
      <c r="V88" s="36"/>
      <c r="W88" s="25">
        <f t="shared" si="8"/>
        <v>0</v>
      </c>
      <c r="Y88">
        <f t="shared" si="5"/>
        <v>0</v>
      </c>
    </row>
    <row r="89" spans="1:25" ht="15.75" hidden="1" thickBot="1" x14ac:dyDescent="0.3">
      <c r="A89" s="20"/>
      <c r="B89" s="21" t="s">
        <v>33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/>
      <c r="P89" s="36">
        <v>0</v>
      </c>
      <c r="Q89" s="36">
        <v>0</v>
      </c>
      <c r="R89" s="36">
        <v>0</v>
      </c>
      <c r="S89" s="36">
        <f t="shared" si="4"/>
        <v>0</v>
      </c>
      <c r="T89" s="25">
        <f t="shared" si="6"/>
        <v>0</v>
      </c>
      <c r="U89" s="25">
        <f t="shared" si="7"/>
        <v>0</v>
      </c>
      <c r="V89" s="36"/>
      <c r="W89" s="25">
        <f t="shared" si="8"/>
        <v>0</v>
      </c>
      <c r="Y89">
        <f t="shared" si="5"/>
        <v>0</v>
      </c>
    </row>
    <row r="90" spans="1:25" ht="15.75" hidden="1" thickBot="1" x14ac:dyDescent="0.3">
      <c r="A90" s="20"/>
      <c r="B90" s="21" t="s">
        <v>34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/>
      <c r="P90" s="36">
        <v>0</v>
      </c>
      <c r="Q90" s="36">
        <v>0</v>
      </c>
      <c r="R90" s="36">
        <v>0</v>
      </c>
      <c r="S90" s="36">
        <f t="shared" si="4"/>
        <v>0</v>
      </c>
      <c r="T90" s="25">
        <f t="shared" si="6"/>
        <v>0</v>
      </c>
      <c r="U90" s="25">
        <f t="shared" si="7"/>
        <v>0</v>
      </c>
      <c r="V90" s="36"/>
      <c r="W90" s="25">
        <f t="shared" si="8"/>
        <v>0</v>
      </c>
      <c r="Y90">
        <f t="shared" si="5"/>
        <v>0</v>
      </c>
    </row>
    <row r="91" spans="1:25" ht="15.75" hidden="1" thickBot="1" x14ac:dyDescent="0.3">
      <c r="A91">
        <v>2010</v>
      </c>
      <c r="B91" s="21" t="s">
        <v>35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/>
      <c r="P91" s="36">
        <v>0</v>
      </c>
      <c r="Q91" s="36">
        <v>0</v>
      </c>
      <c r="R91" s="36">
        <v>0</v>
      </c>
      <c r="S91" s="36">
        <f t="shared" si="4"/>
        <v>0</v>
      </c>
      <c r="T91" s="25">
        <f t="shared" si="6"/>
        <v>0</v>
      </c>
      <c r="U91" s="25">
        <f t="shared" si="7"/>
        <v>0</v>
      </c>
      <c r="V91" s="36"/>
      <c r="W91" s="25">
        <f t="shared" si="8"/>
        <v>0</v>
      </c>
      <c r="Y91">
        <f t="shared" si="5"/>
        <v>0</v>
      </c>
    </row>
    <row r="92" spans="1:25" ht="15.75" hidden="1" thickBot="1" x14ac:dyDescent="0.3">
      <c r="B92" s="21" t="s">
        <v>24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/>
      <c r="P92" s="36">
        <v>0</v>
      </c>
      <c r="Q92" s="36">
        <v>0</v>
      </c>
      <c r="R92" s="36">
        <v>0</v>
      </c>
      <c r="S92" s="36">
        <f t="shared" si="4"/>
        <v>0</v>
      </c>
      <c r="T92" s="25">
        <f t="shared" si="6"/>
        <v>0</v>
      </c>
      <c r="U92" s="25">
        <f t="shared" si="7"/>
        <v>0</v>
      </c>
      <c r="V92" s="36"/>
      <c r="W92" s="25">
        <f t="shared" si="8"/>
        <v>0</v>
      </c>
      <c r="Y92">
        <f t="shared" si="5"/>
        <v>0</v>
      </c>
    </row>
    <row r="93" spans="1:25" ht="15.75" hidden="1" thickBot="1" x14ac:dyDescent="0.3">
      <c r="B93" s="21" t="s">
        <v>25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/>
      <c r="P93" s="36">
        <v>0</v>
      </c>
      <c r="Q93" s="36">
        <v>0</v>
      </c>
      <c r="R93" s="36">
        <v>0</v>
      </c>
      <c r="S93" s="36">
        <f t="shared" si="4"/>
        <v>0</v>
      </c>
      <c r="T93" s="25">
        <f t="shared" si="6"/>
        <v>0</v>
      </c>
      <c r="U93" s="25">
        <f t="shared" si="7"/>
        <v>0</v>
      </c>
      <c r="V93" s="36"/>
      <c r="W93" s="25">
        <f t="shared" si="8"/>
        <v>0</v>
      </c>
      <c r="Y93">
        <f t="shared" si="5"/>
        <v>0</v>
      </c>
    </row>
    <row r="94" spans="1:25" ht="15.75" hidden="1" thickBot="1" x14ac:dyDescent="0.3">
      <c r="B94" s="21" t="s">
        <v>26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/>
      <c r="P94" s="36">
        <v>0</v>
      </c>
      <c r="Q94" s="36">
        <v>0</v>
      </c>
      <c r="R94" s="36">
        <v>0</v>
      </c>
      <c r="S94" s="36">
        <f t="shared" si="4"/>
        <v>0</v>
      </c>
      <c r="T94" s="25">
        <f t="shared" si="6"/>
        <v>0</v>
      </c>
      <c r="U94" s="25">
        <f t="shared" si="7"/>
        <v>0</v>
      </c>
      <c r="V94" s="36"/>
      <c r="W94" s="25">
        <f t="shared" si="8"/>
        <v>0</v>
      </c>
      <c r="Y94">
        <f t="shared" si="5"/>
        <v>0</v>
      </c>
    </row>
    <row r="95" spans="1:25" ht="15.75" hidden="1" thickBot="1" x14ac:dyDescent="0.3">
      <c r="B95" s="21" t="s">
        <v>27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/>
      <c r="P95" s="36">
        <v>0</v>
      </c>
      <c r="Q95" s="36">
        <v>0</v>
      </c>
      <c r="R95" s="36">
        <v>0</v>
      </c>
      <c r="S95" s="36">
        <f t="shared" si="4"/>
        <v>0</v>
      </c>
      <c r="T95" s="25">
        <f t="shared" si="6"/>
        <v>0</v>
      </c>
      <c r="U95" s="25">
        <f t="shared" si="7"/>
        <v>0</v>
      </c>
      <c r="V95" s="36"/>
      <c r="W95" s="25">
        <f t="shared" si="8"/>
        <v>0</v>
      </c>
      <c r="Y95">
        <f t="shared" si="5"/>
        <v>0</v>
      </c>
    </row>
    <row r="96" spans="1:25" ht="15.75" hidden="1" thickBot="1" x14ac:dyDescent="0.3">
      <c r="B96" s="21" t="s">
        <v>28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/>
      <c r="P96" s="36">
        <v>0</v>
      </c>
      <c r="Q96" s="36">
        <v>0</v>
      </c>
      <c r="R96" s="36">
        <v>0</v>
      </c>
      <c r="S96" s="36">
        <f t="shared" si="4"/>
        <v>0</v>
      </c>
      <c r="T96" s="25">
        <f t="shared" si="6"/>
        <v>0</v>
      </c>
      <c r="U96" s="25">
        <f t="shared" si="7"/>
        <v>0</v>
      </c>
      <c r="V96" s="36"/>
      <c r="W96" s="25">
        <f t="shared" si="8"/>
        <v>0</v>
      </c>
      <c r="Y96">
        <f t="shared" si="5"/>
        <v>0</v>
      </c>
    </row>
    <row r="97" spans="1:25" ht="15.75" hidden="1" thickBot="1" x14ac:dyDescent="0.3">
      <c r="A97" s="20"/>
      <c r="B97" s="21" t="s">
        <v>29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/>
      <c r="P97" s="36">
        <v>0</v>
      </c>
      <c r="Q97" s="36">
        <v>0</v>
      </c>
      <c r="R97" s="36">
        <v>0</v>
      </c>
      <c r="S97" s="36">
        <f t="shared" si="4"/>
        <v>0</v>
      </c>
      <c r="T97" s="25">
        <f t="shared" si="6"/>
        <v>0</v>
      </c>
      <c r="U97" s="25">
        <f t="shared" si="7"/>
        <v>0</v>
      </c>
      <c r="V97" s="36"/>
      <c r="W97" s="25">
        <f t="shared" si="8"/>
        <v>0</v>
      </c>
      <c r="Y97">
        <f t="shared" si="5"/>
        <v>0</v>
      </c>
    </row>
    <row r="98" spans="1:25" ht="15.75" hidden="1" thickBot="1" x14ac:dyDescent="0.3">
      <c r="A98" s="20"/>
      <c r="B98" s="21" t="s">
        <v>30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/>
      <c r="P98" s="36">
        <v>0</v>
      </c>
      <c r="Q98" s="36">
        <v>0</v>
      </c>
      <c r="R98" s="36">
        <v>0</v>
      </c>
      <c r="S98" s="36">
        <f t="shared" si="4"/>
        <v>0</v>
      </c>
      <c r="T98" s="25">
        <f t="shared" si="6"/>
        <v>0</v>
      </c>
      <c r="U98" s="25">
        <f t="shared" si="7"/>
        <v>0</v>
      </c>
      <c r="V98" s="36"/>
      <c r="W98" s="25">
        <f t="shared" si="8"/>
        <v>0</v>
      </c>
      <c r="Y98">
        <f t="shared" si="5"/>
        <v>0</v>
      </c>
    </row>
    <row r="99" spans="1:25" ht="15.75" hidden="1" thickBot="1" x14ac:dyDescent="0.3">
      <c r="A99" s="20"/>
      <c r="B99" s="21" t="s">
        <v>31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/>
      <c r="P99" s="36">
        <v>0</v>
      </c>
      <c r="Q99" s="36">
        <v>0</v>
      </c>
      <c r="R99" s="36">
        <v>0</v>
      </c>
      <c r="S99" s="36">
        <f t="shared" si="4"/>
        <v>0</v>
      </c>
      <c r="T99" s="25">
        <f t="shared" si="6"/>
        <v>0</v>
      </c>
      <c r="U99" s="25">
        <f t="shared" si="7"/>
        <v>0</v>
      </c>
      <c r="V99" s="36"/>
      <c r="W99" s="25">
        <f t="shared" si="8"/>
        <v>0</v>
      </c>
      <c r="Y99">
        <f t="shared" si="5"/>
        <v>0</v>
      </c>
    </row>
    <row r="100" spans="1:25" ht="15.75" hidden="1" thickBot="1" x14ac:dyDescent="0.3">
      <c r="A100" s="20"/>
      <c r="B100" s="21" t="s">
        <v>32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/>
      <c r="P100" s="36">
        <v>0</v>
      </c>
      <c r="Q100" s="36">
        <v>0</v>
      </c>
      <c r="R100" s="36">
        <v>0</v>
      </c>
      <c r="S100" s="36">
        <f t="shared" si="4"/>
        <v>0</v>
      </c>
      <c r="T100" s="25">
        <f t="shared" si="6"/>
        <v>0</v>
      </c>
      <c r="U100" s="25">
        <f t="shared" si="7"/>
        <v>0</v>
      </c>
      <c r="V100" s="36"/>
      <c r="W100" s="25">
        <f t="shared" si="8"/>
        <v>0</v>
      </c>
      <c r="Y100">
        <f t="shared" si="5"/>
        <v>0</v>
      </c>
    </row>
    <row r="101" spans="1:25" ht="15.75" hidden="1" thickBot="1" x14ac:dyDescent="0.3">
      <c r="A101" s="20"/>
      <c r="B101" s="21" t="s">
        <v>33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/>
      <c r="P101" s="36">
        <v>0</v>
      </c>
      <c r="Q101" s="36">
        <v>0</v>
      </c>
      <c r="R101" s="36">
        <v>0</v>
      </c>
      <c r="S101" s="36">
        <f t="shared" si="4"/>
        <v>0</v>
      </c>
      <c r="T101" s="25">
        <f t="shared" si="6"/>
        <v>0</v>
      </c>
      <c r="U101" s="25">
        <f t="shared" si="7"/>
        <v>0</v>
      </c>
      <c r="V101" s="36"/>
      <c r="W101" s="25">
        <f t="shared" si="8"/>
        <v>0</v>
      </c>
      <c r="Y101">
        <f t="shared" si="5"/>
        <v>0</v>
      </c>
    </row>
    <row r="102" spans="1:25" ht="15.75" hidden="1" thickBot="1" x14ac:dyDescent="0.3">
      <c r="A102" s="20"/>
      <c r="B102" s="21" t="s">
        <v>34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/>
      <c r="P102" s="36">
        <v>0</v>
      </c>
      <c r="Q102" s="36">
        <v>0</v>
      </c>
      <c r="R102" s="36">
        <v>0</v>
      </c>
      <c r="S102" s="36">
        <f t="shared" si="4"/>
        <v>0</v>
      </c>
      <c r="T102" s="25">
        <f t="shared" si="6"/>
        <v>0</v>
      </c>
      <c r="U102" s="25">
        <f t="shared" si="7"/>
        <v>0</v>
      </c>
      <c r="V102" s="36"/>
      <c r="W102" s="25">
        <f t="shared" si="8"/>
        <v>0</v>
      </c>
      <c r="Y102">
        <f t="shared" si="5"/>
        <v>0</v>
      </c>
    </row>
    <row r="103" spans="1:25" ht="15.75" hidden="1" thickBot="1" x14ac:dyDescent="0.3">
      <c r="A103" s="20">
        <v>2011</v>
      </c>
      <c r="B103" s="21" t="s">
        <v>35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/>
      <c r="P103" s="36">
        <v>0</v>
      </c>
      <c r="Q103" s="36">
        <v>0</v>
      </c>
      <c r="R103" s="36">
        <v>0</v>
      </c>
      <c r="S103" s="36">
        <f t="shared" si="4"/>
        <v>0</v>
      </c>
      <c r="T103" s="25">
        <f t="shared" si="6"/>
        <v>0</v>
      </c>
      <c r="U103" s="25">
        <f t="shared" si="7"/>
        <v>0</v>
      </c>
      <c r="V103" s="36"/>
      <c r="W103" s="25">
        <f t="shared" si="8"/>
        <v>0</v>
      </c>
      <c r="Y103">
        <f t="shared" si="5"/>
        <v>0</v>
      </c>
    </row>
    <row r="104" spans="1:25" ht="15.75" hidden="1" thickBot="1" x14ac:dyDescent="0.3">
      <c r="A104" s="20"/>
      <c r="B104" s="21" t="s">
        <v>24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/>
      <c r="P104" s="36">
        <v>0</v>
      </c>
      <c r="Q104" s="36">
        <v>0</v>
      </c>
      <c r="R104" s="36">
        <v>0</v>
      </c>
      <c r="S104" s="36">
        <f t="shared" si="4"/>
        <v>0</v>
      </c>
      <c r="T104" s="25">
        <f t="shared" si="6"/>
        <v>0</v>
      </c>
      <c r="U104" s="25">
        <f t="shared" si="7"/>
        <v>0</v>
      </c>
      <c r="V104" s="36"/>
      <c r="W104" s="25">
        <f t="shared" si="8"/>
        <v>0</v>
      </c>
      <c r="Y104">
        <f t="shared" si="5"/>
        <v>0</v>
      </c>
    </row>
    <row r="105" spans="1:25" ht="15.75" hidden="1" thickBot="1" x14ac:dyDescent="0.3">
      <c r="A105" s="20"/>
      <c r="B105" s="21" t="s">
        <v>25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0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/>
      <c r="P105" s="36">
        <v>0</v>
      </c>
      <c r="Q105" s="36">
        <v>0</v>
      </c>
      <c r="R105" s="36">
        <v>0</v>
      </c>
      <c r="S105" s="36">
        <f t="shared" si="4"/>
        <v>0</v>
      </c>
      <c r="T105" s="25">
        <f t="shared" si="6"/>
        <v>0</v>
      </c>
      <c r="U105" s="25">
        <f t="shared" si="7"/>
        <v>0</v>
      </c>
      <c r="V105" s="36"/>
      <c r="W105" s="25">
        <f t="shared" si="8"/>
        <v>0</v>
      </c>
      <c r="Y105">
        <f t="shared" si="5"/>
        <v>0</v>
      </c>
    </row>
    <row r="106" spans="1:25" ht="15.75" hidden="1" thickBot="1" x14ac:dyDescent="0.3">
      <c r="A106" s="20"/>
      <c r="B106" s="21" t="s">
        <v>26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/>
      <c r="P106" s="36">
        <v>0</v>
      </c>
      <c r="Q106" s="36">
        <v>0</v>
      </c>
      <c r="R106" s="36">
        <v>0</v>
      </c>
      <c r="S106" s="36">
        <f t="shared" si="4"/>
        <v>0</v>
      </c>
      <c r="T106" s="25">
        <f t="shared" si="6"/>
        <v>0</v>
      </c>
      <c r="U106" s="25">
        <f t="shared" si="7"/>
        <v>0</v>
      </c>
      <c r="V106" s="36"/>
      <c r="W106" s="25">
        <f t="shared" si="8"/>
        <v>0</v>
      </c>
      <c r="Y106">
        <f t="shared" si="5"/>
        <v>0</v>
      </c>
    </row>
    <row r="107" spans="1:25" ht="15.75" hidden="1" thickBot="1" x14ac:dyDescent="0.3">
      <c r="A107" s="20"/>
      <c r="B107" s="21" t="s">
        <v>27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/>
      <c r="P107" s="36">
        <v>0</v>
      </c>
      <c r="Q107" s="36">
        <v>0</v>
      </c>
      <c r="R107" s="36">
        <v>0</v>
      </c>
      <c r="S107" s="36">
        <f t="shared" si="4"/>
        <v>0</v>
      </c>
      <c r="T107" s="25">
        <f t="shared" si="6"/>
        <v>0</v>
      </c>
      <c r="U107" s="25">
        <f t="shared" si="7"/>
        <v>0</v>
      </c>
      <c r="V107" s="36"/>
      <c r="W107" s="25">
        <f t="shared" si="8"/>
        <v>0</v>
      </c>
      <c r="Y107">
        <f t="shared" si="5"/>
        <v>0</v>
      </c>
    </row>
    <row r="108" spans="1:25" ht="15.75" hidden="1" thickBot="1" x14ac:dyDescent="0.3">
      <c r="A108" s="20"/>
      <c r="B108" s="21" t="s">
        <v>28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/>
      <c r="P108" s="36">
        <v>0</v>
      </c>
      <c r="Q108" s="36">
        <v>0</v>
      </c>
      <c r="R108" s="36">
        <v>0</v>
      </c>
      <c r="S108" s="36">
        <f t="shared" si="4"/>
        <v>0</v>
      </c>
      <c r="T108" s="25">
        <f t="shared" si="6"/>
        <v>0</v>
      </c>
      <c r="U108" s="25">
        <f t="shared" si="7"/>
        <v>0</v>
      </c>
      <c r="V108" s="36"/>
      <c r="W108" s="25">
        <f t="shared" si="8"/>
        <v>0</v>
      </c>
      <c r="Y108">
        <f t="shared" si="5"/>
        <v>0</v>
      </c>
    </row>
    <row r="109" spans="1:25" ht="15.75" hidden="1" thickBot="1" x14ac:dyDescent="0.3">
      <c r="A109" s="20"/>
      <c r="B109" s="21" t="s">
        <v>29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/>
      <c r="P109" s="36">
        <v>0</v>
      </c>
      <c r="Q109" s="36">
        <v>0</v>
      </c>
      <c r="R109" s="36">
        <v>0</v>
      </c>
      <c r="S109" s="36">
        <f t="shared" si="4"/>
        <v>0</v>
      </c>
      <c r="T109" s="25">
        <f t="shared" si="6"/>
        <v>0</v>
      </c>
      <c r="U109" s="25">
        <f t="shared" si="7"/>
        <v>0</v>
      </c>
      <c r="V109" s="36"/>
      <c r="W109" s="25">
        <f t="shared" si="8"/>
        <v>0</v>
      </c>
      <c r="Y109">
        <f t="shared" si="5"/>
        <v>0</v>
      </c>
    </row>
    <row r="110" spans="1:25" ht="15.75" hidden="1" thickBot="1" x14ac:dyDescent="0.3">
      <c r="A110" s="20"/>
      <c r="B110" s="21" t="s">
        <v>30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/>
      <c r="P110" s="36">
        <v>0</v>
      </c>
      <c r="Q110" s="36">
        <v>0</v>
      </c>
      <c r="R110" s="36">
        <v>0</v>
      </c>
      <c r="S110" s="36">
        <f t="shared" si="4"/>
        <v>0</v>
      </c>
      <c r="T110" s="25">
        <f t="shared" si="6"/>
        <v>0</v>
      </c>
      <c r="U110" s="25">
        <f t="shared" si="7"/>
        <v>0</v>
      </c>
      <c r="V110" s="36"/>
      <c r="W110" s="25">
        <f t="shared" si="8"/>
        <v>0</v>
      </c>
      <c r="Y110">
        <f t="shared" si="5"/>
        <v>0</v>
      </c>
    </row>
    <row r="111" spans="1:25" ht="15.75" hidden="1" thickBot="1" x14ac:dyDescent="0.3">
      <c r="A111" s="20"/>
      <c r="B111" s="21" t="s">
        <v>31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/>
      <c r="P111" s="36">
        <v>0</v>
      </c>
      <c r="Q111" s="36">
        <v>0</v>
      </c>
      <c r="R111" s="36">
        <v>0</v>
      </c>
      <c r="S111" s="36">
        <f t="shared" si="4"/>
        <v>0</v>
      </c>
      <c r="T111" s="25">
        <f t="shared" si="6"/>
        <v>0</v>
      </c>
      <c r="U111" s="25">
        <f t="shared" si="7"/>
        <v>0</v>
      </c>
      <c r="V111" s="36"/>
      <c r="W111" s="25">
        <f t="shared" si="8"/>
        <v>0</v>
      </c>
      <c r="Y111">
        <f t="shared" si="5"/>
        <v>0</v>
      </c>
    </row>
    <row r="112" spans="1:25" ht="15.75" hidden="1" thickBot="1" x14ac:dyDescent="0.3">
      <c r="A112" s="20"/>
      <c r="B112" s="21" t="s">
        <v>32</v>
      </c>
      <c r="C112" s="36">
        <v>0</v>
      </c>
      <c r="D112" s="36">
        <v>0</v>
      </c>
      <c r="E112" s="36">
        <v>0</v>
      </c>
      <c r="F112" s="36">
        <v>0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/>
      <c r="P112" s="36">
        <v>0</v>
      </c>
      <c r="Q112" s="36">
        <v>0</v>
      </c>
      <c r="R112" s="36">
        <v>0</v>
      </c>
      <c r="S112" s="36">
        <f t="shared" si="4"/>
        <v>0</v>
      </c>
      <c r="T112" s="25">
        <f t="shared" si="6"/>
        <v>0</v>
      </c>
      <c r="U112" s="25">
        <f t="shared" si="7"/>
        <v>0</v>
      </c>
      <c r="V112" s="36"/>
      <c r="W112" s="25">
        <f t="shared" si="8"/>
        <v>0</v>
      </c>
      <c r="Y112">
        <f t="shared" si="5"/>
        <v>0</v>
      </c>
    </row>
    <row r="113" spans="1:25" ht="15.75" hidden="1" thickBot="1" x14ac:dyDescent="0.3">
      <c r="A113" s="20"/>
      <c r="B113" s="21" t="s">
        <v>33</v>
      </c>
      <c r="C113" s="36">
        <v>0</v>
      </c>
      <c r="D113" s="36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/>
      <c r="P113" s="36">
        <v>0</v>
      </c>
      <c r="Q113" s="36">
        <v>0</v>
      </c>
      <c r="R113" s="36">
        <v>0</v>
      </c>
      <c r="S113" s="36">
        <f t="shared" si="4"/>
        <v>0</v>
      </c>
      <c r="T113" s="25">
        <f t="shared" si="6"/>
        <v>0</v>
      </c>
      <c r="U113" s="25">
        <f t="shared" si="7"/>
        <v>0</v>
      </c>
      <c r="V113" s="36"/>
      <c r="W113" s="25">
        <f t="shared" si="8"/>
        <v>0</v>
      </c>
      <c r="Y113">
        <f t="shared" si="5"/>
        <v>0</v>
      </c>
    </row>
    <row r="114" spans="1:25" ht="15.75" hidden="1" thickBot="1" x14ac:dyDescent="0.3">
      <c r="A114" s="20"/>
      <c r="B114" s="21" t="s">
        <v>34</v>
      </c>
      <c r="C114" s="36">
        <v>0</v>
      </c>
      <c r="D114" s="36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  <c r="O114" s="36"/>
      <c r="P114" s="36">
        <v>0</v>
      </c>
      <c r="Q114" s="36">
        <v>0</v>
      </c>
      <c r="R114" s="36">
        <v>0</v>
      </c>
      <c r="S114" s="36">
        <f t="shared" si="4"/>
        <v>0</v>
      </c>
      <c r="T114" s="25">
        <f t="shared" si="6"/>
        <v>0</v>
      </c>
      <c r="U114" s="25">
        <f t="shared" si="7"/>
        <v>0</v>
      </c>
      <c r="V114" s="36"/>
      <c r="W114" s="25">
        <f t="shared" si="8"/>
        <v>0</v>
      </c>
      <c r="Y114">
        <f t="shared" si="5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0</v>
      </c>
      <c r="D115" s="36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/>
      <c r="P115" s="36">
        <v>0</v>
      </c>
      <c r="Q115" s="36">
        <v>0</v>
      </c>
      <c r="R115" s="36">
        <v>0</v>
      </c>
      <c r="S115" s="36">
        <f t="shared" si="4"/>
        <v>0</v>
      </c>
      <c r="T115" s="25">
        <f t="shared" si="6"/>
        <v>0</v>
      </c>
      <c r="U115" s="25">
        <f t="shared" si="7"/>
        <v>0</v>
      </c>
      <c r="V115" s="36"/>
      <c r="W115" s="25">
        <f t="shared" si="8"/>
        <v>0</v>
      </c>
      <c r="Y115">
        <f t="shared" si="5"/>
        <v>0</v>
      </c>
    </row>
    <row r="116" spans="1:25" ht="15.75" hidden="1" thickBot="1" x14ac:dyDescent="0.3">
      <c r="A116" s="20"/>
      <c r="B116" s="21" t="s">
        <v>24</v>
      </c>
      <c r="C116" s="36">
        <v>0</v>
      </c>
      <c r="D116" s="36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/>
      <c r="P116" s="36">
        <v>0</v>
      </c>
      <c r="Q116" s="36">
        <v>0</v>
      </c>
      <c r="R116" s="36">
        <v>0</v>
      </c>
      <c r="S116" s="36">
        <f t="shared" si="4"/>
        <v>0</v>
      </c>
      <c r="T116" s="25">
        <f t="shared" si="6"/>
        <v>0</v>
      </c>
      <c r="U116" s="25">
        <f t="shared" si="7"/>
        <v>0</v>
      </c>
      <c r="V116" s="36"/>
      <c r="W116" s="25">
        <f t="shared" si="8"/>
        <v>0</v>
      </c>
      <c r="Y116">
        <f t="shared" si="5"/>
        <v>0</v>
      </c>
    </row>
    <row r="117" spans="1:25" ht="15.75" hidden="1" thickBot="1" x14ac:dyDescent="0.3">
      <c r="A117" s="20"/>
      <c r="B117" s="21" t="s">
        <v>25</v>
      </c>
      <c r="C117" s="36">
        <v>0</v>
      </c>
      <c r="D117" s="36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/>
      <c r="P117" s="36">
        <v>0</v>
      </c>
      <c r="Q117" s="36">
        <v>0</v>
      </c>
      <c r="R117" s="36">
        <v>0</v>
      </c>
      <c r="S117" s="36">
        <f t="shared" si="4"/>
        <v>0</v>
      </c>
      <c r="T117" s="25">
        <f t="shared" si="6"/>
        <v>0</v>
      </c>
      <c r="U117" s="25">
        <f t="shared" si="7"/>
        <v>0</v>
      </c>
      <c r="V117" s="36"/>
      <c r="W117" s="25">
        <f t="shared" si="8"/>
        <v>0</v>
      </c>
      <c r="Y117">
        <f t="shared" si="5"/>
        <v>0</v>
      </c>
    </row>
    <row r="118" spans="1:25" ht="15.75" hidden="1" thickBot="1" x14ac:dyDescent="0.3">
      <c r="A118" s="20"/>
      <c r="B118" s="21" t="s">
        <v>26</v>
      </c>
      <c r="C118" s="36">
        <v>0</v>
      </c>
      <c r="D118" s="36">
        <v>0</v>
      </c>
      <c r="E118" s="36">
        <v>0</v>
      </c>
      <c r="F118" s="36">
        <v>0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/>
      <c r="P118" s="36">
        <v>0</v>
      </c>
      <c r="Q118" s="36">
        <v>0</v>
      </c>
      <c r="R118" s="36">
        <v>0</v>
      </c>
      <c r="S118" s="36">
        <f t="shared" si="4"/>
        <v>0</v>
      </c>
      <c r="T118" s="25">
        <f t="shared" si="6"/>
        <v>0</v>
      </c>
      <c r="U118" s="25">
        <f t="shared" si="7"/>
        <v>0</v>
      </c>
      <c r="V118" s="36"/>
      <c r="W118" s="25">
        <f t="shared" si="8"/>
        <v>0</v>
      </c>
      <c r="Y118">
        <f t="shared" si="5"/>
        <v>0</v>
      </c>
    </row>
    <row r="119" spans="1:25" ht="15.75" hidden="1" thickBot="1" x14ac:dyDescent="0.3">
      <c r="A119" s="20"/>
      <c r="B119" s="21" t="s">
        <v>27</v>
      </c>
      <c r="C119" s="36">
        <v>0</v>
      </c>
      <c r="D119" s="36">
        <v>0</v>
      </c>
      <c r="E119" s="36">
        <v>0</v>
      </c>
      <c r="F119" s="36">
        <v>0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/>
      <c r="P119" s="36">
        <v>0</v>
      </c>
      <c r="Q119" s="36">
        <v>0</v>
      </c>
      <c r="R119" s="36">
        <v>0</v>
      </c>
      <c r="S119" s="36">
        <f t="shared" si="4"/>
        <v>0</v>
      </c>
      <c r="T119" s="25">
        <f t="shared" si="6"/>
        <v>0</v>
      </c>
      <c r="U119" s="25">
        <f t="shared" si="7"/>
        <v>0</v>
      </c>
      <c r="V119" s="36"/>
      <c r="W119" s="25">
        <f t="shared" si="8"/>
        <v>0</v>
      </c>
      <c r="Y119">
        <f t="shared" si="5"/>
        <v>0</v>
      </c>
    </row>
    <row r="120" spans="1:25" ht="15.75" hidden="1" thickBot="1" x14ac:dyDescent="0.3">
      <c r="A120" s="20"/>
      <c r="B120" s="21" t="s">
        <v>28</v>
      </c>
      <c r="C120" s="36">
        <v>0</v>
      </c>
      <c r="D120" s="36">
        <v>0</v>
      </c>
      <c r="E120" s="36">
        <v>0</v>
      </c>
      <c r="F120" s="36">
        <v>0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  <c r="O120" s="36"/>
      <c r="P120" s="36">
        <v>0</v>
      </c>
      <c r="Q120" s="36">
        <v>0</v>
      </c>
      <c r="R120" s="36">
        <v>0</v>
      </c>
      <c r="S120" s="36">
        <f t="shared" si="4"/>
        <v>0</v>
      </c>
      <c r="T120" s="25">
        <f t="shared" si="6"/>
        <v>0</v>
      </c>
      <c r="U120" s="25">
        <f t="shared" si="7"/>
        <v>0</v>
      </c>
      <c r="V120" s="36"/>
      <c r="W120" s="25">
        <f t="shared" si="8"/>
        <v>0</v>
      </c>
      <c r="Y120">
        <f t="shared" si="5"/>
        <v>0</v>
      </c>
    </row>
    <row r="121" spans="1:25" ht="15.75" hidden="1" thickBot="1" x14ac:dyDescent="0.3">
      <c r="A121" s="20"/>
      <c r="B121" s="21" t="s">
        <v>29</v>
      </c>
      <c r="C121" s="36">
        <v>0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/>
      <c r="P121" s="36">
        <v>0</v>
      </c>
      <c r="Q121" s="36">
        <v>0</v>
      </c>
      <c r="R121" s="36">
        <v>0</v>
      </c>
      <c r="S121" s="36">
        <f t="shared" si="4"/>
        <v>0</v>
      </c>
      <c r="T121" s="25">
        <f t="shared" si="6"/>
        <v>0</v>
      </c>
      <c r="U121" s="25">
        <f t="shared" si="7"/>
        <v>0</v>
      </c>
      <c r="V121" s="36"/>
      <c r="W121" s="25">
        <f t="shared" si="8"/>
        <v>0</v>
      </c>
      <c r="Y121">
        <f t="shared" si="5"/>
        <v>0</v>
      </c>
    </row>
    <row r="122" spans="1:25" ht="15.75" hidden="1" thickBot="1" x14ac:dyDescent="0.3">
      <c r="A122" s="20"/>
      <c r="B122" s="21" t="s">
        <v>30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/>
      <c r="P122" s="36">
        <v>0</v>
      </c>
      <c r="Q122" s="36">
        <v>0</v>
      </c>
      <c r="R122" s="36">
        <v>0</v>
      </c>
      <c r="S122" s="36">
        <f t="shared" si="4"/>
        <v>0</v>
      </c>
      <c r="T122" s="25">
        <f t="shared" si="6"/>
        <v>0</v>
      </c>
      <c r="U122" s="25">
        <f t="shared" si="7"/>
        <v>0</v>
      </c>
      <c r="V122" s="36"/>
      <c r="W122" s="25">
        <f t="shared" si="8"/>
        <v>0</v>
      </c>
      <c r="Y122">
        <f t="shared" si="5"/>
        <v>0</v>
      </c>
    </row>
    <row r="123" spans="1:25" ht="15.75" hidden="1" thickBot="1" x14ac:dyDescent="0.3">
      <c r="A123" s="20"/>
      <c r="B123" s="21" t="s">
        <v>31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/>
      <c r="P123" s="36">
        <v>0</v>
      </c>
      <c r="Q123" s="36">
        <v>0</v>
      </c>
      <c r="R123" s="36">
        <v>0</v>
      </c>
      <c r="S123" s="36">
        <f t="shared" si="4"/>
        <v>0</v>
      </c>
      <c r="T123" s="25">
        <f t="shared" si="6"/>
        <v>0</v>
      </c>
      <c r="U123" s="25">
        <f t="shared" si="7"/>
        <v>0</v>
      </c>
      <c r="V123" s="36"/>
      <c r="W123" s="25">
        <f t="shared" si="8"/>
        <v>0</v>
      </c>
      <c r="Y123">
        <f t="shared" si="5"/>
        <v>0</v>
      </c>
    </row>
    <row r="124" spans="1:25" ht="15.75" hidden="1" thickBot="1" x14ac:dyDescent="0.3">
      <c r="A124" s="20"/>
      <c r="B124" s="21" t="s">
        <v>32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/>
      <c r="P124" s="36">
        <v>0</v>
      </c>
      <c r="Q124" s="36">
        <v>0</v>
      </c>
      <c r="R124" s="36">
        <v>0</v>
      </c>
      <c r="S124" s="36">
        <f t="shared" si="4"/>
        <v>0</v>
      </c>
      <c r="T124" s="25">
        <f t="shared" si="6"/>
        <v>0</v>
      </c>
      <c r="U124" s="25">
        <f t="shared" si="7"/>
        <v>0</v>
      </c>
      <c r="V124" s="36"/>
      <c r="W124" s="25">
        <f t="shared" si="8"/>
        <v>0</v>
      </c>
      <c r="Y124">
        <f t="shared" si="5"/>
        <v>0</v>
      </c>
    </row>
    <row r="125" spans="1:25" ht="15.75" hidden="1" thickBot="1" x14ac:dyDescent="0.3">
      <c r="A125" s="20"/>
      <c r="B125" s="21" t="s">
        <v>33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/>
      <c r="P125" s="36">
        <v>0</v>
      </c>
      <c r="Q125" s="36">
        <v>0</v>
      </c>
      <c r="R125" s="36">
        <v>0</v>
      </c>
      <c r="S125" s="36">
        <f t="shared" si="4"/>
        <v>0</v>
      </c>
      <c r="T125" s="25">
        <f t="shared" si="6"/>
        <v>0</v>
      </c>
      <c r="U125" s="25">
        <f t="shared" si="7"/>
        <v>0</v>
      </c>
      <c r="V125" s="36"/>
      <c r="W125" s="25">
        <f t="shared" si="8"/>
        <v>0</v>
      </c>
      <c r="Y125">
        <f t="shared" si="5"/>
        <v>0</v>
      </c>
    </row>
    <row r="126" spans="1:25" ht="15.75" hidden="1" thickBot="1" x14ac:dyDescent="0.3">
      <c r="A126" s="20"/>
      <c r="B126" s="21" t="s">
        <v>34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/>
      <c r="P126" s="36">
        <v>0</v>
      </c>
      <c r="Q126" s="36">
        <v>0</v>
      </c>
      <c r="R126" s="36">
        <v>0</v>
      </c>
      <c r="S126" s="36">
        <f t="shared" si="4"/>
        <v>0</v>
      </c>
      <c r="T126" s="25">
        <f t="shared" si="6"/>
        <v>0</v>
      </c>
      <c r="U126" s="25">
        <f t="shared" si="7"/>
        <v>0</v>
      </c>
      <c r="V126" s="36"/>
      <c r="W126" s="25">
        <f t="shared" si="8"/>
        <v>0</v>
      </c>
      <c r="Y126">
        <f t="shared" si="5"/>
        <v>0</v>
      </c>
    </row>
    <row r="127" spans="1:25" ht="15.75" hidden="1" thickBot="1" x14ac:dyDescent="0.3">
      <c r="A127" s="20">
        <v>2013</v>
      </c>
      <c r="B127" s="21" t="s">
        <v>35</v>
      </c>
      <c r="C127" s="36">
        <v>0</v>
      </c>
      <c r="D127" s="36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/>
      <c r="P127" s="36">
        <v>0</v>
      </c>
      <c r="Q127" s="36">
        <v>0</v>
      </c>
      <c r="R127" s="36">
        <v>0</v>
      </c>
      <c r="S127" s="36">
        <f t="shared" si="4"/>
        <v>0</v>
      </c>
      <c r="T127" s="25">
        <f t="shared" si="6"/>
        <v>0</v>
      </c>
      <c r="U127" s="25">
        <f t="shared" si="7"/>
        <v>0</v>
      </c>
      <c r="V127" s="36"/>
      <c r="W127" s="25">
        <f t="shared" si="8"/>
        <v>0</v>
      </c>
      <c r="Y127">
        <f t="shared" si="5"/>
        <v>0</v>
      </c>
    </row>
    <row r="128" spans="1:25" ht="15.75" hidden="1" thickBot="1" x14ac:dyDescent="0.3">
      <c r="A128" s="20"/>
      <c r="B128" s="21" t="s">
        <v>24</v>
      </c>
      <c r="C128" s="36">
        <v>0</v>
      </c>
      <c r="D128" s="36">
        <v>0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/>
      <c r="P128" s="36">
        <v>0</v>
      </c>
      <c r="Q128" s="36">
        <v>0</v>
      </c>
      <c r="R128" s="36">
        <v>0</v>
      </c>
      <c r="S128" s="36">
        <f t="shared" si="4"/>
        <v>0</v>
      </c>
      <c r="T128" s="25">
        <f t="shared" si="6"/>
        <v>0</v>
      </c>
      <c r="U128" s="25">
        <f t="shared" si="7"/>
        <v>0</v>
      </c>
      <c r="V128" s="36"/>
      <c r="W128" s="25">
        <f t="shared" si="8"/>
        <v>0</v>
      </c>
      <c r="Y128">
        <f t="shared" si="5"/>
        <v>0</v>
      </c>
    </row>
    <row r="129" spans="1:25" ht="15.75" hidden="1" thickBot="1" x14ac:dyDescent="0.3">
      <c r="A129" s="20"/>
      <c r="B129" s="21" t="s">
        <v>25</v>
      </c>
      <c r="C129" s="36">
        <v>0</v>
      </c>
      <c r="D129" s="36">
        <v>0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/>
      <c r="P129" s="36">
        <v>0</v>
      </c>
      <c r="Q129" s="36">
        <v>0</v>
      </c>
      <c r="R129" s="36">
        <v>0</v>
      </c>
      <c r="S129" s="36">
        <f t="shared" si="4"/>
        <v>0</v>
      </c>
      <c r="T129" s="25">
        <f t="shared" si="6"/>
        <v>0</v>
      </c>
      <c r="U129" s="25">
        <f t="shared" si="7"/>
        <v>0</v>
      </c>
      <c r="V129" s="36"/>
      <c r="W129" s="25">
        <f t="shared" si="8"/>
        <v>0</v>
      </c>
      <c r="Y129">
        <f t="shared" si="5"/>
        <v>0</v>
      </c>
    </row>
    <row r="130" spans="1:25" ht="15.75" hidden="1" thickBot="1" x14ac:dyDescent="0.3">
      <c r="A130" s="20"/>
      <c r="B130" s="21" t="s">
        <v>26</v>
      </c>
      <c r="C130" s="36">
        <v>0</v>
      </c>
      <c r="D130" s="36">
        <v>0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/>
      <c r="P130" s="36">
        <v>0</v>
      </c>
      <c r="Q130" s="36">
        <v>0</v>
      </c>
      <c r="R130" s="36">
        <v>0</v>
      </c>
      <c r="S130" s="36">
        <f t="shared" ref="S130:S185" si="9">L130+G130+M130+N130+O130+P130+R130+Q130</f>
        <v>0</v>
      </c>
      <c r="T130" s="25">
        <f t="shared" si="6"/>
        <v>0</v>
      </c>
      <c r="U130" s="25">
        <f t="shared" si="7"/>
        <v>0</v>
      </c>
      <c r="V130" s="36"/>
      <c r="W130" s="25">
        <f t="shared" si="8"/>
        <v>0</v>
      </c>
      <c r="Y130">
        <f t="shared" si="5"/>
        <v>0</v>
      </c>
    </row>
    <row r="131" spans="1:25" ht="15.75" hidden="1" thickBot="1" x14ac:dyDescent="0.3">
      <c r="A131" s="20"/>
      <c r="B131" s="21" t="s">
        <v>27</v>
      </c>
      <c r="C131" s="36">
        <v>0</v>
      </c>
      <c r="D131" s="36">
        <v>0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/>
      <c r="P131" s="36">
        <v>0</v>
      </c>
      <c r="Q131" s="36">
        <v>0</v>
      </c>
      <c r="R131" s="36">
        <v>0</v>
      </c>
      <c r="S131" s="36">
        <f t="shared" si="9"/>
        <v>0</v>
      </c>
      <c r="T131" s="25">
        <f t="shared" si="6"/>
        <v>0</v>
      </c>
      <c r="U131" s="25">
        <f t="shared" si="7"/>
        <v>0</v>
      </c>
      <c r="V131" s="36"/>
      <c r="W131" s="25">
        <f t="shared" si="8"/>
        <v>0</v>
      </c>
      <c r="Y131">
        <f t="shared" si="5"/>
        <v>0</v>
      </c>
    </row>
    <row r="132" spans="1:25" ht="15.75" hidden="1" thickBot="1" x14ac:dyDescent="0.3">
      <c r="A132" s="20"/>
      <c r="B132" s="21" t="s">
        <v>28</v>
      </c>
      <c r="C132" s="36">
        <v>0</v>
      </c>
      <c r="D132" s="36">
        <v>0</v>
      </c>
      <c r="E132" s="36">
        <v>0</v>
      </c>
      <c r="F132" s="36">
        <v>0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/>
      <c r="P132" s="36">
        <v>0</v>
      </c>
      <c r="Q132" s="36">
        <v>0</v>
      </c>
      <c r="R132" s="36">
        <v>0</v>
      </c>
      <c r="S132" s="36">
        <f t="shared" si="9"/>
        <v>0</v>
      </c>
      <c r="T132" s="25">
        <f t="shared" si="6"/>
        <v>0</v>
      </c>
      <c r="U132" s="25">
        <f t="shared" si="7"/>
        <v>0</v>
      </c>
      <c r="V132" s="36"/>
      <c r="W132" s="25">
        <f t="shared" si="8"/>
        <v>0</v>
      </c>
      <c r="Y132">
        <f t="shared" si="5"/>
        <v>0</v>
      </c>
    </row>
    <row r="133" spans="1:25" ht="15.75" hidden="1" thickBot="1" x14ac:dyDescent="0.3">
      <c r="A133" s="20"/>
      <c r="B133" s="21" t="s">
        <v>29</v>
      </c>
      <c r="C133" s="36">
        <v>0</v>
      </c>
      <c r="D133" s="36">
        <v>0</v>
      </c>
      <c r="E133" s="36">
        <v>0</v>
      </c>
      <c r="F133" s="3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/>
      <c r="P133" s="36">
        <v>0</v>
      </c>
      <c r="Q133" s="36">
        <v>0</v>
      </c>
      <c r="R133" s="36">
        <v>0</v>
      </c>
      <c r="S133" s="36">
        <f t="shared" si="9"/>
        <v>0</v>
      </c>
      <c r="T133" s="25">
        <f t="shared" si="6"/>
        <v>0</v>
      </c>
      <c r="U133" s="25">
        <f t="shared" si="7"/>
        <v>0</v>
      </c>
      <c r="V133" s="36"/>
      <c r="W133" s="25">
        <f t="shared" si="8"/>
        <v>0</v>
      </c>
      <c r="Y133">
        <f t="shared" si="5"/>
        <v>0</v>
      </c>
    </row>
    <row r="134" spans="1:25" ht="15.75" hidden="1" thickBot="1" x14ac:dyDescent="0.3">
      <c r="A134" s="20"/>
      <c r="B134" s="21" t="s">
        <v>30</v>
      </c>
      <c r="C134" s="36">
        <v>0</v>
      </c>
      <c r="D134" s="36">
        <v>0</v>
      </c>
      <c r="E134" s="36">
        <v>0</v>
      </c>
      <c r="F134" s="36">
        <v>0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/>
      <c r="P134" s="36">
        <v>0</v>
      </c>
      <c r="Q134" s="36">
        <v>0</v>
      </c>
      <c r="R134" s="36">
        <v>0</v>
      </c>
      <c r="S134" s="36">
        <f t="shared" si="9"/>
        <v>0</v>
      </c>
      <c r="T134" s="25">
        <f t="shared" si="6"/>
        <v>0</v>
      </c>
      <c r="U134" s="25">
        <f t="shared" si="7"/>
        <v>0</v>
      </c>
      <c r="V134" s="36"/>
      <c r="W134" s="25">
        <f t="shared" si="8"/>
        <v>0</v>
      </c>
      <c r="Y134">
        <f t="shared" si="5"/>
        <v>0</v>
      </c>
    </row>
    <row r="135" spans="1:25" ht="15.75" hidden="1" thickBot="1" x14ac:dyDescent="0.3">
      <c r="A135" s="20"/>
      <c r="B135" s="21" t="s">
        <v>31</v>
      </c>
      <c r="C135" s="36">
        <v>0</v>
      </c>
      <c r="D135" s="36">
        <v>0</v>
      </c>
      <c r="E135" s="36">
        <v>0</v>
      </c>
      <c r="F135" s="36">
        <v>0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/>
      <c r="P135" s="36">
        <v>0</v>
      </c>
      <c r="Q135" s="36">
        <v>0</v>
      </c>
      <c r="R135" s="36">
        <v>0</v>
      </c>
      <c r="S135" s="36">
        <f t="shared" si="9"/>
        <v>0</v>
      </c>
      <c r="T135" s="25">
        <f t="shared" si="6"/>
        <v>0</v>
      </c>
      <c r="U135" s="25">
        <f t="shared" si="7"/>
        <v>0</v>
      </c>
      <c r="V135" s="36"/>
      <c r="W135" s="25">
        <f t="shared" si="8"/>
        <v>0</v>
      </c>
      <c r="Y135">
        <f t="shared" si="5"/>
        <v>0</v>
      </c>
    </row>
    <row r="136" spans="1:25" ht="15.75" hidden="1" thickBot="1" x14ac:dyDescent="0.3">
      <c r="A136" s="20"/>
      <c r="B136" s="21" t="s">
        <v>32</v>
      </c>
      <c r="C136" s="36">
        <v>0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/>
      <c r="P136" s="36">
        <v>0</v>
      </c>
      <c r="Q136" s="36">
        <v>0</v>
      </c>
      <c r="R136" s="36">
        <v>0</v>
      </c>
      <c r="S136" s="36">
        <f t="shared" si="9"/>
        <v>0</v>
      </c>
      <c r="T136" s="25">
        <f t="shared" si="6"/>
        <v>0</v>
      </c>
      <c r="U136" s="25">
        <f t="shared" si="7"/>
        <v>0</v>
      </c>
      <c r="V136" s="36"/>
      <c r="W136" s="25">
        <f t="shared" si="8"/>
        <v>0</v>
      </c>
      <c r="Y136">
        <f t="shared" si="5"/>
        <v>0</v>
      </c>
    </row>
    <row r="137" spans="1:25" ht="15.75" hidden="1" thickBot="1" x14ac:dyDescent="0.3">
      <c r="A137" s="20"/>
      <c r="B137" s="21" t="s">
        <v>33</v>
      </c>
      <c r="C137" s="36">
        <v>0</v>
      </c>
      <c r="D137" s="36">
        <v>0</v>
      </c>
      <c r="E137" s="36">
        <v>0</v>
      </c>
      <c r="F137" s="36">
        <v>0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/>
      <c r="P137" s="36">
        <v>0</v>
      </c>
      <c r="Q137" s="36">
        <v>0</v>
      </c>
      <c r="R137" s="36">
        <v>0</v>
      </c>
      <c r="S137" s="36">
        <f t="shared" si="9"/>
        <v>0</v>
      </c>
      <c r="T137" s="25">
        <f t="shared" si="6"/>
        <v>0</v>
      </c>
      <c r="U137" s="25">
        <f t="shared" si="7"/>
        <v>0</v>
      </c>
      <c r="V137" s="36"/>
      <c r="W137" s="25">
        <f t="shared" si="8"/>
        <v>0</v>
      </c>
      <c r="Y137">
        <f t="shared" ref="Y137:Y182" si="10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0</v>
      </c>
      <c r="D138" s="36">
        <v>0</v>
      </c>
      <c r="E138" s="36">
        <v>0</v>
      </c>
      <c r="F138" s="36">
        <v>0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/>
      <c r="P138" s="36">
        <v>0</v>
      </c>
      <c r="Q138" s="36">
        <v>0</v>
      </c>
      <c r="R138" s="36">
        <v>0</v>
      </c>
      <c r="S138" s="36">
        <f t="shared" si="9"/>
        <v>0</v>
      </c>
      <c r="T138" s="25">
        <f t="shared" si="6"/>
        <v>0</v>
      </c>
      <c r="U138" s="25">
        <f t="shared" si="7"/>
        <v>0</v>
      </c>
      <c r="V138" s="36"/>
      <c r="W138" s="25">
        <f t="shared" si="8"/>
        <v>0</v>
      </c>
      <c r="Y138">
        <f t="shared" si="10"/>
        <v>0</v>
      </c>
    </row>
    <row r="139" spans="1:25" ht="15.75" hidden="1" thickBot="1" x14ac:dyDescent="0.3">
      <c r="A139" s="20">
        <v>2014</v>
      </c>
      <c r="B139" s="21" t="s">
        <v>35</v>
      </c>
      <c r="C139" s="36">
        <v>0</v>
      </c>
      <c r="D139" s="36">
        <v>0</v>
      </c>
      <c r="E139" s="36">
        <v>0</v>
      </c>
      <c r="F139" s="36">
        <v>0</v>
      </c>
      <c r="G139" s="36">
        <v>0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/>
      <c r="P139" s="36">
        <v>0</v>
      </c>
      <c r="Q139" s="36">
        <v>0</v>
      </c>
      <c r="R139" s="36">
        <v>0</v>
      </c>
      <c r="S139" s="36">
        <f t="shared" si="9"/>
        <v>0</v>
      </c>
      <c r="T139" s="25">
        <f t="shared" si="6"/>
        <v>0</v>
      </c>
      <c r="U139" s="25">
        <f t="shared" si="7"/>
        <v>0</v>
      </c>
      <c r="V139" s="36"/>
      <c r="W139" s="25">
        <f t="shared" si="8"/>
        <v>0</v>
      </c>
      <c r="Y139">
        <f t="shared" si="10"/>
        <v>0</v>
      </c>
    </row>
    <row r="140" spans="1:25" ht="15.75" hidden="1" thickBot="1" x14ac:dyDescent="0.3">
      <c r="A140" s="20"/>
      <c r="B140" s="21" t="s">
        <v>24</v>
      </c>
      <c r="C140" s="36">
        <v>0</v>
      </c>
      <c r="D140" s="36">
        <v>0</v>
      </c>
      <c r="E140" s="36">
        <v>0</v>
      </c>
      <c r="F140" s="36">
        <v>0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/>
      <c r="P140" s="36">
        <v>0</v>
      </c>
      <c r="Q140" s="36">
        <v>0</v>
      </c>
      <c r="R140" s="36">
        <v>0</v>
      </c>
      <c r="S140" s="36">
        <f t="shared" si="9"/>
        <v>0</v>
      </c>
      <c r="T140" s="25">
        <f t="shared" si="6"/>
        <v>0</v>
      </c>
      <c r="U140" s="25">
        <f t="shared" si="7"/>
        <v>0</v>
      </c>
      <c r="V140" s="36"/>
      <c r="W140" s="25">
        <f t="shared" si="8"/>
        <v>0</v>
      </c>
      <c r="Y140">
        <f t="shared" si="10"/>
        <v>0</v>
      </c>
    </row>
    <row r="141" spans="1:25" ht="15.75" hidden="1" thickBot="1" x14ac:dyDescent="0.3">
      <c r="A141" s="20"/>
      <c r="B141" s="21" t="s">
        <v>25</v>
      </c>
      <c r="C141" s="36">
        <v>0</v>
      </c>
      <c r="D141" s="36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/>
      <c r="P141" s="36">
        <v>0</v>
      </c>
      <c r="Q141" s="36">
        <v>0</v>
      </c>
      <c r="R141" s="36">
        <v>0</v>
      </c>
      <c r="S141" s="36">
        <f t="shared" si="9"/>
        <v>0</v>
      </c>
      <c r="T141" s="25">
        <f t="shared" si="6"/>
        <v>0</v>
      </c>
      <c r="U141" s="25">
        <f t="shared" si="7"/>
        <v>0</v>
      </c>
      <c r="V141" s="36"/>
      <c r="W141" s="25">
        <f t="shared" si="8"/>
        <v>0</v>
      </c>
      <c r="Y141">
        <f t="shared" si="10"/>
        <v>0</v>
      </c>
    </row>
    <row r="142" spans="1:25" ht="15.75" hidden="1" thickBot="1" x14ac:dyDescent="0.3">
      <c r="A142" s="20"/>
      <c r="B142" s="21" t="s">
        <v>26</v>
      </c>
      <c r="C142" s="36">
        <v>0</v>
      </c>
      <c r="D142" s="36">
        <v>0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/>
      <c r="P142" s="36">
        <v>0</v>
      </c>
      <c r="Q142" s="36">
        <v>0</v>
      </c>
      <c r="R142" s="36">
        <v>0</v>
      </c>
      <c r="S142" s="36">
        <f t="shared" si="9"/>
        <v>0</v>
      </c>
      <c r="T142" s="25">
        <f t="shared" si="6"/>
        <v>0</v>
      </c>
      <c r="U142" s="25">
        <f t="shared" si="7"/>
        <v>0</v>
      </c>
      <c r="V142" s="36"/>
      <c r="W142" s="25">
        <f t="shared" si="8"/>
        <v>0</v>
      </c>
      <c r="Y142">
        <f t="shared" si="10"/>
        <v>0</v>
      </c>
    </row>
    <row r="143" spans="1:25" ht="15.75" hidden="1" thickBot="1" x14ac:dyDescent="0.3">
      <c r="A143" s="20"/>
      <c r="B143" s="21" t="s">
        <v>27</v>
      </c>
      <c r="C143" s="36">
        <v>0</v>
      </c>
      <c r="D143" s="36">
        <v>0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/>
      <c r="P143" s="36">
        <v>0</v>
      </c>
      <c r="Q143" s="36">
        <v>0</v>
      </c>
      <c r="R143" s="36">
        <v>0</v>
      </c>
      <c r="S143" s="36">
        <f t="shared" si="9"/>
        <v>0</v>
      </c>
      <c r="T143" s="25">
        <f t="shared" si="6"/>
        <v>0</v>
      </c>
      <c r="U143" s="25">
        <f t="shared" si="7"/>
        <v>0</v>
      </c>
      <c r="V143" s="36"/>
      <c r="W143" s="25">
        <f t="shared" si="8"/>
        <v>0</v>
      </c>
      <c r="Y143">
        <f t="shared" si="10"/>
        <v>0</v>
      </c>
    </row>
    <row r="144" spans="1:25" ht="15.75" hidden="1" thickBot="1" x14ac:dyDescent="0.3">
      <c r="A144" s="20"/>
      <c r="B144" s="21" t="s">
        <v>28</v>
      </c>
      <c r="C144" s="36">
        <v>0</v>
      </c>
      <c r="D144" s="36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/>
      <c r="P144" s="36">
        <v>0</v>
      </c>
      <c r="Q144" s="36">
        <v>0</v>
      </c>
      <c r="R144" s="36">
        <v>0</v>
      </c>
      <c r="S144" s="36">
        <f t="shared" si="9"/>
        <v>0</v>
      </c>
      <c r="T144" s="25">
        <f t="shared" si="6"/>
        <v>0</v>
      </c>
      <c r="U144" s="25">
        <f t="shared" si="7"/>
        <v>0</v>
      </c>
      <c r="V144" s="36"/>
      <c r="W144" s="25">
        <f t="shared" si="8"/>
        <v>0</v>
      </c>
      <c r="Y144">
        <f t="shared" si="10"/>
        <v>0</v>
      </c>
    </row>
    <row r="145" spans="1:25" ht="15.75" hidden="1" thickBot="1" x14ac:dyDescent="0.3">
      <c r="A145" s="20"/>
      <c r="B145" s="21" t="s">
        <v>29</v>
      </c>
      <c r="C145" s="36">
        <v>0</v>
      </c>
      <c r="D145" s="36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/>
      <c r="P145" s="36">
        <v>0</v>
      </c>
      <c r="Q145" s="36">
        <v>0</v>
      </c>
      <c r="R145" s="36">
        <v>0</v>
      </c>
      <c r="S145" s="36">
        <f t="shared" si="9"/>
        <v>0</v>
      </c>
      <c r="T145" s="25">
        <f t="shared" si="6"/>
        <v>0</v>
      </c>
      <c r="U145" s="25">
        <f t="shared" si="7"/>
        <v>0</v>
      </c>
      <c r="V145" s="36"/>
      <c r="W145" s="25">
        <f t="shared" si="8"/>
        <v>0</v>
      </c>
      <c r="Y145">
        <f t="shared" si="10"/>
        <v>0</v>
      </c>
    </row>
    <row r="146" spans="1:25" ht="15.75" hidden="1" thickBot="1" x14ac:dyDescent="0.3">
      <c r="A146" s="20"/>
      <c r="B146" s="21" t="s">
        <v>30</v>
      </c>
      <c r="C146" s="36">
        <v>0</v>
      </c>
      <c r="D146" s="36">
        <v>0</v>
      </c>
      <c r="E146" s="36">
        <v>0</v>
      </c>
      <c r="F146" s="36">
        <v>0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/>
      <c r="P146" s="36">
        <v>0</v>
      </c>
      <c r="Q146" s="36">
        <v>0</v>
      </c>
      <c r="R146" s="36">
        <v>0</v>
      </c>
      <c r="S146" s="36">
        <f t="shared" si="9"/>
        <v>0</v>
      </c>
      <c r="T146" s="25">
        <f t="shared" si="6"/>
        <v>0</v>
      </c>
      <c r="U146" s="25">
        <f t="shared" si="7"/>
        <v>0</v>
      </c>
      <c r="V146" s="36"/>
      <c r="W146" s="25">
        <f t="shared" si="8"/>
        <v>0</v>
      </c>
      <c r="Y146">
        <f t="shared" si="10"/>
        <v>0</v>
      </c>
    </row>
    <row r="147" spans="1:25" ht="15.75" hidden="1" thickBot="1" x14ac:dyDescent="0.3">
      <c r="A147" s="20"/>
      <c r="B147" s="21" t="s">
        <v>31</v>
      </c>
      <c r="C147" s="36">
        <v>0</v>
      </c>
      <c r="D147" s="36">
        <v>0</v>
      </c>
      <c r="E147" s="36">
        <v>0</v>
      </c>
      <c r="F147" s="36">
        <v>0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/>
      <c r="P147" s="36">
        <v>0</v>
      </c>
      <c r="Q147" s="36">
        <v>0</v>
      </c>
      <c r="R147" s="36">
        <v>0</v>
      </c>
      <c r="S147" s="36">
        <f t="shared" si="9"/>
        <v>0</v>
      </c>
      <c r="T147" s="25">
        <f t="shared" si="6"/>
        <v>0</v>
      </c>
      <c r="U147" s="25">
        <f t="shared" si="7"/>
        <v>0</v>
      </c>
      <c r="V147" s="36"/>
      <c r="W147" s="25">
        <f t="shared" si="8"/>
        <v>0</v>
      </c>
      <c r="Y147">
        <f t="shared" si="10"/>
        <v>0</v>
      </c>
    </row>
    <row r="148" spans="1:25" ht="15.75" hidden="1" thickBot="1" x14ac:dyDescent="0.3">
      <c r="A148" s="20"/>
      <c r="B148" s="21" t="s">
        <v>32</v>
      </c>
      <c r="C148" s="36">
        <v>0</v>
      </c>
      <c r="D148" s="36">
        <v>0</v>
      </c>
      <c r="E148" s="36">
        <v>0</v>
      </c>
      <c r="F148" s="36">
        <v>0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/>
      <c r="P148" s="36">
        <v>0</v>
      </c>
      <c r="Q148" s="36">
        <v>0</v>
      </c>
      <c r="R148" s="36">
        <v>0</v>
      </c>
      <c r="S148" s="36">
        <f t="shared" si="9"/>
        <v>0</v>
      </c>
      <c r="T148" s="25">
        <f t="shared" si="6"/>
        <v>0</v>
      </c>
      <c r="U148" s="25">
        <f t="shared" si="7"/>
        <v>0</v>
      </c>
      <c r="V148" s="36"/>
      <c r="W148" s="25">
        <f t="shared" si="8"/>
        <v>0</v>
      </c>
      <c r="Y148">
        <f t="shared" si="10"/>
        <v>0</v>
      </c>
    </row>
    <row r="149" spans="1:25" ht="15.75" hidden="1" thickBot="1" x14ac:dyDescent="0.3">
      <c r="A149" s="20"/>
      <c r="B149" s="21" t="s">
        <v>33</v>
      </c>
      <c r="C149" s="36">
        <v>0</v>
      </c>
      <c r="D149" s="36">
        <v>0</v>
      </c>
      <c r="E149" s="36">
        <v>0</v>
      </c>
      <c r="F149" s="36">
        <v>0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/>
      <c r="P149" s="36">
        <v>0</v>
      </c>
      <c r="Q149" s="36">
        <v>0</v>
      </c>
      <c r="R149" s="36">
        <v>0</v>
      </c>
      <c r="S149" s="36">
        <f t="shared" si="9"/>
        <v>0</v>
      </c>
      <c r="T149" s="25">
        <f t="shared" si="6"/>
        <v>0</v>
      </c>
      <c r="U149" s="25">
        <f t="shared" si="7"/>
        <v>0</v>
      </c>
      <c r="V149" s="36"/>
      <c r="W149" s="25">
        <f t="shared" si="8"/>
        <v>0</v>
      </c>
      <c r="Y149">
        <f t="shared" si="10"/>
        <v>0</v>
      </c>
    </row>
    <row r="150" spans="1:25" ht="15.75" hidden="1" thickBot="1" x14ac:dyDescent="0.3">
      <c r="A150" s="20"/>
      <c r="B150" s="21" t="s">
        <v>34</v>
      </c>
      <c r="C150" s="36">
        <v>0</v>
      </c>
      <c r="D150" s="36">
        <v>0</v>
      </c>
      <c r="E150" s="36">
        <v>0</v>
      </c>
      <c r="F150" s="36">
        <v>0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/>
      <c r="P150" s="36">
        <v>0</v>
      </c>
      <c r="Q150" s="36">
        <v>0</v>
      </c>
      <c r="R150" s="36">
        <v>0</v>
      </c>
      <c r="S150" s="36">
        <f t="shared" si="9"/>
        <v>0</v>
      </c>
      <c r="T150" s="25">
        <f t="shared" si="6"/>
        <v>0</v>
      </c>
      <c r="U150" s="25">
        <f t="shared" si="7"/>
        <v>0</v>
      </c>
      <c r="V150" s="36"/>
      <c r="W150" s="25">
        <f t="shared" si="8"/>
        <v>0</v>
      </c>
      <c r="Y150">
        <f t="shared" si="10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0</v>
      </c>
      <c r="D151" s="36">
        <v>0</v>
      </c>
      <c r="E151" s="36">
        <v>0</v>
      </c>
      <c r="F151" s="36">
        <v>0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/>
      <c r="P151" s="36">
        <v>0</v>
      </c>
      <c r="Q151" s="36">
        <v>0</v>
      </c>
      <c r="R151" s="36">
        <v>0</v>
      </c>
      <c r="S151" s="36">
        <f t="shared" si="9"/>
        <v>0</v>
      </c>
      <c r="T151" s="25">
        <f t="shared" ref="T151:T185" si="11">W150</f>
        <v>0</v>
      </c>
      <c r="U151" s="25">
        <f t="shared" ref="U151:U185" si="12">S151+T151</f>
        <v>0</v>
      </c>
      <c r="V151" s="36"/>
      <c r="W151" s="25">
        <f t="shared" ref="W151:W185" si="13">U151-V151</f>
        <v>0</v>
      </c>
      <c r="Y151">
        <f t="shared" si="10"/>
        <v>0</v>
      </c>
    </row>
    <row r="152" spans="1:25" ht="15.75" hidden="1" thickBot="1" x14ac:dyDescent="0.3">
      <c r="A152" s="20"/>
      <c r="B152" s="21" t="s">
        <v>24</v>
      </c>
      <c r="C152" s="36">
        <v>0</v>
      </c>
      <c r="D152" s="36">
        <v>0</v>
      </c>
      <c r="E152" s="36">
        <v>0</v>
      </c>
      <c r="F152" s="36">
        <v>0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/>
      <c r="P152" s="36">
        <v>0</v>
      </c>
      <c r="Q152" s="36">
        <v>0</v>
      </c>
      <c r="R152" s="36">
        <v>0</v>
      </c>
      <c r="S152" s="36">
        <f t="shared" si="9"/>
        <v>0</v>
      </c>
      <c r="T152" s="25">
        <f t="shared" si="11"/>
        <v>0</v>
      </c>
      <c r="U152" s="25">
        <f t="shared" si="12"/>
        <v>0</v>
      </c>
      <c r="V152" s="36"/>
      <c r="W152" s="25">
        <f t="shared" si="13"/>
        <v>0</v>
      </c>
      <c r="Y152">
        <f t="shared" si="10"/>
        <v>0</v>
      </c>
    </row>
    <row r="153" spans="1:25" ht="15.75" hidden="1" thickBot="1" x14ac:dyDescent="0.3">
      <c r="A153" s="20"/>
      <c r="B153" s="21" t="s">
        <v>25</v>
      </c>
      <c r="C153" s="36">
        <v>0</v>
      </c>
      <c r="D153" s="36">
        <v>0</v>
      </c>
      <c r="E153" s="36">
        <v>0</v>
      </c>
      <c r="F153" s="36">
        <v>0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/>
      <c r="P153" s="36">
        <v>0</v>
      </c>
      <c r="Q153" s="36">
        <v>0</v>
      </c>
      <c r="R153" s="36">
        <v>0</v>
      </c>
      <c r="S153" s="36">
        <f t="shared" si="9"/>
        <v>0</v>
      </c>
      <c r="T153" s="25">
        <f t="shared" si="11"/>
        <v>0</v>
      </c>
      <c r="U153" s="25">
        <f t="shared" si="12"/>
        <v>0</v>
      </c>
      <c r="V153" s="36"/>
      <c r="W153" s="25">
        <f t="shared" si="13"/>
        <v>0</v>
      </c>
      <c r="Y153">
        <f t="shared" si="10"/>
        <v>0</v>
      </c>
    </row>
    <row r="154" spans="1:25" ht="15.75" hidden="1" thickBot="1" x14ac:dyDescent="0.3">
      <c r="A154" s="20"/>
      <c r="B154" s="21" t="s">
        <v>26</v>
      </c>
      <c r="C154" s="36">
        <v>0</v>
      </c>
      <c r="D154" s="36">
        <v>0</v>
      </c>
      <c r="E154" s="36">
        <v>0</v>
      </c>
      <c r="F154" s="36">
        <v>0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/>
      <c r="P154" s="36">
        <v>0</v>
      </c>
      <c r="Q154" s="36">
        <v>0</v>
      </c>
      <c r="R154" s="36">
        <v>0</v>
      </c>
      <c r="S154" s="36">
        <f t="shared" si="9"/>
        <v>0</v>
      </c>
      <c r="T154" s="25">
        <f t="shared" si="11"/>
        <v>0</v>
      </c>
      <c r="U154" s="25">
        <f t="shared" si="12"/>
        <v>0</v>
      </c>
      <c r="V154" s="36"/>
      <c r="W154" s="25">
        <f t="shared" si="13"/>
        <v>0</v>
      </c>
      <c r="Y154">
        <f t="shared" si="10"/>
        <v>0</v>
      </c>
    </row>
    <row r="155" spans="1:25" ht="15.75" hidden="1" thickBot="1" x14ac:dyDescent="0.3">
      <c r="A155" s="20"/>
      <c r="B155" s="21" t="s">
        <v>27</v>
      </c>
      <c r="C155" s="36">
        <v>0</v>
      </c>
      <c r="D155" s="36">
        <v>0</v>
      </c>
      <c r="E155" s="36">
        <v>0</v>
      </c>
      <c r="F155" s="36">
        <v>0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/>
      <c r="P155" s="36">
        <v>0</v>
      </c>
      <c r="Q155" s="36">
        <v>0</v>
      </c>
      <c r="R155" s="36">
        <v>0</v>
      </c>
      <c r="S155" s="36">
        <f t="shared" si="9"/>
        <v>0</v>
      </c>
      <c r="T155" s="25">
        <f t="shared" si="11"/>
        <v>0</v>
      </c>
      <c r="U155" s="25">
        <f t="shared" si="12"/>
        <v>0</v>
      </c>
      <c r="V155" s="36"/>
      <c r="W155" s="25">
        <f t="shared" si="13"/>
        <v>0</v>
      </c>
      <c r="Y155">
        <f t="shared" si="10"/>
        <v>0</v>
      </c>
    </row>
    <row r="156" spans="1:25" ht="15.75" hidden="1" thickBot="1" x14ac:dyDescent="0.3">
      <c r="A156" s="20"/>
      <c r="B156" s="21" t="s">
        <v>28</v>
      </c>
      <c r="C156" s="36">
        <v>0</v>
      </c>
      <c r="D156" s="36">
        <v>0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/>
      <c r="P156" s="36">
        <v>0</v>
      </c>
      <c r="Q156" s="36">
        <v>0</v>
      </c>
      <c r="R156" s="36">
        <v>0</v>
      </c>
      <c r="S156" s="36">
        <f t="shared" si="9"/>
        <v>0</v>
      </c>
      <c r="T156" s="25">
        <f t="shared" si="11"/>
        <v>0</v>
      </c>
      <c r="U156" s="25">
        <f t="shared" si="12"/>
        <v>0</v>
      </c>
      <c r="V156" s="36"/>
      <c r="W156" s="25">
        <f t="shared" si="13"/>
        <v>0</v>
      </c>
      <c r="Y156">
        <f t="shared" si="10"/>
        <v>0</v>
      </c>
    </row>
    <row r="157" spans="1:25" ht="15.75" hidden="1" thickBot="1" x14ac:dyDescent="0.3">
      <c r="A157" s="20"/>
      <c r="B157" s="21" t="s">
        <v>29</v>
      </c>
      <c r="C157" s="36">
        <v>0</v>
      </c>
      <c r="D157" s="36">
        <v>0</v>
      </c>
      <c r="E157" s="36">
        <v>0</v>
      </c>
      <c r="F157" s="36">
        <v>0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/>
      <c r="P157" s="36">
        <v>0</v>
      </c>
      <c r="Q157" s="36">
        <v>0</v>
      </c>
      <c r="R157" s="36">
        <v>0</v>
      </c>
      <c r="S157" s="36">
        <f t="shared" si="9"/>
        <v>0</v>
      </c>
      <c r="T157" s="25">
        <f t="shared" si="11"/>
        <v>0</v>
      </c>
      <c r="U157" s="25">
        <f t="shared" si="12"/>
        <v>0</v>
      </c>
      <c r="V157" s="36"/>
      <c r="W157" s="25">
        <f t="shared" si="13"/>
        <v>0</v>
      </c>
      <c r="Y157">
        <f t="shared" si="10"/>
        <v>0</v>
      </c>
    </row>
    <row r="158" spans="1:25" ht="15.75" hidden="1" thickBot="1" x14ac:dyDescent="0.3">
      <c r="A158" s="20"/>
      <c r="B158" s="21" t="s">
        <v>30</v>
      </c>
      <c r="C158" s="36">
        <v>0</v>
      </c>
      <c r="D158" s="36">
        <v>0</v>
      </c>
      <c r="E158" s="36">
        <v>0</v>
      </c>
      <c r="F158" s="36">
        <v>0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/>
      <c r="P158" s="36">
        <v>0</v>
      </c>
      <c r="Q158" s="36">
        <v>0</v>
      </c>
      <c r="R158" s="36">
        <v>0</v>
      </c>
      <c r="S158" s="36">
        <f t="shared" si="9"/>
        <v>0</v>
      </c>
      <c r="T158" s="25">
        <f t="shared" si="11"/>
        <v>0</v>
      </c>
      <c r="U158" s="25">
        <f t="shared" si="12"/>
        <v>0</v>
      </c>
      <c r="V158" s="36"/>
      <c r="W158" s="25">
        <f t="shared" si="13"/>
        <v>0</v>
      </c>
      <c r="Y158">
        <f t="shared" si="10"/>
        <v>0</v>
      </c>
    </row>
    <row r="159" spans="1:25" ht="15.75" hidden="1" thickBot="1" x14ac:dyDescent="0.3">
      <c r="A159" s="20"/>
      <c r="B159" s="21" t="s">
        <v>31</v>
      </c>
      <c r="C159" s="36">
        <v>0</v>
      </c>
      <c r="D159" s="36">
        <v>0</v>
      </c>
      <c r="E159" s="36">
        <v>0</v>
      </c>
      <c r="F159" s="36">
        <v>0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/>
      <c r="P159" s="36">
        <v>0</v>
      </c>
      <c r="Q159" s="36">
        <v>0</v>
      </c>
      <c r="R159" s="36">
        <v>0</v>
      </c>
      <c r="S159" s="36">
        <f t="shared" si="9"/>
        <v>0</v>
      </c>
      <c r="T159" s="25">
        <f t="shared" si="11"/>
        <v>0</v>
      </c>
      <c r="U159" s="25">
        <f t="shared" si="12"/>
        <v>0</v>
      </c>
      <c r="V159" s="36"/>
      <c r="W159" s="25">
        <f t="shared" si="13"/>
        <v>0</v>
      </c>
      <c r="Y159">
        <f t="shared" si="10"/>
        <v>0</v>
      </c>
    </row>
    <row r="160" spans="1:25" ht="15.75" hidden="1" thickBot="1" x14ac:dyDescent="0.3">
      <c r="A160" s="20"/>
      <c r="B160" s="21" t="s">
        <v>32</v>
      </c>
      <c r="C160" s="36">
        <v>0</v>
      </c>
      <c r="D160" s="36">
        <v>0</v>
      </c>
      <c r="E160" s="36">
        <v>0</v>
      </c>
      <c r="F160" s="36">
        <v>0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/>
      <c r="P160" s="36">
        <v>0</v>
      </c>
      <c r="Q160" s="36">
        <v>0</v>
      </c>
      <c r="R160" s="36">
        <v>0</v>
      </c>
      <c r="S160" s="36">
        <f t="shared" si="9"/>
        <v>0</v>
      </c>
      <c r="T160" s="25">
        <f t="shared" si="11"/>
        <v>0</v>
      </c>
      <c r="U160" s="25">
        <f t="shared" si="12"/>
        <v>0</v>
      </c>
      <c r="V160" s="36"/>
      <c r="W160" s="25">
        <f t="shared" si="13"/>
        <v>0</v>
      </c>
      <c r="Y160">
        <f t="shared" si="10"/>
        <v>0</v>
      </c>
    </row>
    <row r="161" spans="1:25" ht="15.75" hidden="1" thickBot="1" x14ac:dyDescent="0.3">
      <c r="A161" s="20"/>
      <c r="B161" s="21" t="s">
        <v>33</v>
      </c>
      <c r="C161" s="36">
        <v>0</v>
      </c>
      <c r="D161" s="36">
        <v>0</v>
      </c>
      <c r="E161" s="36">
        <v>0</v>
      </c>
      <c r="F161" s="36">
        <v>0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/>
      <c r="P161" s="36">
        <v>0</v>
      </c>
      <c r="Q161" s="36">
        <v>0</v>
      </c>
      <c r="R161" s="36">
        <v>0</v>
      </c>
      <c r="S161" s="36">
        <f t="shared" si="9"/>
        <v>0</v>
      </c>
      <c r="T161" s="25">
        <f t="shared" si="11"/>
        <v>0</v>
      </c>
      <c r="U161" s="25">
        <f t="shared" si="12"/>
        <v>0</v>
      </c>
      <c r="V161" s="36"/>
      <c r="W161" s="25">
        <f t="shared" si="13"/>
        <v>0</v>
      </c>
      <c r="Y161">
        <f t="shared" si="10"/>
        <v>0</v>
      </c>
    </row>
    <row r="162" spans="1:25" ht="15.75" hidden="1" thickBot="1" x14ac:dyDescent="0.3">
      <c r="A162" s="20"/>
      <c r="B162" s="21" t="s">
        <v>34</v>
      </c>
      <c r="C162" s="36">
        <v>0</v>
      </c>
      <c r="D162" s="36">
        <v>0</v>
      </c>
      <c r="E162" s="36">
        <v>0</v>
      </c>
      <c r="F162" s="36">
        <v>0</v>
      </c>
      <c r="G162" s="36">
        <v>0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/>
      <c r="P162" s="36">
        <v>0</v>
      </c>
      <c r="Q162" s="36">
        <v>0</v>
      </c>
      <c r="R162" s="36">
        <v>0</v>
      </c>
      <c r="S162" s="36">
        <f t="shared" si="9"/>
        <v>0</v>
      </c>
      <c r="T162" s="25">
        <f t="shared" si="11"/>
        <v>0</v>
      </c>
      <c r="U162" s="25">
        <f t="shared" si="12"/>
        <v>0</v>
      </c>
      <c r="V162" s="36"/>
      <c r="W162" s="25">
        <f t="shared" si="13"/>
        <v>0</v>
      </c>
      <c r="Y162">
        <f t="shared" si="10"/>
        <v>0</v>
      </c>
    </row>
    <row r="163" spans="1:25" ht="15.75" hidden="1" thickBot="1" x14ac:dyDescent="0.3">
      <c r="A163" s="20">
        <v>2016</v>
      </c>
      <c r="B163" s="21" t="s">
        <v>35</v>
      </c>
      <c r="C163" s="36">
        <v>0</v>
      </c>
      <c r="D163" s="36">
        <v>0</v>
      </c>
      <c r="E163" s="36">
        <v>0</v>
      </c>
      <c r="F163" s="36">
        <v>0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/>
      <c r="P163" s="36">
        <v>0</v>
      </c>
      <c r="Q163" s="36">
        <v>0</v>
      </c>
      <c r="R163" s="36">
        <v>0</v>
      </c>
      <c r="S163" s="36">
        <f t="shared" si="9"/>
        <v>0</v>
      </c>
      <c r="T163" s="25">
        <f t="shared" si="11"/>
        <v>0</v>
      </c>
      <c r="U163" s="25">
        <f t="shared" si="12"/>
        <v>0</v>
      </c>
      <c r="V163" s="36"/>
      <c r="W163" s="25">
        <f t="shared" si="13"/>
        <v>0</v>
      </c>
      <c r="Y163">
        <f t="shared" si="10"/>
        <v>0</v>
      </c>
    </row>
    <row r="164" spans="1:25" ht="15.75" hidden="1" thickBot="1" x14ac:dyDescent="0.3">
      <c r="A164" s="20"/>
      <c r="B164" s="21" t="s">
        <v>24</v>
      </c>
      <c r="C164" s="36">
        <v>0</v>
      </c>
      <c r="D164" s="36">
        <v>0</v>
      </c>
      <c r="E164" s="36">
        <v>0</v>
      </c>
      <c r="F164" s="36">
        <v>0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/>
      <c r="P164" s="36">
        <v>0</v>
      </c>
      <c r="Q164" s="36">
        <v>0</v>
      </c>
      <c r="R164" s="36">
        <v>0</v>
      </c>
      <c r="S164" s="36">
        <f t="shared" si="9"/>
        <v>0</v>
      </c>
      <c r="T164" s="25">
        <f t="shared" si="11"/>
        <v>0</v>
      </c>
      <c r="U164" s="25">
        <f t="shared" si="12"/>
        <v>0</v>
      </c>
      <c r="V164" s="36"/>
      <c r="W164" s="25">
        <f t="shared" si="13"/>
        <v>0</v>
      </c>
      <c r="Y164">
        <f t="shared" si="10"/>
        <v>0</v>
      </c>
    </row>
    <row r="165" spans="1:25" ht="15.75" hidden="1" thickBot="1" x14ac:dyDescent="0.3">
      <c r="A165" s="20"/>
      <c r="B165" s="21" t="s">
        <v>25</v>
      </c>
      <c r="C165" s="36">
        <v>0</v>
      </c>
      <c r="D165" s="36">
        <v>0</v>
      </c>
      <c r="E165" s="36">
        <v>0</v>
      </c>
      <c r="F165" s="36">
        <v>0</v>
      </c>
      <c r="G165" s="36">
        <v>0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/>
      <c r="P165" s="36">
        <v>0</v>
      </c>
      <c r="Q165" s="36">
        <v>0</v>
      </c>
      <c r="R165" s="36">
        <v>0</v>
      </c>
      <c r="S165" s="36">
        <f t="shared" si="9"/>
        <v>0</v>
      </c>
      <c r="T165" s="25">
        <f t="shared" si="11"/>
        <v>0</v>
      </c>
      <c r="U165" s="25">
        <f t="shared" si="12"/>
        <v>0</v>
      </c>
      <c r="V165" s="36"/>
      <c r="W165" s="25">
        <f t="shared" si="13"/>
        <v>0</v>
      </c>
      <c r="Y165">
        <f t="shared" si="10"/>
        <v>0</v>
      </c>
    </row>
    <row r="166" spans="1:25" ht="15.75" hidden="1" thickBot="1" x14ac:dyDescent="0.3">
      <c r="A166" s="20"/>
      <c r="B166" s="21" t="s">
        <v>26</v>
      </c>
      <c r="C166" s="36">
        <v>0</v>
      </c>
      <c r="D166" s="36">
        <v>0</v>
      </c>
      <c r="E166" s="36">
        <v>0</v>
      </c>
      <c r="F166" s="36">
        <v>0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/>
      <c r="P166" s="36">
        <v>0</v>
      </c>
      <c r="Q166" s="36">
        <v>0</v>
      </c>
      <c r="R166" s="36">
        <v>0</v>
      </c>
      <c r="S166" s="36">
        <f t="shared" si="9"/>
        <v>0</v>
      </c>
      <c r="T166" s="25">
        <f t="shared" si="11"/>
        <v>0</v>
      </c>
      <c r="U166" s="25">
        <f t="shared" si="12"/>
        <v>0</v>
      </c>
      <c r="V166" s="36"/>
      <c r="W166" s="25">
        <f t="shared" si="13"/>
        <v>0</v>
      </c>
      <c r="Y166">
        <f t="shared" si="10"/>
        <v>0</v>
      </c>
    </row>
    <row r="167" spans="1:25" ht="15.75" hidden="1" thickBot="1" x14ac:dyDescent="0.3">
      <c r="A167" s="20"/>
      <c r="B167" s="21" t="s">
        <v>27</v>
      </c>
      <c r="C167" s="36">
        <v>0</v>
      </c>
      <c r="D167" s="36">
        <v>0</v>
      </c>
      <c r="E167" s="36">
        <v>0</v>
      </c>
      <c r="F167" s="36">
        <v>0</v>
      </c>
      <c r="G167" s="36">
        <v>0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/>
      <c r="P167" s="36">
        <v>0</v>
      </c>
      <c r="Q167" s="36">
        <v>0</v>
      </c>
      <c r="R167" s="36">
        <v>0</v>
      </c>
      <c r="S167" s="36">
        <f t="shared" si="9"/>
        <v>0</v>
      </c>
      <c r="T167" s="25">
        <f t="shared" si="11"/>
        <v>0</v>
      </c>
      <c r="U167" s="25">
        <f t="shared" si="12"/>
        <v>0</v>
      </c>
      <c r="V167" s="36"/>
      <c r="W167" s="25">
        <f t="shared" si="13"/>
        <v>0</v>
      </c>
      <c r="Y167">
        <f t="shared" si="10"/>
        <v>0</v>
      </c>
    </row>
    <row r="168" spans="1:25" ht="15.75" hidden="1" thickBot="1" x14ac:dyDescent="0.3">
      <c r="A168" s="20"/>
      <c r="B168" s="21" t="s">
        <v>28</v>
      </c>
      <c r="C168" s="36">
        <v>0</v>
      </c>
      <c r="D168" s="36">
        <v>0</v>
      </c>
      <c r="E168" s="36">
        <v>0</v>
      </c>
      <c r="F168" s="36">
        <v>0</v>
      </c>
      <c r="G168" s="36">
        <v>0</v>
      </c>
      <c r="H168" s="36">
        <v>0</v>
      </c>
      <c r="I168" s="36">
        <v>0</v>
      </c>
      <c r="J168" s="36">
        <v>0</v>
      </c>
      <c r="K168" s="36">
        <v>0</v>
      </c>
      <c r="L168" s="36">
        <v>0</v>
      </c>
      <c r="M168" s="36">
        <v>0</v>
      </c>
      <c r="N168" s="36">
        <v>0</v>
      </c>
      <c r="O168" s="36"/>
      <c r="P168" s="36">
        <v>0</v>
      </c>
      <c r="Q168" s="36">
        <v>0</v>
      </c>
      <c r="R168" s="36">
        <v>0</v>
      </c>
      <c r="S168" s="36">
        <f t="shared" si="9"/>
        <v>0</v>
      </c>
      <c r="T168" s="25">
        <f t="shared" si="11"/>
        <v>0</v>
      </c>
      <c r="U168" s="25">
        <f t="shared" si="12"/>
        <v>0</v>
      </c>
      <c r="V168" s="36"/>
      <c r="W168" s="25">
        <f t="shared" si="13"/>
        <v>0</v>
      </c>
      <c r="Y168">
        <f t="shared" si="10"/>
        <v>0</v>
      </c>
    </row>
    <row r="169" spans="1:25" ht="15.75" hidden="1" thickBot="1" x14ac:dyDescent="0.3">
      <c r="A169" s="20"/>
      <c r="B169" s="21" t="s">
        <v>29</v>
      </c>
      <c r="C169" s="36">
        <v>0</v>
      </c>
      <c r="D169" s="36">
        <v>0</v>
      </c>
      <c r="E169" s="36">
        <v>0</v>
      </c>
      <c r="F169" s="36">
        <v>0</v>
      </c>
      <c r="G169" s="36">
        <v>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/>
      <c r="P169" s="36">
        <v>0</v>
      </c>
      <c r="Q169" s="36">
        <v>0</v>
      </c>
      <c r="R169" s="36">
        <v>0</v>
      </c>
      <c r="S169" s="36">
        <f t="shared" si="9"/>
        <v>0</v>
      </c>
      <c r="T169" s="25">
        <f t="shared" si="11"/>
        <v>0</v>
      </c>
      <c r="U169" s="25">
        <f t="shared" si="12"/>
        <v>0</v>
      </c>
      <c r="V169" s="36"/>
      <c r="W169" s="25">
        <f t="shared" si="13"/>
        <v>0</v>
      </c>
      <c r="Y169">
        <f t="shared" si="10"/>
        <v>0</v>
      </c>
    </row>
    <row r="170" spans="1:25" ht="15.75" hidden="1" thickBot="1" x14ac:dyDescent="0.3">
      <c r="A170" s="20"/>
      <c r="B170" s="21" t="s">
        <v>30</v>
      </c>
      <c r="C170" s="36">
        <v>0</v>
      </c>
      <c r="D170" s="36">
        <v>0</v>
      </c>
      <c r="E170" s="36">
        <v>0</v>
      </c>
      <c r="F170" s="36">
        <v>0</v>
      </c>
      <c r="G170" s="36">
        <v>0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/>
      <c r="P170" s="36">
        <v>0</v>
      </c>
      <c r="Q170" s="36">
        <v>0</v>
      </c>
      <c r="R170" s="36">
        <v>0</v>
      </c>
      <c r="S170" s="36">
        <f t="shared" si="9"/>
        <v>0</v>
      </c>
      <c r="T170" s="25">
        <f t="shared" si="11"/>
        <v>0</v>
      </c>
      <c r="U170" s="25">
        <f t="shared" si="12"/>
        <v>0</v>
      </c>
      <c r="V170" s="36"/>
      <c r="W170" s="25">
        <f t="shared" si="13"/>
        <v>0</v>
      </c>
      <c r="Y170">
        <f t="shared" si="10"/>
        <v>0</v>
      </c>
    </row>
    <row r="171" spans="1:25" ht="15.75" hidden="1" thickBot="1" x14ac:dyDescent="0.3">
      <c r="A171" s="20"/>
      <c r="B171" s="21" t="s">
        <v>31</v>
      </c>
      <c r="C171" s="36">
        <v>0</v>
      </c>
      <c r="D171" s="36">
        <v>0</v>
      </c>
      <c r="E171" s="36">
        <v>0</v>
      </c>
      <c r="F171" s="36">
        <v>0</v>
      </c>
      <c r="G171" s="36">
        <v>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/>
      <c r="P171" s="36">
        <v>0</v>
      </c>
      <c r="Q171" s="36">
        <v>0</v>
      </c>
      <c r="R171" s="36">
        <v>0</v>
      </c>
      <c r="S171" s="36">
        <f t="shared" si="9"/>
        <v>0</v>
      </c>
      <c r="T171" s="25">
        <f t="shared" si="11"/>
        <v>0</v>
      </c>
      <c r="U171" s="25">
        <f t="shared" si="12"/>
        <v>0</v>
      </c>
      <c r="V171" s="36"/>
      <c r="W171" s="25">
        <f t="shared" si="13"/>
        <v>0</v>
      </c>
      <c r="Y171">
        <f t="shared" si="10"/>
        <v>0</v>
      </c>
    </row>
    <row r="172" spans="1:25" ht="15.75" hidden="1" thickBot="1" x14ac:dyDescent="0.3">
      <c r="A172" s="20"/>
      <c r="B172" s="21" t="s">
        <v>32</v>
      </c>
      <c r="C172" s="36">
        <v>0</v>
      </c>
      <c r="D172" s="36">
        <v>0</v>
      </c>
      <c r="E172" s="36">
        <v>0</v>
      </c>
      <c r="F172" s="36">
        <v>0</v>
      </c>
      <c r="G172" s="36">
        <v>0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/>
      <c r="P172" s="36">
        <v>0</v>
      </c>
      <c r="Q172" s="36">
        <v>0</v>
      </c>
      <c r="R172" s="36">
        <v>0</v>
      </c>
      <c r="S172" s="36">
        <f t="shared" si="9"/>
        <v>0</v>
      </c>
      <c r="T172" s="25">
        <f t="shared" si="11"/>
        <v>0</v>
      </c>
      <c r="U172" s="25">
        <f t="shared" si="12"/>
        <v>0</v>
      </c>
      <c r="V172" s="36"/>
      <c r="W172" s="25">
        <f t="shared" si="13"/>
        <v>0</v>
      </c>
      <c r="Y172">
        <f t="shared" si="10"/>
        <v>0</v>
      </c>
    </row>
    <row r="173" spans="1:25" ht="15.75" hidden="1" thickBot="1" x14ac:dyDescent="0.3">
      <c r="A173" s="20"/>
      <c r="B173" s="21" t="s">
        <v>33</v>
      </c>
      <c r="C173" s="36">
        <v>0</v>
      </c>
      <c r="D173" s="36">
        <v>0</v>
      </c>
      <c r="E173" s="36">
        <v>0</v>
      </c>
      <c r="F173" s="36">
        <v>0</v>
      </c>
      <c r="G173" s="36">
        <v>0</v>
      </c>
      <c r="H173" s="36">
        <v>0</v>
      </c>
      <c r="I173" s="36">
        <v>0</v>
      </c>
      <c r="J173" s="36">
        <v>0</v>
      </c>
      <c r="K173" s="36">
        <v>0</v>
      </c>
      <c r="L173" s="36">
        <v>0</v>
      </c>
      <c r="M173" s="36">
        <v>0</v>
      </c>
      <c r="N173" s="36">
        <v>0</v>
      </c>
      <c r="O173" s="36"/>
      <c r="P173" s="36">
        <v>0</v>
      </c>
      <c r="Q173" s="36">
        <v>0</v>
      </c>
      <c r="R173" s="36">
        <v>0</v>
      </c>
      <c r="S173" s="36">
        <f t="shared" si="9"/>
        <v>0</v>
      </c>
      <c r="T173" s="25">
        <f t="shared" si="11"/>
        <v>0</v>
      </c>
      <c r="U173" s="25">
        <f t="shared" si="12"/>
        <v>0</v>
      </c>
      <c r="V173" s="36"/>
      <c r="W173" s="25">
        <f t="shared" si="13"/>
        <v>0</v>
      </c>
      <c r="Y173">
        <f t="shared" si="10"/>
        <v>0</v>
      </c>
    </row>
    <row r="174" spans="1:25" ht="15.75" hidden="1" thickBot="1" x14ac:dyDescent="0.3">
      <c r="A174" s="20"/>
      <c r="B174" s="21" t="s">
        <v>34</v>
      </c>
      <c r="C174" s="36">
        <v>0</v>
      </c>
      <c r="D174" s="36">
        <v>0</v>
      </c>
      <c r="E174" s="36">
        <v>0</v>
      </c>
      <c r="F174" s="36">
        <v>0</v>
      </c>
      <c r="G174" s="36">
        <v>0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/>
      <c r="P174" s="36">
        <v>0</v>
      </c>
      <c r="Q174" s="36">
        <v>0</v>
      </c>
      <c r="R174" s="36">
        <v>0</v>
      </c>
      <c r="S174" s="36">
        <f t="shared" si="9"/>
        <v>0</v>
      </c>
      <c r="T174" s="25">
        <f t="shared" si="11"/>
        <v>0</v>
      </c>
      <c r="U174" s="25">
        <f t="shared" si="12"/>
        <v>0</v>
      </c>
      <c r="V174" s="36"/>
      <c r="W174" s="25">
        <f t="shared" si="13"/>
        <v>0</v>
      </c>
      <c r="Y174">
        <f t="shared" si="10"/>
        <v>0</v>
      </c>
    </row>
    <row r="175" spans="1:25" ht="15.75" thickBot="1" x14ac:dyDescent="0.3">
      <c r="A175" s="20">
        <v>2017</v>
      </c>
      <c r="B175" s="21" t="s">
        <v>35</v>
      </c>
      <c r="C175" s="36">
        <v>0</v>
      </c>
      <c r="D175" s="36">
        <v>0</v>
      </c>
      <c r="E175" s="36">
        <v>0</v>
      </c>
      <c r="F175" s="36">
        <v>0</v>
      </c>
      <c r="G175" s="36">
        <v>0</v>
      </c>
      <c r="H175" s="36">
        <v>0</v>
      </c>
      <c r="I175" s="36">
        <v>0</v>
      </c>
      <c r="J175" s="36">
        <v>0</v>
      </c>
      <c r="K175" s="36">
        <v>0</v>
      </c>
      <c r="L175" s="36">
        <v>0</v>
      </c>
      <c r="M175" s="36">
        <v>0</v>
      </c>
      <c r="N175" s="36">
        <v>0</v>
      </c>
      <c r="O175" s="36"/>
      <c r="P175" s="36">
        <v>0</v>
      </c>
      <c r="Q175" s="36">
        <v>0</v>
      </c>
      <c r="R175" s="36">
        <v>0</v>
      </c>
      <c r="S175" s="36">
        <f t="shared" si="9"/>
        <v>0</v>
      </c>
      <c r="T175" s="25">
        <f t="shared" si="11"/>
        <v>0</v>
      </c>
      <c r="U175" s="25">
        <f t="shared" si="12"/>
        <v>0</v>
      </c>
      <c r="V175" s="36"/>
      <c r="W175" s="25">
        <f t="shared" si="13"/>
        <v>0</v>
      </c>
      <c r="Y175">
        <f t="shared" si="10"/>
        <v>0</v>
      </c>
    </row>
    <row r="176" spans="1:25" ht="15.75" thickBot="1" x14ac:dyDescent="0.3">
      <c r="A176" s="20"/>
      <c r="B176" s="21" t="s">
        <v>24</v>
      </c>
      <c r="C176" s="36">
        <v>0</v>
      </c>
      <c r="D176" s="36">
        <v>0</v>
      </c>
      <c r="E176" s="36">
        <v>0</v>
      </c>
      <c r="F176" s="36">
        <v>0</v>
      </c>
      <c r="G176" s="36">
        <v>0</v>
      </c>
      <c r="H176" s="36">
        <v>0</v>
      </c>
      <c r="I176" s="36">
        <v>0</v>
      </c>
      <c r="J176" s="36">
        <v>0</v>
      </c>
      <c r="K176" s="36">
        <v>0</v>
      </c>
      <c r="L176" s="36">
        <v>0</v>
      </c>
      <c r="M176" s="36">
        <v>0</v>
      </c>
      <c r="N176" s="36">
        <v>0</v>
      </c>
      <c r="O176" s="36"/>
      <c r="P176" s="36">
        <v>0</v>
      </c>
      <c r="Q176" s="36">
        <v>0</v>
      </c>
      <c r="R176" s="36">
        <v>0</v>
      </c>
      <c r="S176" s="36">
        <f t="shared" si="9"/>
        <v>0</v>
      </c>
      <c r="T176" s="25">
        <f t="shared" si="11"/>
        <v>0</v>
      </c>
      <c r="U176" s="25">
        <f t="shared" si="12"/>
        <v>0</v>
      </c>
      <c r="V176" s="36"/>
      <c r="W176" s="25">
        <f t="shared" si="13"/>
        <v>0</v>
      </c>
      <c r="Y176">
        <f t="shared" si="10"/>
        <v>0</v>
      </c>
    </row>
    <row r="177" spans="1:25" ht="15.75" thickBot="1" x14ac:dyDescent="0.3">
      <c r="A177" s="20"/>
      <c r="B177" s="21" t="s">
        <v>25</v>
      </c>
      <c r="C177" s="36">
        <v>0</v>
      </c>
      <c r="D177" s="36">
        <v>0</v>
      </c>
      <c r="E177" s="36">
        <v>0</v>
      </c>
      <c r="F177" s="36">
        <v>0</v>
      </c>
      <c r="G177" s="36">
        <v>0</v>
      </c>
      <c r="H177" s="36">
        <v>0</v>
      </c>
      <c r="I177" s="36">
        <v>0</v>
      </c>
      <c r="J177" s="36">
        <v>0</v>
      </c>
      <c r="K177" s="36">
        <v>0</v>
      </c>
      <c r="L177" s="36">
        <v>0</v>
      </c>
      <c r="M177" s="36">
        <v>0</v>
      </c>
      <c r="N177" s="36">
        <v>0</v>
      </c>
      <c r="O177" s="36"/>
      <c r="P177" s="36">
        <v>0</v>
      </c>
      <c r="Q177" s="36">
        <v>0</v>
      </c>
      <c r="R177" s="36">
        <v>0</v>
      </c>
      <c r="S177" s="36">
        <f t="shared" si="9"/>
        <v>0</v>
      </c>
      <c r="T177" s="25">
        <f t="shared" si="11"/>
        <v>0</v>
      </c>
      <c r="U177" s="25">
        <f t="shared" si="12"/>
        <v>0</v>
      </c>
      <c r="V177" s="36"/>
      <c r="W177" s="25">
        <f t="shared" si="13"/>
        <v>0</v>
      </c>
      <c r="Y177">
        <f t="shared" si="10"/>
        <v>0</v>
      </c>
    </row>
    <row r="178" spans="1:25" ht="15.75" thickBot="1" x14ac:dyDescent="0.3">
      <c r="A178" s="20"/>
      <c r="B178" s="21" t="s">
        <v>26</v>
      </c>
      <c r="C178" s="36">
        <v>0</v>
      </c>
      <c r="D178" s="36">
        <v>0</v>
      </c>
      <c r="E178" s="36">
        <v>0</v>
      </c>
      <c r="F178" s="36">
        <v>0</v>
      </c>
      <c r="G178" s="36">
        <v>0</v>
      </c>
      <c r="H178" s="36">
        <v>0</v>
      </c>
      <c r="I178" s="36">
        <v>0</v>
      </c>
      <c r="J178" s="36">
        <v>0</v>
      </c>
      <c r="K178" s="36">
        <v>0</v>
      </c>
      <c r="L178" s="36">
        <v>0</v>
      </c>
      <c r="M178" s="36">
        <v>0</v>
      </c>
      <c r="N178" s="36">
        <v>0</v>
      </c>
      <c r="O178" s="36"/>
      <c r="P178" s="36">
        <v>0</v>
      </c>
      <c r="Q178" s="36">
        <v>0</v>
      </c>
      <c r="R178" s="36">
        <v>0</v>
      </c>
      <c r="S178" s="36">
        <f t="shared" si="9"/>
        <v>0</v>
      </c>
      <c r="T178" s="25">
        <f t="shared" si="11"/>
        <v>0</v>
      </c>
      <c r="U178" s="25">
        <f t="shared" si="12"/>
        <v>0</v>
      </c>
      <c r="V178" s="36"/>
      <c r="W178" s="25">
        <f t="shared" si="13"/>
        <v>0</v>
      </c>
      <c r="Y178">
        <f t="shared" si="10"/>
        <v>0</v>
      </c>
    </row>
    <row r="179" spans="1:25" ht="15.75" thickBot="1" x14ac:dyDescent="0.3">
      <c r="A179" s="20"/>
      <c r="B179" s="21" t="s">
        <v>27</v>
      </c>
      <c r="C179" s="36">
        <v>0</v>
      </c>
      <c r="D179" s="36">
        <v>0</v>
      </c>
      <c r="E179" s="36">
        <v>0</v>
      </c>
      <c r="F179" s="36">
        <v>0</v>
      </c>
      <c r="G179" s="36">
        <v>0</v>
      </c>
      <c r="H179" s="36">
        <v>0</v>
      </c>
      <c r="I179" s="36">
        <v>0</v>
      </c>
      <c r="J179" s="36">
        <v>0</v>
      </c>
      <c r="K179" s="36">
        <v>0</v>
      </c>
      <c r="L179" s="36">
        <v>0</v>
      </c>
      <c r="M179" s="36">
        <v>0</v>
      </c>
      <c r="N179" s="36">
        <v>0</v>
      </c>
      <c r="O179" s="36"/>
      <c r="P179" s="36">
        <v>0</v>
      </c>
      <c r="Q179" s="36">
        <v>0</v>
      </c>
      <c r="R179" s="36">
        <v>0</v>
      </c>
      <c r="S179" s="36">
        <f t="shared" si="9"/>
        <v>0</v>
      </c>
      <c r="T179" s="25">
        <f t="shared" si="11"/>
        <v>0</v>
      </c>
      <c r="U179" s="25">
        <f t="shared" si="12"/>
        <v>0</v>
      </c>
      <c r="V179" s="36"/>
      <c r="W179" s="25">
        <f t="shared" si="13"/>
        <v>0</v>
      </c>
      <c r="Y179">
        <f t="shared" si="10"/>
        <v>0</v>
      </c>
    </row>
    <row r="180" spans="1:25" ht="15.75" thickBot="1" x14ac:dyDescent="0.3">
      <c r="A180" s="20"/>
      <c r="B180" s="21" t="s">
        <v>28</v>
      </c>
      <c r="C180" s="36">
        <v>0</v>
      </c>
      <c r="D180" s="36">
        <v>0</v>
      </c>
      <c r="E180" s="36">
        <v>0</v>
      </c>
      <c r="F180" s="36">
        <v>0</v>
      </c>
      <c r="G180" s="36">
        <v>0</v>
      </c>
      <c r="H180" s="36">
        <v>0</v>
      </c>
      <c r="I180" s="36">
        <v>0</v>
      </c>
      <c r="J180" s="36">
        <v>0</v>
      </c>
      <c r="K180" s="36">
        <v>0</v>
      </c>
      <c r="L180" s="36">
        <v>0</v>
      </c>
      <c r="M180" s="36">
        <v>0</v>
      </c>
      <c r="N180" s="36">
        <v>0</v>
      </c>
      <c r="O180" s="36"/>
      <c r="P180" s="36">
        <v>0</v>
      </c>
      <c r="Q180" s="36">
        <v>0</v>
      </c>
      <c r="R180" s="36">
        <v>0</v>
      </c>
      <c r="S180" s="36">
        <f t="shared" si="9"/>
        <v>0</v>
      </c>
      <c r="T180" s="25">
        <f t="shared" si="11"/>
        <v>0</v>
      </c>
      <c r="U180" s="25">
        <f t="shared" si="12"/>
        <v>0</v>
      </c>
      <c r="V180" s="36"/>
      <c r="W180" s="25">
        <f t="shared" si="13"/>
        <v>0</v>
      </c>
      <c r="Y180">
        <f t="shared" si="10"/>
        <v>0</v>
      </c>
    </row>
    <row r="181" spans="1:25" ht="15.75" thickBot="1" x14ac:dyDescent="0.3">
      <c r="A181" s="20"/>
      <c r="B181" s="21" t="s">
        <v>29</v>
      </c>
      <c r="C181" s="36">
        <v>0</v>
      </c>
      <c r="D181" s="36">
        <v>0</v>
      </c>
      <c r="E181" s="36">
        <v>0</v>
      </c>
      <c r="F181" s="36">
        <v>0</v>
      </c>
      <c r="G181" s="36">
        <v>0</v>
      </c>
      <c r="H181" s="36">
        <v>0</v>
      </c>
      <c r="I181" s="36">
        <v>0</v>
      </c>
      <c r="J181" s="36">
        <v>0</v>
      </c>
      <c r="K181" s="36">
        <v>0</v>
      </c>
      <c r="L181" s="36">
        <v>0</v>
      </c>
      <c r="M181" s="36">
        <v>0</v>
      </c>
      <c r="N181" s="36">
        <v>0</v>
      </c>
      <c r="O181" s="36"/>
      <c r="P181" s="36">
        <v>0</v>
      </c>
      <c r="Q181" s="36">
        <v>0</v>
      </c>
      <c r="R181" s="36">
        <v>0</v>
      </c>
      <c r="S181" s="36">
        <f t="shared" si="9"/>
        <v>0</v>
      </c>
      <c r="T181" s="25">
        <f t="shared" si="11"/>
        <v>0</v>
      </c>
      <c r="U181" s="25">
        <f t="shared" si="12"/>
        <v>0</v>
      </c>
      <c r="V181" s="36"/>
      <c r="W181" s="25">
        <f t="shared" si="13"/>
        <v>0</v>
      </c>
      <c r="Y181">
        <f t="shared" si="10"/>
        <v>0</v>
      </c>
    </row>
    <row r="182" spans="1:25" ht="15.75" thickBot="1" x14ac:dyDescent="0.3">
      <c r="A182" s="20"/>
      <c r="B182" s="21" t="s">
        <v>30</v>
      </c>
      <c r="C182" s="36">
        <v>0</v>
      </c>
      <c r="D182" s="36">
        <v>0</v>
      </c>
      <c r="E182" s="36">
        <v>0</v>
      </c>
      <c r="F182" s="36">
        <v>0</v>
      </c>
      <c r="G182" s="36">
        <v>0</v>
      </c>
      <c r="H182" s="36">
        <v>0</v>
      </c>
      <c r="I182" s="36">
        <v>0</v>
      </c>
      <c r="J182" s="36">
        <v>0</v>
      </c>
      <c r="K182" s="36">
        <v>0</v>
      </c>
      <c r="L182" s="36">
        <v>0</v>
      </c>
      <c r="M182" s="36">
        <v>0</v>
      </c>
      <c r="N182" s="36">
        <v>0</v>
      </c>
      <c r="O182" s="36"/>
      <c r="P182" s="36">
        <v>0</v>
      </c>
      <c r="Q182" s="36">
        <v>0</v>
      </c>
      <c r="R182" s="36">
        <v>0</v>
      </c>
      <c r="S182" s="36">
        <f t="shared" si="9"/>
        <v>0</v>
      </c>
      <c r="T182" s="25">
        <f t="shared" si="11"/>
        <v>0</v>
      </c>
      <c r="U182" s="25">
        <f t="shared" si="12"/>
        <v>0</v>
      </c>
      <c r="V182" s="36"/>
      <c r="W182" s="25">
        <f t="shared" si="13"/>
        <v>0</v>
      </c>
      <c r="Y182">
        <f t="shared" si="10"/>
        <v>0</v>
      </c>
    </row>
    <row r="183" spans="1:25" ht="15.75" thickBot="1" x14ac:dyDescent="0.3">
      <c r="A183" s="20"/>
      <c r="B183" s="21" t="s">
        <v>31</v>
      </c>
      <c r="C183" s="36">
        <v>0</v>
      </c>
      <c r="D183" s="36">
        <v>0</v>
      </c>
      <c r="E183" s="36">
        <v>0</v>
      </c>
      <c r="F183" s="36">
        <v>0</v>
      </c>
      <c r="G183" s="36">
        <v>0</v>
      </c>
      <c r="H183" s="36">
        <v>0</v>
      </c>
      <c r="I183" s="36">
        <v>0</v>
      </c>
      <c r="J183" s="36">
        <v>0</v>
      </c>
      <c r="K183" s="36">
        <v>0</v>
      </c>
      <c r="L183" s="36">
        <v>0</v>
      </c>
      <c r="M183" s="36">
        <v>0</v>
      </c>
      <c r="N183" s="36">
        <v>0</v>
      </c>
      <c r="O183" s="36"/>
      <c r="P183" s="36">
        <v>0</v>
      </c>
      <c r="Q183" s="36">
        <v>0</v>
      </c>
      <c r="R183" s="36">
        <v>0</v>
      </c>
      <c r="S183" s="36">
        <f t="shared" si="9"/>
        <v>0</v>
      </c>
      <c r="T183" s="25">
        <f t="shared" si="11"/>
        <v>0</v>
      </c>
      <c r="U183" s="25">
        <f t="shared" si="12"/>
        <v>0</v>
      </c>
      <c r="V183" s="36"/>
      <c r="W183" s="25">
        <f t="shared" si="13"/>
        <v>0</v>
      </c>
    </row>
    <row r="184" spans="1:25" ht="15.75" thickBot="1" x14ac:dyDescent="0.3">
      <c r="A184" s="20"/>
      <c r="B184" s="21" t="s">
        <v>32</v>
      </c>
      <c r="C184" s="36">
        <v>0</v>
      </c>
      <c r="D184" s="36">
        <v>0</v>
      </c>
      <c r="E184" s="36">
        <v>0</v>
      </c>
      <c r="F184" s="36">
        <v>0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  <c r="O184" s="36"/>
      <c r="P184" s="36">
        <v>0</v>
      </c>
      <c r="Q184" s="36">
        <v>0</v>
      </c>
      <c r="R184" s="36">
        <v>0</v>
      </c>
      <c r="S184" s="36">
        <f t="shared" si="9"/>
        <v>0</v>
      </c>
      <c r="T184" s="25">
        <f t="shared" si="11"/>
        <v>0</v>
      </c>
      <c r="U184" s="25">
        <f t="shared" si="12"/>
        <v>0</v>
      </c>
      <c r="V184" s="36"/>
      <c r="W184" s="25">
        <f t="shared" si="13"/>
        <v>0</v>
      </c>
    </row>
    <row r="185" spans="1:25" ht="15.75" thickBot="1" x14ac:dyDescent="0.3">
      <c r="A185" s="20"/>
      <c r="B185" s="21" t="s">
        <v>33</v>
      </c>
      <c r="C185" s="36">
        <v>0</v>
      </c>
      <c r="D185" s="36">
        <v>0</v>
      </c>
      <c r="E185" s="36">
        <v>0</v>
      </c>
      <c r="F185" s="36">
        <v>0</v>
      </c>
      <c r="G185" s="36">
        <v>0</v>
      </c>
      <c r="H185" s="36">
        <v>0</v>
      </c>
      <c r="I185" s="36">
        <v>0</v>
      </c>
      <c r="J185" s="36">
        <v>0</v>
      </c>
      <c r="K185" s="36">
        <v>0</v>
      </c>
      <c r="L185" s="36">
        <v>0</v>
      </c>
      <c r="M185" s="36">
        <v>0</v>
      </c>
      <c r="N185" s="36">
        <v>0</v>
      </c>
      <c r="O185" s="36"/>
      <c r="P185" s="36">
        <v>0</v>
      </c>
      <c r="Q185" s="36">
        <v>0</v>
      </c>
      <c r="R185" s="36">
        <v>0</v>
      </c>
      <c r="S185" s="36">
        <f t="shared" si="9"/>
        <v>0</v>
      </c>
      <c r="T185" s="25">
        <f t="shared" si="11"/>
        <v>0</v>
      </c>
      <c r="U185" s="25">
        <f t="shared" si="12"/>
        <v>0</v>
      </c>
      <c r="V185" s="36"/>
      <c r="W185" s="25">
        <f t="shared" si="13"/>
        <v>0</v>
      </c>
    </row>
    <row r="186" spans="1:25" ht="15.75" thickBot="1" x14ac:dyDescent="0.3">
      <c r="A186" s="20"/>
      <c r="B186" s="21" t="s">
        <v>34</v>
      </c>
      <c r="C186" s="36">
        <v>0</v>
      </c>
      <c r="D186" s="36">
        <v>0</v>
      </c>
      <c r="E186" s="36">
        <v>0</v>
      </c>
      <c r="F186" s="36">
        <v>0</v>
      </c>
      <c r="G186" s="36">
        <v>0</v>
      </c>
      <c r="H186" s="36">
        <v>0</v>
      </c>
      <c r="I186" s="36">
        <v>0</v>
      </c>
      <c r="J186" s="36">
        <v>0</v>
      </c>
      <c r="K186" s="36">
        <v>0</v>
      </c>
      <c r="L186" s="36">
        <v>0</v>
      </c>
      <c r="M186" s="36">
        <v>0</v>
      </c>
      <c r="N186" s="36">
        <v>0</v>
      </c>
      <c r="O186" s="36"/>
      <c r="P186" s="36">
        <v>0</v>
      </c>
      <c r="Q186" s="36">
        <v>0</v>
      </c>
      <c r="R186" s="36">
        <v>0</v>
      </c>
      <c r="S186" s="36">
        <f>L186+G186+M186+N186+O186+P186+R186+Q186</f>
        <v>0</v>
      </c>
      <c r="T186" s="25">
        <f>W185</f>
        <v>0</v>
      </c>
      <c r="U186" s="25">
        <f>S186+T186</f>
        <v>0</v>
      </c>
      <c r="V186" s="36"/>
      <c r="W186" s="25">
        <f>U186-V186</f>
        <v>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199">
    <cfRule type="cellIs" dxfId="16" priority="2" operator="greaterThan">
      <formula>100</formula>
    </cfRule>
  </conditionalFormatting>
  <conditionalFormatting sqref="V7:V192">
    <cfRule type="cellIs" dxfId="15" priority="1" operator="less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Z211"/>
  <sheetViews>
    <sheetView zoomScaleNormal="100" workbookViewId="0">
      <selection activeCell="E203" sqref="E203"/>
    </sheetView>
  </sheetViews>
  <sheetFormatPr baseColWidth="10" defaultRowHeight="15" x14ac:dyDescent="0.25"/>
  <cols>
    <col min="3" max="3" width="10.85546875" customWidth="1"/>
    <col min="4" max="4" width="10.140625" customWidth="1"/>
    <col min="5" max="5" width="8.7109375" customWidth="1"/>
    <col min="6" max="6" width="9" customWidth="1"/>
    <col min="7" max="7" width="10.28515625" customWidth="1"/>
    <col min="8" max="8" width="8.5703125" hidden="1" customWidth="1"/>
    <col min="9" max="9" width="8.42578125" hidden="1" customWidth="1"/>
    <col min="10" max="10" width="9" hidden="1" customWidth="1"/>
    <col min="11" max="11" width="7.28515625" hidden="1" customWidth="1"/>
    <col min="12" max="12" width="9.85546875" hidden="1" customWidth="1"/>
    <col min="13" max="14" width="11.42578125" hidden="1" customWidth="1"/>
    <col min="15" max="15" width="10.7109375" customWidth="1"/>
    <col min="16" max="16" width="11.42578125" hidden="1" customWidth="1"/>
    <col min="17" max="17" width="10.28515625" hidden="1" customWidth="1"/>
    <col min="18" max="18" width="7.28515625" customWidth="1"/>
    <col min="19" max="19" width="14.5703125" bestFit="1" customWidth="1"/>
    <col min="20" max="20" width="14.42578125" bestFit="1" customWidth="1"/>
    <col min="21" max="21" width="12" bestFit="1" customWidth="1"/>
    <col min="22" max="23" width="11.85546875" bestFit="1" customWidth="1"/>
    <col min="24" max="24" width="3" customWidth="1"/>
    <col min="25" max="25" width="0" hidden="1" customWidth="1"/>
  </cols>
  <sheetData>
    <row r="1" spans="1:25" x14ac:dyDescent="0.25">
      <c r="B1" s="169" t="s">
        <v>37</v>
      </c>
      <c r="C1" s="169"/>
      <c r="D1" s="170">
        <v>2</v>
      </c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37" t="s">
        <v>50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37" t="s">
        <v>52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 t="s">
        <v>2</v>
      </c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 t="s">
        <v>10</v>
      </c>
      <c r="Q5" s="9" t="s">
        <v>59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60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0"/>
        <v>0</v>
      </c>
    </row>
    <row r="55" spans="1:25" ht="22.5" hidden="1" customHeight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33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34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0"/>
        <v>0</v>
      </c>
    </row>
    <row r="67" spans="1:25" ht="15.75" hidden="1" thickBot="1" x14ac:dyDescent="0.3">
      <c r="A67" s="20">
        <v>2008</v>
      </c>
      <c r="B67" s="21" t="s">
        <v>35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24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25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26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25">
        <f t="shared" ref="T70:T97" si="1">W69</f>
        <v>0</v>
      </c>
      <c r="U70" s="25"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27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25">
        <f t="shared" si="1"/>
        <v>0</v>
      </c>
      <c r="U71" s="25"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25">
        <f t="shared" si="1"/>
        <v>0</v>
      </c>
      <c r="U72" s="25"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25">
        <f t="shared" si="1"/>
        <v>0</v>
      </c>
      <c r="U73" s="25">
        <v>0</v>
      </c>
      <c r="V73" s="36">
        <v>0</v>
      </c>
      <c r="W73" s="25">
        <v>0</v>
      </c>
      <c r="Y73">
        <f t="shared" ref="Y73:Y136" si="2">IF(W73&gt;1,Y72+1,)</f>
        <v>0</v>
      </c>
    </row>
    <row r="74" spans="1:25" ht="15.75" hidden="1" thickBot="1" x14ac:dyDescent="0.3">
      <c r="A74" s="20"/>
      <c r="B74" s="21" t="s">
        <v>30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25">
        <f t="shared" si="1"/>
        <v>0</v>
      </c>
      <c r="U74" s="25">
        <v>0</v>
      </c>
      <c r="V74" s="36">
        <v>0</v>
      </c>
      <c r="W74" s="25">
        <v>0</v>
      </c>
      <c r="Y74">
        <f t="shared" si="2"/>
        <v>0</v>
      </c>
    </row>
    <row r="75" spans="1:25" ht="15.75" hidden="1" thickBot="1" x14ac:dyDescent="0.3">
      <c r="A75" s="20"/>
      <c r="B75" s="21" t="s">
        <v>31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25">
        <f t="shared" si="1"/>
        <v>0</v>
      </c>
      <c r="U75" s="25">
        <v>0</v>
      </c>
      <c r="V75" s="36">
        <v>0</v>
      </c>
      <c r="W75" s="25">
        <v>0</v>
      </c>
      <c r="Y75">
        <f t="shared" si="2"/>
        <v>0</v>
      </c>
    </row>
    <row r="76" spans="1:25" ht="15.75" hidden="1" thickBot="1" x14ac:dyDescent="0.3">
      <c r="A76" s="20"/>
      <c r="B76" s="21" t="s">
        <v>32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25">
        <f t="shared" si="1"/>
        <v>0</v>
      </c>
      <c r="U76" s="25">
        <v>0</v>
      </c>
      <c r="V76" s="36">
        <v>0</v>
      </c>
      <c r="W76" s="25">
        <v>0</v>
      </c>
      <c r="Y76">
        <f t="shared" si="2"/>
        <v>0</v>
      </c>
    </row>
    <row r="77" spans="1:25" ht="15.75" hidden="1" thickBot="1" x14ac:dyDescent="0.3">
      <c r="A77" s="20"/>
      <c r="B77" s="21" t="s">
        <v>33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25">
        <f t="shared" si="1"/>
        <v>0</v>
      </c>
      <c r="U77" s="25">
        <v>0</v>
      </c>
      <c r="V77" s="36">
        <v>0</v>
      </c>
      <c r="W77" s="25">
        <v>0</v>
      </c>
      <c r="Y77">
        <f t="shared" si="2"/>
        <v>0</v>
      </c>
    </row>
    <row r="78" spans="1:25" ht="15.75" hidden="1" thickBot="1" x14ac:dyDescent="0.3">
      <c r="A78" s="20"/>
      <c r="B78" s="21" t="s">
        <v>34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25">
        <f t="shared" si="1"/>
        <v>0</v>
      </c>
      <c r="U78" s="25">
        <v>0</v>
      </c>
      <c r="V78" s="36">
        <v>0</v>
      </c>
      <c r="W78" s="25">
        <v>0</v>
      </c>
      <c r="Y78">
        <f t="shared" si="2"/>
        <v>0</v>
      </c>
    </row>
    <row r="79" spans="1:25" ht="15.75" hidden="1" thickBot="1" x14ac:dyDescent="0.3">
      <c r="A79" s="20">
        <v>2009</v>
      </c>
      <c r="B79" s="21" t="s">
        <v>35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25">
        <f t="shared" si="1"/>
        <v>0</v>
      </c>
      <c r="U79" s="25">
        <v>0</v>
      </c>
      <c r="V79" s="36">
        <v>0</v>
      </c>
      <c r="W79" s="25">
        <v>0</v>
      </c>
      <c r="Y79">
        <f t="shared" si="2"/>
        <v>0</v>
      </c>
    </row>
    <row r="80" spans="1:25" ht="15.75" hidden="1" thickBot="1" x14ac:dyDescent="0.3">
      <c r="A80" s="20"/>
      <c r="B80" s="21" t="s">
        <v>24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25">
        <f t="shared" si="1"/>
        <v>0</v>
      </c>
      <c r="U80" s="25">
        <v>0</v>
      </c>
      <c r="V80" s="36">
        <v>0</v>
      </c>
      <c r="W80" s="25">
        <v>0</v>
      </c>
      <c r="Y80">
        <f t="shared" si="2"/>
        <v>0</v>
      </c>
    </row>
    <row r="81" spans="1:25" ht="15.75" hidden="1" thickBot="1" x14ac:dyDescent="0.3">
      <c r="A81" s="20"/>
      <c r="B81" s="21" t="s">
        <v>25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25">
        <f t="shared" si="1"/>
        <v>0</v>
      </c>
      <c r="U81" s="25">
        <v>0</v>
      </c>
      <c r="V81" s="36">
        <v>0</v>
      </c>
      <c r="W81" s="25">
        <v>0</v>
      </c>
      <c r="Y81">
        <f t="shared" si="2"/>
        <v>0</v>
      </c>
    </row>
    <row r="82" spans="1:25" ht="15.75" hidden="1" thickBot="1" x14ac:dyDescent="0.3">
      <c r="A82" s="20"/>
      <c r="B82" s="21" t="s">
        <v>26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/>
      <c r="T82" s="25">
        <f t="shared" si="1"/>
        <v>0</v>
      </c>
      <c r="U82" s="25">
        <f t="shared" ref="U82:U97" si="3">S82+T82</f>
        <v>0</v>
      </c>
      <c r="V82" s="36">
        <v>0</v>
      </c>
      <c r="W82" s="25">
        <v>0</v>
      </c>
      <c r="Y82">
        <f t="shared" si="2"/>
        <v>0</v>
      </c>
    </row>
    <row r="83" spans="1:25" ht="15.75" hidden="1" thickBot="1" x14ac:dyDescent="0.3">
      <c r="A83" s="20"/>
      <c r="B83" s="21" t="s">
        <v>27</v>
      </c>
      <c r="C83" s="36">
        <v>0</v>
      </c>
      <c r="D83" s="36">
        <v>21</v>
      </c>
      <c r="E83" s="36">
        <v>21</v>
      </c>
      <c r="F83" s="36">
        <v>143</v>
      </c>
      <c r="G83" s="36">
        <v>3003</v>
      </c>
      <c r="H83" s="36">
        <v>0</v>
      </c>
      <c r="I83" s="36">
        <v>1</v>
      </c>
      <c r="J83" s="36">
        <v>1</v>
      </c>
      <c r="K83" s="36">
        <v>360</v>
      </c>
      <c r="L83" s="36">
        <v>360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13363</v>
      </c>
      <c r="T83" s="25">
        <f t="shared" si="1"/>
        <v>0</v>
      </c>
      <c r="U83" s="25">
        <f t="shared" si="3"/>
        <v>13363</v>
      </c>
      <c r="V83" s="36">
        <v>0</v>
      </c>
      <c r="W83" s="25">
        <v>13363</v>
      </c>
      <c r="Y83">
        <f t="shared" si="2"/>
        <v>1</v>
      </c>
    </row>
    <row r="84" spans="1:25" ht="15.75" hidden="1" thickBot="1" x14ac:dyDescent="0.3">
      <c r="A84" s="20"/>
      <c r="B84" s="21" t="s">
        <v>28</v>
      </c>
      <c r="C84" s="36">
        <v>21</v>
      </c>
      <c r="D84" s="36">
        <v>60</v>
      </c>
      <c r="E84" s="36">
        <v>39</v>
      </c>
      <c r="F84" s="36">
        <v>146</v>
      </c>
      <c r="G84" s="36">
        <v>5694</v>
      </c>
      <c r="H84" s="36">
        <v>1</v>
      </c>
      <c r="I84" s="36">
        <v>21</v>
      </c>
      <c r="J84" s="36">
        <v>20</v>
      </c>
      <c r="K84" s="36">
        <v>360</v>
      </c>
      <c r="L84" s="36">
        <v>7200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22894</v>
      </c>
      <c r="T84" s="25">
        <f t="shared" si="1"/>
        <v>13363</v>
      </c>
      <c r="U84" s="25">
        <f t="shared" si="3"/>
        <v>36257</v>
      </c>
      <c r="V84" s="36">
        <v>13363</v>
      </c>
      <c r="W84" s="25">
        <v>22894</v>
      </c>
      <c r="Y84">
        <f t="shared" si="2"/>
        <v>2</v>
      </c>
    </row>
    <row r="85" spans="1:25" ht="15.75" hidden="1" thickBot="1" x14ac:dyDescent="0.3">
      <c r="A85" s="20"/>
      <c r="B85" s="21" t="s">
        <v>29</v>
      </c>
      <c r="C85" s="36">
        <v>60</v>
      </c>
      <c r="D85" s="36">
        <v>95</v>
      </c>
      <c r="E85" s="36">
        <v>35</v>
      </c>
      <c r="F85" s="36">
        <v>146</v>
      </c>
      <c r="G85" s="36">
        <v>5110</v>
      </c>
      <c r="H85" s="36">
        <v>21</v>
      </c>
      <c r="I85" s="36">
        <v>26</v>
      </c>
      <c r="J85" s="36">
        <v>5</v>
      </c>
      <c r="K85" s="36">
        <v>360</v>
      </c>
      <c r="L85" s="36">
        <v>1800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26910</v>
      </c>
      <c r="T85" s="25">
        <f t="shared" si="1"/>
        <v>22894</v>
      </c>
      <c r="U85" s="25">
        <f t="shared" si="3"/>
        <v>49804</v>
      </c>
      <c r="V85" s="36">
        <v>22894</v>
      </c>
      <c r="W85" s="25">
        <v>26910</v>
      </c>
      <c r="Y85">
        <f t="shared" si="2"/>
        <v>3</v>
      </c>
    </row>
    <row r="86" spans="1:25" ht="15.75" hidden="1" thickBot="1" x14ac:dyDescent="0.3">
      <c r="A86" s="20"/>
      <c r="B86" s="21" t="s">
        <v>30</v>
      </c>
      <c r="C86" s="36">
        <v>95</v>
      </c>
      <c r="D86" s="36">
        <v>130</v>
      </c>
      <c r="E86" s="36">
        <v>35</v>
      </c>
      <c r="F86" s="36">
        <v>146</v>
      </c>
      <c r="G86" s="36">
        <v>5110</v>
      </c>
      <c r="H86" s="36">
        <v>26</v>
      </c>
      <c r="I86" s="36">
        <v>28</v>
      </c>
      <c r="J86" s="36">
        <v>2</v>
      </c>
      <c r="K86" s="36">
        <v>360</v>
      </c>
      <c r="L86" s="36">
        <v>720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19830</v>
      </c>
      <c r="T86" s="25">
        <f t="shared" si="1"/>
        <v>26910</v>
      </c>
      <c r="U86" s="25">
        <f t="shared" si="3"/>
        <v>46740</v>
      </c>
      <c r="V86" s="36">
        <v>46740</v>
      </c>
      <c r="W86" s="25">
        <v>0</v>
      </c>
      <c r="Y86">
        <f t="shared" si="2"/>
        <v>0</v>
      </c>
    </row>
    <row r="87" spans="1:25" ht="15.75" hidden="1" thickBot="1" x14ac:dyDescent="0.3">
      <c r="A87" s="20"/>
      <c r="B87" s="21" t="s">
        <v>31</v>
      </c>
      <c r="C87" s="36">
        <v>130</v>
      </c>
      <c r="D87" s="36">
        <v>518</v>
      </c>
      <c r="E87" s="36">
        <v>388</v>
      </c>
      <c r="F87" s="36">
        <v>146</v>
      </c>
      <c r="G87" s="36">
        <v>5305</v>
      </c>
      <c r="H87" s="36">
        <v>28</v>
      </c>
      <c r="I87" s="36">
        <v>110</v>
      </c>
      <c r="J87" s="36">
        <v>82</v>
      </c>
      <c r="K87" s="36">
        <v>360</v>
      </c>
      <c r="L87" s="36">
        <v>29520</v>
      </c>
      <c r="M87" s="36">
        <v>0</v>
      </c>
      <c r="N87" s="36">
        <v>0</v>
      </c>
      <c r="O87" s="36">
        <v>0</v>
      </c>
      <c r="P87" s="36">
        <v>4000</v>
      </c>
      <c r="Q87" s="36">
        <v>10000</v>
      </c>
      <c r="R87" s="36">
        <v>0</v>
      </c>
      <c r="S87" s="36">
        <v>48825</v>
      </c>
      <c r="T87" s="25">
        <f t="shared" si="1"/>
        <v>0</v>
      </c>
      <c r="U87" s="25">
        <f t="shared" si="3"/>
        <v>48825</v>
      </c>
      <c r="V87" s="36">
        <v>97956</v>
      </c>
      <c r="W87" s="25">
        <v>-49131</v>
      </c>
      <c r="Y87">
        <f t="shared" si="2"/>
        <v>0</v>
      </c>
    </row>
    <row r="88" spans="1:25" ht="15.75" hidden="1" thickBot="1" x14ac:dyDescent="0.3">
      <c r="A88" s="20"/>
      <c r="B88" s="21" t="s">
        <v>32</v>
      </c>
      <c r="C88" s="36">
        <v>518</v>
      </c>
      <c r="D88" s="36">
        <v>684</v>
      </c>
      <c r="E88" s="36">
        <v>166</v>
      </c>
      <c r="F88" s="36">
        <v>146</v>
      </c>
      <c r="G88" s="36">
        <v>24236</v>
      </c>
      <c r="H88" s="36">
        <v>110</v>
      </c>
      <c r="I88" s="36">
        <v>155</v>
      </c>
      <c r="J88" s="36">
        <v>45</v>
      </c>
      <c r="K88" s="36">
        <v>360</v>
      </c>
      <c r="L88" s="36">
        <v>16200</v>
      </c>
      <c r="M88" s="36">
        <v>0</v>
      </c>
      <c r="N88" s="36">
        <v>0</v>
      </c>
      <c r="O88" s="36">
        <v>0</v>
      </c>
      <c r="P88" s="36">
        <v>4000</v>
      </c>
      <c r="Q88" s="36">
        <v>10000</v>
      </c>
      <c r="R88" s="36">
        <v>0</v>
      </c>
      <c r="S88" s="36">
        <v>54436</v>
      </c>
      <c r="T88" s="25">
        <f t="shared" si="1"/>
        <v>-49131</v>
      </c>
      <c r="U88" s="25">
        <f t="shared" si="3"/>
        <v>5305</v>
      </c>
      <c r="V88" s="36">
        <v>0</v>
      </c>
      <c r="W88" s="25">
        <v>5305</v>
      </c>
      <c r="Y88">
        <f t="shared" si="2"/>
        <v>1</v>
      </c>
    </row>
    <row r="89" spans="1:25" ht="15.75" hidden="1" thickBot="1" x14ac:dyDescent="0.3">
      <c r="A89" s="20"/>
      <c r="B89" s="21" t="s">
        <v>33</v>
      </c>
      <c r="C89" s="36">
        <v>684</v>
      </c>
      <c r="D89" s="36">
        <v>979</v>
      </c>
      <c r="E89" s="36">
        <v>295</v>
      </c>
      <c r="F89" s="36">
        <v>146</v>
      </c>
      <c r="G89" s="36">
        <v>43070</v>
      </c>
      <c r="H89" s="36">
        <v>155</v>
      </c>
      <c r="I89" s="36">
        <v>213</v>
      </c>
      <c r="J89" s="36">
        <v>58</v>
      </c>
      <c r="K89" s="36">
        <v>360</v>
      </c>
      <c r="L89" s="36">
        <v>20880</v>
      </c>
      <c r="M89" s="36">
        <v>0</v>
      </c>
      <c r="N89" s="36">
        <v>0</v>
      </c>
      <c r="O89" s="36">
        <v>0</v>
      </c>
      <c r="P89" s="36">
        <v>4000</v>
      </c>
      <c r="Q89" s="36">
        <v>10000</v>
      </c>
      <c r="R89" s="36">
        <v>0</v>
      </c>
      <c r="S89" s="36">
        <v>77950</v>
      </c>
      <c r="T89" s="25">
        <f t="shared" si="1"/>
        <v>5305</v>
      </c>
      <c r="U89" s="25">
        <f t="shared" si="3"/>
        <v>83255</v>
      </c>
      <c r="V89" s="36">
        <v>77950</v>
      </c>
      <c r="W89" s="25">
        <v>5305</v>
      </c>
      <c r="Y89">
        <f t="shared" si="2"/>
        <v>2</v>
      </c>
    </row>
    <row r="90" spans="1:25" ht="15.75" hidden="1" thickBot="1" x14ac:dyDescent="0.3">
      <c r="A90" s="20"/>
      <c r="B90" s="21" t="s">
        <v>34</v>
      </c>
      <c r="C90" s="36">
        <v>979</v>
      </c>
      <c r="D90" s="36">
        <v>1470</v>
      </c>
      <c r="E90" s="36">
        <v>491</v>
      </c>
      <c r="F90" s="36">
        <v>146</v>
      </c>
      <c r="G90" s="36">
        <v>71686</v>
      </c>
      <c r="H90" s="36">
        <v>213</v>
      </c>
      <c r="I90" s="36">
        <v>278</v>
      </c>
      <c r="J90" s="36">
        <v>65</v>
      </c>
      <c r="K90" s="36">
        <v>360</v>
      </c>
      <c r="L90" s="36">
        <v>23400</v>
      </c>
      <c r="M90" s="36">
        <v>0</v>
      </c>
      <c r="N90" s="36">
        <v>0</v>
      </c>
      <c r="O90" s="36">
        <v>0</v>
      </c>
      <c r="P90" s="36">
        <v>4000</v>
      </c>
      <c r="Q90" s="36">
        <v>10000</v>
      </c>
      <c r="R90" s="36">
        <v>0</v>
      </c>
      <c r="S90" s="36">
        <v>109086</v>
      </c>
      <c r="T90" s="25">
        <f t="shared" si="1"/>
        <v>5305</v>
      </c>
      <c r="U90" s="25">
        <f t="shared" si="3"/>
        <v>114391</v>
      </c>
      <c r="V90" s="36">
        <v>114391</v>
      </c>
      <c r="W90" s="25">
        <v>0</v>
      </c>
      <c r="Y90">
        <f t="shared" si="2"/>
        <v>0</v>
      </c>
    </row>
    <row r="91" spans="1:25" ht="15.75" hidden="1" thickBot="1" x14ac:dyDescent="0.3">
      <c r="A91">
        <v>2010</v>
      </c>
      <c r="B91" s="21" t="s">
        <v>35</v>
      </c>
      <c r="C91" s="36">
        <v>1470</v>
      </c>
      <c r="D91" s="36">
        <v>1960</v>
      </c>
      <c r="E91" s="36">
        <v>490</v>
      </c>
      <c r="F91" s="36">
        <v>146</v>
      </c>
      <c r="G91" s="36">
        <v>71540</v>
      </c>
      <c r="H91" s="36">
        <v>278</v>
      </c>
      <c r="I91" s="36">
        <v>294</v>
      </c>
      <c r="J91" s="36">
        <v>16</v>
      </c>
      <c r="K91" s="36">
        <v>360</v>
      </c>
      <c r="L91" s="36">
        <v>5760</v>
      </c>
      <c r="M91" s="36">
        <v>0</v>
      </c>
      <c r="N91" s="36">
        <v>0</v>
      </c>
      <c r="O91" s="36">
        <v>0</v>
      </c>
      <c r="P91" s="36">
        <v>4000</v>
      </c>
      <c r="Q91" s="36">
        <v>10000</v>
      </c>
      <c r="R91" s="36">
        <v>0</v>
      </c>
      <c r="S91" s="36">
        <v>91300</v>
      </c>
      <c r="T91" s="25">
        <f t="shared" si="1"/>
        <v>0</v>
      </c>
      <c r="U91" s="25">
        <f t="shared" si="3"/>
        <v>91300</v>
      </c>
      <c r="V91" s="36">
        <v>91300</v>
      </c>
      <c r="W91" s="25">
        <v>0</v>
      </c>
      <c r="Y91">
        <f t="shared" si="2"/>
        <v>0</v>
      </c>
    </row>
    <row r="92" spans="1:25" ht="15.75" hidden="1" thickBot="1" x14ac:dyDescent="0.3">
      <c r="B92" s="21" t="s">
        <v>24</v>
      </c>
      <c r="C92" s="36">
        <v>1960</v>
      </c>
      <c r="D92" s="36">
        <v>2440</v>
      </c>
      <c r="E92" s="36">
        <v>480</v>
      </c>
      <c r="F92" s="36">
        <v>146</v>
      </c>
      <c r="G92" s="36">
        <v>70080</v>
      </c>
      <c r="H92" s="36">
        <v>294</v>
      </c>
      <c r="I92" s="36">
        <v>328</v>
      </c>
      <c r="J92" s="36">
        <v>34</v>
      </c>
      <c r="K92" s="36">
        <v>360</v>
      </c>
      <c r="L92" s="36">
        <v>12240</v>
      </c>
      <c r="M92" s="36">
        <v>0</v>
      </c>
      <c r="N92" s="36">
        <v>0</v>
      </c>
      <c r="O92" s="36">
        <v>0</v>
      </c>
      <c r="P92" s="36">
        <v>4000</v>
      </c>
      <c r="Q92" s="36">
        <v>10000</v>
      </c>
      <c r="R92" s="36">
        <v>0</v>
      </c>
      <c r="S92" s="36">
        <v>96320</v>
      </c>
      <c r="T92" s="25">
        <f t="shared" si="1"/>
        <v>0</v>
      </c>
      <c r="U92" s="25">
        <f t="shared" si="3"/>
        <v>96320</v>
      </c>
      <c r="V92" s="36">
        <v>96320</v>
      </c>
      <c r="W92" s="25">
        <v>0</v>
      </c>
      <c r="Y92">
        <f t="shared" si="2"/>
        <v>0</v>
      </c>
    </row>
    <row r="93" spans="1:25" ht="15.75" hidden="1" thickBot="1" x14ac:dyDescent="0.3">
      <c r="B93" s="21" t="s">
        <v>25</v>
      </c>
      <c r="C93" s="36">
        <v>2440</v>
      </c>
      <c r="D93" s="36">
        <v>2911</v>
      </c>
      <c r="E93" s="36">
        <v>471</v>
      </c>
      <c r="F93" s="36">
        <v>146</v>
      </c>
      <c r="G93" s="36">
        <v>68766</v>
      </c>
      <c r="H93" s="36">
        <v>328</v>
      </c>
      <c r="I93" s="36">
        <v>342</v>
      </c>
      <c r="J93" s="36">
        <v>14</v>
      </c>
      <c r="K93" s="36">
        <v>360</v>
      </c>
      <c r="L93" s="36">
        <v>5040</v>
      </c>
      <c r="M93" s="36">
        <v>0</v>
      </c>
      <c r="N93" s="36">
        <v>0</v>
      </c>
      <c r="O93" s="36">
        <v>0</v>
      </c>
      <c r="P93" s="36">
        <v>4000</v>
      </c>
      <c r="Q93" s="36">
        <v>10000</v>
      </c>
      <c r="R93" s="36">
        <v>0</v>
      </c>
      <c r="S93" s="36">
        <v>87806</v>
      </c>
      <c r="T93" s="25">
        <f t="shared" si="1"/>
        <v>0</v>
      </c>
      <c r="U93" s="25">
        <f t="shared" si="3"/>
        <v>87806</v>
      </c>
      <c r="V93" s="36">
        <v>90000</v>
      </c>
      <c r="W93" s="25">
        <v>-2194</v>
      </c>
      <c r="Y93">
        <f t="shared" si="2"/>
        <v>0</v>
      </c>
    </row>
    <row r="94" spans="1:25" ht="15.75" hidden="1" thickBot="1" x14ac:dyDescent="0.3">
      <c r="B94" s="21" t="s">
        <v>26</v>
      </c>
      <c r="C94" s="36">
        <v>2911</v>
      </c>
      <c r="D94" s="36">
        <v>3213</v>
      </c>
      <c r="E94" s="36">
        <v>302</v>
      </c>
      <c r="F94" s="36">
        <v>146</v>
      </c>
      <c r="G94" s="36">
        <v>44092</v>
      </c>
      <c r="H94" s="36">
        <v>342</v>
      </c>
      <c r="I94" s="36">
        <v>352</v>
      </c>
      <c r="J94" s="36">
        <v>10</v>
      </c>
      <c r="K94" s="36">
        <v>360</v>
      </c>
      <c r="L94" s="36">
        <v>3600</v>
      </c>
      <c r="M94" s="36">
        <v>0</v>
      </c>
      <c r="N94" s="36">
        <v>0</v>
      </c>
      <c r="O94" s="36">
        <v>0</v>
      </c>
      <c r="P94" s="36">
        <v>4000</v>
      </c>
      <c r="Q94" s="36">
        <v>10000</v>
      </c>
      <c r="R94" s="36">
        <v>0</v>
      </c>
      <c r="S94" s="36">
        <v>61692</v>
      </c>
      <c r="T94" s="25">
        <f t="shared" si="1"/>
        <v>-2194</v>
      </c>
      <c r="U94" s="25">
        <f t="shared" si="3"/>
        <v>59498</v>
      </c>
      <c r="V94" s="36">
        <v>60000</v>
      </c>
      <c r="W94" s="25">
        <v>-502</v>
      </c>
      <c r="Y94">
        <f t="shared" si="2"/>
        <v>0</v>
      </c>
    </row>
    <row r="95" spans="1:25" ht="15.75" hidden="1" thickBot="1" x14ac:dyDescent="0.3">
      <c r="B95" s="21" t="s">
        <v>27</v>
      </c>
      <c r="C95" s="36">
        <v>3213</v>
      </c>
      <c r="D95" s="36">
        <v>3373</v>
      </c>
      <c r="E95" s="36">
        <v>160</v>
      </c>
      <c r="F95" s="36">
        <v>146</v>
      </c>
      <c r="G95" s="36">
        <v>23360</v>
      </c>
      <c r="H95" s="36">
        <v>352</v>
      </c>
      <c r="I95" s="36">
        <v>358</v>
      </c>
      <c r="J95" s="36">
        <v>6</v>
      </c>
      <c r="K95" s="36">
        <v>360</v>
      </c>
      <c r="L95" s="36">
        <v>2160</v>
      </c>
      <c r="M95" s="36">
        <v>0</v>
      </c>
      <c r="N95" s="36">
        <v>0</v>
      </c>
      <c r="O95" s="36">
        <v>0</v>
      </c>
      <c r="P95" s="36">
        <v>4000</v>
      </c>
      <c r="Q95" s="36">
        <v>10000</v>
      </c>
      <c r="R95" s="36">
        <v>0</v>
      </c>
      <c r="S95" s="36">
        <v>39520</v>
      </c>
      <c r="T95" s="25">
        <f t="shared" si="1"/>
        <v>-502</v>
      </c>
      <c r="U95" s="25">
        <f t="shared" si="3"/>
        <v>39018</v>
      </c>
      <c r="V95" s="36">
        <v>0</v>
      </c>
      <c r="W95" s="25">
        <v>39018</v>
      </c>
      <c r="Y95">
        <f t="shared" si="2"/>
        <v>1</v>
      </c>
    </row>
    <row r="96" spans="1:25" ht="15.75" hidden="1" thickBot="1" x14ac:dyDescent="0.3">
      <c r="B96" s="21" t="s">
        <v>28</v>
      </c>
      <c r="C96" s="36">
        <v>3373</v>
      </c>
      <c r="D96" s="36">
        <v>3543</v>
      </c>
      <c r="E96" s="36">
        <v>170</v>
      </c>
      <c r="F96" s="36">
        <v>146</v>
      </c>
      <c r="G96" s="36">
        <v>24820</v>
      </c>
      <c r="H96" s="36">
        <v>358</v>
      </c>
      <c r="I96" s="36">
        <v>360</v>
      </c>
      <c r="J96" s="36">
        <v>2</v>
      </c>
      <c r="K96" s="36">
        <v>360</v>
      </c>
      <c r="L96" s="36">
        <v>720</v>
      </c>
      <c r="M96" s="36">
        <v>0</v>
      </c>
      <c r="N96" s="36">
        <v>0</v>
      </c>
      <c r="O96" s="36">
        <v>0</v>
      </c>
      <c r="P96" s="36">
        <v>4000</v>
      </c>
      <c r="Q96" s="36">
        <v>10000</v>
      </c>
      <c r="R96" s="36">
        <v>0</v>
      </c>
      <c r="S96" s="36">
        <v>39540</v>
      </c>
      <c r="T96" s="25">
        <f t="shared" si="1"/>
        <v>39018</v>
      </c>
      <c r="U96" s="25">
        <f t="shared" si="3"/>
        <v>78558</v>
      </c>
      <c r="V96" s="36">
        <v>50000</v>
      </c>
      <c r="W96" s="25">
        <v>28558</v>
      </c>
      <c r="Y96">
        <f t="shared" si="2"/>
        <v>2</v>
      </c>
    </row>
    <row r="97" spans="1:25" ht="22.5" hidden="1" customHeight="1" thickBot="1" x14ac:dyDescent="0.3">
      <c r="A97" s="20"/>
      <c r="B97" s="21" t="s">
        <v>29</v>
      </c>
      <c r="C97" s="36">
        <v>3543</v>
      </c>
      <c r="D97" s="36">
        <v>3659</v>
      </c>
      <c r="E97" s="36">
        <v>116</v>
      </c>
      <c r="F97" s="36">
        <v>146</v>
      </c>
      <c r="G97" s="36">
        <v>16936</v>
      </c>
      <c r="H97" s="36">
        <v>360</v>
      </c>
      <c r="I97" s="36">
        <v>378</v>
      </c>
      <c r="J97" s="36">
        <v>18</v>
      </c>
      <c r="K97" s="36">
        <v>360</v>
      </c>
      <c r="L97" s="36">
        <v>6480</v>
      </c>
      <c r="M97" s="36">
        <v>0</v>
      </c>
      <c r="N97" s="36"/>
      <c r="O97" s="36"/>
      <c r="P97" s="36">
        <v>4000</v>
      </c>
      <c r="Q97" s="36">
        <v>10000</v>
      </c>
      <c r="R97" s="36"/>
      <c r="S97" s="36">
        <f t="shared" ref="S97:S161" si="4">G97+L97+M97+N97+O97+P97+Q97+R97</f>
        <v>37416</v>
      </c>
      <c r="T97" s="25">
        <f t="shared" si="1"/>
        <v>28558</v>
      </c>
      <c r="U97" s="25">
        <f t="shared" si="3"/>
        <v>65974</v>
      </c>
      <c r="V97" s="36">
        <v>65000</v>
      </c>
      <c r="W97" s="25">
        <f t="shared" ref="W97:W157" si="5">U97-V97</f>
        <v>974</v>
      </c>
      <c r="Y97">
        <f t="shared" si="2"/>
        <v>3</v>
      </c>
    </row>
    <row r="98" spans="1:25" ht="15.75" hidden="1" thickBot="1" x14ac:dyDescent="0.3">
      <c r="A98" s="20"/>
      <c r="B98" s="21" t="s">
        <v>30</v>
      </c>
      <c r="C98" s="36">
        <v>3659</v>
      </c>
      <c r="D98" s="36">
        <v>3756</v>
      </c>
      <c r="E98" s="36">
        <v>97</v>
      </c>
      <c r="F98" s="36">
        <v>146</v>
      </c>
      <c r="G98" s="36">
        <v>14162</v>
      </c>
      <c r="H98" s="36">
        <v>378</v>
      </c>
      <c r="I98" s="36">
        <v>382</v>
      </c>
      <c r="J98" s="36">
        <v>4</v>
      </c>
      <c r="K98" s="36">
        <v>360</v>
      </c>
      <c r="L98" s="36">
        <v>1440</v>
      </c>
      <c r="M98" s="36">
        <v>0</v>
      </c>
      <c r="N98" s="36"/>
      <c r="O98" s="36"/>
      <c r="P98" s="36">
        <v>4000</v>
      </c>
      <c r="Q98" s="36">
        <v>10000</v>
      </c>
      <c r="R98" s="36">
        <v>0</v>
      </c>
      <c r="S98" s="36">
        <f t="shared" si="4"/>
        <v>29602</v>
      </c>
      <c r="T98" s="25">
        <f t="shared" ref="T98:T161" si="6">W97</f>
        <v>974</v>
      </c>
      <c r="U98" s="25">
        <f t="shared" ref="U98:U161" si="7">S98+T98</f>
        <v>30576</v>
      </c>
      <c r="V98" s="36">
        <v>0</v>
      </c>
      <c r="W98" s="25">
        <f t="shared" si="5"/>
        <v>30576</v>
      </c>
      <c r="Y98">
        <f t="shared" si="2"/>
        <v>4</v>
      </c>
    </row>
    <row r="99" spans="1:25" ht="15.75" hidden="1" thickBot="1" x14ac:dyDescent="0.3">
      <c r="A99" s="20"/>
      <c r="B99" s="21" t="s">
        <v>31</v>
      </c>
      <c r="C99" s="36">
        <v>3756</v>
      </c>
      <c r="D99" s="36">
        <v>4058</v>
      </c>
      <c r="E99" s="36">
        <v>302</v>
      </c>
      <c r="F99" s="36">
        <v>146</v>
      </c>
      <c r="G99" s="36">
        <v>44092</v>
      </c>
      <c r="H99" s="36">
        <v>382</v>
      </c>
      <c r="I99" s="36">
        <v>382</v>
      </c>
      <c r="J99" s="36">
        <v>0</v>
      </c>
      <c r="K99" s="36">
        <v>360</v>
      </c>
      <c r="L99" s="36">
        <v>0</v>
      </c>
      <c r="M99" s="36">
        <v>0</v>
      </c>
      <c r="N99" s="36"/>
      <c r="O99" s="36"/>
      <c r="P99" s="36">
        <v>4000</v>
      </c>
      <c r="Q99" s="36">
        <v>10000</v>
      </c>
      <c r="R99" s="36"/>
      <c r="S99" s="36">
        <f t="shared" si="4"/>
        <v>58092</v>
      </c>
      <c r="T99" s="25">
        <f t="shared" si="6"/>
        <v>30576</v>
      </c>
      <c r="U99" s="25">
        <f t="shared" si="7"/>
        <v>88668</v>
      </c>
      <c r="V99" s="36">
        <v>60000</v>
      </c>
      <c r="W99" s="25">
        <f t="shared" si="5"/>
        <v>28668</v>
      </c>
      <c r="Y99">
        <f t="shared" si="2"/>
        <v>5</v>
      </c>
    </row>
    <row r="100" spans="1:25" ht="15.75" hidden="1" thickBot="1" x14ac:dyDescent="0.3">
      <c r="A100" s="20"/>
      <c r="B100" s="21" t="s">
        <v>32</v>
      </c>
      <c r="C100" s="36">
        <v>4058</v>
      </c>
      <c r="D100" s="36">
        <v>4281</v>
      </c>
      <c r="E100" s="36">
        <v>223</v>
      </c>
      <c r="F100" s="36">
        <v>146</v>
      </c>
      <c r="G100" s="36">
        <v>32558</v>
      </c>
      <c r="H100" s="36">
        <v>382</v>
      </c>
      <c r="I100" s="36">
        <v>389</v>
      </c>
      <c r="J100" s="36">
        <v>7</v>
      </c>
      <c r="K100" s="36">
        <v>360</v>
      </c>
      <c r="L100" s="36">
        <v>2520</v>
      </c>
      <c r="M100" s="36">
        <v>0</v>
      </c>
      <c r="N100" s="36"/>
      <c r="O100" s="36"/>
      <c r="P100" s="36">
        <v>4000</v>
      </c>
      <c r="Q100" s="36">
        <v>10000</v>
      </c>
      <c r="R100" s="36">
        <v>8866</v>
      </c>
      <c r="S100" s="36">
        <f t="shared" si="4"/>
        <v>57944</v>
      </c>
      <c r="T100" s="25">
        <f t="shared" si="6"/>
        <v>28668</v>
      </c>
      <c r="U100" s="25">
        <f t="shared" si="7"/>
        <v>86612</v>
      </c>
      <c r="V100" s="36">
        <v>37534</v>
      </c>
      <c r="W100" s="25">
        <f t="shared" si="5"/>
        <v>49078</v>
      </c>
      <c r="Y100">
        <f t="shared" si="2"/>
        <v>6</v>
      </c>
    </row>
    <row r="101" spans="1:25" ht="15.75" hidden="1" thickBot="1" x14ac:dyDescent="0.3">
      <c r="A101" s="20"/>
      <c r="B101" s="21" t="s">
        <v>33</v>
      </c>
      <c r="C101" s="36">
        <v>4281</v>
      </c>
      <c r="D101" s="36">
        <v>4539</v>
      </c>
      <c r="E101" s="36">
        <v>258</v>
      </c>
      <c r="F101" s="36">
        <v>146</v>
      </c>
      <c r="G101" s="36">
        <v>37668</v>
      </c>
      <c r="H101" s="36">
        <v>389</v>
      </c>
      <c r="I101" s="36">
        <v>415</v>
      </c>
      <c r="J101" s="36">
        <v>26</v>
      </c>
      <c r="K101" s="36">
        <v>360</v>
      </c>
      <c r="L101" s="36">
        <v>9360</v>
      </c>
      <c r="M101" s="36">
        <v>0</v>
      </c>
      <c r="N101" s="36"/>
      <c r="O101" s="36"/>
      <c r="P101" s="36">
        <v>4000</v>
      </c>
      <c r="Q101" s="36">
        <v>10000</v>
      </c>
      <c r="R101" s="36"/>
      <c r="S101" s="36">
        <f t="shared" si="4"/>
        <v>61028</v>
      </c>
      <c r="T101" s="25">
        <f t="shared" si="6"/>
        <v>49078</v>
      </c>
      <c r="U101" s="25">
        <f t="shared" si="7"/>
        <v>110106</v>
      </c>
      <c r="V101" s="36">
        <v>110106</v>
      </c>
      <c r="W101" s="25">
        <f t="shared" si="5"/>
        <v>0</v>
      </c>
      <c r="Y101">
        <f t="shared" si="2"/>
        <v>0</v>
      </c>
    </row>
    <row r="102" spans="1:25" ht="15.75" hidden="1" thickBot="1" x14ac:dyDescent="0.3">
      <c r="A102" s="20"/>
      <c r="B102" s="21" t="s">
        <v>34</v>
      </c>
      <c r="C102" s="36">
        <v>4539</v>
      </c>
      <c r="D102" s="36">
        <v>4924</v>
      </c>
      <c r="E102" s="36">
        <v>385</v>
      </c>
      <c r="F102" s="36">
        <v>146</v>
      </c>
      <c r="G102" s="36">
        <v>56210</v>
      </c>
      <c r="H102" s="36">
        <v>415</v>
      </c>
      <c r="I102" s="36">
        <v>493</v>
      </c>
      <c r="J102" s="36">
        <v>78</v>
      </c>
      <c r="K102" s="36">
        <v>360</v>
      </c>
      <c r="L102" s="36">
        <v>28080</v>
      </c>
      <c r="M102" s="36">
        <v>0</v>
      </c>
      <c r="N102" s="36"/>
      <c r="O102" s="36"/>
      <c r="P102" s="36">
        <v>4000</v>
      </c>
      <c r="Q102" s="36">
        <v>10000</v>
      </c>
      <c r="R102" s="36"/>
      <c r="S102" s="36">
        <f t="shared" si="4"/>
        <v>98290</v>
      </c>
      <c r="T102" s="25">
        <f t="shared" si="6"/>
        <v>0</v>
      </c>
      <c r="U102" s="25">
        <f t="shared" si="7"/>
        <v>98290</v>
      </c>
      <c r="V102" s="36">
        <v>98290</v>
      </c>
      <c r="W102" s="25">
        <f t="shared" si="5"/>
        <v>0</v>
      </c>
      <c r="Y102">
        <f t="shared" si="2"/>
        <v>0</v>
      </c>
    </row>
    <row r="103" spans="1:25" ht="15.75" hidden="1" thickBot="1" x14ac:dyDescent="0.3">
      <c r="A103" s="20">
        <v>2011</v>
      </c>
      <c r="B103" s="21" t="s">
        <v>35</v>
      </c>
      <c r="C103" s="36">
        <v>4924</v>
      </c>
      <c r="D103" s="36">
        <v>5290</v>
      </c>
      <c r="E103" s="36">
        <v>366</v>
      </c>
      <c r="F103" s="36">
        <v>146</v>
      </c>
      <c r="G103" s="36">
        <v>53436</v>
      </c>
      <c r="H103" s="36">
        <v>493</v>
      </c>
      <c r="I103" s="36">
        <v>614</v>
      </c>
      <c r="J103" s="36">
        <v>121</v>
      </c>
      <c r="K103" s="36">
        <v>360</v>
      </c>
      <c r="L103" s="36">
        <v>43560</v>
      </c>
      <c r="M103" s="36">
        <v>0</v>
      </c>
      <c r="N103" s="36"/>
      <c r="O103" s="36"/>
      <c r="P103" s="36">
        <v>4000</v>
      </c>
      <c r="Q103" s="36">
        <v>10000</v>
      </c>
      <c r="R103" s="36"/>
      <c r="S103" s="36">
        <f t="shared" si="4"/>
        <v>110996</v>
      </c>
      <c r="T103" s="25">
        <f t="shared" si="6"/>
        <v>0</v>
      </c>
      <c r="U103" s="25">
        <f t="shared" si="7"/>
        <v>110996</v>
      </c>
      <c r="V103" s="36">
        <v>110996</v>
      </c>
      <c r="W103" s="25">
        <f t="shared" si="5"/>
        <v>0</v>
      </c>
      <c r="Y103">
        <f t="shared" si="2"/>
        <v>0</v>
      </c>
    </row>
    <row r="104" spans="1:25" ht="15.75" hidden="1" thickBot="1" x14ac:dyDescent="0.3">
      <c r="A104" s="20"/>
      <c r="B104" s="21" t="s">
        <v>24</v>
      </c>
      <c r="C104" s="36">
        <v>5290</v>
      </c>
      <c r="D104" s="36">
        <v>5690</v>
      </c>
      <c r="E104" s="36">
        <v>400</v>
      </c>
      <c r="F104" s="36">
        <v>146</v>
      </c>
      <c r="G104" s="36">
        <v>58400</v>
      </c>
      <c r="H104" s="36">
        <v>614</v>
      </c>
      <c r="I104" s="36">
        <v>759</v>
      </c>
      <c r="J104" s="36">
        <v>145</v>
      </c>
      <c r="K104" s="36">
        <v>360</v>
      </c>
      <c r="L104" s="36">
        <v>52200</v>
      </c>
      <c r="M104" s="36">
        <v>0</v>
      </c>
      <c r="N104" s="36"/>
      <c r="O104" s="36"/>
      <c r="P104" s="36">
        <v>4000</v>
      </c>
      <c r="Q104" s="36">
        <v>10000</v>
      </c>
      <c r="R104" s="36"/>
      <c r="S104" s="36">
        <f t="shared" si="4"/>
        <v>124600</v>
      </c>
      <c r="T104" s="25">
        <f t="shared" si="6"/>
        <v>0</v>
      </c>
      <c r="U104" s="25">
        <f t="shared" si="7"/>
        <v>124600</v>
      </c>
      <c r="V104" s="36">
        <v>110996</v>
      </c>
      <c r="W104" s="25">
        <f t="shared" si="5"/>
        <v>13604</v>
      </c>
      <c r="Y104">
        <f t="shared" si="2"/>
        <v>1</v>
      </c>
    </row>
    <row r="105" spans="1:25" ht="15.75" hidden="1" thickBot="1" x14ac:dyDescent="0.3">
      <c r="A105" s="20"/>
      <c r="B105" s="21" t="s">
        <v>25</v>
      </c>
      <c r="C105" s="36">
        <v>5690</v>
      </c>
      <c r="D105" s="36">
        <v>6038</v>
      </c>
      <c r="E105" s="36">
        <v>348</v>
      </c>
      <c r="F105" s="36">
        <v>146</v>
      </c>
      <c r="G105" s="36">
        <v>50808</v>
      </c>
      <c r="H105" s="36">
        <v>759</v>
      </c>
      <c r="I105" s="36">
        <v>898</v>
      </c>
      <c r="J105" s="36">
        <v>139</v>
      </c>
      <c r="K105" s="36">
        <v>360</v>
      </c>
      <c r="L105" s="36">
        <v>50040</v>
      </c>
      <c r="M105" s="36">
        <v>0</v>
      </c>
      <c r="N105" s="36"/>
      <c r="O105" s="36"/>
      <c r="P105" s="36">
        <v>4000</v>
      </c>
      <c r="Q105" s="36">
        <v>10000</v>
      </c>
      <c r="R105" s="36"/>
      <c r="S105" s="36">
        <f t="shared" si="4"/>
        <v>114848</v>
      </c>
      <c r="T105" s="25">
        <f t="shared" si="6"/>
        <v>13604</v>
      </c>
      <c r="U105" s="25">
        <f t="shared" si="7"/>
        <v>128452</v>
      </c>
      <c r="V105" s="36">
        <v>128452</v>
      </c>
      <c r="W105" s="25">
        <f t="shared" si="5"/>
        <v>0</v>
      </c>
      <c r="Y105">
        <f t="shared" si="2"/>
        <v>0</v>
      </c>
    </row>
    <row r="106" spans="1:25" ht="15.75" hidden="1" thickBot="1" x14ac:dyDescent="0.3">
      <c r="A106" s="20"/>
      <c r="B106" s="21" t="s">
        <v>26</v>
      </c>
      <c r="C106" s="36">
        <v>6038</v>
      </c>
      <c r="D106" s="36">
        <v>6237</v>
      </c>
      <c r="E106" s="36">
        <v>199</v>
      </c>
      <c r="F106" s="36">
        <v>146</v>
      </c>
      <c r="G106" s="36">
        <v>29054</v>
      </c>
      <c r="H106" s="36">
        <v>898</v>
      </c>
      <c r="I106" s="36">
        <v>1013</v>
      </c>
      <c r="J106" s="36">
        <v>115</v>
      </c>
      <c r="K106" s="36">
        <v>360</v>
      </c>
      <c r="L106" s="36">
        <v>41400</v>
      </c>
      <c r="M106" s="36">
        <v>0</v>
      </c>
      <c r="N106" s="36"/>
      <c r="O106" s="36"/>
      <c r="P106" s="36">
        <v>4000</v>
      </c>
      <c r="Q106" s="36">
        <v>10000</v>
      </c>
      <c r="R106" s="36"/>
      <c r="S106" s="36">
        <f t="shared" si="4"/>
        <v>84454</v>
      </c>
      <c r="T106" s="25">
        <f t="shared" si="6"/>
        <v>0</v>
      </c>
      <c r="U106" s="25">
        <f t="shared" si="7"/>
        <v>84454</v>
      </c>
      <c r="V106" s="36">
        <v>0</v>
      </c>
      <c r="W106" s="25">
        <f t="shared" si="5"/>
        <v>84454</v>
      </c>
      <c r="Y106">
        <f t="shared" si="2"/>
        <v>1</v>
      </c>
    </row>
    <row r="107" spans="1:25" ht="15.75" hidden="1" thickBot="1" x14ac:dyDescent="0.3">
      <c r="A107" s="20"/>
      <c r="B107" s="21" t="s">
        <v>27</v>
      </c>
      <c r="C107" s="36">
        <v>6237</v>
      </c>
      <c r="D107" s="36">
        <v>6325</v>
      </c>
      <c r="E107" s="36">
        <v>88</v>
      </c>
      <c r="F107" s="36">
        <v>146</v>
      </c>
      <c r="G107" s="36">
        <v>12848</v>
      </c>
      <c r="H107" s="36">
        <v>1013</v>
      </c>
      <c r="I107" s="36">
        <v>1048</v>
      </c>
      <c r="J107" s="36">
        <v>35</v>
      </c>
      <c r="K107" s="36">
        <v>360</v>
      </c>
      <c r="L107" s="36">
        <v>12600</v>
      </c>
      <c r="M107" s="36">
        <v>0</v>
      </c>
      <c r="N107" s="36"/>
      <c r="O107" s="36"/>
      <c r="P107" s="36">
        <v>4000</v>
      </c>
      <c r="Q107" s="36">
        <v>10000</v>
      </c>
      <c r="R107" s="36"/>
      <c r="S107" s="36">
        <f t="shared" si="4"/>
        <v>39448</v>
      </c>
      <c r="T107" s="25">
        <f t="shared" si="6"/>
        <v>84454</v>
      </c>
      <c r="U107" s="25">
        <f t="shared" si="7"/>
        <v>123902</v>
      </c>
      <c r="V107" s="36">
        <v>123902</v>
      </c>
      <c r="W107" s="25">
        <f t="shared" si="5"/>
        <v>0</v>
      </c>
      <c r="Y107">
        <f t="shared" si="2"/>
        <v>0</v>
      </c>
    </row>
    <row r="108" spans="1:25" ht="15.75" hidden="1" thickBot="1" x14ac:dyDescent="0.3">
      <c r="A108" s="20"/>
      <c r="B108" s="21" t="s">
        <v>28</v>
      </c>
      <c r="C108" s="36">
        <v>6325</v>
      </c>
      <c r="D108" s="36">
        <v>6443</v>
      </c>
      <c r="E108" s="36">
        <v>118</v>
      </c>
      <c r="F108" s="36">
        <v>146</v>
      </c>
      <c r="G108" s="36">
        <v>17228</v>
      </c>
      <c r="H108" s="36">
        <v>1048</v>
      </c>
      <c r="I108" s="36">
        <v>1129</v>
      </c>
      <c r="J108" s="36">
        <v>81</v>
      </c>
      <c r="K108" s="36">
        <v>360</v>
      </c>
      <c r="L108" s="36">
        <v>29160</v>
      </c>
      <c r="M108" s="36">
        <v>0</v>
      </c>
      <c r="N108" s="36"/>
      <c r="O108" s="36"/>
      <c r="P108" s="36">
        <v>4000</v>
      </c>
      <c r="Q108" s="36">
        <v>10000</v>
      </c>
      <c r="R108" s="36"/>
      <c r="S108" s="36">
        <f t="shared" si="4"/>
        <v>60388</v>
      </c>
      <c r="T108" s="25">
        <f t="shared" si="6"/>
        <v>0</v>
      </c>
      <c r="U108" s="25">
        <f t="shared" si="7"/>
        <v>60388</v>
      </c>
      <c r="V108" s="36">
        <v>0</v>
      </c>
      <c r="W108" s="25">
        <f t="shared" si="5"/>
        <v>60388</v>
      </c>
      <c r="Y108">
        <f t="shared" si="2"/>
        <v>1</v>
      </c>
    </row>
    <row r="109" spans="1:25" ht="15.75" hidden="1" thickBot="1" x14ac:dyDescent="0.3">
      <c r="A109" s="20"/>
      <c r="B109" s="21" t="s">
        <v>29</v>
      </c>
      <c r="C109" s="36">
        <v>6443</v>
      </c>
      <c r="D109" s="36">
        <v>6548</v>
      </c>
      <c r="E109" s="36">
        <v>105</v>
      </c>
      <c r="F109" s="36">
        <v>146</v>
      </c>
      <c r="G109" s="36">
        <v>15330</v>
      </c>
      <c r="H109" s="36">
        <v>1129</v>
      </c>
      <c r="I109" s="36">
        <v>1135</v>
      </c>
      <c r="J109" s="36">
        <v>6</v>
      </c>
      <c r="K109" s="36">
        <v>360</v>
      </c>
      <c r="L109" s="36">
        <v>2160</v>
      </c>
      <c r="M109" s="36">
        <v>0</v>
      </c>
      <c r="N109" s="36"/>
      <c r="O109" s="36"/>
      <c r="P109" s="36">
        <v>4000</v>
      </c>
      <c r="Q109" s="36">
        <v>10000</v>
      </c>
      <c r="R109" s="36"/>
      <c r="S109" s="36">
        <f t="shared" si="4"/>
        <v>31490</v>
      </c>
      <c r="T109" s="25">
        <f t="shared" si="6"/>
        <v>60388</v>
      </c>
      <c r="U109" s="25">
        <f t="shared" si="7"/>
        <v>91878</v>
      </c>
      <c r="V109" s="36">
        <v>91878</v>
      </c>
      <c r="W109" s="25">
        <f t="shared" si="5"/>
        <v>0</v>
      </c>
      <c r="Y109">
        <f t="shared" si="2"/>
        <v>0</v>
      </c>
    </row>
    <row r="110" spans="1:25" ht="15.75" hidden="1" thickBot="1" x14ac:dyDescent="0.3">
      <c r="A110" s="20"/>
      <c r="B110" s="21" t="s">
        <v>30</v>
      </c>
      <c r="C110" s="36">
        <v>6548</v>
      </c>
      <c r="D110" s="36">
        <v>6719</v>
      </c>
      <c r="E110" s="36">
        <v>171</v>
      </c>
      <c r="F110" s="36">
        <v>146</v>
      </c>
      <c r="G110" s="36">
        <v>24966</v>
      </c>
      <c r="H110" s="36">
        <v>1135</v>
      </c>
      <c r="I110" s="36">
        <v>1147</v>
      </c>
      <c r="J110" s="36">
        <v>12</v>
      </c>
      <c r="K110" s="36">
        <v>360</v>
      </c>
      <c r="L110" s="36">
        <v>4320</v>
      </c>
      <c r="M110" s="36">
        <v>0</v>
      </c>
      <c r="N110" s="36"/>
      <c r="O110" s="36"/>
      <c r="P110" s="36">
        <v>4000</v>
      </c>
      <c r="Q110" s="36">
        <v>10000</v>
      </c>
      <c r="R110" s="36"/>
      <c r="S110" s="36">
        <f t="shared" si="4"/>
        <v>43286</v>
      </c>
      <c r="T110" s="25">
        <f t="shared" si="6"/>
        <v>0</v>
      </c>
      <c r="U110" s="25">
        <f t="shared" si="7"/>
        <v>43286</v>
      </c>
      <c r="V110" s="36">
        <v>0</v>
      </c>
      <c r="W110" s="25">
        <f t="shared" si="5"/>
        <v>43286</v>
      </c>
      <c r="Y110">
        <f t="shared" si="2"/>
        <v>1</v>
      </c>
    </row>
    <row r="111" spans="1:25" ht="15.75" hidden="1" thickBot="1" x14ac:dyDescent="0.3">
      <c r="A111" s="20"/>
      <c r="B111" s="21" t="s">
        <v>31</v>
      </c>
      <c r="C111" s="36">
        <v>6719</v>
      </c>
      <c r="D111" s="36">
        <v>6912</v>
      </c>
      <c r="E111" s="36">
        <v>193</v>
      </c>
      <c r="F111" s="36">
        <v>146</v>
      </c>
      <c r="G111" s="36">
        <v>28178</v>
      </c>
      <c r="H111" s="36">
        <v>1147</v>
      </c>
      <c r="I111" s="36">
        <v>1181</v>
      </c>
      <c r="J111" s="36">
        <v>34</v>
      </c>
      <c r="K111" s="36">
        <v>360</v>
      </c>
      <c r="L111" s="36">
        <v>12240</v>
      </c>
      <c r="M111" s="36">
        <v>0</v>
      </c>
      <c r="N111" s="36"/>
      <c r="O111" s="36"/>
      <c r="P111" s="36">
        <v>4000</v>
      </c>
      <c r="Q111" s="36">
        <v>10000</v>
      </c>
      <c r="R111" s="36">
        <v>9770</v>
      </c>
      <c r="S111" s="36">
        <f t="shared" si="4"/>
        <v>64188</v>
      </c>
      <c r="T111" s="25">
        <f t="shared" si="6"/>
        <v>43286</v>
      </c>
      <c r="U111" s="25">
        <f t="shared" si="7"/>
        <v>107474</v>
      </c>
      <c r="V111" s="36">
        <v>107474</v>
      </c>
      <c r="W111" s="25">
        <f t="shared" si="5"/>
        <v>0</v>
      </c>
      <c r="Y111">
        <f t="shared" si="2"/>
        <v>0</v>
      </c>
    </row>
    <row r="112" spans="1:25" ht="15.75" hidden="1" thickBot="1" x14ac:dyDescent="0.3">
      <c r="A112" s="20"/>
      <c r="B112" s="21" t="s">
        <v>32</v>
      </c>
      <c r="C112" s="36">
        <v>6912</v>
      </c>
      <c r="D112" s="36">
        <v>7087</v>
      </c>
      <c r="E112" s="36">
        <v>175</v>
      </c>
      <c r="F112" s="36">
        <v>146</v>
      </c>
      <c r="G112" s="36">
        <v>25550</v>
      </c>
      <c r="H112" s="36">
        <v>1181</v>
      </c>
      <c r="I112" s="36">
        <v>1310</v>
      </c>
      <c r="J112" s="36">
        <v>129</v>
      </c>
      <c r="K112" s="36">
        <v>360</v>
      </c>
      <c r="L112" s="36">
        <v>46440</v>
      </c>
      <c r="M112" s="36">
        <v>0</v>
      </c>
      <c r="N112" s="36"/>
      <c r="O112" s="36"/>
      <c r="P112" s="36">
        <v>4000</v>
      </c>
      <c r="Q112" s="36">
        <v>10000</v>
      </c>
      <c r="R112" s="36"/>
      <c r="S112" s="36">
        <f t="shared" si="4"/>
        <v>85990</v>
      </c>
      <c r="T112" s="25">
        <f t="shared" si="6"/>
        <v>0</v>
      </c>
      <c r="U112" s="25">
        <f t="shared" si="7"/>
        <v>85990</v>
      </c>
      <c r="V112" s="36">
        <v>85990</v>
      </c>
      <c r="W112" s="25">
        <f t="shared" si="5"/>
        <v>0</v>
      </c>
      <c r="Y112">
        <f t="shared" si="2"/>
        <v>0</v>
      </c>
    </row>
    <row r="113" spans="1:25" ht="15.75" hidden="1" thickBot="1" x14ac:dyDescent="0.3">
      <c r="A113" s="20"/>
      <c r="B113" s="21" t="s">
        <v>33</v>
      </c>
      <c r="C113" s="36">
        <v>7087</v>
      </c>
      <c r="D113" s="36">
        <v>7440</v>
      </c>
      <c r="E113" s="36">
        <v>353</v>
      </c>
      <c r="F113" s="36">
        <v>146</v>
      </c>
      <c r="G113" s="36">
        <v>51538</v>
      </c>
      <c r="H113" s="36">
        <v>1310</v>
      </c>
      <c r="I113" s="36">
        <v>1586</v>
      </c>
      <c r="J113" s="36">
        <v>276</v>
      </c>
      <c r="K113" s="36">
        <v>0</v>
      </c>
      <c r="L113" s="36">
        <v>135720</v>
      </c>
      <c r="M113" s="36">
        <v>0</v>
      </c>
      <c r="N113" s="36"/>
      <c r="O113" s="36"/>
      <c r="P113" s="36">
        <v>4000</v>
      </c>
      <c r="Q113" s="36">
        <v>10000</v>
      </c>
      <c r="R113" s="36"/>
      <c r="S113" s="36">
        <f t="shared" si="4"/>
        <v>201258</v>
      </c>
      <c r="T113" s="25">
        <f t="shared" si="6"/>
        <v>0</v>
      </c>
      <c r="U113" s="25">
        <f t="shared" si="7"/>
        <v>201258</v>
      </c>
      <c r="V113" s="36">
        <v>201300</v>
      </c>
      <c r="W113" s="25">
        <f t="shared" si="5"/>
        <v>-42</v>
      </c>
      <c r="Y113">
        <f t="shared" si="2"/>
        <v>0</v>
      </c>
    </row>
    <row r="114" spans="1:25" ht="15.75" hidden="1" thickBot="1" x14ac:dyDescent="0.3">
      <c r="A114" s="20"/>
      <c r="B114" s="21" t="s">
        <v>34</v>
      </c>
      <c r="C114" s="36">
        <v>7440</v>
      </c>
      <c r="D114" s="36">
        <v>7848</v>
      </c>
      <c r="E114" s="36">
        <v>408</v>
      </c>
      <c r="F114" s="36">
        <v>146</v>
      </c>
      <c r="G114" s="36">
        <v>59568</v>
      </c>
      <c r="H114" s="36">
        <v>1586</v>
      </c>
      <c r="I114" s="36">
        <v>1829</v>
      </c>
      <c r="J114" s="36">
        <v>243</v>
      </c>
      <c r="K114" s="36">
        <v>0</v>
      </c>
      <c r="L114" s="36">
        <v>111960</v>
      </c>
      <c r="M114" s="36">
        <v>0</v>
      </c>
      <c r="N114" s="36"/>
      <c r="O114" s="36"/>
      <c r="P114" s="36">
        <v>4000</v>
      </c>
      <c r="Q114" s="36">
        <v>10000</v>
      </c>
      <c r="R114" s="36"/>
      <c r="S114" s="36">
        <f t="shared" si="4"/>
        <v>185528</v>
      </c>
      <c r="T114" s="25">
        <f t="shared" si="6"/>
        <v>-42</v>
      </c>
      <c r="U114" s="25">
        <f t="shared" si="7"/>
        <v>185486</v>
      </c>
      <c r="V114" s="36">
        <v>200000</v>
      </c>
      <c r="W114" s="25">
        <f t="shared" si="5"/>
        <v>-14514</v>
      </c>
      <c r="Y114">
        <f t="shared" si="2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7848</v>
      </c>
      <c r="D115" s="36">
        <v>8163</v>
      </c>
      <c r="E115" s="36">
        <v>315</v>
      </c>
      <c r="F115" s="36">
        <v>146</v>
      </c>
      <c r="G115" s="36">
        <v>45990</v>
      </c>
      <c r="H115" s="36">
        <v>1829</v>
      </c>
      <c r="I115" s="36">
        <v>2099</v>
      </c>
      <c r="J115" s="36">
        <v>270</v>
      </c>
      <c r="K115" s="36">
        <v>0</v>
      </c>
      <c r="L115" s="36">
        <v>131400</v>
      </c>
      <c r="M115" s="36">
        <v>0</v>
      </c>
      <c r="N115" s="36"/>
      <c r="O115" s="36"/>
      <c r="P115" s="36">
        <v>4000</v>
      </c>
      <c r="Q115" s="36">
        <v>10000</v>
      </c>
      <c r="R115" s="36"/>
      <c r="S115" s="36">
        <f t="shared" si="4"/>
        <v>191390</v>
      </c>
      <c r="T115" s="25">
        <f t="shared" si="6"/>
        <v>-14514</v>
      </c>
      <c r="U115" s="25">
        <f t="shared" si="7"/>
        <v>176876</v>
      </c>
      <c r="V115" s="36">
        <v>179000</v>
      </c>
      <c r="W115" s="25">
        <f t="shared" si="5"/>
        <v>-2124</v>
      </c>
      <c r="Y115">
        <f t="shared" si="2"/>
        <v>0</v>
      </c>
    </row>
    <row r="116" spans="1:25" ht="15.75" hidden="1" thickBot="1" x14ac:dyDescent="0.3">
      <c r="A116" s="20"/>
      <c r="B116" s="21" t="s">
        <v>24</v>
      </c>
      <c r="C116" s="36">
        <v>8163</v>
      </c>
      <c r="D116" s="36">
        <v>8503</v>
      </c>
      <c r="E116" s="36">
        <v>340</v>
      </c>
      <c r="F116" s="36">
        <v>146</v>
      </c>
      <c r="G116" s="36">
        <v>49640</v>
      </c>
      <c r="H116" s="36">
        <v>2099</v>
      </c>
      <c r="I116" s="36">
        <v>2302</v>
      </c>
      <c r="J116" s="36">
        <v>203</v>
      </c>
      <c r="K116" s="36">
        <v>0</v>
      </c>
      <c r="L116" s="36">
        <v>83160</v>
      </c>
      <c r="M116" s="36">
        <v>0</v>
      </c>
      <c r="N116" s="36"/>
      <c r="O116" s="36"/>
      <c r="P116" s="36">
        <v>4000</v>
      </c>
      <c r="Q116" s="36">
        <v>10000</v>
      </c>
      <c r="R116" s="36"/>
      <c r="S116" s="36">
        <f t="shared" si="4"/>
        <v>146800</v>
      </c>
      <c r="T116" s="25">
        <f t="shared" si="6"/>
        <v>-2124</v>
      </c>
      <c r="U116" s="25">
        <f t="shared" si="7"/>
        <v>144676</v>
      </c>
      <c r="V116" s="36">
        <v>176876</v>
      </c>
      <c r="W116" s="25">
        <f t="shared" si="5"/>
        <v>-32200</v>
      </c>
      <c r="Y116">
        <f t="shared" si="2"/>
        <v>0</v>
      </c>
    </row>
    <row r="117" spans="1:25" ht="15.75" hidden="1" thickBot="1" x14ac:dyDescent="0.3">
      <c r="A117" s="20"/>
      <c r="B117" s="21" t="s">
        <v>25</v>
      </c>
      <c r="C117" s="36">
        <v>0</v>
      </c>
      <c r="D117" s="36">
        <v>0</v>
      </c>
      <c r="E117" s="36">
        <v>0</v>
      </c>
      <c r="F117" s="36">
        <v>146</v>
      </c>
      <c r="G117" s="36">
        <v>51733</v>
      </c>
      <c r="H117" s="36">
        <v>2302</v>
      </c>
      <c r="I117" s="36">
        <v>2550</v>
      </c>
      <c r="J117" s="36">
        <v>248</v>
      </c>
      <c r="K117" s="36">
        <v>0</v>
      </c>
      <c r="L117" s="36">
        <v>115560</v>
      </c>
      <c r="M117" s="36">
        <v>0</v>
      </c>
      <c r="N117" s="36"/>
      <c r="O117" s="36"/>
      <c r="P117" s="36">
        <v>4000</v>
      </c>
      <c r="Q117" s="36">
        <v>13197</v>
      </c>
      <c r="R117" s="36"/>
      <c r="S117" s="36">
        <f t="shared" si="4"/>
        <v>184490</v>
      </c>
      <c r="T117" s="25">
        <f t="shared" si="6"/>
        <v>-32200</v>
      </c>
      <c r="U117" s="25">
        <f t="shared" si="7"/>
        <v>152290</v>
      </c>
      <c r="V117" s="36">
        <v>140000</v>
      </c>
      <c r="W117" s="25">
        <f t="shared" si="5"/>
        <v>12290</v>
      </c>
      <c r="Y117">
        <f t="shared" si="2"/>
        <v>1</v>
      </c>
    </row>
    <row r="118" spans="1:25" ht="15.75" hidden="1" thickBot="1" x14ac:dyDescent="0.3">
      <c r="A118" s="20"/>
      <c r="B118" s="21" t="s">
        <v>26</v>
      </c>
      <c r="C118" s="36">
        <v>0</v>
      </c>
      <c r="D118" s="36">
        <v>129</v>
      </c>
      <c r="E118" s="36">
        <v>129</v>
      </c>
      <c r="F118" s="36">
        <v>146</v>
      </c>
      <c r="G118" s="36">
        <v>18834</v>
      </c>
      <c r="H118" s="36">
        <v>2550</v>
      </c>
      <c r="I118" s="36">
        <v>2601</v>
      </c>
      <c r="J118" s="36">
        <v>51</v>
      </c>
      <c r="K118" s="36">
        <v>360</v>
      </c>
      <c r="L118" s="36">
        <v>18360</v>
      </c>
      <c r="M118" s="36">
        <v>0</v>
      </c>
      <c r="N118" s="36"/>
      <c r="O118" s="36"/>
      <c r="P118" s="36">
        <v>4000</v>
      </c>
      <c r="Q118" s="36">
        <v>13197</v>
      </c>
      <c r="R118" s="36">
        <v>20668</v>
      </c>
      <c r="S118" s="36">
        <f t="shared" si="4"/>
        <v>75059</v>
      </c>
      <c r="T118" s="25">
        <f t="shared" si="6"/>
        <v>12290</v>
      </c>
      <c r="U118" s="25">
        <f t="shared" si="7"/>
        <v>87349</v>
      </c>
      <c r="V118" s="36">
        <v>90000</v>
      </c>
      <c r="W118" s="25">
        <f t="shared" si="5"/>
        <v>-2651</v>
      </c>
      <c r="Y118">
        <f t="shared" si="2"/>
        <v>0</v>
      </c>
    </row>
    <row r="119" spans="1:25" ht="15.75" hidden="1" thickBot="1" x14ac:dyDescent="0.3">
      <c r="A119" s="20"/>
      <c r="B119" s="21" t="s">
        <v>27</v>
      </c>
      <c r="C119" s="36">
        <v>129</v>
      </c>
      <c r="D119" s="36">
        <v>323</v>
      </c>
      <c r="E119" s="36">
        <v>194</v>
      </c>
      <c r="F119" s="36">
        <v>146</v>
      </c>
      <c r="G119" s="36">
        <v>28324</v>
      </c>
      <c r="H119" s="36">
        <v>2601</v>
      </c>
      <c r="I119" s="36">
        <v>2636</v>
      </c>
      <c r="J119" s="36">
        <v>35</v>
      </c>
      <c r="K119" s="36">
        <v>360</v>
      </c>
      <c r="L119" s="36">
        <v>12600</v>
      </c>
      <c r="M119" s="36">
        <v>0</v>
      </c>
      <c r="N119" s="36"/>
      <c r="O119" s="36"/>
      <c r="P119" s="36">
        <v>4000</v>
      </c>
      <c r="Q119" s="36">
        <v>13197</v>
      </c>
      <c r="R119" s="36"/>
      <c r="S119" s="36">
        <f t="shared" si="4"/>
        <v>58121</v>
      </c>
      <c r="T119" s="25">
        <f t="shared" si="6"/>
        <v>-2651</v>
      </c>
      <c r="U119" s="25">
        <f t="shared" si="7"/>
        <v>55470</v>
      </c>
      <c r="V119" s="36">
        <v>55000</v>
      </c>
      <c r="W119" s="25">
        <f t="shared" si="5"/>
        <v>470</v>
      </c>
      <c r="Y119">
        <f t="shared" si="2"/>
        <v>1</v>
      </c>
    </row>
    <row r="120" spans="1:25" ht="15.75" hidden="1" thickBot="1" x14ac:dyDescent="0.3">
      <c r="A120" s="20"/>
      <c r="B120" s="21" t="s">
        <v>28</v>
      </c>
      <c r="C120" s="36">
        <v>323</v>
      </c>
      <c r="D120" s="36">
        <v>379</v>
      </c>
      <c r="E120" s="36">
        <v>56</v>
      </c>
      <c r="F120" s="36">
        <v>146</v>
      </c>
      <c r="G120" s="36">
        <v>8176</v>
      </c>
      <c r="H120" s="36">
        <v>2636</v>
      </c>
      <c r="I120" s="36">
        <v>2649</v>
      </c>
      <c r="J120" s="36">
        <v>13</v>
      </c>
      <c r="K120" s="36">
        <v>360</v>
      </c>
      <c r="L120" s="36">
        <v>4680</v>
      </c>
      <c r="M120" s="36">
        <v>0</v>
      </c>
      <c r="N120" s="36"/>
      <c r="O120" s="36"/>
      <c r="P120" s="36">
        <v>4000</v>
      </c>
      <c r="Q120" s="36">
        <v>13197</v>
      </c>
      <c r="R120" s="36"/>
      <c r="S120" s="36">
        <f t="shared" si="4"/>
        <v>30053</v>
      </c>
      <c r="T120" s="25">
        <f t="shared" si="6"/>
        <v>470</v>
      </c>
      <c r="U120" s="25">
        <f t="shared" si="7"/>
        <v>30523</v>
      </c>
      <c r="V120" s="36">
        <v>0</v>
      </c>
      <c r="W120" s="25">
        <f t="shared" si="5"/>
        <v>30523</v>
      </c>
      <c r="Y120">
        <f t="shared" si="2"/>
        <v>2</v>
      </c>
    </row>
    <row r="121" spans="1:25" ht="15.75" hidden="1" thickBot="1" x14ac:dyDescent="0.3">
      <c r="A121" s="20"/>
      <c r="B121" s="21" t="s">
        <v>29</v>
      </c>
      <c r="C121" s="36">
        <v>379</v>
      </c>
      <c r="D121" s="36">
        <v>409</v>
      </c>
      <c r="E121" s="36">
        <v>30</v>
      </c>
      <c r="F121" s="36">
        <v>146</v>
      </c>
      <c r="G121" s="36">
        <v>4380</v>
      </c>
      <c r="H121" s="36">
        <v>2649</v>
      </c>
      <c r="I121" s="36">
        <v>2698</v>
      </c>
      <c r="J121" s="36">
        <v>49</v>
      </c>
      <c r="K121" s="36">
        <v>360</v>
      </c>
      <c r="L121" s="36">
        <v>17640</v>
      </c>
      <c r="M121" s="36">
        <v>0</v>
      </c>
      <c r="N121" s="36"/>
      <c r="O121" s="36"/>
      <c r="P121" s="36">
        <v>4000</v>
      </c>
      <c r="Q121" s="36">
        <v>13197</v>
      </c>
      <c r="R121" s="36">
        <v>6974</v>
      </c>
      <c r="S121" s="36">
        <f t="shared" si="4"/>
        <v>46191</v>
      </c>
      <c r="T121" s="25">
        <f t="shared" si="6"/>
        <v>30523</v>
      </c>
      <c r="U121" s="25">
        <f t="shared" si="7"/>
        <v>76714</v>
      </c>
      <c r="V121" s="36">
        <v>0</v>
      </c>
      <c r="W121" s="25">
        <f t="shared" si="5"/>
        <v>76714</v>
      </c>
      <c r="Y121">
        <f t="shared" si="2"/>
        <v>3</v>
      </c>
    </row>
    <row r="122" spans="1:25" ht="15.75" hidden="1" thickBot="1" x14ac:dyDescent="0.3">
      <c r="A122" s="20"/>
      <c r="B122" s="21" t="s">
        <v>30</v>
      </c>
      <c r="C122" s="36">
        <v>409</v>
      </c>
      <c r="D122" s="36">
        <v>497</v>
      </c>
      <c r="E122" s="36">
        <v>88</v>
      </c>
      <c r="F122" s="36">
        <v>146</v>
      </c>
      <c r="G122" s="36">
        <v>12848</v>
      </c>
      <c r="H122" s="36">
        <v>2698</v>
      </c>
      <c r="I122" s="36">
        <v>2708</v>
      </c>
      <c r="J122" s="36">
        <v>10</v>
      </c>
      <c r="K122" s="36">
        <v>0</v>
      </c>
      <c r="L122" s="36">
        <v>0</v>
      </c>
      <c r="M122" s="36">
        <v>0</v>
      </c>
      <c r="N122" s="36"/>
      <c r="O122" s="36"/>
      <c r="P122" s="36">
        <v>15000</v>
      </c>
      <c r="Q122" s="36">
        <v>13197</v>
      </c>
      <c r="R122" s="36"/>
      <c r="S122" s="36">
        <f t="shared" si="4"/>
        <v>41045</v>
      </c>
      <c r="T122" s="25">
        <f t="shared" si="6"/>
        <v>76714</v>
      </c>
      <c r="U122" s="25">
        <f t="shared" si="7"/>
        <v>117759</v>
      </c>
      <c r="V122" s="36">
        <v>117759</v>
      </c>
      <c r="W122" s="25">
        <f t="shared" si="5"/>
        <v>0</v>
      </c>
      <c r="Y122">
        <f t="shared" si="2"/>
        <v>0</v>
      </c>
    </row>
    <row r="123" spans="1:25" ht="15.75" hidden="1" thickBot="1" x14ac:dyDescent="0.3">
      <c r="A123" s="20"/>
      <c r="B123" s="21" t="s">
        <v>31</v>
      </c>
      <c r="C123" s="36">
        <v>497</v>
      </c>
      <c r="D123" s="36">
        <v>701</v>
      </c>
      <c r="E123" s="36">
        <v>204</v>
      </c>
      <c r="F123" s="36">
        <v>146</v>
      </c>
      <c r="G123" s="36">
        <v>29784</v>
      </c>
      <c r="H123" s="36">
        <v>2708</v>
      </c>
      <c r="I123" s="36">
        <v>2713</v>
      </c>
      <c r="J123" s="36">
        <v>5</v>
      </c>
      <c r="K123" s="36">
        <v>360</v>
      </c>
      <c r="L123" s="36">
        <v>1800</v>
      </c>
      <c r="M123" s="36">
        <v>0</v>
      </c>
      <c r="N123" s="36"/>
      <c r="O123" s="36"/>
      <c r="P123" s="36">
        <v>15000</v>
      </c>
      <c r="Q123" s="36">
        <v>13197</v>
      </c>
      <c r="R123" s="36"/>
      <c r="S123" s="36">
        <f t="shared" si="4"/>
        <v>59781</v>
      </c>
      <c r="T123" s="25">
        <f t="shared" si="6"/>
        <v>0</v>
      </c>
      <c r="U123" s="25">
        <f t="shared" si="7"/>
        <v>59781</v>
      </c>
      <c r="V123" s="36">
        <v>0</v>
      </c>
      <c r="W123" s="25">
        <f t="shared" si="5"/>
        <v>59781</v>
      </c>
      <c r="Y123">
        <f t="shared" si="2"/>
        <v>1</v>
      </c>
    </row>
    <row r="124" spans="1:25" ht="15.75" hidden="1" thickBot="1" x14ac:dyDescent="0.3">
      <c r="A124" s="20"/>
      <c r="B124" s="21" t="s">
        <v>32</v>
      </c>
      <c r="C124" s="36">
        <v>701</v>
      </c>
      <c r="D124" s="36">
        <v>894</v>
      </c>
      <c r="E124" s="36">
        <v>193</v>
      </c>
      <c r="F124" s="36">
        <v>146</v>
      </c>
      <c r="G124" s="36">
        <v>28178</v>
      </c>
      <c r="H124" s="36">
        <v>2713</v>
      </c>
      <c r="I124" s="36">
        <v>2725</v>
      </c>
      <c r="J124" s="36">
        <v>12</v>
      </c>
      <c r="K124" s="36">
        <v>360</v>
      </c>
      <c r="L124" s="36">
        <v>4320</v>
      </c>
      <c r="M124" s="36">
        <v>0</v>
      </c>
      <c r="N124" s="36"/>
      <c r="O124" s="36"/>
      <c r="P124" s="36">
        <v>15000</v>
      </c>
      <c r="Q124" s="36">
        <v>13197</v>
      </c>
      <c r="R124" s="36">
        <v>12047</v>
      </c>
      <c r="S124" s="36">
        <f t="shared" si="4"/>
        <v>72742</v>
      </c>
      <c r="T124" s="25">
        <f t="shared" si="6"/>
        <v>59781</v>
      </c>
      <c r="U124" s="25">
        <f t="shared" si="7"/>
        <v>132523</v>
      </c>
      <c r="V124" s="36">
        <v>132523</v>
      </c>
      <c r="W124" s="25">
        <f t="shared" si="5"/>
        <v>0</v>
      </c>
      <c r="Y124">
        <f t="shared" si="2"/>
        <v>0</v>
      </c>
    </row>
    <row r="125" spans="1:25" ht="15.75" hidden="1" thickBot="1" x14ac:dyDescent="0.3">
      <c r="A125" s="20"/>
      <c r="B125" s="21" t="s">
        <v>33</v>
      </c>
      <c r="C125" s="36">
        <v>894</v>
      </c>
      <c r="D125" s="36">
        <v>1202</v>
      </c>
      <c r="E125" s="36">
        <v>308</v>
      </c>
      <c r="F125" s="36">
        <v>146</v>
      </c>
      <c r="G125" s="36">
        <v>44968</v>
      </c>
      <c r="H125" s="36">
        <v>2725</v>
      </c>
      <c r="I125" s="36">
        <v>2802</v>
      </c>
      <c r="J125" s="36">
        <v>77</v>
      </c>
      <c r="K125" s="36">
        <v>360</v>
      </c>
      <c r="L125" s="36">
        <v>27720</v>
      </c>
      <c r="M125" s="36">
        <v>0</v>
      </c>
      <c r="N125" s="36"/>
      <c r="O125" s="36"/>
      <c r="P125" s="36">
        <v>15000</v>
      </c>
      <c r="Q125" s="36">
        <v>13197</v>
      </c>
      <c r="R125" s="36"/>
      <c r="S125" s="36">
        <f t="shared" si="4"/>
        <v>100885</v>
      </c>
      <c r="T125" s="25">
        <f t="shared" si="6"/>
        <v>0</v>
      </c>
      <c r="U125" s="25">
        <f t="shared" si="7"/>
        <v>100885</v>
      </c>
      <c r="V125" s="36">
        <v>100885</v>
      </c>
      <c r="W125" s="25">
        <f t="shared" si="5"/>
        <v>0</v>
      </c>
      <c r="Y125">
        <f t="shared" si="2"/>
        <v>0</v>
      </c>
    </row>
    <row r="126" spans="1:25" ht="15.75" hidden="1" thickBot="1" x14ac:dyDescent="0.3">
      <c r="A126" s="20"/>
      <c r="B126" s="21" t="s">
        <v>34</v>
      </c>
      <c r="C126" s="36">
        <v>1202</v>
      </c>
      <c r="D126" s="36">
        <v>1474</v>
      </c>
      <c r="E126" s="36">
        <v>272</v>
      </c>
      <c r="F126" s="36">
        <v>146</v>
      </c>
      <c r="G126" s="36">
        <v>39712</v>
      </c>
      <c r="H126" s="36">
        <v>2802</v>
      </c>
      <c r="I126" s="36">
        <v>2911</v>
      </c>
      <c r="J126" s="36">
        <v>109</v>
      </c>
      <c r="K126" s="36">
        <v>360</v>
      </c>
      <c r="L126" s="36">
        <v>39240</v>
      </c>
      <c r="M126" s="36">
        <v>0</v>
      </c>
      <c r="N126" s="36"/>
      <c r="O126" s="36"/>
      <c r="P126" s="36">
        <v>15000</v>
      </c>
      <c r="Q126" s="36">
        <v>13197</v>
      </c>
      <c r="R126" s="36"/>
      <c r="S126" s="36">
        <f t="shared" si="4"/>
        <v>107149</v>
      </c>
      <c r="T126" s="25">
        <f t="shared" si="6"/>
        <v>0</v>
      </c>
      <c r="U126" s="25">
        <f t="shared" si="7"/>
        <v>107149</v>
      </c>
      <c r="V126" s="36">
        <v>107149</v>
      </c>
      <c r="W126" s="25">
        <f t="shared" si="5"/>
        <v>0</v>
      </c>
      <c r="Y126">
        <f t="shared" si="2"/>
        <v>0</v>
      </c>
    </row>
    <row r="127" spans="1:25" ht="15.75" hidden="1" thickBot="1" x14ac:dyDescent="0.3">
      <c r="A127" s="20">
        <v>2013</v>
      </c>
      <c r="B127" s="21" t="s">
        <v>35</v>
      </c>
      <c r="C127" s="36">
        <v>1474</v>
      </c>
      <c r="D127" s="36">
        <v>2021</v>
      </c>
      <c r="E127" s="36">
        <v>547</v>
      </c>
      <c r="F127" s="36">
        <v>146</v>
      </c>
      <c r="G127" s="36">
        <v>79862</v>
      </c>
      <c r="H127" s="36">
        <v>2911</v>
      </c>
      <c r="I127" s="36">
        <v>3067</v>
      </c>
      <c r="J127" s="36">
        <v>156</v>
      </c>
      <c r="K127" s="36"/>
      <c r="L127" s="36">
        <v>57240</v>
      </c>
      <c r="M127" s="36">
        <v>0</v>
      </c>
      <c r="N127" s="36"/>
      <c r="O127" s="36"/>
      <c r="P127" s="36">
        <v>15000</v>
      </c>
      <c r="Q127" s="36">
        <v>13393</v>
      </c>
      <c r="R127" s="36"/>
      <c r="S127" s="36">
        <f t="shared" si="4"/>
        <v>165495</v>
      </c>
      <c r="T127" s="25">
        <f t="shared" si="6"/>
        <v>0</v>
      </c>
      <c r="U127" s="25">
        <f t="shared" si="7"/>
        <v>165495</v>
      </c>
      <c r="V127" s="36"/>
      <c r="W127" s="25">
        <f t="shared" si="5"/>
        <v>165495</v>
      </c>
      <c r="Y127">
        <f t="shared" si="2"/>
        <v>1</v>
      </c>
    </row>
    <row r="128" spans="1:25" ht="15.75" hidden="1" thickBot="1" x14ac:dyDescent="0.3">
      <c r="A128" s="20"/>
      <c r="B128" s="21" t="s">
        <v>24</v>
      </c>
      <c r="C128" s="36">
        <v>2021</v>
      </c>
      <c r="D128" s="36">
        <v>2672</v>
      </c>
      <c r="E128" s="36">
        <v>651</v>
      </c>
      <c r="F128" s="36">
        <v>146</v>
      </c>
      <c r="G128" s="36">
        <v>95046</v>
      </c>
      <c r="H128" s="36">
        <v>3067</v>
      </c>
      <c r="I128" s="36">
        <v>3224</v>
      </c>
      <c r="J128" s="36">
        <v>157</v>
      </c>
      <c r="K128" s="36"/>
      <c r="L128" s="36">
        <v>57780</v>
      </c>
      <c r="M128" s="36">
        <v>0</v>
      </c>
      <c r="N128" s="36"/>
      <c r="O128" s="36"/>
      <c r="P128" s="36">
        <v>15000</v>
      </c>
      <c r="Q128" s="36">
        <v>13393</v>
      </c>
      <c r="R128" s="36"/>
      <c r="S128" s="36">
        <f t="shared" si="4"/>
        <v>181219</v>
      </c>
      <c r="T128" s="25">
        <f t="shared" si="6"/>
        <v>165495</v>
      </c>
      <c r="U128" s="25">
        <f t="shared" si="7"/>
        <v>346714</v>
      </c>
      <c r="V128" s="36">
        <v>350000</v>
      </c>
      <c r="W128" s="25">
        <f t="shared" si="5"/>
        <v>-3286</v>
      </c>
      <c r="Y128">
        <f t="shared" si="2"/>
        <v>0</v>
      </c>
    </row>
    <row r="129" spans="1:25" ht="15.75" hidden="1" thickBot="1" x14ac:dyDescent="0.3">
      <c r="A129" s="20"/>
      <c r="B129" s="21" t="s">
        <v>25</v>
      </c>
      <c r="C129" s="36">
        <v>2672</v>
      </c>
      <c r="D129" s="36">
        <v>2974</v>
      </c>
      <c r="E129" s="36">
        <v>302</v>
      </c>
      <c r="F129" s="36">
        <v>146</v>
      </c>
      <c r="G129" s="36">
        <v>44092</v>
      </c>
      <c r="H129" s="36">
        <v>3224</v>
      </c>
      <c r="I129" s="36">
        <v>3333</v>
      </c>
      <c r="J129" s="36">
        <v>109</v>
      </c>
      <c r="K129" s="36">
        <v>360</v>
      </c>
      <c r="L129" s="36">
        <v>39240</v>
      </c>
      <c r="M129" s="36">
        <v>0</v>
      </c>
      <c r="N129" s="36"/>
      <c r="O129" s="36"/>
      <c r="P129" s="36">
        <v>15000</v>
      </c>
      <c r="Q129" s="36">
        <v>13393</v>
      </c>
      <c r="R129" s="36"/>
      <c r="S129" s="36">
        <f t="shared" si="4"/>
        <v>111725</v>
      </c>
      <c r="T129" s="25">
        <f t="shared" si="6"/>
        <v>-3286</v>
      </c>
      <c r="U129" s="25">
        <f t="shared" si="7"/>
        <v>108439</v>
      </c>
      <c r="V129" s="36">
        <v>110000</v>
      </c>
      <c r="W129" s="25">
        <f t="shared" si="5"/>
        <v>-1561</v>
      </c>
      <c r="Y129">
        <f t="shared" si="2"/>
        <v>0</v>
      </c>
    </row>
    <row r="130" spans="1:25" ht="15.75" hidden="1" thickBot="1" x14ac:dyDescent="0.3">
      <c r="A130" s="20"/>
      <c r="B130" s="21" t="s">
        <v>26</v>
      </c>
      <c r="C130" s="36">
        <v>2974</v>
      </c>
      <c r="D130" s="36">
        <v>3291</v>
      </c>
      <c r="E130" s="36">
        <v>317</v>
      </c>
      <c r="F130" s="36">
        <v>146</v>
      </c>
      <c r="G130" s="36">
        <v>46282</v>
      </c>
      <c r="H130" s="36">
        <v>3333</v>
      </c>
      <c r="I130" s="36">
        <v>3407</v>
      </c>
      <c r="J130" s="36">
        <v>74</v>
      </c>
      <c r="K130" s="36">
        <v>360</v>
      </c>
      <c r="L130" s="36">
        <v>26640</v>
      </c>
      <c r="M130" s="36">
        <v>0</v>
      </c>
      <c r="N130" s="36"/>
      <c r="O130" s="36"/>
      <c r="P130" s="36">
        <v>15000</v>
      </c>
      <c r="Q130" s="36">
        <v>13393</v>
      </c>
      <c r="R130" s="36"/>
      <c r="S130" s="36">
        <f t="shared" si="4"/>
        <v>101315</v>
      </c>
      <c r="T130" s="25">
        <f t="shared" si="6"/>
        <v>-1561</v>
      </c>
      <c r="U130" s="25">
        <f t="shared" si="7"/>
        <v>99754</v>
      </c>
      <c r="V130" s="36"/>
      <c r="W130" s="25">
        <f t="shared" si="5"/>
        <v>99754</v>
      </c>
      <c r="Y130">
        <f t="shared" si="2"/>
        <v>1</v>
      </c>
    </row>
    <row r="131" spans="1:25" ht="15.75" hidden="1" thickBot="1" x14ac:dyDescent="0.3">
      <c r="A131" s="20"/>
      <c r="B131" s="21" t="s">
        <v>27</v>
      </c>
      <c r="C131" s="36">
        <v>3291</v>
      </c>
      <c r="D131" s="36">
        <v>3515</v>
      </c>
      <c r="E131" s="36">
        <v>224</v>
      </c>
      <c r="F131" s="36">
        <v>146</v>
      </c>
      <c r="G131" s="36">
        <v>32704</v>
      </c>
      <c r="H131" s="36">
        <v>3407</v>
      </c>
      <c r="I131" s="36">
        <v>3533</v>
      </c>
      <c r="J131" s="36">
        <v>126</v>
      </c>
      <c r="K131" s="36">
        <v>360</v>
      </c>
      <c r="L131" s="36">
        <v>45360</v>
      </c>
      <c r="M131" s="36">
        <v>0</v>
      </c>
      <c r="N131" s="36"/>
      <c r="O131" s="36"/>
      <c r="P131" s="36">
        <v>15000</v>
      </c>
      <c r="Q131" s="36">
        <v>13393</v>
      </c>
      <c r="R131" s="36">
        <v>20621</v>
      </c>
      <c r="S131" s="36">
        <f t="shared" si="4"/>
        <v>127078</v>
      </c>
      <c r="T131" s="25">
        <f t="shared" si="6"/>
        <v>99754</v>
      </c>
      <c r="U131" s="25">
        <f t="shared" si="7"/>
        <v>226832</v>
      </c>
      <c r="V131" s="36"/>
      <c r="W131" s="25">
        <f t="shared" si="5"/>
        <v>226832</v>
      </c>
      <c r="Y131">
        <f t="shared" si="2"/>
        <v>2</v>
      </c>
    </row>
    <row r="132" spans="1:25" ht="15.75" hidden="1" thickBot="1" x14ac:dyDescent="0.3">
      <c r="A132" s="20"/>
      <c r="B132" s="21" t="s">
        <v>28</v>
      </c>
      <c r="C132" s="36">
        <v>3515</v>
      </c>
      <c r="D132" s="36">
        <v>3686</v>
      </c>
      <c r="E132" s="36">
        <v>171</v>
      </c>
      <c r="F132" s="36">
        <v>146</v>
      </c>
      <c r="G132" s="36">
        <v>24966</v>
      </c>
      <c r="H132" s="36">
        <v>3533</v>
      </c>
      <c r="I132" s="36">
        <v>3534</v>
      </c>
      <c r="J132" s="36">
        <v>1</v>
      </c>
      <c r="K132" s="36">
        <v>360</v>
      </c>
      <c r="L132" s="36">
        <v>360</v>
      </c>
      <c r="M132" s="36">
        <v>0</v>
      </c>
      <c r="N132" s="36"/>
      <c r="O132" s="36"/>
      <c r="P132" s="36">
        <v>15000</v>
      </c>
      <c r="Q132" s="36">
        <v>13393</v>
      </c>
      <c r="R132" s="36"/>
      <c r="S132" s="36">
        <f t="shared" si="4"/>
        <v>53719</v>
      </c>
      <c r="T132" s="25">
        <f t="shared" si="6"/>
        <v>226832</v>
      </c>
      <c r="U132" s="25">
        <f t="shared" si="7"/>
        <v>280551</v>
      </c>
      <c r="V132" s="36">
        <v>270000</v>
      </c>
      <c r="W132" s="25">
        <f t="shared" si="5"/>
        <v>10551</v>
      </c>
      <c r="Y132">
        <f t="shared" si="2"/>
        <v>3</v>
      </c>
    </row>
    <row r="133" spans="1:25" ht="15.75" hidden="1" thickBot="1" x14ac:dyDescent="0.3">
      <c r="A133" s="20"/>
      <c r="B133" s="21" t="s">
        <v>29</v>
      </c>
      <c r="C133" s="36">
        <v>3686</v>
      </c>
      <c r="D133" s="36">
        <v>3728</v>
      </c>
      <c r="E133" s="36">
        <v>42</v>
      </c>
      <c r="F133" s="36">
        <v>146</v>
      </c>
      <c r="G133" s="36">
        <v>6132</v>
      </c>
      <c r="H133" s="36">
        <v>3534</v>
      </c>
      <c r="I133" s="36">
        <v>3537</v>
      </c>
      <c r="J133" s="36">
        <v>3</v>
      </c>
      <c r="K133" s="36">
        <v>360</v>
      </c>
      <c r="L133" s="36">
        <v>1080</v>
      </c>
      <c r="M133" s="36">
        <v>0</v>
      </c>
      <c r="N133" s="36"/>
      <c r="O133" s="36"/>
      <c r="P133" s="36">
        <v>15000</v>
      </c>
      <c r="Q133" s="36">
        <v>13393</v>
      </c>
      <c r="R133" s="36"/>
      <c r="S133" s="36">
        <f t="shared" si="4"/>
        <v>35605</v>
      </c>
      <c r="T133" s="25">
        <f t="shared" si="6"/>
        <v>10551</v>
      </c>
      <c r="U133" s="25">
        <f t="shared" si="7"/>
        <v>46156</v>
      </c>
      <c r="V133" s="36"/>
      <c r="W133" s="25">
        <f t="shared" si="5"/>
        <v>46156</v>
      </c>
      <c r="Y133">
        <f t="shared" si="2"/>
        <v>4</v>
      </c>
    </row>
    <row r="134" spans="1:25" ht="15.75" hidden="1" thickBot="1" x14ac:dyDescent="0.3">
      <c r="A134" s="20"/>
      <c r="B134" s="21" t="s">
        <v>30</v>
      </c>
      <c r="C134" s="36">
        <v>3728</v>
      </c>
      <c r="D134" s="36">
        <v>3802</v>
      </c>
      <c r="E134" s="36">
        <v>74</v>
      </c>
      <c r="F134" s="36">
        <v>146</v>
      </c>
      <c r="G134" s="36">
        <v>10804</v>
      </c>
      <c r="H134" s="36">
        <v>3537</v>
      </c>
      <c r="I134" s="36">
        <v>3538</v>
      </c>
      <c r="J134" s="36">
        <v>1</v>
      </c>
      <c r="K134" s="36">
        <v>360</v>
      </c>
      <c r="L134" s="36">
        <v>360</v>
      </c>
      <c r="M134" s="36">
        <v>0</v>
      </c>
      <c r="N134" s="36"/>
      <c r="O134" s="36"/>
      <c r="P134" s="36">
        <v>15000</v>
      </c>
      <c r="Q134" s="36">
        <v>13393</v>
      </c>
      <c r="R134" s="36"/>
      <c r="S134" s="36">
        <f t="shared" si="4"/>
        <v>39557</v>
      </c>
      <c r="T134" s="25">
        <f t="shared" si="6"/>
        <v>46156</v>
      </c>
      <c r="U134" s="25">
        <f t="shared" si="7"/>
        <v>85713</v>
      </c>
      <c r="V134" s="36"/>
      <c r="W134" s="25">
        <f t="shared" si="5"/>
        <v>85713</v>
      </c>
      <c r="Y134">
        <f t="shared" si="2"/>
        <v>5</v>
      </c>
    </row>
    <row r="135" spans="1:25" ht="15.75" hidden="1" thickBot="1" x14ac:dyDescent="0.3">
      <c r="A135" s="20"/>
      <c r="B135" s="21" t="s">
        <v>31</v>
      </c>
      <c r="C135" s="36">
        <v>3802</v>
      </c>
      <c r="D135" s="36">
        <v>4069</v>
      </c>
      <c r="E135" s="36">
        <v>267</v>
      </c>
      <c r="F135" s="36">
        <v>146</v>
      </c>
      <c r="G135" s="36">
        <v>38982</v>
      </c>
      <c r="H135" s="36">
        <v>3538</v>
      </c>
      <c r="I135" s="36">
        <v>3540</v>
      </c>
      <c r="J135" s="36">
        <v>2</v>
      </c>
      <c r="K135" s="36">
        <v>360</v>
      </c>
      <c r="L135" s="36">
        <v>720</v>
      </c>
      <c r="M135" s="36">
        <v>0</v>
      </c>
      <c r="N135" s="36"/>
      <c r="O135" s="36"/>
      <c r="P135" s="36">
        <v>15000</v>
      </c>
      <c r="Q135" s="36">
        <v>13393</v>
      </c>
      <c r="R135" s="36"/>
      <c r="S135" s="36">
        <f t="shared" si="4"/>
        <v>68095</v>
      </c>
      <c r="T135" s="25">
        <f t="shared" si="6"/>
        <v>85713</v>
      </c>
      <c r="U135" s="25">
        <f t="shared" si="7"/>
        <v>153808</v>
      </c>
      <c r="V135" s="36">
        <v>100000</v>
      </c>
      <c r="W135" s="25">
        <f t="shared" si="5"/>
        <v>53808</v>
      </c>
      <c r="Y135">
        <f t="shared" si="2"/>
        <v>6</v>
      </c>
    </row>
    <row r="136" spans="1:25" ht="15.75" hidden="1" thickBot="1" x14ac:dyDescent="0.3">
      <c r="A136" s="20"/>
      <c r="B136" s="21" t="s">
        <v>32</v>
      </c>
      <c r="C136" s="36">
        <v>4069</v>
      </c>
      <c r="D136" s="36">
        <v>4579</v>
      </c>
      <c r="E136" s="36">
        <v>510</v>
      </c>
      <c r="F136" s="36">
        <v>146</v>
      </c>
      <c r="G136" s="36">
        <v>74460</v>
      </c>
      <c r="H136" s="36">
        <v>3540</v>
      </c>
      <c r="I136" s="36">
        <v>3616</v>
      </c>
      <c r="J136" s="36">
        <v>76</v>
      </c>
      <c r="K136" s="36">
        <v>360</v>
      </c>
      <c r="L136" s="36">
        <v>27360</v>
      </c>
      <c r="M136" s="36">
        <v>0</v>
      </c>
      <c r="N136" s="36"/>
      <c r="O136" s="36"/>
      <c r="P136" s="36">
        <v>15000</v>
      </c>
      <c r="Q136" s="36">
        <v>13393</v>
      </c>
      <c r="R136" s="36"/>
      <c r="S136" s="36">
        <f t="shared" si="4"/>
        <v>130213</v>
      </c>
      <c r="T136" s="25">
        <f t="shared" si="6"/>
        <v>53808</v>
      </c>
      <c r="U136" s="25">
        <f t="shared" si="7"/>
        <v>184021</v>
      </c>
      <c r="V136" s="36">
        <v>180000</v>
      </c>
      <c r="W136" s="25">
        <f t="shared" si="5"/>
        <v>4021</v>
      </c>
      <c r="Y136">
        <f t="shared" si="2"/>
        <v>7</v>
      </c>
    </row>
    <row r="137" spans="1:25" ht="15.75" hidden="1" thickBot="1" x14ac:dyDescent="0.3">
      <c r="A137" s="20"/>
      <c r="B137" s="21" t="s">
        <v>33</v>
      </c>
      <c r="C137" s="36">
        <v>4579</v>
      </c>
      <c r="D137" s="36">
        <v>4947</v>
      </c>
      <c r="E137" s="36">
        <v>368</v>
      </c>
      <c r="F137" s="36">
        <v>146</v>
      </c>
      <c r="G137" s="36">
        <v>53728</v>
      </c>
      <c r="H137" s="36">
        <v>3616</v>
      </c>
      <c r="I137" s="36">
        <v>3776</v>
      </c>
      <c r="J137" s="36">
        <v>160</v>
      </c>
      <c r="K137" s="36"/>
      <c r="L137" s="36">
        <v>59400</v>
      </c>
      <c r="M137" s="36">
        <v>0</v>
      </c>
      <c r="N137" s="36"/>
      <c r="O137" s="36"/>
      <c r="P137" s="36">
        <v>15000</v>
      </c>
      <c r="Q137" s="36">
        <v>13393</v>
      </c>
      <c r="R137" s="36"/>
      <c r="S137" s="36">
        <f t="shared" si="4"/>
        <v>141521</v>
      </c>
      <c r="T137" s="25">
        <f t="shared" si="6"/>
        <v>4021</v>
      </c>
      <c r="U137" s="25">
        <f t="shared" si="7"/>
        <v>145542</v>
      </c>
      <c r="V137" s="36">
        <v>250000</v>
      </c>
      <c r="W137" s="25">
        <f t="shared" si="5"/>
        <v>-104458</v>
      </c>
      <c r="Y137">
        <f t="shared" ref="Y137:Y181" si="8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4947</v>
      </c>
      <c r="D138" s="36">
        <v>5562</v>
      </c>
      <c r="E138" s="36">
        <v>615</v>
      </c>
      <c r="F138" s="36">
        <v>146</v>
      </c>
      <c r="G138" s="36">
        <v>89790</v>
      </c>
      <c r="H138" s="36">
        <v>3776</v>
      </c>
      <c r="I138" s="36">
        <v>4134</v>
      </c>
      <c r="J138" s="36">
        <v>358</v>
      </c>
      <c r="K138" s="36"/>
      <c r="L138" s="36">
        <v>215640</v>
      </c>
      <c r="M138" s="36">
        <v>0</v>
      </c>
      <c r="N138" s="36"/>
      <c r="O138" s="36"/>
      <c r="P138" s="36">
        <v>10000</v>
      </c>
      <c r="Q138" s="36">
        <v>13393</v>
      </c>
      <c r="R138" s="36"/>
      <c r="S138" s="36">
        <f t="shared" si="4"/>
        <v>328823</v>
      </c>
      <c r="T138" s="25">
        <f t="shared" si="6"/>
        <v>-104458</v>
      </c>
      <c r="U138" s="25">
        <f t="shared" si="7"/>
        <v>224365</v>
      </c>
      <c r="V138" s="36">
        <v>350000</v>
      </c>
      <c r="W138" s="25">
        <f t="shared" si="5"/>
        <v>-125635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35</v>
      </c>
      <c r="C139" s="36">
        <v>5562</v>
      </c>
      <c r="D139" s="36">
        <v>6181</v>
      </c>
      <c r="E139" s="36">
        <v>619</v>
      </c>
      <c r="F139" s="36">
        <v>146</v>
      </c>
      <c r="G139" s="36">
        <v>90374</v>
      </c>
      <c r="H139" s="36">
        <v>4134</v>
      </c>
      <c r="I139" s="36">
        <v>4419</v>
      </c>
      <c r="J139" s="36">
        <v>285</v>
      </c>
      <c r="K139" s="36"/>
      <c r="L139" s="36">
        <v>297000</v>
      </c>
      <c r="M139" s="36">
        <v>0</v>
      </c>
      <c r="N139" s="36"/>
      <c r="O139" s="36"/>
      <c r="P139" s="36">
        <v>10000</v>
      </c>
      <c r="Q139" s="36">
        <v>13797</v>
      </c>
      <c r="R139" s="36"/>
      <c r="S139" s="36">
        <f t="shared" si="4"/>
        <v>411171</v>
      </c>
      <c r="T139" s="25">
        <f t="shared" si="6"/>
        <v>-125635</v>
      </c>
      <c r="U139" s="25">
        <f t="shared" si="7"/>
        <v>285536</v>
      </c>
      <c r="V139" s="36">
        <v>200000</v>
      </c>
      <c r="W139" s="25">
        <f t="shared" si="5"/>
        <v>85536</v>
      </c>
      <c r="Y139">
        <f t="shared" si="8"/>
        <v>1</v>
      </c>
    </row>
    <row r="140" spans="1:25" ht="15.75" hidden="1" thickBot="1" x14ac:dyDescent="0.3">
      <c r="A140" s="20"/>
      <c r="B140" s="21" t="s">
        <v>24</v>
      </c>
      <c r="C140" s="36">
        <v>6181</v>
      </c>
      <c r="D140" s="36">
        <v>6629</v>
      </c>
      <c r="E140" s="36">
        <v>448</v>
      </c>
      <c r="F140" s="36">
        <v>146</v>
      </c>
      <c r="G140" s="36">
        <v>65408</v>
      </c>
      <c r="H140" s="36">
        <v>4419</v>
      </c>
      <c r="I140" s="36">
        <v>4575</v>
      </c>
      <c r="J140" s="36">
        <v>156</v>
      </c>
      <c r="K140" s="36"/>
      <c r="L140" s="36">
        <v>65880</v>
      </c>
      <c r="M140" s="36">
        <v>0</v>
      </c>
      <c r="N140" s="36"/>
      <c r="O140" s="36"/>
      <c r="P140" s="36">
        <v>10000</v>
      </c>
      <c r="Q140" s="36">
        <v>13797</v>
      </c>
      <c r="R140" s="36"/>
      <c r="S140" s="36">
        <f t="shared" si="4"/>
        <v>155085</v>
      </c>
      <c r="T140" s="25">
        <f t="shared" si="6"/>
        <v>85536</v>
      </c>
      <c r="U140" s="25">
        <f t="shared" si="7"/>
        <v>240621</v>
      </c>
      <c r="V140" s="36">
        <v>150000</v>
      </c>
      <c r="W140" s="25">
        <f t="shared" si="5"/>
        <v>90621</v>
      </c>
      <c r="Y140">
        <f t="shared" si="8"/>
        <v>2</v>
      </c>
    </row>
    <row r="141" spans="1:25" ht="15.75" hidden="1" thickBot="1" x14ac:dyDescent="0.3">
      <c r="A141" s="20"/>
      <c r="B141" s="21" t="s">
        <v>25</v>
      </c>
      <c r="C141" s="36">
        <v>6629</v>
      </c>
      <c r="D141" s="36">
        <v>6896</v>
      </c>
      <c r="E141" s="36">
        <v>267</v>
      </c>
      <c r="F141" s="36">
        <v>146</v>
      </c>
      <c r="G141" s="36">
        <v>38982</v>
      </c>
      <c r="H141" s="36">
        <v>4575</v>
      </c>
      <c r="I141" s="36">
        <v>4648</v>
      </c>
      <c r="J141" s="36">
        <v>73</v>
      </c>
      <c r="K141" s="36">
        <v>360</v>
      </c>
      <c r="L141" s="36">
        <v>26280</v>
      </c>
      <c r="M141" s="36">
        <v>0</v>
      </c>
      <c r="N141" s="36"/>
      <c r="O141" s="36"/>
      <c r="P141" s="36">
        <v>10000</v>
      </c>
      <c r="Q141" s="36">
        <v>13797</v>
      </c>
      <c r="R141" s="36"/>
      <c r="S141" s="36">
        <f t="shared" si="4"/>
        <v>89059</v>
      </c>
      <c r="T141" s="25">
        <f t="shared" si="6"/>
        <v>90621</v>
      </c>
      <c r="U141" s="25">
        <f t="shared" si="7"/>
        <v>179680</v>
      </c>
      <c r="V141" s="36">
        <v>179000</v>
      </c>
      <c r="W141" s="25">
        <f t="shared" si="5"/>
        <v>680</v>
      </c>
      <c r="Y141">
        <f t="shared" si="8"/>
        <v>3</v>
      </c>
    </row>
    <row r="142" spans="1:25" ht="15.75" hidden="1" thickBot="1" x14ac:dyDescent="0.3">
      <c r="A142" s="20"/>
      <c r="B142" s="21" t="s">
        <v>26</v>
      </c>
      <c r="C142" s="36">
        <v>6896</v>
      </c>
      <c r="D142" s="36">
        <v>7232</v>
      </c>
      <c r="E142" s="36">
        <v>336</v>
      </c>
      <c r="F142" s="36">
        <v>146</v>
      </c>
      <c r="G142" s="36">
        <v>49056</v>
      </c>
      <c r="H142" s="36">
        <v>4648</v>
      </c>
      <c r="I142" s="36">
        <v>4717</v>
      </c>
      <c r="J142" s="36">
        <v>69</v>
      </c>
      <c r="K142" s="36">
        <v>360</v>
      </c>
      <c r="L142" s="36">
        <v>24840</v>
      </c>
      <c r="M142" s="36">
        <v>0</v>
      </c>
      <c r="N142" s="36"/>
      <c r="O142" s="36"/>
      <c r="P142" s="36">
        <v>10000</v>
      </c>
      <c r="Q142" s="36">
        <v>13797</v>
      </c>
      <c r="R142" s="36"/>
      <c r="S142" s="36">
        <f t="shared" si="4"/>
        <v>97693</v>
      </c>
      <c r="T142" s="25">
        <f t="shared" si="6"/>
        <v>680</v>
      </c>
      <c r="U142" s="25">
        <f t="shared" si="7"/>
        <v>98373</v>
      </c>
      <c r="V142" s="36"/>
      <c r="W142" s="25">
        <f t="shared" si="5"/>
        <v>98373</v>
      </c>
      <c r="Y142">
        <f t="shared" si="8"/>
        <v>4</v>
      </c>
    </row>
    <row r="143" spans="1:25" ht="15.75" hidden="1" thickBot="1" x14ac:dyDescent="0.3">
      <c r="A143" s="20"/>
      <c r="B143" s="21" t="s">
        <v>27</v>
      </c>
      <c r="C143" s="36">
        <v>7232</v>
      </c>
      <c r="D143" s="36">
        <v>7363</v>
      </c>
      <c r="E143" s="36">
        <v>131</v>
      </c>
      <c r="F143" s="36">
        <v>146</v>
      </c>
      <c r="G143" s="36">
        <v>19126</v>
      </c>
      <c r="H143" s="36">
        <v>4717</v>
      </c>
      <c r="I143" s="36">
        <v>4761</v>
      </c>
      <c r="J143" s="36">
        <v>44</v>
      </c>
      <c r="K143" s="36">
        <v>360</v>
      </c>
      <c r="L143" s="36">
        <v>15840</v>
      </c>
      <c r="M143" s="36">
        <v>0</v>
      </c>
      <c r="N143" s="36"/>
      <c r="O143" s="36">
        <v>92016</v>
      </c>
      <c r="P143" s="36">
        <v>10000</v>
      </c>
      <c r="Q143" s="36">
        <v>13797</v>
      </c>
      <c r="R143" s="36"/>
      <c r="S143" s="36">
        <f t="shared" si="4"/>
        <v>150779</v>
      </c>
      <c r="T143" s="25">
        <f t="shared" si="6"/>
        <v>98373</v>
      </c>
      <c r="U143" s="25">
        <f t="shared" si="7"/>
        <v>249152</v>
      </c>
      <c r="V143" s="36">
        <v>249152</v>
      </c>
      <c r="W143" s="25">
        <f t="shared" si="5"/>
        <v>0</v>
      </c>
      <c r="Y143">
        <f t="shared" si="8"/>
        <v>0</v>
      </c>
    </row>
    <row r="144" spans="1:25" ht="15.75" hidden="1" thickBot="1" x14ac:dyDescent="0.3">
      <c r="A144" s="20"/>
      <c r="B144" s="21" t="s">
        <v>28</v>
      </c>
      <c r="C144" s="36">
        <v>7363</v>
      </c>
      <c r="D144" s="36">
        <v>7536</v>
      </c>
      <c r="E144" s="36">
        <v>173</v>
      </c>
      <c r="F144" s="36">
        <v>146</v>
      </c>
      <c r="G144" s="36">
        <v>25258</v>
      </c>
      <c r="H144" s="36">
        <v>4761</v>
      </c>
      <c r="I144" s="36">
        <v>4763</v>
      </c>
      <c r="J144" s="36">
        <v>2</v>
      </c>
      <c r="K144" s="36">
        <v>360</v>
      </c>
      <c r="L144" s="36">
        <v>720</v>
      </c>
      <c r="M144" s="36">
        <v>0</v>
      </c>
      <c r="N144" s="36"/>
      <c r="O144" s="36"/>
      <c r="P144" s="36">
        <v>10000</v>
      </c>
      <c r="Q144" s="36">
        <v>13797</v>
      </c>
      <c r="R144" s="36"/>
      <c r="S144" s="36">
        <f t="shared" si="4"/>
        <v>49775</v>
      </c>
      <c r="T144" s="25">
        <f t="shared" si="6"/>
        <v>0</v>
      </c>
      <c r="U144" s="25">
        <f t="shared" si="7"/>
        <v>49775</v>
      </c>
      <c r="V144" s="36">
        <v>50000</v>
      </c>
      <c r="W144" s="25">
        <f t="shared" si="5"/>
        <v>-225</v>
      </c>
      <c r="Y144">
        <f t="shared" si="8"/>
        <v>0</v>
      </c>
    </row>
    <row r="145" spans="1:25" ht="15.75" hidden="1" thickBot="1" x14ac:dyDescent="0.3">
      <c r="A145" s="20"/>
      <c r="B145" s="21" t="s">
        <v>29</v>
      </c>
      <c r="C145" s="36">
        <v>7536</v>
      </c>
      <c r="D145" s="36">
        <v>7712</v>
      </c>
      <c r="E145" s="36">
        <v>176</v>
      </c>
      <c r="F145" s="36">
        <v>146</v>
      </c>
      <c r="G145" s="36">
        <v>25696</v>
      </c>
      <c r="H145" s="36">
        <v>4763</v>
      </c>
      <c r="I145" s="36">
        <v>4768</v>
      </c>
      <c r="J145" s="36">
        <v>5</v>
      </c>
      <c r="K145" s="36">
        <v>360</v>
      </c>
      <c r="L145" s="36">
        <v>1800</v>
      </c>
      <c r="M145" s="36">
        <v>0</v>
      </c>
      <c r="N145" s="36"/>
      <c r="O145" s="36"/>
      <c r="P145" s="36">
        <v>10000</v>
      </c>
      <c r="Q145" s="36">
        <v>13797</v>
      </c>
      <c r="R145" s="36"/>
      <c r="S145" s="36">
        <f t="shared" si="4"/>
        <v>51293</v>
      </c>
      <c r="T145" s="25">
        <f t="shared" si="6"/>
        <v>-225</v>
      </c>
      <c r="U145" s="25">
        <f t="shared" si="7"/>
        <v>51068</v>
      </c>
      <c r="V145" s="36">
        <v>51000</v>
      </c>
      <c r="W145" s="25">
        <f t="shared" si="5"/>
        <v>68</v>
      </c>
      <c r="Y145">
        <f t="shared" si="8"/>
        <v>1</v>
      </c>
    </row>
    <row r="146" spans="1:25" ht="15.75" hidden="1" thickBot="1" x14ac:dyDescent="0.3">
      <c r="A146" s="20"/>
      <c r="B146" s="21" t="s">
        <v>30</v>
      </c>
      <c r="C146" s="36">
        <v>7712</v>
      </c>
      <c r="D146" s="36">
        <v>7866</v>
      </c>
      <c r="E146" s="36">
        <v>154</v>
      </c>
      <c r="F146" s="36">
        <v>146</v>
      </c>
      <c r="G146" s="36">
        <v>22484</v>
      </c>
      <c r="H146" s="36">
        <v>4768</v>
      </c>
      <c r="I146" s="36">
        <v>4772</v>
      </c>
      <c r="J146" s="36">
        <v>4</v>
      </c>
      <c r="K146" s="36">
        <v>360</v>
      </c>
      <c r="L146" s="36">
        <v>1440</v>
      </c>
      <c r="M146" s="36">
        <v>0</v>
      </c>
      <c r="N146" s="36"/>
      <c r="O146" s="36"/>
      <c r="P146" s="36">
        <v>10000</v>
      </c>
      <c r="Q146" s="36">
        <v>13797</v>
      </c>
      <c r="R146" s="36"/>
      <c r="S146" s="36">
        <f t="shared" si="4"/>
        <v>47721</v>
      </c>
      <c r="T146" s="25">
        <f t="shared" si="6"/>
        <v>68</v>
      </c>
      <c r="U146" s="25">
        <f t="shared" si="7"/>
        <v>47789</v>
      </c>
      <c r="V146" s="36">
        <v>48000</v>
      </c>
      <c r="W146" s="25">
        <f t="shared" si="5"/>
        <v>-211</v>
      </c>
      <c r="Y146">
        <f t="shared" si="8"/>
        <v>0</v>
      </c>
    </row>
    <row r="147" spans="1:25" ht="15.75" hidden="1" thickBot="1" x14ac:dyDescent="0.3">
      <c r="A147" s="20"/>
      <c r="B147" s="21" t="s">
        <v>31</v>
      </c>
      <c r="C147" s="36">
        <v>7866</v>
      </c>
      <c r="D147" s="36">
        <v>7993</v>
      </c>
      <c r="E147" s="36">
        <v>127</v>
      </c>
      <c r="F147" s="36">
        <v>146</v>
      </c>
      <c r="G147" s="36">
        <v>18542</v>
      </c>
      <c r="H147" s="36">
        <v>4772</v>
      </c>
      <c r="I147" s="36">
        <v>4789</v>
      </c>
      <c r="J147" s="36">
        <v>17</v>
      </c>
      <c r="K147" s="36">
        <v>360</v>
      </c>
      <c r="L147" s="36">
        <v>6120</v>
      </c>
      <c r="M147" s="36">
        <v>0</v>
      </c>
      <c r="N147" s="36"/>
      <c r="O147" s="36"/>
      <c r="P147" s="36">
        <v>10000</v>
      </c>
      <c r="Q147" s="36">
        <v>13797</v>
      </c>
      <c r="R147" s="36"/>
      <c r="S147" s="36">
        <f t="shared" si="4"/>
        <v>48459</v>
      </c>
      <c r="T147" s="25">
        <f t="shared" si="6"/>
        <v>-211</v>
      </c>
      <c r="U147" s="25">
        <f t="shared" si="7"/>
        <v>48248</v>
      </c>
      <c r="V147" s="36">
        <v>50000</v>
      </c>
      <c r="W147" s="25">
        <f t="shared" si="5"/>
        <v>-1752</v>
      </c>
      <c r="Y147">
        <f t="shared" si="8"/>
        <v>0</v>
      </c>
    </row>
    <row r="148" spans="1:25" ht="15.75" hidden="1" thickBot="1" x14ac:dyDescent="0.3">
      <c r="A148" s="20"/>
      <c r="B148" s="21" t="s">
        <v>32</v>
      </c>
      <c r="C148" s="36">
        <v>7993</v>
      </c>
      <c r="D148" s="36">
        <v>8149</v>
      </c>
      <c r="E148" s="36">
        <v>156</v>
      </c>
      <c r="F148" s="36">
        <v>146</v>
      </c>
      <c r="G148" s="36">
        <v>22776</v>
      </c>
      <c r="H148" s="36">
        <v>4789</v>
      </c>
      <c r="I148" s="36">
        <v>4814</v>
      </c>
      <c r="J148" s="36">
        <v>25</v>
      </c>
      <c r="K148" s="36">
        <v>360</v>
      </c>
      <c r="L148" s="36">
        <v>9000</v>
      </c>
      <c r="M148" s="36">
        <v>0</v>
      </c>
      <c r="N148" s="36"/>
      <c r="O148" s="36"/>
      <c r="P148" s="36">
        <v>10000</v>
      </c>
      <c r="Q148" s="36">
        <v>13797</v>
      </c>
      <c r="R148" s="36"/>
      <c r="S148" s="36">
        <f t="shared" si="4"/>
        <v>55573</v>
      </c>
      <c r="T148" s="25">
        <f t="shared" si="6"/>
        <v>-1752</v>
      </c>
      <c r="U148" s="25">
        <f t="shared" si="7"/>
        <v>53821</v>
      </c>
      <c r="V148" s="36">
        <v>53800</v>
      </c>
      <c r="W148" s="25">
        <f t="shared" si="5"/>
        <v>21</v>
      </c>
      <c r="Y148">
        <f t="shared" si="8"/>
        <v>1</v>
      </c>
    </row>
    <row r="149" spans="1:25" ht="15.75" hidden="1" thickBot="1" x14ac:dyDescent="0.3">
      <c r="A149" s="20"/>
      <c r="B149" s="21" t="s">
        <v>33</v>
      </c>
      <c r="C149" s="36">
        <v>8149</v>
      </c>
      <c r="D149" s="36">
        <v>8393</v>
      </c>
      <c r="E149" s="36">
        <v>244</v>
      </c>
      <c r="F149" s="36">
        <v>146</v>
      </c>
      <c r="G149" s="36">
        <v>35624</v>
      </c>
      <c r="H149" s="36">
        <v>4814</v>
      </c>
      <c r="I149" s="36">
        <v>4896</v>
      </c>
      <c r="J149" s="36">
        <v>82</v>
      </c>
      <c r="K149" s="36">
        <v>360</v>
      </c>
      <c r="L149" s="36">
        <v>29520</v>
      </c>
      <c r="M149" s="36">
        <v>0</v>
      </c>
      <c r="N149" s="36"/>
      <c r="O149" s="36"/>
      <c r="P149" s="36">
        <v>10000</v>
      </c>
      <c r="Q149" s="36">
        <v>13797</v>
      </c>
      <c r="R149" s="36"/>
      <c r="S149" s="36">
        <f t="shared" si="4"/>
        <v>88941</v>
      </c>
      <c r="T149" s="25">
        <f t="shared" si="6"/>
        <v>21</v>
      </c>
      <c r="U149" s="25">
        <f t="shared" si="7"/>
        <v>88962</v>
      </c>
      <c r="V149" s="36">
        <v>89000</v>
      </c>
      <c r="W149" s="25">
        <f t="shared" si="5"/>
        <v>-38</v>
      </c>
      <c r="Y149">
        <f t="shared" si="8"/>
        <v>0</v>
      </c>
    </row>
    <row r="150" spans="1:25" ht="15.75" hidden="1" thickBot="1" x14ac:dyDescent="0.3">
      <c r="A150" s="20"/>
      <c r="B150" s="21" t="s">
        <v>34</v>
      </c>
      <c r="C150" s="36">
        <v>8393</v>
      </c>
      <c r="D150" s="36">
        <v>8709</v>
      </c>
      <c r="E150" s="36">
        <v>316</v>
      </c>
      <c r="F150" s="36">
        <v>146</v>
      </c>
      <c r="G150" s="36">
        <v>46136</v>
      </c>
      <c r="H150" s="36">
        <v>4896</v>
      </c>
      <c r="I150" s="36">
        <v>4950</v>
      </c>
      <c r="J150" s="36">
        <v>54</v>
      </c>
      <c r="K150" s="36">
        <v>360</v>
      </c>
      <c r="L150" s="36">
        <v>19440</v>
      </c>
      <c r="M150" s="36">
        <v>0</v>
      </c>
      <c r="N150" s="36"/>
      <c r="O150" s="36">
        <v>18189</v>
      </c>
      <c r="P150" s="36">
        <v>10000</v>
      </c>
      <c r="Q150" s="36">
        <v>13797</v>
      </c>
      <c r="R150" s="36"/>
      <c r="S150" s="36">
        <f t="shared" si="4"/>
        <v>107562</v>
      </c>
      <c r="T150" s="25">
        <f t="shared" si="6"/>
        <v>-38</v>
      </c>
      <c r="U150" s="25">
        <f t="shared" si="7"/>
        <v>107524</v>
      </c>
      <c r="V150" s="36">
        <v>107524</v>
      </c>
      <c r="W150" s="25">
        <f t="shared" si="5"/>
        <v>0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8709</v>
      </c>
      <c r="D151" s="36">
        <v>9047</v>
      </c>
      <c r="E151" s="36">
        <v>338</v>
      </c>
      <c r="F151" s="36">
        <v>146</v>
      </c>
      <c r="G151" s="36">
        <v>49348</v>
      </c>
      <c r="H151" s="36">
        <v>4950</v>
      </c>
      <c r="I151" s="36">
        <v>5126</v>
      </c>
      <c r="J151" s="36">
        <v>176</v>
      </c>
      <c r="K151" s="36"/>
      <c r="L151" s="36">
        <v>173880</v>
      </c>
      <c r="M151" s="36">
        <v>0</v>
      </c>
      <c r="N151" s="36"/>
      <c r="O151" s="36">
        <v>20375</v>
      </c>
      <c r="P151" s="36">
        <v>10000</v>
      </c>
      <c r="Q151" s="36">
        <v>14438</v>
      </c>
      <c r="R151" s="36"/>
      <c r="S151" s="36">
        <f t="shared" si="4"/>
        <v>268041</v>
      </c>
      <c r="T151" s="25">
        <f t="shared" si="6"/>
        <v>0</v>
      </c>
      <c r="U151" s="25">
        <f t="shared" si="7"/>
        <v>268041</v>
      </c>
      <c r="V151" s="36">
        <v>160500</v>
      </c>
      <c r="W151" s="25">
        <f t="shared" si="5"/>
        <v>107541</v>
      </c>
      <c r="Y151">
        <f t="shared" si="8"/>
        <v>1</v>
      </c>
    </row>
    <row r="152" spans="1:25" ht="15.75" hidden="1" thickBot="1" x14ac:dyDescent="0.3">
      <c r="A152" s="20"/>
      <c r="B152" s="21" t="s">
        <v>24</v>
      </c>
      <c r="C152" s="36">
        <v>9047</v>
      </c>
      <c r="D152" s="36">
        <v>9451</v>
      </c>
      <c r="E152" s="36">
        <v>404</v>
      </c>
      <c r="F152" s="36">
        <v>146</v>
      </c>
      <c r="G152" s="36">
        <v>58984</v>
      </c>
      <c r="H152" s="36">
        <v>5126</v>
      </c>
      <c r="I152" s="36">
        <v>5272</v>
      </c>
      <c r="J152" s="36">
        <v>146</v>
      </c>
      <c r="K152" s="36"/>
      <c r="L152" s="36">
        <v>57240</v>
      </c>
      <c r="M152" s="36">
        <v>0</v>
      </c>
      <c r="N152" s="36"/>
      <c r="O152" s="36"/>
      <c r="P152" s="36">
        <v>10000</v>
      </c>
      <c r="Q152" s="36">
        <v>14438</v>
      </c>
      <c r="R152" s="36"/>
      <c r="S152" s="36">
        <f t="shared" si="4"/>
        <v>140662</v>
      </c>
      <c r="T152" s="25">
        <f t="shared" si="6"/>
        <v>107541</v>
      </c>
      <c r="U152" s="25">
        <f t="shared" si="7"/>
        <v>248203</v>
      </c>
      <c r="V152" s="36">
        <v>248000</v>
      </c>
      <c r="W152" s="25">
        <f t="shared" si="5"/>
        <v>203</v>
      </c>
      <c r="Y152">
        <f t="shared" si="8"/>
        <v>2</v>
      </c>
    </row>
    <row r="153" spans="1:25" ht="15.75" hidden="1" thickBot="1" x14ac:dyDescent="0.3">
      <c r="A153" s="20"/>
      <c r="B153" s="21" t="s">
        <v>25</v>
      </c>
      <c r="C153" s="36">
        <v>9451</v>
      </c>
      <c r="D153" s="36">
        <v>9718</v>
      </c>
      <c r="E153" s="36">
        <v>267</v>
      </c>
      <c r="F153" s="36">
        <v>146</v>
      </c>
      <c r="G153" s="36">
        <v>38982</v>
      </c>
      <c r="H153" s="36">
        <v>5272</v>
      </c>
      <c r="I153" s="36">
        <v>5299</v>
      </c>
      <c r="J153" s="36">
        <v>27</v>
      </c>
      <c r="K153" s="36">
        <v>360</v>
      </c>
      <c r="L153" s="36">
        <v>9720</v>
      </c>
      <c r="M153" s="36">
        <v>0</v>
      </c>
      <c r="N153" s="36"/>
      <c r="O153" s="36">
        <v>18375</v>
      </c>
      <c r="P153" s="36">
        <v>10000</v>
      </c>
      <c r="Q153" s="36">
        <v>14438</v>
      </c>
      <c r="R153" s="36"/>
      <c r="S153" s="36">
        <f t="shared" si="4"/>
        <v>91515</v>
      </c>
      <c r="T153" s="25">
        <f t="shared" si="6"/>
        <v>203</v>
      </c>
      <c r="U153" s="25">
        <f t="shared" si="7"/>
        <v>91718</v>
      </c>
      <c r="V153" s="36">
        <v>95000</v>
      </c>
      <c r="W153" s="25">
        <f t="shared" si="5"/>
        <v>-3282</v>
      </c>
      <c r="Y153">
        <f t="shared" si="8"/>
        <v>0</v>
      </c>
    </row>
    <row r="154" spans="1:25" ht="15.75" hidden="1" thickBot="1" x14ac:dyDescent="0.3">
      <c r="A154" s="20"/>
      <c r="B154" s="21" t="s">
        <v>26</v>
      </c>
      <c r="C154" s="36">
        <v>9718</v>
      </c>
      <c r="D154" s="36">
        <v>9894</v>
      </c>
      <c r="E154" s="36">
        <v>176</v>
      </c>
      <c r="F154" s="36">
        <v>146</v>
      </c>
      <c r="G154" s="36">
        <v>25696</v>
      </c>
      <c r="H154" s="36">
        <v>5299</v>
      </c>
      <c r="I154" s="36">
        <v>5323</v>
      </c>
      <c r="J154" s="36">
        <v>24</v>
      </c>
      <c r="K154" s="36">
        <v>360</v>
      </c>
      <c r="L154" s="36">
        <v>8640</v>
      </c>
      <c r="M154" s="36">
        <v>0</v>
      </c>
      <c r="N154" s="36"/>
      <c r="O154" s="36">
        <v>3468</v>
      </c>
      <c r="P154" s="36">
        <v>10000</v>
      </c>
      <c r="Q154" s="36">
        <v>14438</v>
      </c>
      <c r="R154" s="36"/>
      <c r="S154" s="36">
        <f t="shared" si="4"/>
        <v>62242</v>
      </c>
      <c r="T154" s="25">
        <f t="shared" si="6"/>
        <v>-3282</v>
      </c>
      <c r="U154" s="25">
        <f t="shared" si="7"/>
        <v>58960</v>
      </c>
      <c r="V154" s="36">
        <v>60000</v>
      </c>
      <c r="W154" s="25">
        <f t="shared" si="5"/>
        <v>-1040</v>
      </c>
      <c r="Y154">
        <f t="shared" si="8"/>
        <v>0</v>
      </c>
    </row>
    <row r="155" spans="1:25" ht="15.75" hidden="1" thickBot="1" x14ac:dyDescent="0.3">
      <c r="A155" s="20"/>
      <c r="B155" s="21" t="s">
        <v>27</v>
      </c>
      <c r="C155" s="36">
        <v>9894</v>
      </c>
      <c r="D155" s="36">
        <v>10114</v>
      </c>
      <c r="E155" s="36">
        <v>220</v>
      </c>
      <c r="F155" s="36">
        <v>146</v>
      </c>
      <c r="G155" s="36">
        <v>32120</v>
      </c>
      <c r="H155" s="36">
        <v>5323</v>
      </c>
      <c r="I155" s="36">
        <v>5329</v>
      </c>
      <c r="J155" s="36">
        <v>6</v>
      </c>
      <c r="K155" s="36">
        <v>360</v>
      </c>
      <c r="L155" s="36">
        <v>2160</v>
      </c>
      <c r="M155" s="36">
        <v>0</v>
      </c>
      <c r="N155" s="36"/>
      <c r="O155" s="36">
        <v>3468</v>
      </c>
      <c r="P155" s="36">
        <v>10000</v>
      </c>
      <c r="Q155" s="36">
        <v>14438</v>
      </c>
      <c r="R155" s="36"/>
      <c r="S155" s="36">
        <f t="shared" si="4"/>
        <v>62186</v>
      </c>
      <c r="T155" s="25">
        <f t="shared" si="6"/>
        <v>-1040</v>
      </c>
      <c r="U155" s="25">
        <f t="shared" si="7"/>
        <v>61146</v>
      </c>
      <c r="V155" s="36">
        <v>70000</v>
      </c>
      <c r="W155" s="25">
        <f t="shared" si="5"/>
        <v>-8854</v>
      </c>
      <c r="Y155">
        <f t="shared" si="8"/>
        <v>0</v>
      </c>
    </row>
    <row r="156" spans="1:25" ht="15.75" hidden="1" thickBot="1" x14ac:dyDescent="0.3">
      <c r="A156" s="20"/>
      <c r="B156" s="21" t="s">
        <v>28</v>
      </c>
      <c r="C156" s="36">
        <v>10114</v>
      </c>
      <c r="D156" s="36">
        <v>10323</v>
      </c>
      <c r="E156" s="36">
        <v>209</v>
      </c>
      <c r="F156" s="36">
        <v>146</v>
      </c>
      <c r="G156" s="36">
        <v>30514</v>
      </c>
      <c r="H156" s="36">
        <v>5329</v>
      </c>
      <c r="I156" s="36">
        <v>5347</v>
      </c>
      <c r="J156" s="36">
        <v>18</v>
      </c>
      <c r="K156" s="36">
        <v>360</v>
      </c>
      <c r="L156" s="36">
        <v>6480</v>
      </c>
      <c r="M156" s="36">
        <v>0</v>
      </c>
      <c r="N156" s="36"/>
      <c r="O156" s="36">
        <v>3468</v>
      </c>
      <c r="P156" s="36">
        <v>10000</v>
      </c>
      <c r="Q156" s="36">
        <v>14438</v>
      </c>
      <c r="R156" s="36"/>
      <c r="S156" s="36">
        <f t="shared" si="4"/>
        <v>64900</v>
      </c>
      <c r="T156" s="25">
        <f t="shared" si="6"/>
        <v>-8854</v>
      </c>
      <c r="U156" s="25">
        <f t="shared" si="7"/>
        <v>56046</v>
      </c>
      <c r="V156" s="36">
        <v>56000</v>
      </c>
      <c r="W156" s="25">
        <f t="shared" si="5"/>
        <v>46</v>
      </c>
      <c r="Y156">
        <f t="shared" si="8"/>
        <v>1</v>
      </c>
    </row>
    <row r="157" spans="1:25" ht="15.75" hidden="1" thickBot="1" x14ac:dyDescent="0.3">
      <c r="A157" s="20"/>
      <c r="B157" s="21" t="s">
        <v>29</v>
      </c>
      <c r="C157" s="36">
        <v>10323</v>
      </c>
      <c r="D157" s="36">
        <v>10557</v>
      </c>
      <c r="E157" s="36">
        <v>234</v>
      </c>
      <c r="F157" s="36">
        <v>146</v>
      </c>
      <c r="G157" s="36">
        <v>34164</v>
      </c>
      <c r="H157" s="36">
        <v>5347</v>
      </c>
      <c r="I157" s="36">
        <v>5351</v>
      </c>
      <c r="J157" s="36">
        <v>4</v>
      </c>
      <c r="K157" s="36">
        <v>360</v>
      </c>
      <c r="L157" s="36">
        <v>1440</v>
      </c>
      <c r="M157" s="36">
        <v>0</v>
      </c>
      <c r="N157" s="36"/>
      <c r="O157" s="36">
        <v>46183</v>
      </c>
      <c r="P157" s="36"/>
      <c r="Q157" s="36">
        <v>14438</v>
      </c>
      <c r="R157" s="36"/>
      <c r="S157" s="36">
        <f t="shared" si="4"/>
        <v>96225</v>
      </c>
      <c r="T157" s="25">
        <f t="shared" si="6"/>
        <v>46</v>
      </c>
      <c r="U157" s="25">
        <f t="shared" si="7"/>
        <v>96271</v>
      </c>
      <c r="V157" s="36">
        <v>106000</v>
      </c>
      <c r="W157" s="25">
        <f t="shared" si="5"/>
        <v>-9729</v>
      </c>
      <c r="Y157">
        <f t="shared" si="8"/>
        <v>0</v>
      </c>
    </row>
    <row r="158" spans="1:25" ht="15.75" hidden="1" thickBot="1" x14ac:dyDescent="0.3">
      <c r="A158" s="20"/>
      <c r="B158" s="21" t="s">
        <v>30</v>
      </c>
      <c r="C158" s="36">
        <v>10557</v>
      </c>
      <c r="D158" s="36">
        <v>10615</v>
      </c>
      <c r="E158" s="36">
        <v>58</v>
      </c>
      <c r="F158" s="36">
        <v>146</v>
      </c>
      <c r="G158" s="36">
        <v>8468</v>
      </c>
      <c r="H158" s="36">
        <v>5351</v>
      </c>
      <c r="I158" s="36">
        <v>5361</v>
      </c>
      <c r="J158" s="36">
        <v>10</v>
      </c>
      <c r="K158" s="36">
        <v>360</v>
      </c>
      <c r="L158" s="36">
        <v>3600</v>
      </c>
      <c r="M158" s="36">
        <v>0</v>
      </c>
      <c r="N158" s="36"/>
      <c r="O158" s="36">
        <v>3468</v>
      </c>
      <c r="P158" s="36"/>
      <c r="Q158" s="36">
        <v>14438</v>
      </c>
      <c r="R158" s="36"/>
      <c r="S158" s="36">
        <f t="shared" si="4"/>
        <v>29974</v>
      </c>
      <c r="T158" s="25">
        <f t="shared" si="6"/>
        <v>-9729</v>
      </c>
      <c r="U158" s="25">
        <f t="shared" si="7"/>
        <v>20245</v>
      </c>
      <c r="V158" s="36"/>
      <c r="W158" s="25">
        <f t="shared" ref="W158:W185" si="9">U158-V158</f>
        <v>20245</v>
      </c>
      <c r="Y158">
        <f t="shared" si="8"/>
        <v>1</v>
      </c>
    </row>
    <row r="159" spans="1:25" ht="15.75" hidden="1" thickBot="1" x14ac:dyDescent="0.3">
      <c r="A159" s="20"/>
      <c r="B159" s="21" t="s">
        <v>31</v>
      </c>
      <c r="C159" s="36">
        <v>10615</v>
      </c>
      <c r="D159" s="36">
        <v>10753</v>
      </c>
      <c r="E159" s="36">
        <v>138</v>
      </c>
      <c r="F159" s="36">
        <v>146</v>
      </c>
      <c r="G159" s="36">
        <v>20148</v>
      </c>
      <c r="H159" s="36">
        <v>5361</v>
      </c>
      <c r="I159" s="36">
        <v>5385</v>
      </c>
      <c r="J159" s="36">
        <v>24</v>
      </c>
      <c r="K159" s="36">
        <v>360</v>
      </c>
      <c r="L159" s="36">
        <v>8640</v>
      </c>
      <c r="M159" s="36">
        <v>0</v>
      </c>
      <c r="N159" s="36"/>
      <c r="O159" s="36"/>
      <c r="P159" s="36"/>
      <c r="Q159" s="36">
        <v>14438</v>
      </c>
      <c r="R159" s="36"/>
      <c r="S159" s="36">
        <f t="shared" si="4"/>
        <v>43226</v>
      </c>
      <c r="T159" s="25">
        <f t="shared" si="6"/>
        <v>20245</v>
      </c>
      <c r="U159" s="25">
        <f t="shared" si="7"/>
        <v>63471</v>
      </c>
      <c r="V159" s="36">
        <v>73500</v>
      </c>
      <c r="W159" s="25">
        <f t="shared" si="9"/>
        <v>-10029</v>
      </c>
      <c r="Y159">
        <f t="shared" si="8"/>
        <v>0</v>
      </c>
    </row>
    <row r="160" spans="1:25" ht="15.75" hidden="1" thickBot="1" x14ac:dyDescent="0.3">
      <c r="A160" s="20"/>
      <c r="B160" s="21" t="s">
        <v>32</v>
      </c>
      <c r="C160" s="36">
        <v>10753</v>
      </c>
      <c r="D160" s="36">
        <v>11008</v>
      </c>
      <c r="E160" s="36">
        <v>255</v>
      </c>
      <c r="F160" s="36">
        <v>146</v>
      </c>
      <c r="G160" s="36">
        <v>37230</v>
      </c>
      <c r="H160" s="36">
        <v>5385</v>
      </c>
      <c r="I160" s="36">
        <v>5389</v>
      </c>
      <c r="J160" s="36">
        <v>4</v>
      </c>
      <c r="K160" s="36">
        <v>360</v>
      </c>
      <c r="L160" s="36">
        <v>1440</v>
      </c>
      <c r="M160" s="36">
        <v>0</v>
      </c>
      <c r="N160" s="36"/>
      <c r="O160" s="36"/>
      <c r="P160" s="36"/>
      <c r="Q160" s="36">
        <v>14438</v>
      </c>
      <c r="R160" s="36"/>
      <c r="S160" s="36">
        <f t="shared" si="4"/>
        <v>53108</v>
      </c>
      <c r="T160" s="25">
        <f t="shared" si="6"/>
        <v>-10029</v>
      </c>
      <c r="U160" s="25">
        <f t="shared" si="7"/>
        <v>43079</v>
      </c>
      <c r="V160" s="36">
        <v>63100</v>
      </c>
      <c r="W160" s="25">
        <f t="shared" si="9"/>
        <v>-20021</v>
      </c>
      <c r="Y160">
        <f t="shared" si="8"/>
        <v>0</v>
      </c>
    </row>
    <row r="161" spans="1:25" ht="15.75" hidden="1" thickBot="1" x14ac:dyDescent="0.3">
      <c r="A161" s="20"/>
      <c r="B161" s="21" t="s">
        <v>33</v>
      </c>
      <c r="C161" s="36">
        <v>11008</v>
      </c>
      <c r="D161" s="36">
        <v>11204</v>
      </c>
      <c r="E161" s="36">
        <v>196</v>
      </c>
      <c r="F161" s="36">
        <v>146</v>
      </c>
      <c r="G161" s="36">
        <v>28616</v>
      </c>
      <c r="H161" s="36">
        <v>5389</v>
      </c>
      <c r="I161" s="36">
        <v>5419</v>
      </c>
      <c r="J161" s="36">
        <v>30</v>
      </c>
      <c r="K161" s="36">
        <v>360</v>
      </c>
      <c r="L161" s="36">
        <v>10800</v>
      </c>
      <c r="M161" s="36">
        <v>0</v>
      </c>
      <c r="N161" s="36"/>
      <c r="O161" s="36"/>
      <c r="P161" s="36"/>
      <c r="Q161" s="36">
        <v>14438</v>
      </c>
      <c r="R161" s="36"/>
      <c r="S161" s="36">
        <f t="shared" si="4"/>
        <v>53854</v>
      </c>
      <c r="T161" s="25">
        <f t="shared" si="6"/>
        <v>-20021</v>
      </c>
      <c r="U161" s="25">
        <f t="shared" si="7"/>
        <v>33833</v>
      </c>
      <c r="V161" s="36">
        <v>33900</v>
      </c>
      <c r="W161" s="25">
        <f t="shared" si="9"/>
        <v>-67</v>
      </c>
      <c r="Y161">
        <f t="shared" si="8"/>
        <v>0</v>
      </c>
    </row>
    <row r="162" spans="1:25" ht="15.75" hidden="1" thickBot="1" x14ac:dyDescent="0.3">
      <c r="A162" s="20"/>
      <c r="B162" s="21" t="s">
        <v>34</v>
      </c>
      <c r="C162" s="36">
        <v>11204</v>
      </c>
      <c r="D162" s="36">
        <v>11543</v>
      </c>
      <c r="E162" s="36">
        <v>339</v>
      </c>
      <c r="F162" s="36">
        <v>146</v>
      </c>
      <c r="G162" s="36">
        <v>49494</v>
      </c>
      <c r="H162" s="36">
        <v>5419</v>
      </c>
      <c r="I162" s="36">
        <v>5489</v>
      </c>
      <c r="J162" s="36">
        <v>70</v>
      </c>
      <c r="K162" s="36">
        <v>360</v>
      </c>
      <c r="L162" s="36">
        <v>25200</v>
      </c>
      <c r="M162" s="36">
        <v>0</v>
      </c>
      <c r="N162" s="36"/>
      <c r="O162" s="36"/>
      <c r="P162" s="36"/>
      <c r="Q162" s="36">
        <v>14438</v>
      </c>
      <c r="R162" s="36"/>
      <c r="S162" s="36">
        <f t="shared" ref="S162:S185" si="10">G162+L162+M162+N162+O162+P162+Q162+R162</f>
        <v>89132</v>
      </c>
      <c r="T162" s="25">
        <f t="shared" ref="T162:T185" si="11">W161</f>
        <v>-67</v>
      </c>
      <c r="U162" s="25">
        <f t="shared" ref="U162:U185" si="12">S162+T162</f>
        <v>89065</v>
      </c>
      <c r="V162" s="36"/>
      <c r="W162" s="25">
        <f t="shared" si="9"/>
        <v>89065</v>
      </c>
      <c r="Y162">
        <f t="shared" si="8"/>
        <v>1</v>
      </c>
    </row>
    <row r="163" spans="1:25" ht="15.75" hidden="1" thickBot="1" x14ac:dyDescent="0.3">
      <c r="A163" s="20">
        <v>2016</v>
      </c>
      <c r="B163" s="21" t="s">
        <v>35</v>
      </c>
      <c r="C163" s="36">
        <v>11543</v>
      </c>
      <c r="D163" s="36">
        <v>11816</v>
      </c>
      <c r="E163" s="36">
        <v>273</v>
      </c>
      <c r="F163" s="36">
        <v>146</v>
      </c>
      <c r="G163" s="36">
        <v>39858</v>
      </c>
      <c r="H163" s="36">
        <v>5489</v>
      </c>
      <c r="I163" s="36">
        <v>5638</v>
      </c>
      <c r="J163" s="36">
        <v>149</v>
      </c>
      <c r="K163" s="36"/>
      <c r="L163" s="36">
        <v>58860</v>
      </c>
      <c r="M163" s="36">
        <v>0</v>
      </c>
      <c r="N163" s="36"/>
      <c r="O163" s="36"/>
      <c r="P163" s="36"/>
      <c r="Q163" s="36">
        <v>15073</v>
      </c>
      <c r="R163" s="36"/>
      <c r="S163" s="36">
        <f t="shared" si="10"/>
        <v>113791</v>
      </c>
      <c r="T163" s="25">
        <f t="shared" si="11"/>
        <v>89065</v>
      </c>
      <c r="U163" s="25">
        <f t="shared" si="12"/>
        <v>202856</v>
      </c>
      <c r="V163" s="36">
        <v>202000</v>
      </c>
      <c r="W163" s="25">
        <f t="shared" si="9"/>
        <v>856</v>
      </c>
      <c r="Y163">
        <f t="shared" si="8"/>
        <v>2</v>
      </c>
    </row>
    <row r="164" spans="1:25" ht="15.75" hidden="1" thickBot="1" x14ac:dyDescent="0.3">
      <c r="A164" s="20"/>
      <c r="B164" s="21" t="s">
        <v>24</v>
      </c>
      <c r="C164" s="36">
        <v>11816</v>
      </c>
      <c r="D164" s="36">
        <v>12374</v>
      </c>
      <c r="E164" s="36">
        <v>558</v>
      </c>
      <c r="F164" s="36">
        <v>146</v>
      </c>
      <c r="G164" s="36">
        <v>81468</v>
      </c>
      <c r="H164" s="36">
        <v>5638</v>
      </c>
      <c r="I164" s="36">
        <v>5751</v>
      </c>
      <c r="J164" s="36">
        <v>113</v>
      </c>
      <c r="K164" s="36">
        <v>360</v>
      </c>
      <c r="L164" s="36">
        <v>40680</v>
      </c>
      <c r="M164" s="36">
        <v>0</v>
      </c>
      <c r="N164" s="36"/>
      <c r="O164" s="36">
        <v>39445</v>
      </c>
      <c r="P164" s="36"/>
      <c r="Q164" s="36">
        <v>15073</v>
      </c>
      <c r="R164" s="36"/>
      <c r="S164" s="36">
        <f t="shared" si="10"/>
        <v>176666</v>
      </c>
      <c r="T164" s="25">
        <f t="shared" si="11"/>
        <v>856</v>
      </c>
      <c r="U164" s="25">
        <f t="shared" si="12"/>
        <v>177522</v>
      </c>
      <c r="V164" s="36">
        <v>187000</v>
      </c>
      <c r="W164" s="25">
        <f t="shared" si="9"/>
        <v>-9478</v>
      </c>
      <c r="Y164">
        <f t="shared" si="8"/>
        <v>0</v>
      </c>
    </row>
    <row r="165" spans="1:25" ht="15.75" hidden="1" thickBot="1" x14ac:dyDescent="0.3">
      <c r="A165" s="20"/>
      <c r="B165" s="21" t="s">
        <v>25</v>
      </c>
      <c r="C165" s="36">
        <v>12374</v>
      </c>
      <c r="D165" s="36">
        <v>12828</v>
      </c>
      <c r="E165" s="36">
        <v>454</v>
      </c>
      <c r="F165" s="36">
        <v>146</v>
      </c>
      <c r="G165" s="36">
        <v>66284</v>
      </c>
      <c r="H165" s="36">
        <v>5751</v>
      </c>
      <c r="I165" s="36">
        <v>5783</v>
      </c>
      <c r="J165" s="36">
        <v>32</v>
      </c>
      <c r="K165" s="36">
        <v>360</v>
      </c>
      <c r="L165" s="36">
        <v>11520</v>
      </c>
      <c r="M165" s="36">
        <v>0</v>
      </c>
      <c r="N165" s="36"/>
      <c r="O165" s="36"/>
      <c r="P165" s="36"/>
      <c r="Q165" s="36">
        <v>15073</v>
      </c>
      <c r="R165" s="36"/>
      <c r="S165" s="36">
        <f t="shared" si="10"/>
        <v>92877</v>
      </c>
      <c r="T165" s="25">
        <f t="shared" si="11"/>
        <v>-9478</v>
      </c>
      <c r="U165" s="25">
        <f t="shared" si="12"/>
        <v>83399</v>
      </c>
      <c r="V165" s="36"/>
      <c r="W165" s="25">
        <f t="shared" si="9"/>
        <v>83399</v>
      </c>
      <c r="Y165">
        <f t="shared" si="8"/>
        <v>1</v>
      </c>
    </row>
    <row r="166" spans="1:25" ht="15.75" hidden="1" thickBot="1" x14ac:dyDescent="0.3">
      <c r="A166" s="20"/>
      <c r="B166" s="21" t="s">
        <v>26</v>
      </c>
      <c r="C166" s="36">
        <v>12828</v>
      </c>
      <c r="D166" s="36">
        <v>13143</v>
      </c>
      <c r="E166" s="36">
        <v>315</v>
      </c>
      <c r="F166" s="36">
        <v>146</v>
      </c>
      <c r="G166" s="36">
        <v>45990</v>
      </c>
      <c r="H166" s="36">
        <v>5783</v>
      </c>
      <c r="I166" s="36">
        <v>5793</v>
      </c>
      <c r="J166" s="36">
        <v>10</v>
      </c>
      <c r="K166" s="36">
        <v>360</v>
      </c>
      <c r="L166" s="36">
        <v>3600</v>
      </c>
      <c r="M166" s="36">
        <v>0</v>
      </c>
      <c r="N166" s="36"/>
      <c r="O166" s="36"/>
      <c r="P166" s="36"/>
      <c r="Q166" s="36">
        <v>15073</v>
      </c>
      <c r="R166" s="36"/>
      <c r="S166" s="36">
        <f t="shared" si="10"/>
        <v>64663</v>
      </c>
      <c r="T166" s="25">
        <f t="shared" si="11"/>
        <v>83399</v>
      </c>
      <c r="U166" s="25">
        <f t="shared" si="12"/>
        <v>148062</v>
      </c>
      <c r="V166" s="36">
        <v>145000</v>
      </c>
      <c r="W166" s="25">
        <f t="shared" si="9"/>
        <v>3062</v>
      </c>
      <c r="Y166">
        <f t="shared" si="8"/>
        <v>2</v>
      </c>
    </row>
    <row r="167" spans="1:25" ht="15.75" hidden="1" thickBot="1" x14ac:dyDescent="0.3">
      <c r="A167" s="20"/>
      <c r="B167" s="21" t="s">
        <v>27</v>
      </c>
      <c r="C167" s="36">
        <v>13143</v>
      </c>
      <c r="D167" s="36">
        <v>13348</v>
      </c>
      <c r="E167" s="36">
        <v>205</v>
      </c>
      <c r="F167" s="36">
        <v>146</v>
      </c>
      <c r="G167" s="36">
        <v>29930</v>
      </c>
      <c r="H167" s="36">
        <v>5793</v>
      </c>
      <c r="I167" s="36">
        <v>5793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/>
      <c r="Q167" s="36">
        <v>15073</v>
      </c>
      <c r="R167" s="36"/>
      <c r="S167" s="36">
        <f t="shared" si="10"/>
        <v>45003</v>
      </c>
      <c r="T167" s="25">
        <f t="shared" si="11"/>
        <v>3062</v>
      </c>
      <c r="U167" s="25">
        <f t="shared" si="12"/>
        <v>48065</v>
      </c>
      <c r="V167" s="36"/>
      <c r="W167" s="25">
        <f t="shared" si="9"/>
        <v>48065</v>
      </c>
      <c r="Y167">
        <f t="shared" si="8"/>
        <v>3</v>
      </c>
    </row>
    <row r="168" spans="1:25" ht="15.75" hidden="1" thickBot="1" x14ac:dyDescent="0.3">
      <c r="A168" s="20"/>
      <c r="B168" s="21" t="s">
        <v>28</v>
      </c>
      <c r="C168" s="36">
        <v>13348</v>
      </c>
      <c r="D168" s="36">
        <v>13557</v>
      </c>
      <c r="E168" s="36">
        <v>209</v>
      </c>
      <c r="F168" s="36">
        <v>146</v>
      </c>
      <c r="G168" s="36">
        <v>30514</v>
      </c>
      <c r="H168" s="36">
        <v>5793</v>
      </c>
      <c r="I168" s="36">
        <v>5801</v>
      </c>
      <c r="J168" s="36">
        <v>8</v>
      </c>
      <c r="K168" s="36">
        <v>360</v>
      </c>
      <c r="L168" s="36">
        <v>2880</v>
      </c>
      <c r="M168" s="36">
        <v>0</v>
      </c>
      <c r="N168" s="36"/>
      <c r="O168" s="36"/>
      <c r="P168" s="36"/>
      <c r="Q168" s="36">
        <v>15073</v>
      </c>
      <c r="R168" s="36"/>
      <c r="S168" s="36">
        <f t="shared" si="10"/>
        <v>48467</v>
      </c>
      <c r="T168" s="25">
        <f t="shared" si="11"/>
        <v>48065</v>
      </c>
      <c r="U168" s="25">
        <f t="shared" si="12"/>
        <v>96532</v>
      </c>
      <c r="V168" s="36">
        <v>96000</v>
      </c>
      <c r="W168" s="25">
        <f t="shared" si="9"/>
        <v>532</v>
      </c>
      <c r="Y168">
        <f t="shared" si="8"/>
        <v>4</v>
      </c>
    </row>
    <row r="169" spans="1:25" ht="15.75" hidden="1" thickBot="1" x14ac:dyDescent="0.3">
      <c r="A169" s="20"/>
      <c r="B169" s="21" t="s">
        <v>29</v>
      </c>
      <c r="C169" s="36">
        <v>13557</v>
      </c>
      <c r="D169" s="36">
        <v>13744</v>
      </c>
      <c r="E169" s="36">
        <v>187</v>
      </c>
      <c r="F169" s="36">
        <v>146</v>
      </c>
      <c r="G169" s="36">
        <v>27302</v>
      </c>
      <c r="H169" s="36">
        <v>5801</v>
      </c>
      <c r="I169" s="36">
        <v>5801</v>
      </c>
      <c r="J169" s="36">
        <v>0</v>
      </c>
      <c r="K169" s="36"/>
      <c r="L169" s="36">
        <v>0</v>
      </c>
      <c r="M169" s="36">
        <v>0</v>
      </c>
      <c r="N169" s="36"/>
      <c r="O169" s="36">
        <v>5117</v>
      </c>
      <c r="P169" s="36"/>
      <c r="Q169" s="36">
        <v>15073</v>
      </c>
      <c r="R169" s="36"/>
      <c r="S169" s="36">
        <f t="shared" si="10"/>
        <v>47492</v>
      </c>
      <c r="T169" s="25">
        <f t="shared" si="11"/>
        <v>532</v>
      </c>
      <c r="U169" s="25">
        <f t="shared" si="12"/>
        <v>48024</v>
      </c>
      <c r="V169" s="36">
        <v>250000</v>
      </c>
      <c r="W169" s="25">
        <f t="shared" si="9"/>
        <v>-201976</v>
      </c>
      <c r="Y169">
        <f t="shared" si="8"/>
        <v>0</v>
      </c>
    </row>
    <row r="170" spans="1:25" ht="15.75" hidden="1" thickBot="1" x14ac:dyDescent="0.3">
      <c r="A170" s="20"/>
      <c r="B170" s="21" t="s">
        <v>30</v>
      </c>
      <c r="C170" s="36">
        <v>13744</v>
      </c>
      <c r="D170" s="36">
        <v>13953</v>
      </c>
      <c r="E170" s="36">
        <v>209</v>
      </c>
      <c r="F170" s="36">
        <v>146</v>
      </c>
      <c r="G170" s="36">
        <v>30514</v>
      </c>
      <c r="H170" s="36">
        <v>5801</v>
      </c>
      <c r="I170" s="36">
        <v>5803</v>
      </c>
      <c r="J170" s="36">
        <v>2</v>
      </c>
      <c r="K170" s="36">
        <v>360</v>
      </c>
      <c r="L170" s="36">
        <v>720</v>
      </c>
      <c r="M170" s="36">
        <v>0</v>
      </c>
      <c r="N170" s="36"/>
      <c r="O170" s="36">
        <v>125448</v>
      </c>
      <c r="P170" s="36"/>
      <c r="Q170" s="36">
        <v>15073</v>
      </c>
      <c r="R170" s="36"/>
      <c r="S170" s="36">
        <f t="shared" si="10"/>
        <v>171755</v>
      </c>
      <c r="T170" s="25">
        <f t="shared" si="11"/>
        <v>-201976</v>
      </c>
      <c r="U170" s="25">
        <f t="shared" si="12"/>
        <v>-30221</v>
      </c>
      <c r="V170" s="36"/>
      <c r="W170" s="25">
        <f t="shared" si="9"/>
        <v>-30221</v>
      </c>
      <c r="Y170">
        <f t="shared" si="8"/>
        <v>0</v>
      </c>
    </row>
    <row r="171" spans="1:25" ht="15.75" hidden="1" thickBot="1" x14ac:dyDescent="0.3">
      <c r="A171" s="20"/>
      <c r="B171" s="21" t="s">
        <v>31</v>
      </c>
      <c r="C171" s="36">
        <v>13953</v>
      </c>
      <c r="D171" s="36">
        <v>14136</v>
      </c>
      <c r="E171" s="36">
        <v>183</v>
      </c>
      <c r="F171" s="36">
        <v>146</v>
      </c>
      <c r="G171" s="36">
        <v>26718</v>
      </c>
      <c r="H171" s="36">
        <v>5803</v>
      </c>
      <c r="I171" s="36">
        <v>5810</v>
      </c>
      <c r="J171" s="36">
        <v>7</v>
      </c>
      <c r="K171" s="36">
        <v>360</v>
      </c>
      <c r="L171" s="36">
        <v>2520</v>
      </c>
      <c r="M171" s="36">
        <v>0</v>
      </c>
      <c r="N171" s="36"/>
      <c r="O171" s="36"/>
      <c r="P171" s="36"/>
      <c r="Q171" s="36">
        <v>15073</v>
      </c>
      <c r="R171" s="36"/>
      <c r="S171" s="36">
        <f t="shared" si="10"/>
        <v>44311</v>
      </c>
      <c r="T171" s="25">
        <f t="shared" si="11"/>
        <v>-30221</v>
      </c>
      <c r="U171" s="25">
        <f t="shared" si="12"/>
        <v>14090</v>
      </c>
      <c r="V171" s="36"/>
      <c r="W171" s="25">
        <f t="shared" si="9"/>
        <v>14090</v>
      </c>
      <c r="Y171">
        <f t="shared" si="8"/>
        <v>1</v>
      </c>
    </row>
    <row r="172" spans="1:25" ht="15.75" hidden="1" thickBot="1" x14ac:dyDescent="0.3">
      <c r="A172" s="20"/>
      <c r="B172" s="21" t="s">
        <v>32</v>
      </c>
      <c r="C172" s="36">
        <v>14136</v>
      </c>
      <c r="D172" s="36">
        <v>14368</v>
      </c>
      <c r="E172" s="36">
        <v>232</v>
      </c>
      <c r="F172" s="36">
        <v>146</v>
      </c>
      <c r="G172" s="36">
        <v>33872</v>
      </c>
      <c r="H172" s="36">
        <v>5810</v>
      </c>
      <c r="I172" s="36">
        <v>5823</v>
      </c>
      <c r="J172" s="36">
        <v>13</v>
      </c>
      <c r="K172" s="36">
        <v>360</v>
      </c>
      <c r="L172" s="36">
        <v>4680</v>
      </c>
      <c r="M172" s="36">
        <v>0</v>
      </c>
      <c r="N172" s="36"/>
      <c r="O172" s="36"/>
      <c r="P172" s="36"/>
      <c r="Q172" s="36">
        <v>15073</v>
      </c>
      <c r="R172" s="36"/>
      <c r="S172" s="36">
        <f t="shared" si="10"/>
        <v>53625</v>
      </c>
      <c r="T172" s="25">
        <f t="shared" si="11"/>
        <v>14090</v>
      </c>
      <c r="U172" s="25">
        <f t="shared" si="12"/>
        <v>67715</v>
      </c>
      <c r="V172" s="36"/>
      <c r="W172" s="25">
        <f t="shared" si="9"/>
        <v>67715</v>
      </c>
      <c r="Y172">
        <f t="shared" si="8"/>
        <v>2</v>
      </c>
    </row>
    <row r="173" spans="1:25" ht="15.75" hidden="1" thickBot="1" x14ac:dyDescent="0.3">
      <c r="A173" s="20"/>
      <c r="B173" s="21" t="s">
        <v>33</v>
      </c>
      <c r="C173" s="36">
        <v>14368</v>
      </c>
      <c r="D173" s="36">
        <v>14642</v>
      </c>
      <c r="E173" s="36">
        <v>274</v>
      </c>
      <c r="F173" s="36">
        <v>146</v>
      </c>
      <c r="G173" s="36">
        <v>40004</v>
      </c>
      <c r="H173" s="36">
        <v>5823</v>
      </c>
      <c r="I173" s="36">
        <v>5829</v>
      </c>
      <c r="J173" s="36">
        <v>6</v>
      </c>
      <c r="K173" s="36">
        <v>360</v>
      </c>
      <c r="L173" s="36">
        <v>2160</v>
      </c>
      <c r="M173" s="36">
        <v>0</v>
      </c>
      <c r="N173" s="36"/>
      <c r="O173" s="36"/>
      <c r="P173" s="36"/>
      <c r="Q173" s="36">
        <v>15073</v>
      </c>
      <c r="R173" s="36"/>
      <c r="S173" s="36">
        <f t="shared" si="10"/>
        <v>57237</v>
      </c>
      <c r="T173" s="25">
        <f t="shared" si="11"/>
        <v>67715</v>
      </c>
      <c r="U173" s="25">
        <f t="shared" si="12"/>
        <v>124952</v>
      </c>
      <c r="V173" s="36">
        <v>65000</v>
      </c>
      <c r="W173" s="25">
        <f t="shared" si="9"/>
        <v>59952</v>
      </c>
      <c r="Y173">
        <f t="shared" si="8"/>
        <v>3</v>
      </c>
    </row>
    <row r="174" spans="1:25" ht="15.75" hidden="1" thickBot="1" x14ac:dyDescent="0.3">
      <c r="A174" s="20"/>
      <c r="B174" s="21" t="s">
        <v>34</v>
      </c>
      <c r="C174" s="36">
        <v>14642</v>
      </c>
      <c r="D174" s="36">
        <v>14910</v>
      </c>
      <c r="E174" s="36">
        <v>268</v>
      </c>
      <c r="F174" s="36">
        <v>146</v>
      </c>
      <c r="G174" s="36">
        <v>39128</v>
      </c>
      <c r="H174" s="36">
        <v>5829</v>
      </c>
      <c r="I174" s="36">
        <v>5881</v>
      </c>
      <c r="J174" s="36">
        <v>52</v>
      </c>
      <c r="K174" s="36">
        <v>360</v>
      </c>
      <c r="L174" s="36">
        <v>18720</v>
      </c>
      <c r="M174" s="36">
        <v>0</v>
      </c>
      <c r="N174" s="36"/>
      <c r="O174" s="36">
        <v>64167</v>
      </c>
      <c r="P174" s="36"/>
      <c r="Q174" s="36">
        <v>15073</v>
      </c>
      <c r="R174" s="36"/>
      <c r="S174" s="36">
        <f t="shared" si="10"/>
        <v>137088</v>
      </c>
      <c r="T174" s="25">
        <f t="shared" si="11"/>
        <v>59952</v>
      </c>
      <c r="U174" s="25">
        <f t="shared" si="12"/>
        <v>197040</v>
      </c>
      <c r="V174" s="36">
        <v>150000</v>
      </c>
      <c r="W174" s="25">
        <f t="shared" si="9"/>
        <v>47040</v>
      </c>
      <c r="Y174">
        <f t="shared" si="8"/>
        <v>4</v>
      </c>
    </row>
    <row r="175" spans="1:25" hidden="1" x14ac:dyDescent="0.25">
      <c r="A175" s="20">
        <v>2017</v>
      </c>
      <c r="B175" s="47" t="s">
        <v>35</v>
      </c>
      <c r="C175" s="48">
        <v>14910</v>
      </c>
      <c r="D175" s="48">
        <v>15193</v>
      </c>
      <c r="E175" s="48">
        <v>283</v>
      </c>
      <c r="F175" s="48">
        <v>146</v>
      </c>
      <c r="G175" s="61">
        <v>41318</v>
      </c>
      <c r="H175" s="48">
        <v>5881</v>
      </c>
      <c r="I175" s="48">
        <v>5924</v>
      </c>
      <c r="J175" s="48">
        <v>43</v>
      </c>
      <c r="K175" s="93">
        <v>360</v>
      </c>
      <c r="L175" s="61">
        <v>15480</v>
      </c>
      <c r="M175" s="61">
        <v>0</v>
      </c>
      <c r="N175" s="61"/>
      <c r="O175" s="61"/>
      <c r="P175" s="61"/>
      <c r="Q175" s="61">
        <v>15481</v>
      </c>
      <c r="R175" s="61"/>
      <c r="S175" s="61">
        <f t="shared" si="10"/>
        <v>72279</v>
      </c>
      <c r="T175" s="49">
        <f t="shared" si="11"/>
        <v>47040</v>
      </c>
      <c r="U175" s="49">
        <f t="shared" si="12"/>
        <v>119319</v>
      </c>
      <c r="V175" s="45"/>
      <c r="W175" s="49">
        <f t="shared" si="9"/>
        <v>119319</v>
      </c>
      <c r="Y175">
        <f t="shared" si="8"/>
        <v>5</v>
      </c>
    </row>
    <row r="176" spans="1:25" hidden="1" x14ac:dyDescent="0.25">
      <c r="A176" s="20"/>
      <c r="B176" s="50" t="s">
        <v>24</v>
      </c>
      <c r="C176" s="51">
        <v>15193</v>
      </c>
      <c r="D176" s="51">
        <v>15687</v>
      </c>
      <c r="E176" s="51">
        <v>494</v>
      </c>
      <c r="F176" s="51">
        <v>146</v>
      </c>
      <c r="G176" s="62">
        <v>72124</v>
      </c>
      <c r="H176" s="51">
        <v>5924</v>
      </c>
      <c r="I176" s="51">
        <v>5973</v>
      </c>
      <c r="J176" s="51">
        <v>49</v>
      </c>
      <c r="K176" s="94">
        <v>360</v>
      </c>
      <c r="L176" s="62">
        <v>17640</v>
      </c>
      <c r="M176" s="62">
        <v>0</v>
      </c>
      <c r="N176" s="62"/>
      <c r="O176" s="62"/>
      <c r="P176" s="62"/>
      <c r="Q176" s="62">
        <v>15481</v>
      </c>
      <c r="R176" s="62"/>
      <c r="S176" s="62">
        <f t="shared" si="10"/>
        <v>105245</v>
      </c>
      <c r="T176" s="52">
        <f t="shared" si="11"/>
        <v>119319</v>
      </c>
      <c r="U176" s="52">
        <f t="shared" si="12"/>
        <v>224564</v>
      </c>
      <c r="V176" s="46">
        <v>150000</v>
      </c>
      <c r="W176" s="52">
        <f t="shared" si="9"/>
        <v>74564</v>
      </c>
      <c r="Y176">
        <f t="shared" si="8"/>
        <v>6</v>
      </c>
    </row>
    <row r="177" spans="1:26" hidden="1" x14ac:dyDescent="0.25">
      <c r="A177" s="20"/>
      <c r="B177" s="50" t="s">
        <v>25</v>
      </c>
      <c r="C177" s="51">
        <v>15687</v>
      </c>
      <c r="D177" s="51">
        <v>16044</v>
      </c>
      <c r="E177" s="51">
        <v>357</v>
      </c>
      <c r="F177" s="51">
        <v>146</v>
      </c>
      <c r="G177" s="62">
        <v>52122</v>
      </c>
      <c r="H177" s="51">
        <v>5973</v>
      </c>
      <c r="I177" s="51">
        <v>5995</v>
      </c>
      <c r="J177" s="51">
        <v>22</v>
      </c>
      <c r="K177" s="94">
        <v>360</v>
      </c>
      <c r="L177" s="62">
        <v>7920</v>
      </c>
      <c r="M177" s="62">
        <v>0</v>
      </c>
      <c r="N177" s="62"/>
      <c r="O177" s="62">
        <v>54473</v>
      </c>
      <c r="P177" s="62"/>
      <c r="Q177" s="62">
        <v>15481</v>
      </c>
      <c r="R177" s="62"/>
      <c r="S177" s="62">
        <f t="shared" si="10"/>
        <v>129996</v>
      </c>
      <c r="T177" s="52">
        <f t="shared" si="11"/>
        <v>74564</v>
      </c>
      <c r="U177" s="52">
        <f t="shared" si="12"/>
        <v>204560</v>
      </c>
      <c r="V177" s="46"/>
      <c r="W177" s="52">
        <f t="shared" si="9"/>
        <v>204560</v>
      </c>
      <c r="Y177">
        <f t="shared" si="8"/>
        <v>7</v>
      </c>
    </row>
    <row r="178" spans="1:26" hidden="1" x14ac:dyDescent="0.25">
      <c r="A178" s="20"/>
      <c r="B178" s="50" t="s">
        <v>26</v>
      </c>
      <c r="C178" s="51">
        <v>16044</v>
      </c>
      <c r="D178" s="51">
        <v>16261</v>
      </c>
      <c r="E178" s="51">
        <v>217</v>
      </c>
      <c r="F178" s="51">
        <v>146</v>
      </c>
      <c r="G178" s="62">
        <v>31682</v>
      </c>
      <c r="H178" s="51">
        <v>5995</v>
      </c>
      <c r="I178" s="51">
        <v>6013</v>
      </c>
      <c r="J178" s="51">
        <v>18</v>
      </c>
      <c r="K178" s="94">
        <v>360</v>
      </c>
      <c r="L178" s="62">
        <v>6480</v>
      </c>
      <c r="M178" s="62">
        <v>0</v>
      </c>
      <c r="N178" s="62"/>
      <c r="O178" s="62">
        <v>22500</v>
      </c>
      <c r="P178" s="62"/>
      <c r="Q178" s="62">
        <v>15481</v>
      </c>
      <c r="R178" s="62"/>
      <c r="S178" s="62">
        <f t="shared" si="10"/>
        <v>76143</v>
      </c>
      <c r="T178" s="52">
        <f t="shared" si="11"/>
        <v>204560</v>
      </c>
      <c r="U178" s="52">
        <f t="shared" si="12"/>
        <v>280703</v>
      </c>
      <c r="V178" s="46">
        <v>150000</v>
      </c>
      <c r="W178" s="52">
        <f t="shared" si="9"/>
        <v>130703</v>
      </c>
      <c r="Y178">
        <f t="shared" si="8"/>
        <v>8</v>
      </c>
    </row>
    <row r="179" spans="1:26" hidden="1" x14ac:dyDescent="0.25">
      <c r="A179" s="20"/>
      <c r="B179" s="50" t="s">
        <v>27</v>
      </c>
      <c r="C179" s="51">
        <v>16261</v>
      </c>
      <c r="D179" s="51">
        <v>16524</v>
      </c>
      <c r="E179" s="51">
        <v>263</v>
      </c>
      <c r="F179" s="51">
        <v>146</v>
      </c>
      <c r="G179" s="62">
        <v>38398</v>
      </c>
      <c r="H179" s="51">
        <v>6013</v>
      </c>
      <c r="I179" s="51">
        <v>6016</v>
      </c>
      <c r="J179" s="51">
        <v>3</v>
      </c>
      <c r="K179" s="94">
        <v>360</v>
      </c>
      <c r="L179" s="62">
        <v>1080</v>
      </c>
      <c r="M179" s="62">
        <v>0</v>
      </c>
      <c r="N179" s="62"/>
      <c r="O179" s="62"/>
      <c r="P179" s="62"/>
      <c r="Q179" s="62">
        <v>15481</v>
      </c>
      <c r="R179" s="62"/>
      <c r="S179" s="62">
        <f t="shared" si="10"/>
        <v>54959</v>
      </c>
      <c r="T179" s="52">
        <f t="shared" si="11"/>
        <v>130703</v>
      </c>
      <c r="U179" s="52">
        <f t="shared" si="12"/>
        <v>185662</v>
      </c>
      <c r="V179" s="46">
        <v>120000</v>
      </c>
      <c r="W179" s="52">
        <f t="shared" si="9"/>
        <v>65662</v>
      </c>
      <c r="Y179">
        <f t="shared" si="8"/>
        <v>9</v>
      </c>
    </row>
    <row r="180" spans="1:26" hidden="1" x14ac:dyDescent="0.25">
      <c r="A180" s="20"/>
      <c r="B180" s="50" t="s">
        <v>28</v>
      </c>
      <c r="C180" s="51">
        <v>16524</v>
      </c>
      <c r="D180" s="51">
        <v>16748</v>
      </c>
      <c r="E180" s="51">
        <v>224</v>
      </c>
      <c r="F180" s="51">
        <v>146</v>
      </c>
      <c r="G180" s="62">
        <v>32704</v>
      </c>
      <c r="H180" s="51">
        <v>6016</v>
      </c>
      <c r="I180" s="51">
        <v>6016</v>
      </c>
      <c r="J180" s="51">
        <v>0</v>
      </c>
      <c r="K180" s="94">
        <v>360</v>
      </c>
      <c r="L180" s="62">
        <v>0</v>
      </c>
      <c r="M180" s="62">
        <v>0</v>
      </c>
      <c r="N180" s="62"/>
      <c r="O180" s="62"/>
      <c r="P180" s="62"/>
      <c r="Q180" s="62">
        <v>15481</v>
      </c>
      <c r="R180" s="62"/>
      <c r="S180" s="62">
        <f t="shared" si="10"/>
        <v>48185</v>
      </c>
      <c r="T180" s="52">
        <f t="shared" si="11"/>
        <v>65662</v>
      </c>
      <c r="U180" s="52">
        <f t="shared" si="12"/>
        <v>113847</v>
      </c>
      <c r="V180" s="46"/>
      <c r="W180" s="52">
        <f t="shared" si="9"/>
        <v>113847</v>
      </c>
      <c r="Y180">
        <f t="shared" si="8"/>
        <v>10</v>
      </c>
    </row>
    <row r="181" spans="1:26" hidden="1" x14ac:dyDescent="0.25">
      <c r="A181" s="20"/>
      <c r="B181" s="50" t="s">
        <v>29</v>
      </c>
      <c r="C181" s="51">
        <v>16748</v>
      </c>
      <c r="D181" s="51">
        <v>16973</v>
      </c>
      <c r="E181" s="51">
        <v>225</v>
      </c>
      <c r="F181" s="51">
        <v>146</v>
      </c>
      <c r="G181" s="62">
        <v>32850</v>
      </c>
      <c r="H181" s="51">
        <v>6016</v>
      </c>
      <c r="I181" s="51">
        <v>6018</v>
      </c>
      <c r="J181" s="51">
        <v>2</v>
      </c>
      <c r="K181" s="94">
        <v>360</v>
      </c>
      <c r="L181" s="62">
        <v>720</v>
      </c>
      <c r="M181" s="62">
        <v>0</v>
      </c>
      <c r="N181" s="62"/>
      <c r="O181" s="62"/>
      <c r="P181" s="62"/>
      <c r="Q181" s="62">
        <v>15481</v>
      </c>
      <c r="R181" s="62"/>
      <c r="S181" s="62">
        <f t="shared" si="10"/>
        <v>49051</v>
      </c>
      <c r="T181" s="52">
        <f t="shared" si="11"/>
        <v>113847</v>
      </c>
      <c r="U181" s="58">
        <f t="shared" si="12"/>
        <v>162898</v>
      </c>
      <c r="V181" s="59">
        <v>110000</v>
      </c>
      <c r="W181" s="60">
        <f t="shared" si="9"/>
        <v>52898</v>
      </c>
      <c r="Y181">
        <f t="shared" si="8"/>
        <v>11</v>
      </c>
    </row>
    <row r="182" spans="1:26" ht="17.25" hidden="1" customHeight="1" x14ac:dyDescent="0.25">
      <c r="A182" s="20"/>
      <c r="B182" s="50" t="s">
        <v>30</v>
      </c>
      <c r="C182" s="51">
        <v>16973</v>
      </c>
      <c r="D182" s="51">
        <v>17186</v>
      </c>
      <c r="E182" s="51">
        <f>D182-C182</f>
        <v>213</v>
      </c>
      <c r="F182" s="51">
        <v>146</v>
      </c>
      <c r="G182" s="62">
        <f>F182*E182</f>
        <v>31098</v>
      </c>
      <c r="H182" s="51">
        <v>6018</v>
      </c>
      <c r="I182" s="51">
        <v>6018</v>
      </c>
      <c r="J182" s="51">
        <f>I182-H182</f>
        <v>0</v>
      </c>
      <c r="K182" s="94">
        <v>360</v>
      </c>
      <c r="L182" s="62">
        <f>K182*J182</f>
        <v>0</v>
      </c>
      <c r="M182" s="62">
        <v>0</v>
      </c>
      <c r="N182" s="62"/>
      <c r="O182" s="62"/>
      <c r="P182" s="62"/>
      <c r="Q182" s="62">
        <v>15481</v>
      </c>
      <c r="R182" s="62"/>
      <c r="S182" s="62">
        <f t="shared" si="10"/>
        <v>46579</v>
      </c>
      <c r="T182" s="52">
        <f t="shared" si="11"/>
        <v>52898</v>
      </c>
      <c r="U182" s="52">
        <f t="shared" si="12"/>
        <v>99477</v>
      </c>
      <c r="V182" s="71">
        <v>95000</v>
      </c>
      <c r="W182" s="52">
        <f>U182-V182</f>
        <v>4477</v>
      </c>
      <c r="Y182">
        <f>IF(W182&gt;1,Y181+1,)</f>
        <v>12</v>
      </c>
    </row>
    <row r="183" spans="1:26" hidden="1" x14ac:dyDescent="0.25">
      <c r="A183" s="20"/>
      <c r="B183" s="50" t="s">
        <v>31</v>
      </c>
      <c r="C183" s="51">
        <f>D182</f>
        <v>17186</v>
      </c>
      <c r="D183" s="51">
        <v>17323</v>
      </c>
      <c r="E183" s="51">
        <f t="shared" ref="E183:E186" si="13">D183-C183</f>
        <v>137</v>
      </c>
      <c r="F183" s="51">
        <v>146</v>
      </c>
      <c r="G183" s="62">
        <f t="shared" ref="G183:G186" si="14">F183*E183</f>
        <v>20002</v>
      </c>
      <c r="H183" s="51">
        <f>I182</f>
        <v>6018</v>
      </c>
      <c r="I183" s="51">
        <v>6020</v>
      </c>
      <c r="J183" s="51">
        <f t="shared" ref="J183:J186" si="15">I183-H183</f>
        <v>2</v>
      </c>
      <c r="K183" s="94">
        <v>360</v>
      </c>
      <c r="L183" s="62">
        <f t="shared" ref="L183:L186" si="16">K183*J183</f>
        <v>720</v>
      </c>
      <c r="M183" s="62">
        <v>0</v>
      </c>
      <c r="N183" s="62"/>
      <c r="O183" s="62"/>
      <c r="P183" s="62"/>
      <c r="Q183" s="62">
        <v>15481</v>
      </c>
      <c r="R183" s="62"/>
      <c r="S183" s="62">
        <f t="shared" si="10"/>
        <v>36203</v>
      </c>
      <c r="T183" s="52">
        <f t="shared" si="11"/>
        <v>4477</v>
      </c>
      <c r="U183" s="52">
        <f t="shared" si="12"/>
        <v>40680</v>
      </c>
      <c r="V183" s="71"/>
      <c r="W183" s="52">
        <f>U183-V183</f>
        <v>40680</v>
      </c>
    </row>
    <row r="184" spans="1:26" hidden="1" x14ac:dyDescent="0.25">
      <c r="A184" s="20"/>
      <c r="B184" s="50" t="s">
        <v>32</v>
      </c>
      <c r="C184" s="51">
        <f t="shared" ref="C184:C186" si="17">D183</f>
        <v>17323</v>
      </c>
      <c r="D184" s="51">
        <v>17450</v>
      </c>
      <c r="E184" s="51">
        <f t="shared" si="13"/>
        <v>127</v>
      </c>
      <c r="F184" s="51">
        <v>146</v>
      </c>
      <c r="G184" s="71">
        <f t="shared" si="14"/>
        <v>18542</v>
      </c>
      <c r="H184" s="51">
        <f t="shared" ref="H184:H186" si="18">I183</f>
        <v>6020</v>
      </c>
      <c r="I184" s="51">
        <v>6028</v>
      </c>
      <c r="J184" s="51">
        <f t="shared" si="15"/>
        <v>8</v>
      </c>
      <c r="K184" s="94">
        <v>360</v>
      </c>
      <c r="L184" s="71">
        <f t="shared" si="16"/>
        <v>2880</v>
      </c>
      <c r="M184" s="51">
        <v>0</v>
      </c>
      <c r="N184" s="51"/>
      <c r="O184" s="71"/>
      <c r="P184" s="51"/>
      <c r="Q184" s="62">
        <v>15481</v>
      </c>
      <c r="R184" s="71"/>
      <c r="S184" s="62">
        <f t="shared" si="10"/>
        <v>36903</v>
      </c>
      <c r="T184" s="52">
        <f t="shared" si="11"/>
        <v>40680</v>
      </c>
      <c r="U184" s="52">
        <f t="shared" si="12"/>
        <v>77583</v>
      </c>
      <c r="V184" s="71"/>
      <c r="W184" s="52">
        <f t="shared" si="9"/>
        <v>77583</v>
      </c>
    </row>
    <row r="185" spans="1:26" hidden="1" x14ac:dyDescent="0.25">
      <c r="A185" s="20"/>
      <c r="B185" s="50" t="s">
        <v>33</v>
      </c>
      <c r="C185" s="51">
        <f t="shared" si="17"/>
        <v>17450</v>
      </c>
      <c r="D185" s="51">
        <v>17733</v>
      </c>
      <c r="E185" s="51">
        <f t="shared" si="13"/>
        <v>283</v>
      </c>
      <c r="F185" s="51">
        <v>146</v>
      </c>
      <c r="G185" s="71">
        <f t="shared" si="14"/>
        <v>41318</v>
      </c>
      <c r="H185" s="51">
        <f t="shared" si="18"/>
        <v>6028</v>
      </c>
      <c r="I185" s="51">
        <v>6040</v>
      </c>
      <c r="J185" s="51">
        <f t="shared" si="15"/>
        <v>12</v>
      </c>
      <c r="K185" s="94">
        <v>360</v>
      </c>
      <c r="L185" s="71">
        <f t="shared" si="16"/>
        <v>4320</v>
      </c>
      <c r="M185" s="51">
        <v>0</v>
      </c>
      <c r="N185" s="51"/>
      <c r="O185" s="71">
        <v>2800</v>
      </c>
      <c r="P185" s="51"/>
      <c r="Q185" s="71">
        <v>15481</v>
      </c>
      <c r="R185" s="71"/>
      <c r="S185" s="71">
        <f t="shared" si="10"/>
        <v>63919</v>
      </c>
      <c r="T185" s="73">
        <f t="shared" si="11"/>
        <v>77583</v>
      </c>
      <c r="U185" s="52">
        <f t="shared" si="12"/>
        <v>141502</v>
      </c>
      <c r="V185" s="71">
        <v>110000</v>
      </c>
      <c r="W185" s="52">
        <f t="shared" si="9"/>
        <v>31502</v>
      </c>
    </row>
    <row r="186" spans="1:26" ht="15.75" hidden="1" thickBot="1" x14ac:dyDescent="0.3">
      <c r="A186" s="20"/>
      <c r="B186" s="74" t="s">
        <v>34</v>
      </c>
      <c r="C186" s="75">
        <f t="shared" si="17"/>
        <v>17733</v>
      </c>
      <c r="D186" s="75">
        <v>18002</v>
      </c>
      <c r="E186" s="75">
        <f t="shared" si="13"/>
        <v>269</v>
      </c>
      <c r="F186" s="75">
        <v>146</v>
      </c>
      <c r="G186" s="76">
        <f t="shared" si="14"/>
        <v>39274</v>
      </c>
      <c r="H186" s="75">
        <f t="shared" si="18"/>
        <v>6040</v>
      </c>
      <c r="I186" s="75">
        <v>6057</v>
      </c>
      <c r="J186" s="75">
        <f t="shared" si="15"/>
        <v>17</v>
      </c>
      <c r="K186" s="95">
        <v>360</v>
      </c>
      <c r="L186" s="76">
        <f t="shared" si="16"/>
        <v>6120</v>
      </c>
      <c r="M186" s="75">
        <v>0</v>
      </c>
      <c r="N186" s="75"/>
      <c r="O186" s="76"/>
      <c r="P186" s="75"/>
      <c r="Q186" s="76">
        <v>15481</v>
      </c>
      <c r="R186" s="76"/>
      <c r="S186" s="76">
        <f>G186+L186+M186+N186+O186+P186+Q186+R186</f>
        <v>60875</v>
      </c>
      <c r="T186" s="73">
        <f>W185</f>
        <v>31502</v>
      </c>
      <c r="U186" s="52">
        <f>S186+T186</f>
        <v>92377</v>
      </c>
      <c r="V186" s="71"/>
      <c r="W186" s="52">
        <f>U186-V186</f>
        <v>92377</v>
      </c>
      <c r="Z186" s="89"/>
    </row>
    <row r="187" spans="1:26" x14ac:dyDescent="0.25">
      <c r="A187">
        <v>2018</v>
      </c>
      <c r="B187" s="50" t="s">
        <v>35</v>
      </c>
      <c r="C187" s="51">
        <f t="shared" ref="C187:C198" si="19">D186</f>
        <v>18002</v>
      </c>
      <c r="D187" s="51">
        <v>18307</v>
      </c>
      <c r="E187" s="51">
        <f t="shared" ref="E187:E198" si="20">D187-C187</f>
        <v>305</v>
      </c>
      <c r="F187" s="51">
        <v>146</v>
      </c>
      <c r="G187" s="71">
        <f t="shared" ref="G187:G198" si="21">F187*E187</f>
        <v>44530</v>
      </c>
      <c r="H187" s="51">
        <f t="shared" ref="H187:H198" si="22">I186</f>
        <v>6057</v>
      </c>
      <c r="I187" s="51">
        <v>6098</v>
      </c>
      <c r="J187" s="51">
        <f t="shared" ref="J187:J198" si="23">I187-H187</f>
        <v>41</v>
      </c>
      <c r="K187" s="109">
        <v>360</v>
      </c>
      <c r="L187" s="71">
        <f t="shared" ref="L187:L198" si="24">K187*J187</f>
        <v>14760</v>
      </c>
      <c r="M187" s="51">
        <v>0</v>
      </c>
      <c r="N187" s="51"/>
      <c r="O187" s="71">
        <v>4970</v>
      </c>
      <c r="P187" s="51"/>
      <c r="Q187" s="71">
        <v>15832</v>
      </c>
      <c r="R187" s="71"/>
      <c r="S187" s="71">
        <f t="shared" ref="S187:S191" si="25">G187+L187+M187+N187+O187+P187+Q187+R187</f>
        <v>80092</v>
      </c>
      <c r="T187" s="88">
        <f t="shared" ref="T187:T191" si="26">W186</f>
        <v>92377</v>
      </c>
      <c r="U187" s="49">
        <f t="shared" ref="U187:U197" si="27">S187+T187</f>
        <v>172469</v>
      </c>
      <c r="V187" s="70">
        <v>75000</v>
      </c>
      <c r="W187" s="49">
        <f t="shared" ref="W187:W193" si="28">U187-V187</f>
        <v>97469</v>
      </c>
      <c r="Z187" s="89"/>
    </row>
    <row r="188" spans="1:26" x14ac:dyDescent="0.25">
      <c r="B188" s="50" t="s">
        <v>24</v>
      </c>
      <c r="C188" s="51">
        <f t="shared" si="19"/>
        <v>18307</v>
      </c>
      <c r="D188" s="51">
        <v>18640</v>
      </c>
      <c r="E188" s="51">
        <f t="shared" si="20"/>
        <v>333</v>
      </c>
      <c r="F188" s="51">
        <v>146</v>
      </c>
      <c r="G188" s="71">
        <f t="shared" si="21"/>
        <v>48618</v>
      </c>
      <c r="H188" s="51">
        <f t="shared" si="22"/>
        <v>6098</v>
      </c>
      <c r="I188" s="51">
        <v>6134</v>
      </c>
      <c r="J188" s="51">
        <f t="shared" si="23"/>
        <v>36</v>
      </c>
      <c r="K188" s="109">
        <v>360</v>
      </c>
      <c r="L188" s="71">
        <f t="shared" si="24"/>
        <v>12960</v>
      </c>
      <c r="M188" s="51">
        <v>0</v>
      </c>
      <c r="N188" s="51"/>
      <c r="O188" s="71"/>
      <c r="P188" s="51"/>
      <c r="Q188" s="71">
        <v>15832</v>
      </c>
      <c r="R188" s="71"/>
      <c r="S188" s="71">
        <f t="shared" si="25"/>
        <v>77410</v>
      </c>
      <c r="T188" s="73">
        <f t="shared" si="26"/>
        <v>97469</v>
      </c>
      <c r="U188" s="52">
        <f t="shared" si="27"/>
        <v>174879</v>
      </c>
      <c r="V188" s="71"/>
      <c r="W188" s="52">
        <f t="shared" si="28"/>
        <v>174879</v>
      </c>
      <c r="Z188" s="89"/>
    </row>
    <row r="189" spans="1:26" x14ac:dyDescent="0.25">
      <c r="B189" s="50" t="s">
        <v>25</v>
      </c>
      <c r="C189" s="51">
        <f t="shared" si="19"/>
        <v>18640</v>
      </c>
      <c r="D189" s="51">
        <v>18918</v>
      </c>
      <c r="E189" s="51">
        <f t="shared" si="20"/>
        <v>278</v>
      </c>
      <c r="F189" s="51">
        <v>146</v>
      </c>
      <c r="G189" s="71">
        <f t="shared" si="21"/>
        <v>40588</v>
      </c>
      <c r="H189" s="51">
        <f t="shared" si="22"/>
        <v>6134</v>
      </c>
      <c r="I189" s="51">
        <v>6171</v>
      </c>
      <c r="J189" s="51">
        <f t="shared" si="23"/>
        <v>37</v>
      </c>
      <c r="K189" s="109">
        <v>360</v>
      </c>
      <c r="L189" s="71">
        <f t="shared" si="24"/>
        <v>13320</v>
      </c>
      <c r="M189" s="51">
        <v>0</v>
      </c>
      <c r="N189" s="51"/>
      <c r="O189" s="71"/>
      <c r="P189" s="51"/>
      <c r="Q189" s="71">
        <v>15832</v>
      </c>
      <c r="R189" s="71"/>
      <c r="S189" s="71">
        <f t="shared" si="25"/>
        <v>69740</v>
      </c>
      <c r="T189" s="73">
        <f t="shared" si="26"/>
        <v>174879</v>
      </c>
      <c r="U189" s="52">
        <f t="shared" si="27"/>
        <v>244619</v>
      </c>
      <c r="V189" s="71">
        <v>70000</v>
      </c>
      <c r="W189" s="52">
        <f t="shared" si="28"/>
        <v>174619</v>
      </c>
    </row>
    <row r="190" spans="1:26" x14ac:dyDescent="0.25">
      <c r="B190" s="50" t="s">
        <v>26</v>
      </c>
      <c r="C190" s="51">
        <f t="shared" si="19"/>
        <v>18918</v>
      </c>
      <c r="D190" s="51">
        <v>19156</v>
      </c>
      <c r="E190" s="51">
        <f t="shared" si="20"/>
        <v>238</v>
      </c>
      <c r="F190" s="51">
        <v>146</v>
      </c>
      <c r="G190" s="71">
        <f t="shared" si="21"/>
        <v>34748</v>
      </c>
      <c r="H190" s="51">
        <f t="shared" si="22"/>
        <v>6171</v>
      </c>
      <c r="I190" s="51">
        <v>6205</v>
      </c>
      <c r="J190" s="51">
        <f t="shared" si="23"/>
        <v>34</v>
      </c>
      <c r="K190" s="109">
        <v>360</v>
      </c>
      <c r="L190" s="71">
        <f t="shared" si="24"/>
        <v>12240</v>
      </c>
      <c r="M190" s="51">
        <v>0</v>
      </c>
      <c r="N190" s="51"/>
      <c r="O190" s="71">
        <v>42500</v>
      </c>
      <c r="P190" s="51"/>
      <c r="Q190" s="71">
        <v>15832</v>
      </c>
      <c r="R190" s="71"/>
      <c r="S190" s="71">
        <f t="shared" si="25"/>
        <v>105320</v>
      </c>
      <c r="T190" s="73">
        <f t="shared" si="26"/>
        <v>174619</v>
      </c>
      <c r="U190" s="52">
        <f t="shared" si="27"/>
        <v>279939</v>
      </c>
      <c r="V190" s="71"/>
      <c r="W190" s="52">
        <f t="shared" si="28"/>
        <v>279939</v>
      </c>
    </row>
    <row r="191" spans="1:26" x14ac:dyDescent="0.25">
      <c r="B191" s="50" t="s">
        <v>27</v>
      </c>
      <c r="C191" s="51">
        <f t="shared" si="19"/>
        <v>19156</v>
      </c>
      <c r="D191" s="51">
        <v>19410</v>
      </c>
      <c r="E191" s="51">
        <f t="shared" si="20"/>
        <v>254</v>
      </c>
      <c r="F191" s="51">
        <v>146</v>
      </c>
      <c r="G191" s="71">
        <f t="shared" si="21"/>
        <v>37084</v>
      </c>
      <c r="H191" s="51">
        <f t="shared" si="22"/>
        <v>6205</v>
      </c>
      <c r="I191" s="51">
        <v>6256</v>
      </c>
      <c r="J191" s="51">
        <f t="shared" si="23"/>
        <v>51</v>
      </c>
      <c r="K191" s="109">
        <v>360</v>
      </c>
      <c r="L191" s="71">
        <f t="shared" si="24"/>
        <v>18360</v>
      </c>
      <c r="M191" s="51">
        <v>0</v>
      </c>
      <c r="N191" s="51"/>
      <c r="O191" s="71"/>
      <c r="P191" s="51"/>
      <c r="Q191" s="71">
        <v>15832</v>
      </c>
      <c r="R191" s="71"/>
      <c r="S191" s="71">
        <f t="shared" si="25"/>
        <v>71276</v>
      </c>
      <c r="T191" s="73">
        <f t="shared" si="26"/>
        <v>279939</v>
      </c>
      <c r="U191" s="52">
        <f t="shared" si="27"/>
        <v>351215</v>
      </c>
      <c r="V191" s="71">
        <v>90000</v>
      </c>
      <c r="W191" s="52">
        <f t="shared" si="28"/>
        <v>261215</v>
      </c>
    </row>
    <row r="192" spans="1:26" x14ac:dyDescent="0.25">
      <c r="B192" s="50" t="s">
        <v>28</v>
      </c>
      <c r="C192" s="51">
        <f t="shared" si="19"/>
        <v>19410</v>
      </c>
      <c r="D192" s="51">
        <v>19525</v>
      </c>
      <c r="E192" s="51">
        <f t="shared" si="20"/>
        <v>115</v>
      </c>
      <c r="F192" s="51">
        <v>146</v>
      </c>
      <c r="G192" s="71">
        <f t="shared" si="21"/>
        <v>16790</v>
      </c>
      <c r="H192" s="51">
        <f t="shared" si="22"/>
        <v>6256</v>
      </c>
      <c r="I192" s="51">
        <v>6256</v>
      </c>
      <c r="J192" s="51">
        <f t="shared" si="23"/>
        <v>0</v>
      </c>
      <c r="K192" s="109">
        <v>360</v>
      </c>
      <c r="L192" s="71">
        <f t="shared" si="24"/>
        <v>0</v>
      </c>
      <c r="M192" s="51">
        <v>0</v>
      </c>
      <c r="N192" s="51"/>
      <c r="O192" s="71">
        <v>104167</v>
      </c>
      <c r="P192" s="51"/>
      <c r="Q192" s="71">
        <v>15832</v>
      </c>
      <c r="R192" s="71"/>
      <c r="S192" s="71">
        <f t="shared" ref="S192:S198" si="29">G192+L192+M192+N192+O192+P192+Q192+R192</f>
        <v>136789</v>
      </c>
      <c r="T192" s="73">
        <f t="shared" ref="T192:T198" si="30">W191</f>
        <v>261215</v>
      </c>
      <c r="U192" s="52">
        <f>S192+T192</f>
        <v>398004</v>
      </c>
      <c r="V192" s="71"/>
      <c r="W192" s="52">
        <f t="shared" si="28"/>
        <v>398004</v>
      </c>
    </row>
    <row r="193" spans="1:23" x14ac:dyDescent="0.25">
      <c r="B193" s="50" t="s">
        <v>29</v>
      </c>
      <c r="C193" s="51">
        <f t="shared" si="19"/>
        <v>19525</v>
      </c>
      <c r="D193" s="51">
        <v>19565</v>
      </c>
      <c r="E193" s="51">
        <f t="shared" si="20"/>
        <v>40</v>
      </c>
      <c r="F193" s="51">
        <v>146</v>
      </c>
      <c r="G193" s="71">
        <f t="shared" si="21"/>
        <v>5840</v>
      </c>
      <c r="H193" s="51">
        <f t="shared" si="22"/>
        <v>6256</v>
      </c>
      <c r="I193" s="51">
        <v>6256</v>
      </c>
      <c r="J193" s="51">
        <f t="shared" si="23"/>
        <v>0</v>
      </c>
      <c r="K193" s="109">
        <v>360</v>
      </c>
      <c r="L193" s="71">
        <f t="shared" si="24"/>
        <v>0</v>
      </c>
      <c r="M193" s="51">
        <v>0</v>
      </c>
      <c r="N193" s="51"/>
      <c r="O193" s="71">
        <v>33430</v>
      </c>
      <c r="P193" s="51"/>
      <c r="Q193" s="71">
        <v>15832</v>
      </c>
      <c r="R193" s="71"/>
      <c r="S193" s="71">
        <f t="shared" si="29"/>
        <v>55102</v>
      </c>
      <c r="T193" s="73">
        <f t="shared" si="30"/>
        <v>398004</v>
      </c>
      <c r="U193" s="52">
        <f>S193+T193</f>
        <v>453106</v>
      </c>
      <c r="V193" s="71"/>
      <c r="W193" s="52">
        <f t="shared" si="28"/>
        <v>453106</v>
      </c>
    </row>
    <row r="194" spans="1:23" x14ac:dyDescent="0.25">
      <c r="B194" s="50" t="s">
        <v>30</v>
      </c>
      <c r="C194" s="51">
        <f t="shared" si="19"/>
        <v>19565</v>
      </c>
      <c r="D194" s="51">
        <v>19571</v>
      </c>
      <c r="E194" s="51">
        <f t="shared" si="20"/>
        <v>6</v>
      </c>
      <c r="F194" s="51">
        <v>146</v>
      </c>
      <c r="G194" s="71">
        <f t="shared" si="21"/>
        <v>876</v>
      </c>
      <c r="H194" s="51">
        <f t="shared" si="22"/>
        <v>6256</v>
      </c>
      <c r="I194" s="51">
        <v>6256</v>
      </c>
      <c r="J194" s="51">
        <f t="shared" si="23"/>
        <v>0</v>
      </c>
      <c r="K194" s="109">
        <v>360</v>
      </c>
      <c r="L194" s="71">
        <f t="shared" si="24"/>
        <v>0</v>
      </c>
      <c r="M194" s="51">
        <v>0</v>
      </c>
      <c r="N194" s="51"/>
      <c r="O194" s="71"/>
      <c r="P194" s="51"/>
      <c r="Q194" s="71">
        <v>15832</v>
      </c>
      <c r="R194" s="71"/>
      <c r="S194" s="71">
        <f t="shared" si="29"/>
        <v>16708</v>
      </c>
      <c r="T194" s="73">
        <f t="shared" si="30"/>
        <v>453106</v>
      </c>
      <c r="U194" s="52">
        <f>S194+T194</f>
        <v>469814</v>
      </c>
      <c r="V194" s="71"/>
      <c r="W194" s="52">
        <f t="shared" ref="W194:W199" si="31">U194-V194</f>
        <v>469814</v>
      </c>
    </row>
    <row r="195" spans="1:23" x14ac:dyDescent="0.25">
      <c r="B195" s="50" t="s">
        <v>31</v>
      </c>
      <c r="C195" s="51">
        <f t="shared" si="19"/>
        <v>19571</v>
      </c>
      <c r="D195" s="51">
        <v>19571</v>
      </c>
      <c r="E195" s="51">
        <f t="shared" si="20"/>
        <v>0</v>
      </c>
      <c r="F195" s="51">
        <v>146</v>
      </c>
      <c r="G195" s="71">
        <f t="shared" si="21"/>
        <v>0</v>
      </c>
      <c r="H195" s="51">
        <f t="shared" si="22"/>
        <v>6256</v>
      </c>
      <c r="I195" s="51">
        <v>6256</v>
      </c>
      <c r="J195" s="51">
        <f t="shared" si="23"/>
        <v>0</v>
      </c>
      <c r="K195" s="109">
        <v>360</v>
      </c>
      <c r="L195" s="71">
        <f t="shared" si="24"/>
        <v>0</v>
      </c>
      <c r="M195" s="51">
        <v>0</v>
      </c>
      <c r="N195" s="51"/>
      <c r="O195" s="71"/>
      <c r="P195" s="51"/>
      <c r="Q195" s="71">
        <v>15832</v>
      </c>
      <c r="R195" s="71"/>
      <c r="S195" s="71">
        <f t="shared" si="29"/>
        <v>15832</v>
      </c>
      <c r="T195" s="73">
        <f t="shared" si="30"/>
        <v>469814</v>
      </c>
      <c r="U195" s="52">
        <f>S195+T195</f>
        <v>485646</v>
      </c>
      <c r="V195" s="71"/>
      <c r="W195" s="52">
        <f t="shared" si="31"/>
        <v>485646</v>
      </c>
    </row>
    <row r="196" spans="1:23" x14ac:dyDescent="0.25">
      <c r="B196" s="50" t="s">
        <v>32</v>
      </c>
      <c r="C196" s="51">
        <f t="shared" si="19"/>
        <v>19571</v>
      </c>
      <c r="D196" s="51">
        <v>19571</v>
      </c>
      <c r="E196" s="51">
        <f t="shared" si="20"/>
        <v>0</v>
      </c>
      <c r="F196" s="51">
        <v>146</v>
      </c>
      <c r="G196" s="71">
        <f t="shared" si="21"/>
        <v>0</v>
      </c>
      <c r="H196" s="51">
        <f t="shared" si="22"/>
        <v>6256</v>
      </c>
      <c r="I196" s="51">
        <v>6256</v>
      </c>
      <c r="J196" s="51">
        <f t="shared" si="23"/>
        <v>0</v>
      </c>
      <c r="K196" s="109">
        <v>1230</v>
      </c>
      <c r="L196" s="71">
        <f t="shared" si="24"/>
        <v>0</v>
      </c>
      <c r="M196" s="51">
        <v>0</v>
      </c>
      <c r="N196" s="51"/>
      <c r="O196" s="71">
        <v>22222</v>
      </c>
      <c r="P196" s="51"/>
      <c r="Q196" s="71">
        <v>15832</v>
      </c>
      <c r="R196" s="71"/>
      <c r="S196" s="71">
        <f t="shared" si="29"/>
        <v>38054</v>
      </c>
      <c r="T196" s="73">
        <f t="shared" si="30"/>
        <v>485646</v>
      </c>
      <c r="U196" s="52">
        <f>S196+T196</f>
        <v>523700</v>
      </c>
      <c r="V196" s="71">
        <v>530000</v>
      </c>
      <c r="W196" s="52">
        <f t="shared" si="31"/>
        <v>-6300</v>
      </c>
    </row>
    <row r="197" spans="1:23" x14ac:dyDescent="0.25">
      <c r="B197" s="50" t="s">
        <v>33</v>
      </c>
      <c r="C197" s="51">
        <f t="shared" si="19"/>
        <v>19571</v>
      </c>
      <c r="D197" s="51">
        <v>19763</v>
      </c>
      <c r="E197" s="51">
        <f t="shared" si="20"/>
        <v>192</v>
      </c>
      <c r="F197" s="51">
        <v>146</v>
      </c>
      <c r="G197" s="71">
        <f t="shared" si="21"/>
        <v>28032</v>
      </c>
      <c r="H197" s="51">
        <f t="shared" si="22"/>
        <v>6256</v>
      </c>
      <c r="I197" s="51">
        <v>6295</v>
      </c>
      <c r="J197" s="51">
        <f t="shared" si="23"/>
        <v>39</v>
      </c>
      <c r="K197" s="109">
        <v>1230</v>
      </c>
      <c r="L197" s="71">
        <f t="shared" si="24"/>
        <v>47970</v>
      </c>
      <c r="M197" s="51">
        <v>0</v>
      </c>
      <c r="N197" s="51"/>
      <c r="O197" s="71"/>
      <c r="P197" s="51"/>
      <c r="Q197" s="71"/>
      <c r="R197" s="71"/>
      <c r="S197" s="71">
        <f t="shared" si="29"/>
        <v>76002</v>
      </c>
      <c r="T197" s="73">
        <f t="shared" si="30"/>
        <v>-6300</v>
      </c>
      <c r="U197" s="52">
        <f t="shared" si="27"/>
        <v>69702</v>
      </c>
      <c r="V197" s="71">
        <v>70000</v>
      </c>
      <c r="W197" s="52">
        <f t="shared" si="31"/>
        <v>-298</v>
      </c>
    </row>
    <row r="198" spans="1:23" ht="15.75" thickBot="1" x14ac:dyDescent="0.3">
      <c r="B198" s="74" t="s">
        <v>34</v>
      </c>
      <c r="C198" s="75">
        <f t="shared" si="19"/>
        <v>19763</v>
      </c>
      <c r="D198" s="75">
        <v>20104</v>
      </c>
      <c r="E198" s="75">
        <f t="shared" si="20"/>
        <v>341</v>
      </c>
      <c r="F198" s="75">
        <v>146</v>
      </c>
      <c r="G198" s="76">
        <f t="shared" si="21"/>
        <v>49786</v>
      </c>
      <c r="H198" s="75">
        <f t="shared" si="22"/>
        <v>6295</v>
      </c>
      <c r="I198" s="75">
        <v>6349</v>
      </c>
      <c r="J198" s="75">
        <f t="shared" si="23"/>
        <v>54</v>
      </c>
      <c r="K198" s="110">
        <v>1230</v>
      </c>
      <c r="L198" s="76">
        <f t="shared" si="24"/>
        <v>66420</v>
      </c>
      <c r="M198" s="75">
        <v>0</v>
      </c>
      <c r="N198" s="75"/>
      <c r="O198" s="76"/>
      <c r="P198" s="75"/>
      <c r="Q198" s="76"/>
      <c r="R198" s="76"/>
      <c r="S198" s="76">
        <f t="shared" si="29"/>
        <v>116206</v>
      </c>
      <c r="T198" s="77">
        <f t="shared" si="30"/>
        <v>-298</v>
      </c>
      <c r="U198" s="24">
        <f>S198+T198</f>
        <v>115908</v>
      </c>
      <c r="V198" s="71"/>
      <c r="W198" s="24">
        <f t="shared" si="31"/>
        <v>115908</v>
      </c>
    </row>
    <row r="199" spans="1:23" x14ac:dyDescent="0.25">
      <c r="A199">
        <v>2019</v>
      </c>
      <c r="B199" s="47" t="s">
        <v>35</v>
      </c>
      <c r="C199" s="48">
        <f t="shared" ref="C199" si="32">D198</f>
        <v>20104</v>
      </c>
      <c r="D199" s="48">
        <v>20201</v>
      </c>
      <c r="E199" s="48">
        <f t="shared" ref="E199" si="33">D199-C199</f>
        <v>97</v>
      </c>
      <c r="F199" s="48">
        <v>150</v>
      </c>
      <c r="G199" s="70">
        <f t="shared" ref="G199" si="34">F199*E199</f>
        <v>14550</v>
      </c>
      <c r="H199" s="48">
        <f t="shared" ref="H199" si="35">I198</f>
        <v>6349</v>
      </c>
      <c r="I199" s="48">
        <v>6356</v>
      </c>
      <c r="J199" s="48">
        <f t="shared" ref="J199" si="36">I199-H199</f>
        <v>7</v>
      </c>
      <c r="K199" s="113">
        <v>1230</v>
      </c>
      <c r="L199" s="70">
        <f t="shared" ref="L199" si="37">K199*J199</f>
        <v>8610</v>
      </c>
      <c r="M199" s="48"/>
      <c r="N199" s="48"/>
      <c r="O199" s="70">
        <v>33333</v>
      </c>
      <c r="P199" s="48"/>
      <c r="Q199" s="70"/>
      <c r="R199" s="70"/>
      <c r="S199" s="70">
        <f>G199+L199+M199+N199+O199+P199+Q199+R199</f>
        <v>56493</v>
      </c>
      <c r="T199" s="88">
        <f t="shared" ref="T199" si="38">W198</f>
        <v>115908</v>
      </c>
      <c r="U199" s="49">
        <f>S199+T199</f>
        <v>172401</v>
      </c>
      <c r="V199" s="70">
        <v>174000</v>
      </c>
      <c r="W199" s="49">
        <f t="shared" si="31"/>
        <v>-1599</v>
      </c>
    </row>
    <row r="200" spans="1:23" x14ac:dyDescent="0.25">
      <c r="B200" s="50" t="s">
        <v>24</v>
      </c>
      <c r="C200" s="51">
        <f t="shared" ref="C200:C210" si="39">D199</f>
        <v>20201</v>
      </c>
      <c r="D200" s="51">
        <v>20217</v>
      </c>
      <c r="E200" s="51">
        <f t="shared" ref="E200:E210" si="40">D200-C200</f>
        <v>16</v>
      </c>
      <c r="F200" s="51">
        <v>150</v>
      </c>
      <c r="G200" s="71">
        <f t="shared" ref="G200:G210" si="41">F200*E200</f>
        <v>2400</v>
      </c>
      <c r="H200" s="51">
        <f t="shared" ref="H200:H210" si="42">I199</f>
        <v>6356</v>
      </c>
      <c r="I200" s="51"/>
      <c r="J200" s="51"/>
      <c r="K200" s="109">
        <v>1230</v>
      </c>
      <c r="L200" s="71">
        <f t="shared" ref="L200:L210" si="43">K200*J200</f>
        <v>0</v>
      </c>
      <c r="M200" s="51"/>
      <c r="N200" s="51"/>
      <c r="O200" s="71"/>
      <c r="P200" s="51"/>
      <c r="Q200" s="71"/>
      <c r="R200" s="71"/>
      <c r="S200" s="71">
        <f t="shared" ref="S200:S210" si="44">G200+L200+M200+N200+O200+P200+Q200+R200</f>
        <v>2400</v>
      </c>
      <c r="T200" s="73">
        <f t="shared" ref="T200:T210" si="45">W199</f>
        <v>-1599</v>
      </c>
      <c r="U200" s="52">
        <f t="shared" ref="U200:U210" si="46">S200+T200</f>
        <v>801</v>
      </c>
      <c r="V200" s="71">
        <v>801</v>
      </c>
      <c r="W200" s="52">
        <f t="shared" ref="W200:W210" si="47">U200-V200</f>
        <v>0</v>
      </c>
    </row>
    <row r="201" spans="1:23" x14ac:dyDescent="0.25">
      <c r="B201" s="150" t="s">
        <v>25</v>
      </c>
      <c r="C201" s="151">
        <f t="shared" si="39"/>
        <v>20217</v>
      </c>
      <c r="D201" s="151">
        <v>20306</v>
      </c>
      <c r="E201" s="151">
        <f t="shared" si="40"/>
        <v>89</v>
      </c>
      <c r="F201" s="151">
        <v>150</v>
      </c>
      <c r="G201" s="152">
        <f t="shared" si="41"/>
        <v>13350</v>
      </c>
      <c r="H201" s="151">
        <f t="shared" si="42"/>
        <v>0</v>
      </c>
      <c r="I201" s="151"/>
      <c r="J201" s="151">
        <f t="shared" ref="J201:J210" si="48">I201-H201</f>
        <v>0</v>
      </c>
      <c r="K201" s="153">
        <v>1230</v>
      </c>
      <c r="L201" s="152">
        <f t="shared" si="43"/>
        <v>0</v>
      </c>
      <c r="M201" s="151"/>
      <c r="N201" s="151"/>
      <c r="O201" s="152"/>
      <c r="P201" s="151"/>
      <c r="Q201" s="152"/>
      <c r="R201" s="152"/>
      <c r="S201" s="152">
        <f t="shared" si="44"/>
        <v>13350</v>
      </c>
      <c r="T201" s="154">
        <f t="shared" si="45"/>
        <v>0</v>
      </c>
      <c r="U201" s="155">
        <f t="shared" si="46"/>
        <v>13350</v>
      </c>
      <c r="V201" s="152">
        <v>14000</v>
      </c>
      <c r="W201" s="155">
        <f t="shared" si="47"/>
        <v>-650</v>
      </c>
    </row>
    <row r="202" spans="1:23" ht="15.75" thickBot="1" x14ac:dyDescent="0.3">
      <c r="B202" s="143" t="s">
        <v>26</v>
      </c>
      <c r="C202" s="144">
        <f t="shared" si="39"/>
        <v>20306</v>
      </c>
      <c r="D202" s="144">
        <v>20604</v>
      </c>
      <c r="E202" s="144">
        <f t="shared" si="40"/>
        <v>298</v>
      </c>
      <c r="F202" s="144">
        <v>150</v>
      </c>
      <c r="G202" s="145">
        <f t="shared" si="41"/>
        <v>44700</v>
      </c>
      <c r="H202" s="144">
        <f t="shared" si="42"/>
        <v>0</v>
      </c>
      <c r="I202" s="144"/>
      <c r="J202" s="144">
        <f t="shared" si="48"/>
        <v>0</v>
      </c>
      <c r="K202" s="146">
        <v>1230</v>
      </c>
      <c r="L202" s="145">
        <f t="shared" si="43"/>
        <v>0</v>
      </c>
      <c r="M202" s="144"/>
      <c r="N202" s="144"/>
      <c r="O202" s="145"/>
      <c r="P202" s="144"/>
      <c r="Q202" s="145"/>
      <c r="R202" s="145"/>
      <c r="S202" s="145">
        <f t="shared" si="44"/>
        <v>44700</v>
      </c>
      <c r="T202" s="147">
        <f t="shared" si="45"/>
        <v>-650</v>
      </c>
      <c r="U202" s="148">
        <f t="shared" si="46"/>
        <v>44050</v>
      </c>
      <c r="V202" s="145">
        <v>50000</v>
      </c>
      <c r="W202" s="148">
        <f t="shared" si="47"/>
        <v>-5950</v>
      </c>
    </row>
    <row r="203" spans="1:23" ht="15.75" thickBot="1" x14ac:dyDescent="0.3">
      <c r="B203" s="41" t="s">
        <v>27</v>
      </c>
      <c r="C203" s="42">
        <f t="shared" si="39"/>
        <v>20604</v>
      </c>
      <c r="D203" s="42">
        <v>21002</v>
      </c>
      <c r="E203" s="42">
        <f t="shared" si="40"/>
        <v>398</v>
      </c>
      <c r="F203" s="42">
        <v>150</v>
      </c>
      <c r="G203" s="67">
        <f t="shared" si="41"/>
        <v>59700</v>
      </c>
      <c r="H203" s="42">
        <f t="shared" si="42"/>
        <v>0</v>
      </c>
      <c r="I203" s="42"/>
      <c r="J203" s="42">
        <f t="shared" si="48"/>
        <v>0</v>
      </c>
      <c r="K203" s="111">
        <v>1230</v>
      </c>
      <c r="L203" s="67">
        <f t="shared" si="43"/>
        <v>0</v>
      </c>
      <c r="M203" s="42"/>
      <c r="N203" s="42"/>
      <c r="O203" s="67"/>
      <c r="P203" s="42"/>
      <c r="Q203" s="67"/>
      <c r="R203" s="67"/>
      <c r="S203" s="67">
        <f t="shared" si="44"/>
        <v>59700</v>
      </c>
      <c r="T203" s="68">
        <f t="shared" si="45"/>
        <v>-5950</v>
      </c>
      <c r="U203" s="43">
        <f t="shared" si="46"/>
        <v>53750</v>
      </c>
      <c r="V203" s="67"/>
      <c r="W203" s="43">
        <f t="shared" si="47"/>
        <v>53750</v>
      </c>
    </row>
    <row r="204" spans="1:23" ht="15.75" hidden="1" thickBot="1" x14ac:dyDescent="0.3">
      <c r="B204" s="41" t="s">
        <v>28</v>
      </c>
      <c r="C204" s="42">
        <f t="shared" si="39"/>
        <v>21002</v>
      </c>
      <c r="D204" s="42"/>
      <c r="E204" s="42">
        <f t="shared" si="40"/>
        <v>-21002</v>
      </c>
      <c r="F204" s="42">
        <v>150</v>
      </c>
      <c r="G204" s="67">
        <f t="shared" si="41"/>
        <v>-3150300</v>
      </c>
      <c r="H204" s="42">
        <f t="shared" si="42"/>
        <v>0</v>
      </c>
      <c r="I204" s="42"/>
      <c r="J204" s="42">
        <f t="shared" si="48"/>
        <v>0</v>
      </c>
      <c r="K204" s="111">
        <v>1230</v>
      </c>
      <c r="L204" s="67">
        <f t="shared" si="43"/>
        <v>0</v>
      </c>
      <c r="M204" s="42"/>
      <c r="N204" s="42"/>
      <c r="O204" s="67"/>
      <c r="P204" s="42"/>
      <c r="Q204" s="67"/>
      <c r="R204" s="67"/>
      <c r="S204" s="67">
        <f t="shared" si="44"/>
        <v>-3150300</v>
      </c>
      <c r="T204" s="68">
        <f t="shared" si="45"/>
        <v>53750</v>
      </c>
      <c r="U204" s="43">
        <f t="shared" si="46"/>
        <v>-3096550</v>
      </c>
      <c r="V204" s="67"/>
      <c r="W204" s="43">
        <f t="shared" si="47"/>
        <v>-3096550</v>
      </c>
    </row>
    <row r="205" spans="1:23" ht="15.75" hidden="1" thickBot="1" x14ac:dyDescent="0.3">
      <c r="B205" s="41" t="s">
        <v>29</v>
      </c>
      <c r="C205" s="42">
        <f t="shared" si="39"/>
        <v>0</v>
      </c>
      <c r="D205" s="42"/>
      <c r="E205" s="42">
        <f t="shared" si="40"/>
        <v>0</v>
      </c>
      <c r="F205" s="42">
        <v>150</v>
      </c>
      <c r="G205" s="67">
        <f t="shared" si="41"/>
        <v>0</v>
      </c>
      <c r="H205" s="42">
        <f t="shared" si="42"/>
        <v>0</v>
      </c>
      <c r="I205" s="42"/>
      <c r="J205" s="42">
        <f t="shared" si="48"/>
        <v>0</v>
      </c>
      <c r="K205" s="111">
        <v>1230</v>
      </c>
      <c r="L205" s="67">
        <f t="shared" si="43"/>
        <v>0</v>
      </c>
      <c r="M205" s="42"/>
      <c r="N205" s="42"/>
      <c r="O205" s="67"/>
      <c r="P205" s="42"/>
      <c r="Q205" s="67"/>
      <c r="R205" s="67"/>
      <c r="S205" s="67">
        <f t="shared" si="44"/>
        <v>0</v>
      </c>
      <c r="T205" s="68">
        <f t="shared" si="45"/>
        <v>-3096550</v>
      </c>
      <c r="U205" s="43">
        <f t="shared" si="46"/>
        <v>-3096550</v>
      </c>
      <c r="V205" s="67"/>
      <c r="W205" s="43">
        <f t="shared" si="47"/>
        <v>-3096550</v>
      </c>
    </row>
    <row r="206" spans="1:23" ht="15.75" hidden="1" thickBot="1" x14ac:dyDescent="0.3">
      <c r="B206" s="41" t="s">
        <v>30</v>
      </c>
      <c r="C206" s="42">
        <f t="shared" si="39"/>
        <v>0</v>
      </c>
      <c r="D206" s="42"/>
      <c r="E206" s="42">
        <f t="shared" si="40"/>
        <v>0</v>
      </c>
      <c r="F206" s="42">
        <v>150</v>
      </c>
      <c r="G206" s="67">
        <f t="shared" si="41"/>
        <v>0</v>
      </c>
      <c r="H206" s="42">
        <f t="shared" si="42"/>
        <v>0</v>
      </c>
      <c r="I206" s="42"/>
      <c r="J206" s="42">
        <f t="shared" si="48"/>
        <v>0</v>
      </c>
      <c r="K206" s="111">
        <v>1230</v>
      </c>
      <c r="L206" s="67">
        <f t="shared" si="43"/>
        <v>0</v>
      </c>
      <c r="M206" s="42"/>
      <c r="N206" s="42"/>
      <c r="O206" s="67"/>
      <c r="P206" s="42"/>
      <c r="Q206" s="67"/>
      <c r="R206" s="67"/>
      <c r="S206" s="67">
        <f t="shared" si="44"/>
        <v>0</v>
      </c>
      <c r="T206" s="68">
        <f t="shared" si="45"/>
        <v>-3096550</v>
      </c>
      <c r="U206" s="43">
        <f t="shared" si="46"/>
        <v>-3096550</v>
      </c>
      <c r="V206" s="67"/>
      <c r="W206" s="43">
        <f t="shared" si="47"/>
        <v>-3096550</v>
      </c>
    </row>
    <row r="207" spans="1:23" ht="15.75" hidden="1" thickBot="1" x14ac:dyDescent="0.3">
      <c r="B207" s="41" t="s">
        <v>31</v>
      </c>
      <c r="C207" s="42">
        <f t="shared" si="39"/>
        <v>0</v>
      </c>
      <c r="D207" s="42"/>
      <c r="E207" s="42">
        <f t="shared" si="40"/>
        <v>0</v>
      </c>
      <c r="F207" s="42">
        <v>150</v>
      </c>
      <c r="G207" s="67">
        <f t="shared" si="41"/>
        <v>0</v>
      </c>
      <c r="H207" s="42">
        <f t="shared" si="42"/>
        <v>0</v>
      </c>
      <c r="I207" s="42"/>
      <c r="J207" s="42">
        <f t="shared" si="48"/>
        <v>0</v>
      </c>
      <c r="K207" s="111">
        <v>1230</v>
      </c>
      <c r="L207" s="67">
        <f t="shared" si="43"/>
        <v>0</v>
      </c>
      <c r="M207" s="42"/>
      <c r="N207" s="42"/>
      <c r="O207" s="67"/>
      <c r="P207" s="42"/>
      <c r="Q207" s="67"/>
      <c r="R207" s="67"/>
      <c r="S207" s="67">
        <f t="shared" si="44"/>
        <v>0</v>
      </c>
      <c r="T207" s="68">
        <f t="shared" si="45"/>
        <v>-3096550</v>
      </c>
      <c r="U207" s="43">
        <f t="shared" si="46"/>
        <v>-3096550</v>
      </c>
      <c r="V207" s="67"/>
      <c r="W207" s="43">
        <f t="shared" si="47"/>
        <v>-3096550</v>
      </c>
    </row>
    <row r="208" spans="1:23" ht="15.75" hidden="1" thickBot="1" x14ac:dyDescent="0.3">
      <c r="B208" s="41" t="s">
        <v>32</v>
      </c>
      <c r="C208" s="42">
        <f t="shared" si="39"/>
        <v>0</v>
      </c>
      <c r="D208" s="42"/>
      <c r="E208" s="42">
        <f t="shared" si="40"/>
        <v>0</v>
      </c>
      <c r="F208" s="42">
        <v>150</v>
      </c>
      <c r="G208" s="67">
        <f t="shared" si="41"/>
        <v>0</v>
      </c>
      <c r="H208" s="42">
        <f t="shared" si="42"/>
        <v>0</v>
      </c>
      <c r="I208" s="42"/>
      <c r="J208" s="42">
        <f t="shared" si="48"/>
        <v>0</v>
      </c>
      <c r="K208" s="111">
        <v>1230</v>
      </c>
      <c r="L208" s="67">
        <f t="shared" si="43"/>
        <v>0</v>
      </c>
      <c r="M208" s="42"/>
      <c r="N208" s="42"/>
      <c r="O208" s="67"/>
      <c r="P208" s="42"/>
      <c r="Q208" s="67"/>
      <c r="R208" s="67"/>
      <c r="S208" s="67">
        <f t="shared" si="44"/>
        <v>0</v>
      </c>
      <c r="T208" s="68">
        <f t="shared" si="45"/>
        <v>-3096550</v>
      </c>
      <c r="U208" s="43">
        <f t="shared" si="46"/>
        <v>-3096550</v>
      </c>
      <c r="V208" s="67"/>
      <c r="W208" s="43">
        <f t="shared" si="47"/>
        <v>-3096550</v>
      </c>
    </row>
    <row r="209" spans="2:23" ht="15.75" hidden="1" thickBot="1" x14ac:dyDescent="0.3">
      <c r="B209" s="41" t="s">
        <v>33</v>
      </c>
      <c r="C209" s="42">
        <f t="shared" si="39"/>
        <v>0</v>
      </c>
      <c r="D209" s="42"/>
      <c r="E209" s="42">
        <f t="shared" si="40"/>
        <v>0</v>
      </c>
      <c r="F209" s="42">
        <v>150</v>
      </c>
      <c r="G209" s="67">
        <f t="shared" si="41"/>
        <v>0</v>
      </c>
      <c r="H209" s="42">
        <f t="shared" si="42"/>
        <v>0</v>
      </c>
      <c r="I209" s="42"/>
      <c r="J209" s="42">
        <f t="shared" si="48"/>
        <v>0</v>
      </c>
      <c r="K209" s="111">
        <v>1230</v>
      </c>
      <c r="L209" s="67">
        <f t="shared" si="43"/>
        <v>0</v>
      </c>
      <c r="M209" s="42"/>
      <c r="N209" s="42"/>
      <c r="O209" s="67"/>
      <c r="P209" s="42"/>
      <c r="Q209" s="67"/>
      <c r="R209" s="67"/>
      <c r="S209" s="67">
        <f t="shared" si="44"/>
        <v>0</v>
      </c>
      <c r="T209" s="68">
        <f t="shared" si="45"/>
        <v>-3096550</v>
      </c>
      <c r="U209" s="43">
        <f t="shared" si="46"/>
        <v>-3096550</v>
      </c>
      <c r="V209" s="67"/>
      <c r="W209" s="43">
        <f t="shared" si="47"/>
        <v>-3096550</v>
      </c>
    </row>
    <row r="210" spans="2:23" ht="15.75" hidden="1" thickBot="1" x14ac:dyDescent="0.3">
      <c r="B210" s="41" t="s">
        <v>34</v>
      </c>
      <c r="C210" s="42">
        <f t="shared" si="39"/>
        <v>0</v>
      </c>
      <c r="D210" s="42"/>
      <c r="E210" s="42">
        <f t="shared" si="40"/>
        <v>0</v>
      </c>
      <c r="F210" s="42">
        <v>150</v>
      </c>
      <c r="G210" s="67">
        <f t="shared" si="41"/>
        <v>0</v>
      </c>
      <c r="H210" s="42">
        <f t="shared" si="42"/>
        <v>0</v>
      </c>
      <c r="I210" s="42"/>
      <c r="J210" s="42">
        <f t="shared" si="48"/>
        <v>0</v>
      </c>
      <c r="K210" s="111">
        <v>1230</v>
      </c>
      <c r="L210" s="67">
        <f t="shared" si="43"/>
        <v>0</v>
      </c>
      <c r="M210" s="42"/>
      <c r="N210" s="42"/>
      <c r="O210" s="67"/>
      <c r="P210" s="42"/>
      <c r="Q210" s="67"/>
      <c r="R210" s="67"/>
      <c r="S210" s="67">
        <f t="shared" si="44"/>
        <v>0</v>
      </c>
      <c r="T210" s="68">
        <f t="shared" si="45"/>
        <v>-3096550</v>
      </c>
      <c r="U210" s="43">
        <f t="shared" si="46"/>
        <v>-3096550</v>
      </c>
      <c r="V210" s="67"/>
      <c r="W210" s="43">
        <f t="shared" si="47"/>
        <v>-3096550</v>
      </c>
    </row>
    <row r="211" spans="2:23" x14ac:dyDescent="0.25">
      <c r="K211" s="112"/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210">
    <cfRule type="cellIs" dxfId="14" priority="3" operator="greaterThan">
      <formula>100</formula>
    </cfRule>
  </conditionalFormatting>
  <conditionalFormatting sqref="V7:V195">
    <cfRule type="cellIs" dxfId="13" priority="2" operator="lessThan">
      <formula>1</formula>
    </cfRule>
  </conditionalFormatting>
  <conditionalFormatting sqref="V198">
    <cfRule type="cellIs" dxfId="12" priority="1" operator="lessThan">
      <formula>1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Z210"/>
  <sheetViews>
    <sheetView topLeftCell="A4" zoomScaleNormal="100" workbookViewId="0">
      <selection activeCell="E203" sqref="E203"/>
    </sheetView>
  </sheetViews>
  <sheetFormatPr baseColWidth="10" defaultRowHeight="15" x14ac:dyDescent="0.25"/>
  <cols>
    <col min="3" max="3" width="9.140625" customWidth="1"/>
    <col min="4" max="4" width="8.7109375" customWidth="1"/>
    <col min="5" max="5" width="9.5703125" customWidth="1"/>
    <col min="6" max="6" width="9" customWidth="1"/>
    <col min="7" max="7" width="10.7109375" customWidth="1"/>
    <col min="8" max="8" width="10" hidden="1" customWidth="1"/>
    <col min="9" max="9" width="8.5703125" hidden="1" customWidth="1"/>
    <col min="10" max="10" width="9.28515625" hidden="1" customWidth="1"/>
    <col min="11" max="11" width="10.7109375" hidden="1" customWidth="1"/>
    <col min="12" max="12" width="10.5703125" hidden="1" customWidth="1"/>
    <col min="13" max="14" width="0" hidden="1" customWidth="1"/>
    <col min="15" max="15" width="11.85546875" bestFit="1" customWidth="1"/>
    <col min="16" max="16" width="12.140625" hidden="1" customWidth="1"/>
    <col min="17" max="17" width="12" hidden="1" customWidth="1"/>
    <col min="18" max="18" width="8.5703125" customWidth="1"/>
    <col min="19" max="19" width="12.42578125" customWidth="1"/>
    <col min="20" max="20" width="9" customWidth="1"/>
    <col min="21" max="21" width="12.140625" customWidth="1"/>
    <col min="22" max="22" width="11.85546875" bestFit="1" customWidth="1"/>
    <col min="23" max="23" width="11.42578125" customWidth="1"/>
    <col min="24" max="24" width="2" customWidth="1"/>
    <col min="25" max="25" width="0" hidden="1" customWidth="1"/>
  </cols>
  <sheetData>
    <row r="1" spans="1:25" x14ac:dyDescent="0.25">
      <c r="B1" s="169" t="s">
        <v>37</v>
      </c>
      <c r="C1" s="169"/>
      <c r="D1" s="170">
        <v>3</v>
      </c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37" t="s">
        <v>50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37" t="s">
        <v>53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/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 t="s">
        <v>10</v>
      </c>
      <c r="Q5" s="9" t="s">
        <v>61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60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33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34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0"/>
        <v>0</v>
      </c>
    </row>
    <row r="67" spans="1:25" ht="21.75" hidden="1" customHeight="1" thickBot="1" x14ac:dyDescent="0.3">
      <c r="A67" s="20">
        <v>2008</v>
      </c>
      <c r="B67" s="21" t="s">
        <v>35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24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25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26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25">
        <v>0</v>
      </c>
      <c r="U70" s="25"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27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25">
        <v>0</v>
      </c>
      <c r="U71" s="25"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25">
        <f t="shared" ref="T72:T97" si="1">W71</f>
        <v>0</v>
      </c>
      <c r="U72" s="25">
        <f t="shared" ref="U72:U97" si="2">S72+T72</f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25">
        <f t="shared" si="1"/>
        <v>0</v>
      </c>
      <c r="U73" s="25">
        <f t="shared" si="2"/>
        <v>0</v>
      </c>
      <c r="V73" s="36">
        <v>0</v>
      </c>
      <c r="W73" s="25">
        <v>0</v>
      </c>
      <c r="Y73">
        <f t="shared" ref="Y73:Y136" si="3">IF(W73&gt;1,Y72+1,)</f>
        <v>0</v>
      </c>
    </row>
    <row r="74" spans="1:25" ht="15.75" hidden="1" thickBot="1" x14ac:dyDescent="0.3">
      <c r="A74" s="20"/>
      <c r="B74" s="21" t="s">
        <v>30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25">
        <f t="shared" si="1"/>
        <v>0</v>
      </c>
      <c r="U74" s="25">
        <f t="shared" si="2"/>
        <v>0</v>
      </c>
      <c r="V74" s="36">
        <v>0</v>
      </c>
      <c r="W74" s="25">
        <v>0</v>
      </c>
      <c r="Y74">
        <f t="shared" si="3"/>
        <v>0</v>
      </c>
    </row>
    <row r="75" spans="1:25" ht="15.75" hidden="1" thickBot="1" x14ac:dyDescent="0.3">
      <c r="A75" s="20"/>
      <c r="B75" s="21" t="s">
        <v>31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25">
        <f t="shared" si="1"/>
        <v>0</v>
      </c>
      <c r="U75" s="25">
        <f t="shared" si="2"/>
        <v>0</v>
      </c>
      <c r="V75" s="36">
        <v>0</v>
      </c>
      <c r="W75" s="25">
        <v>0</v>
      </c>
      <c r="Y75">
        <f t="shared" si="3"/>
        <v>0</v>
      </c>
    </row>
    <row r="76" spans="1:25" ht="15.75" hidden="1" thickBot="1" x14ac:dyDescent="0.3">
      <c r="A76" s="20"/>
      <c r="B76" s="21" t="s">
        <v>32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25">
        <f t="shared" si="1"/>
        <v>0</v>
      </c>
      <c r="U76" s="25">
        <f t="shared" si="2"/>
        <v>0</v>
      </c>
      <c r="V76" s="36">
        <v>0</v>
      </c>
      <c r="W76" s="25">
        <v>0</v>
      </c>
      <c r="Y76">
        <f t="shared" si="3"/>
        <v>0</v>
      </c>
    </row>
    <row r="77" spans="1:25" ht="15.75" hidden="1" thickBot="1" x14ac:dyDescent="0.3">
      <c r="A77" s="20"/>
      <c r="B77" s="21" t="s">
        <v>33</v>
      </c>
      <c r="C77" s="36">
        <v>0</v>
      </c>
      <c r="D77" s="36">
        <v>1</v>
      </c>
      <c r="E77" s="36">
        <v>1</v>
      </c>
      <c r="F77" s="36">
        <v>0</v>
      </c>
      <c r="G77" s="36">
        <v>0</v>
      </c>
      <c r="H77" s="36">
        <v>0</v>
      </c>
      <c r="I77" s="36">
        <v>64</v>
      </c>
      <c r="J77" s="36">
        <v>64</v>
      </c>
      <c r="K77" s="36">
        <v>360</v>
      </c>
      <c r="L77" s="36">
        <v>23040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0</v>
      </c>
      <c r="T77" s="25">
        <f t="shared" si="1"/>
        <v>0</v>
      </c>
      <c r="U77" s="25">
        <f t="shared" si="2"/>
        <v>0</v>
      </c>
      <c r="V77" s="36">
        <v>10000</v>
      </c>
      <c r="W77" s="25">
        <v>-10000</v>
      </c>
      <c r="Y77">
        <f t="shared" si="3"/>
        <v>0</v>
      </c>
    </row>
    <row r="78" spans="1:25" ht="15.75" hidden="1" thickBot="1" x14ac:dyDescent="0.3">
      <c r="A78" s="20"/>
      <c r="B78" s="21" t="s">
        <v>34</v>
      </c>
      <c r="C78" s="36">
        <v>1</v>
      </c>
      <c r="D78" s="36">
        <v>2</v>
      </c>
      <c r="E78" s="36">
        <v>1</v>
      </c>
      <c r="F78" s="36">
        <v>108</v>
      </c>
      <c r="G78" s="36">
        <v>108</v>
      </c>
      <c r="H78" s="36">
        <v>64</v>
      </c>
      <c r="I78" s="36">
        <v>74</v>
      </c>
      <c r="J78" s="36">
        <v>10</v>
      </c>
      <c r="K78" s="36">
        <v>360</v>
      </c>
      <c r="L78" s="36">
        <v>3600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3708</v>
      </c>
      <c r="T78" s="25">
        <f t="shared" si="1"/>
        <v>-10000</v>
      </c>
      <c r="U78" s="25">
        <f t="shared" si="2"/>
        <v>-6292</v>
      </c>
      <c r="V78" s="36">
        <v>33159</v>
      </c>
      <c r="W78" s="25">
        <v>-39451</v>
      </c>
      <c r="Y78">
        <f t="shared" si="3"/>
        <v>0</v>
      </c>
    </row>
    <row r="79" spans="1:25" ht="15.75" hidden="1" thickBot="1" x14ac:dyDescent="0.3">
      <c r="A79" s="20">
        <v>2009</v>
      </c>
      <c r="B79" s="21" t="s">
        <v>35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/>
      <c r="I79" s="36"/>
      <c r="J79" s="36">
        <v>0</v>
      </c>
      <c r="K79" s="36"/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25">
        <f t="shared" si="1"/>
        <v>-39451</v>
      </c>
      <c r="U79" s="25">
        <f t="shared" si="2"/>
        <v>-39451</v>
      </c>
      <c r="V79" s="36">
        <v>0</v>
      </c>
      <c r="W79" s="25">
        <v>0</v>
      </c>
      <c r="Y79">
        <f t="shared" si="3"/>
        <v>0</v>
      </c>
    </row>
    <row r="80" spans="1:25" ht="15.75" hidden="1" thickBot="1" x14ac:dyDescent="0.3">
      <c r="A80" s="20"/>
      <c r="B80" s="21" t="s">
        <v>24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/>
      <c r="I80" s="36"/>
      <c r="J80" s="36"/>
      <c r="K80" s="36"/>
      <c r="L80" s="36"/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25">
        <f t="shared" si="1"/>
        <v>0</v>
      </c>
      <c r="U80" s="25">
        <f t="shared" si="2"/>
        <v>0</v>
      </c>
      <c r="V80" s="36">
        <v>0</v>
      </c>
      <c r="W80" s="25">
        <v>0</v>
      </c>
      <c r="Y80">
        <f t="shared" si="3"/>
        <v>0</v>
      </c>
    </row>
    <row r="81" spans="1:25" ht="15.75" hidden="1" thickBot="1" x14ac:dyDescent="0.3">
      <c r="A81" s="20"/>
      <c r="B81" s="21" t="s">
        <v>25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/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25">
        <f t="shared" si="1"/>
        <v>0</v>
      </c>
      <c r="U81" s="25">
        <f t="shared" si="2"/>
        <v>0</v>
      </c>
      <c r="V81" s="36">
        <v>0</v>
      </c>
      <c r="W81" s="25">
        <v>0</v>
      </c>
      <c r="Y81">
        <f t="shared" si="3"/>
        <v>0</v>
      </c>
    </row>
    <row r="82" spans="1:25" ht="15.75" hidden="1" thickBot="1" x14ac:dyDescent="0.3">
      <c r="A82" s="20"/>
      <c r="B82" s="21" t="s">
        <v>26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25">
        <f t="shared" si="1"/>
        <v>0</v>
      </c>
      <c r="U82" s="25">
        <f t="shared" si="2"/>
        <v>0</v>
      </c>
      <c r="V82" s="36">
        <v>0</v>
      </c>
      <c r="W82" s="25">
        <v>0</v>
      </c>
      <c r="Y82">
        <f t="shared" si="3"/>
        <v>0</v>
      </c>
    </row>
    <row r="83" spans="1:25" ht="15.75" hidden="1" thickBot="1" x14ac:dyDescent="0.3">
      <c r="A83" s="20"/>
      <c r="B83" s="21" t="s">
        <v>27</v>
      </c>
      <c r="C83" s="36">
        <v>0</v>
      </c>
      <c r="D83" s="36">
        <v>0</v>
      </c>
      <c r="E83" s="36">
        <v>0</v>
      </c>
      <c r="F83" s="36">
        <v>143</v>
      </c>
      <c r="G83" s="36">
        <v>0</v>
      </c>
      <c r="H83" s="36">
        <v>0</v>
      </c>
      <c r="I83" s="36">
        <v>0</v>
      </c>
      <c r="J83" s="36">
        <v>0</v>
      </c>
      <c r="K83" s="36">
        <v>360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10000</v>
      </c>
      <c r="T83" s="25">
        <f t="shared" si="1"/>
        <v>0</v>
      </c>
      <c r="U83" s="25">
        <f t="shared" si="2"/>
        <v>10000</v>
      </c>
      <c r="V83" s="36">
        <v>0</v>
      </c>
      <c r="W83" s="25">
        <v>10000</v>
      </c>
      <c r="Y83">
        <f t="shared" si="3"/>
        <v>1</v>
      </c>
    </row>
    <row r="84" spans="1:25" ht="15.75" hidden="1" thickBot="1" x14ac:dyDescent="0.3">
      <c r="A84" s="20"/>
      <c r="B84" s="21" t="s">
        <v>28</v>
      </c>
      <c r="C84" s="36">
        <v>0</v>
      </c>
      <c r="D84" s="36">
        <v>12</v>
      </c>
      <c r="E84" s="36">
        <v>12</v>
      </c>
      <c r="F84" s="36">
        <v>146</v>
      </c>
      <c r="G84" s="36">
        <v>1752</v>
      </c>
      <c r="H84" s="36">
        <v>0</v>
      </c>
      <c r="I84" s="36">
        <v>4</v>
      </c>
      <c r="J84" s="36">
        <v>4</v>
      </c>
      <c r="K84" s="36">
        <v>360</v>
      </c>
      <c r="L84" s="36">
        <v>1440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13192</v>
      </c>
      <c r="T84" s="25">
        <f t="shared" si="1"/>
        <v>10000</v>
      </c>
      <c r="U84" s="25">
        <f t="shared" si="2"/>
        <v>23192</v>
      </c>
      <c r="V84" s="36">
        <v>27192</v>
      </c>
      <c r="W84" s="25">
        <v>-4000</v>
      </c>
      <c r="Y84">
        <f t="shared" si="3"/>
        <v>0</v>
      </c>
    </row>
    <row r="85" spans="1:25" ht="15.75" hidden="1" thickBot="1" x14ac:dyDescent="0.3">
      <c r="A85" s="20"/>
      <c r="B85" s="21" t="s">
        <v>29</v>
      </c>
      <c r="C85" s="36">
        <v>12</v>
      </c>
      <c r="D85" s="36">
        <v>13</v>
      </c>
      <c r="E85" s="36">
        <v>1</v>
      </c>
      <c r="F85" s="36">
        <v>146</v>
      </c>
      <c r="G85" s="36">
        <v>146</v>
      </c>
      <c r="H85" s="36">
        <v>4</v>
      </c>
      <c r="I85" s="36">
        <v>4</v>
      </c>
      <c r="J85" s="36">
        <v>0</v>
      </c>
      <c r="K85" s="36">
        <v>360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20146</v>
      </c>
      <c r="T85" s="25">
        <f t="shared" si="1"/>
        <v>-4000</v>
      </c>
      <c r="U85" s="25">
        <f t="shared" si="2"/>
        <v>16146</v>
      </c>
      <c r="V85" s="36">
        <v>20146</v>
      </c>
      <c r="W85" s="25">
        <v>-4000</v>
      </c>
      <c r="Y85">
        <f t="shared" si="3"/>
        <v>0</v>
      </c>
    </row>
    <row r="86" spans="1:25" ht="15.75" hidden="1" thickBot="1" x14ac:dyDescent="0.3">
      <c r="A86" s="20"/>
      <c r="B86" s="21" t="s">
        <v>30</v>
      </c>
      <c r="C86" s="36">
        <v>13</v>
      </c>
      <c r="D86" s="36">
        <v>16</v>
      </c>
      <c r="E86" s="36">
        <v>3</v>
      </c>
      <c r="F86" s="36">
        <v>146</v>
      </c>
      <c r="G86" s="36">
        <v>438</v>
      </c>
      <c r="H86" s="36">
        <v>4</v>
      </c>
      <c r="I86" s="36">
        <v>4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10438</v>
      </c>
      <c r="T86" s="25">
        <f t="shared" si="1"/>
        <v>-4000</v>
      </c>
      <c r="U86" s="25">
        <f t="shared" si="2"/>
        <v>6438</v>
      </c>
      <c r="V86" s="36">
        <v>10438</v>
      </c>
      <c r="W86" s="25">
        <v>-4000</v>
      </c>
      <c r="Y86">
        <f t="shared" si="3"/>
        <v>0</v>
      </c>
    </row>
    <row r="87" spans="1:25" ht="15.75" hidden="1" thickBot="1" x14ac:dyDescent="0.3">
      <c r="A87" s="20"/>
      <c r="B87" s="21" t="s">
        <v>31</v>
      </c>
      <c r="C87" s="36">
        <v>16</v>
      </c>
      <c r="D87" s="36">
        <v>22</v>
      </c>
      <c r="E87" s="36">
        <v>6</v>
      </c>
      <c r="F87" s="36">
        <v>146</v>
      </c>
      <c r="G87" s="36">
        <v>876</v>
      </c>
      <c r="H87" s="36">
        <v>4</v>
      </c>
      <c r="I87" s="36">
        <v>4</v>
      </c>
      <c r="J87" s="36">
        <v>0</v>
      </c>
      <c r="K87" s="36">
        <v>360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10876</v>
      </c>
      <c r="T87" s="25">
        <f t="shared" si="1"/>
        <v>-4000</v>
      </c>
      <c r="U87" s="25">
        <f t="shared" si="2"/>
        <v>6876</v>
      </c>
      <c r="V87" s="36">
        <v>10876</v>
      </c>
      <c r="W87" s="25">
        <v>-4000</v>
      </c>
      <c r="Y87">
        <f t="shared" si="3"/>
        <v>0</v>
      </c>
    </row>
    <row r="88" spans="1:25" ht="15.75" hidden="1" thickBot="1" x14ac:dyDescent="0.3">
      <c r="A88" s="20"/>
      <c r="B88" s="21" t="s">
        <v>32</v>
      </c>
      <c r="C88" s="36">
        <v>22</v>
      </c>
      <c r="D88" s="36">
        <v>35</v>
      </c>
      <c r="E88" s="36">
        <v>13</v>
      </c>
      <c r="F88" s="36">
        <v>146</v>
      </c>
      <c r="G88" s="36">
        <v>1898</v>
      </c>
      <c r="H88" s="36">
        <v>4</v>
      </c>
      <c r="I88" s="36">
        <v>5</v>
      </c>
      <c r="J88" s="36">
        <v>1</v>
      </c>
      <c r="K88" s="36">
        <v>360</v>
      </c>
      <c r="L88" s="36">
        <v>360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0</v>
      </c>
      <c r="S88" s="36">
        <v>12258</v>
      </c>
      <c r="T88" s="25">
        <f t="shared" si="1"/>
        <v>-4000</v>
      </c>
      <c r="U88" s="25">
        <f t="shared" si="2"/>
        <v>8258</v>
      </c>
      <c r="V88" s="36">
        <v>12258</v>
      </c>
      <c r="W88" s="25">
        <v>-4000</v>
      </c>
      <c r="Y88">
        <f t="shared" si="3"/>
        <v>0</v>
      </c>
    </row>
    <row r="89" spans="1:25" ht="15.75" hidden="1" thickBot="1" x14ac:dyDescent="0.3">
      <c r="A89" s="20"/>
      <c r="B89" s="21" t="s">
        <v>33</v>
      </c>
      <c r="C89" s="36">
        <v>35</v>
      </c>
      <c r="D89" s="36">
        <v>37</v>
      </c>
      <c r="E89" s="36">
        <v>2</v>
      </c>
      <c r="F89" s="36">
        <v>146</v>
      </c>
      <c r="G89" s="36">
        <v>292</v>
      </c>
      <c r="H89" s="36">
        <v>5</v>
      </c>
      <c r="I89" s="36">
        <v>5</v>
      </c>
      <c r="J89" s="36">
        <v>0</v>
      </c>
      <c r="K89" s="36">
        <v>360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10292</v>
      </c>
      <c r="T89" s="25">
        <f t="shared" si="1"/>
        <v>-4000</v>
      </c>
      <c r="U89" s="25">
        <f t="shared" si="2"/>
        <v>6292</v>
      </c>
      <c r="V89" s="36">
        <v>10292</v>
      </c>
      <c r="W89" s="25">
        <v>-4000</v>
      </c>
      <c r="Y89">
        <f t="shared" si="3"/>
        <v>0</v>
      </c>
    </row>
    <row r="90" spans="1:25" ht="15.75" hidden="1" thickBot="1" x14ac:dyDescent="0.3">
      <c r="A90" s="20"/>
      <c r="B90" s="21" t="s">
        <v>34</v>
      </c>
      <c r="C90" s="36">
        <v>37</v>
      </c>
      <c r="D90" s="36">
        <v>37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10000</v>
      </c>
      <c r="T90" s="25">
        <f t="shared" si="1"/>
        <v>-4000</v>
      </c>
      <c r="U90" s="25">
        <f t="shared" si="2"/>
        <v>6000</v>
      </c>
      <c r="V90" s="36">
        <v>0</v>
      </c>
      <c r="W90" s="25">
        <v>6000</v>
      </c>
      <c r="Y90">
        <f t="shared" si="3"/>
        <v>1</v>
      </c>
    </row>
    <row r="91" spans="1:25" ht="15.75" hidden="1" thickBot="1" x14ac:dyDescent="0.3">
      <c r="A91">
        <v>2010</v>
      </c>
      <c r="B91" s="21" t="s">
        <v>35</v>
      </c>
      <c r="C91" s="36">
        <v>37</v>
      </c>
      <c r="D91" s="36">
        <v>37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10000</v>
      </c>
      <c r="T91" s="25">
        <f t="shared" si="1"/>
        <v>6000</v>
      </c>
      <c r="U91" s="25">
        <f t="shared" si="2"/>
        <v>16000</v>
      </c>
      <c r="V91" s="36">
        <v>16000</v>
      </c>
      <c r="W91" s="25">
        <v>0</v>
      </c>
      <c r="Y91">
        <f t="shared" si="3"/>
        <v>0</v>
      </c>
    </row>
    <row r="92" spans="1:25" ht="15.75" hidden="1" thickBot="1" x14ac:dyDescent="0.3">
      <c r="B92" s="21" t="s">
        <v>24</v>
      </c>
      <c r="C92" s="36">
        <v>37</v>
      </c>
      <c r="D92" s="36">
        <v>37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>
        <v>0</v>
      </c>
      <c r="S92" s="36">
        <v>10000</v>
      </c>
      <c r="T92" s="25">
        <f t="shared" si="1"/>
        <v>0</v>
      </c>
      <c r="U92" s="25">
        <f t="shared" si="2"/>
        <v>10000</v>
      </c>
      <c r="V92" s="36">
        <v>10000</v>
      </c>
      <c r="W92" s="25">
        <v>0</v>
      </c>
      <c r="Y92">
        <f t="shared" si="3"/>
        <v>0</v>
      </c>
    </row>
    <row r="93" spans="1:25" ht="15.75" hidden="1" thickBot="1" x14ac:dyDescent="0.3">
      <c r="B93" s="21" t="s">
        <v>25</v>
      </c>
      <c r="C93" s="36">
        <v>37</v>
      </c>
      <c r="D93" s="36">
        <v>38</v>
      </c>
      <c r="E93" s="36">
        <v>1</v>
      </c>
      <c r="F93" s="36">
        <v>146</v>
      </c>
      <c r="G93" s="36">
        <v>146</v>
      </c>
      <c r="H93" s="36">
        <v>5</v>
      </c>
      <c r="I93" s="36">
        <v>5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10146</v>
      </c>
      <c r="T93" s="25">
        <f t="shared" si="1"/>
        <v>0</v>
      </c>
      <c r="U93" s="25">
        <f t="shared" si="2"/>
        <v>10146</v>
      </c>
      <c r="V93" s="36">
        <v>0</v>
      </c>
      <c r="W93" s="25">
        <v>10146</v>
      </c>
      <c r="Y93">
        <f t="shared" si="3"/>
        <v>1</v>
      </c>
    </row>
    <row r="94" spans="1:25" ht="15.75" hidden="1" thickBot="1" x14ac:dyDescent="0.3">
      <c r="B94" s="21" t="s">
        <v>26</v>
      </c>
      <c r="C94" s="36">
        <v>38</v>
      </c>
      <c r="D94" s="36">
        <v>38</v>
      </c>
      <c r="E94" s="36">
        <v>0</v>
      </c>
      <c r="F94" s="36">
        <v>0</v>
      </c>
      <c r="G94" s="36">
        <v>0</v>
      </c>
      <c r="H94" s="36">
        <v>5</v>
      </c>
      <c r="I94" s="36">
        <v>5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10000</v>
      </c>
      <c r="T94" s="25">
        <f t="shared" si="1"/>
        <v>10146</v>
      </c>
      <c r="U94" s="25">
        <f t="shared" si="2"/>
        <v>20146</v>
      </c>
      <c r="V94" s="36">
        <v>20146</v>
      </c>
      <c r="W94" s="25">
        <v>0</v>
      </c>
      <c r="Y94">
        <f t="shared" si="3"/>
        <v>0</v>
      </c>
    </row>
    <row r="95" spans="1:25" ht="15.75" hidden="1" thickBot="1" x14ac:dyDescent="0.3">
      <c r="B95" s="21" t="s">
        <v>27</v>
      </c>
      <c r="C95" s="36">
        <v>38</v>
      </c>
      <c r="D95" s="36">
        <v>38</v>
      </c>
      <c r="E95" s="36">
        <v>0</v>
      </c>
      <c r="F95" s="36">
        <v>0</v>
      </c>
      <c r="G95" s="36">
        <v>0</v>
      </c>
      <c r="H95" s="36">
        <v>5</v>
      </c>
      <c r="I95" s="36">
        <v>5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10000</v>
      </c>
      <c r="T95" s="25">
        <f t="shared" si="1"/>
        <v>0</v>
      </c>
      <c r="U95" s="25">
        <f t="shared" si="2"/>
        <v>10000</v>
      </c>
      <c r="V95" s="36">
        <v>10000</v>
      </c>
      <c r="W95" s="25">
        <v>0</v>
      </c>
      <c r="Y95">
        <f t="shared" si="3"/>
        <v>0</v>
      </c>
    </row>
    <row r="96" spans="1:25" ht="15.75" hidden="1" thickBot="1" x14ac:dyDescent="0.3">
      <c r="B96" s="21" t="s">
        <v>28</v>
      </c>
      <c r="C96" s="36">
        <v>38</v>
      </c>
      <c r="D96" s="36">
        <v>40</v>
      </c>
      <c r="E96" s="36">
        <v>2</v>
      </c>
      <c r="F96" s="36">
        <v>146</v>
      </c>
      <c r="G96" s="36">
        <v>292</v>
      </c>
      <c r="H96" s="36">
        <v>5</v>
      </c>
      <c r="I96" s="36">
        <v>5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10292</v>
      </c>
      <c r="T96" s="25">
        <f t="shared" si="1"/>
        <v>0</v>
      </c>
      <c r="U96" s="25">
        <f t="shared" si="2"/>
        <v>10292</v>
      </c>
      <c r="V96" s="36">
        <v>10292</v>
      </c>
      <c r="W96" s="25">
        <v>0</v>
      </c>
      <c r="Y96">
        <f t="shared" si="3"/>
        <v>0</v>
      </c>
    </row>
    <row r="97" spans="1:25" ht="22.5" hidden="1" customHeight="1" thickBot="1" x14ac:dyDescent="0.3">
      <c r="A97" s="20"/>
      <c r="B97" s="21" t="s">
        <v>29</v>
      </c>
      <c r="C97" s="36">
        <v>40</v>
      </c>
      <c r="D97" s="36">
        <v>40</v>
      </c>
      <c r="E97" s="36">
        <v>0</v>
      </c>
      <c r="F97" s="36">
        <v>146</v>
      </c>
      <c r="G97" s="36">
        <v>0</v>
      </c>
      <c r="H97" s="36">
        <v>5</v>
      </c>
      <c r="I97" s="36">
        <v>5</v>
      </c>
      <c r="J97" s="36">
        <v>0</v>
      </c>
      <c r="K97" s="36">
        <v>360</v>
      </c>
      <c r="L97" s="36">
        <v>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4">G97+L97+M97+N97+O97+P97+Q97+R97</f>
        <v>10000</v>
      </c>
      <c r="T97" s="25">
        <f t="shared" si="1"/>
        <v>0</v>
      </c>
      <c r="U97" s="25">
        <f t="shared" si="2"/>
        <v>10000</v>
      </c>
      <c r="V97" s="36">
        <v>0</v>
      </c>
      <c r="W97" s="25">
        <f t="shared" ref="W97:W157" si="5">U97-V97</f>
        <v>10000</v>
      </c>
      <c r="Y97">
        <f t="shared" si="3"/>
        <v>1</v>
      </c>
    </row>
    <row r="98" spans="1:25" ht="15.75" hidden="1" thickBot="1" x14ac:dyDescent="0.3">
      <c r="A98" s="20"/>
      <c r="B98" s="21" t="s">
        <v>30</v>
      </c>
      <c r="C98" s="36">
        <v>40</v>
      </c>
      <c r="D98" s="36">
        <v>40</v>
      </c>
      <c r="E98" s="36">
        <v>0</v>
      </c>
      <c r="F98" s="36">
        <v>146</v>
      </c>
      <c r="G98" s="36">
        <v>0</v>
      </c>
      <c r="H98" s="36">
        <v>5</v>
      </c>
      <c r="I98" s="36">
        <v>5</v>
      </c>
      <c r="J98" s="36">
        <v>0</v>
      </c>
      <c r="K98" s="36">
        <v>360</v>
      </c>
      <c r="L98" s="36">
        <v>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4"/>
        <v>10000</v>
      </c>
      <c r="T98" s="25">
        <f t="shared" ref="T98:T161" si="6">W97</f>
        <v>10000</v>
      </c>
      <c r="U98" s="25">
        <f t="shared" ref="U98:U161" si="7">S98+T98</f>
        <v>20000</v>
      </c>
      <c r="V98" s="36">
        <v>20000</v>
      </c>
      <c r="W98" s="25">
        <f t="shared" si="5"/>
        <v>0</v>
      </c>
      <c r="Y98">
        <f t="shared" si="3"/>
        <v>0</v>
      </c>
    </row>
    <row r="99" spans="1:25" ht="15.75" hidden="1" thickBot="1" x14ac:dyDescent="0.3">
      <c r="A99" s="20"/>
      <c r="B99" s="21" t="s">
        <v>31</v>
      </c>
      <c r="C99" s="36">
        <v>40</v>
      </c>
      <c r="D99" s="36">
        <v>40</v>
      </c>
      <c r="E99" s="36">
        <v>0</v>
      </c>
      <c r="F99" s="36">
        <v>146</v>
      </c>
      <c r="G99" s="36">
        <v>0</v>
      </c>
      <c r="H99" s="36">
        <v>5</v>
      </c>
      <c r="I99" s="36">
        <v>5</v>
      </c>
      <c r="J99" s="36">
        <v>0</v>
      </c>
      <c r="K99" s="36">
        <v>360</v>
      </c>
      <c r="L99" s="36">
        <v>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4"/>
        <v>10000</v>
      </c>
      <c r="T99" s="25">
        <f t="shared" si="6"/>
        <v>0</v>
      </c>
      <c r="U99" s="25">
        <f t="shared" si="7"/>
        <v>10000</v>
      </c>
      <c r="V99" s="36">
        <v>0</v>
      </c>
      <c r="W99" s="25">
        <f t="shared" si="5"/>
        <v>10000</v>
      </c>
      <c r="Y99">
        <f t="shared" si="3"/>
        <v>1</v>
      </c>
    </row>
    <row r="100" spans="1:25" ht="15.75" hidden="1" thickBot="1" x14ac:dyDescent="0.3">
      <c r="A100" s="20"/>
      <c r="B100" s="21" t="s">
        <v>32</v>
      </c>
      <c r="C100" s="36">
        <v>40</v>
      </c>
      <c r="D100" s="36">
        <v>40</v>
      </c>
      <c r="E100" s="36">
        <v>0</v>
      </c>
      <c r="F100" s="36">
        <v>146</v>
      </c>
      <c r="G100" s="36">
        <v>0</v>
      </c>
      <c r="H100" s="36">
        <v>5</v>
      </c>
      <c r="I100" s="36">
        <v>5</v>
      </c>
      <c r="J100" s="36">
        <v>0</v>
      </c>
      <c r="K100" s="36">
        <v>360</v>
      </c>
      <c r="L100" s="36">
        <v>0</v>
      </c>
      <c r="M100" s="36">
        <v>0</v>
      </c>
      <c r="N100" s="36"/>
      <c r="O100" s="36"/>
      <c r="P100" s="36">
        <v>0</v>
      </c>
      <c r="Q100" s="36">
        <v>10000</v>
      </c>
      <c r="R100" s="36"/>
      <c r="S100" s="36">
        <f t="shared" si="4"/>
        <v>10000</v>
      </c>
      <c r="T100" s="25">
        <f t="shared" si="6"/>
        <v>10000</v>
      </c>
      <c r="U100" s="25">
        <f t="shared" si="7"/>
        <v>20000</v>
      </c>
      <c r="V100" s="36">
        <v>20000</v>
      </c>
      <c r="W100" s="25">
        <f t="shared" si="5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33</v>
      </c>
      <c r="C101" s="36">
        <v>40</v>
      </c>
      <c r="D101" s="36">
        <v>40</v>
      </c>
      <c r="E101" s="36">
        <v>0</v>
      </c>
      <c r="F101" s="36">
        <v>146</v>
      </c>
      <c r="G101" s="36">
        <v>0</v>
      </c>
      <c r="H101" s="36">
        <v>5</v>
      </c>
      <c r="I101" s="36">
        <v>5</v>
      </c>
      <c r="J101" s="36">
        <v>0</v>
      </c>
      <c r="K101" s="36">
        <v>360</v>
      </c>
      <c r="L101" s="36">
        <v>0</v>
      </c>
      <c r="M101" s="36">
        <v>0</v>
      </c>
      <c r="N101" s="36"/>
      <c r="O101" s="36"/>
      <c r="P101" s="36">
        <v>0</v>
      </c>
      <c r="Q101" s="36">
        <v>10000</v>
      </c>
      <c r="R101" s="36"/>
      <c r="S101" s="36">
        <f t="shared" si="4"/>
        <v>10000</v>
      </c>
      <c r="T101" s="25">
        <f t="shared" si="6"/>
        <v>0</v>
      </c>
      <c r="U101" s="25">
        <f t="shared" si="7"/>
        <v>10000</v>
      </c>
      <c r="V101" s="36">
        <v>10000</v>
      </c>
      <c r="W101" s="25">
        <f t="shared" si="5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34</v>
      </c>
      <c r="C102" s="36">
        <v>40</v>
      </c>
      <c r="D102" s="36">
        <v>40</v>
      </c>
      <c r="E102" s="36">
        <v>0</v>
      </c>
      <c r="F102" s="36"/>
      <c r="G102" s="36">
        <v>0</v>
      </c>
      <c r="H102" s="36">
        <v>5</v>
      </c>
      <c r="I102" s="36">
        <v>5</v>
      </c>
      <c r="J102" s="36">
        <v>0</v>
      </c>
      <c r="K102" s="36"/>
      <c r="L102" s="36">
        <v>0</v>
      </c>
      <c r="M102" s="36">
        <v>0</v>
      </c>
      <c r="N102" s="36"/>
      <c r="O102" s="36"/>
      <c r="P102" s="36">
        <v>0</v>
      </c>
      <c r="Q102" s="36">
        <v>10000</v>
      </c>
      <c r="R102" s="36"/>
      <c r="S102" s="36">
        <f t="shared" si="4"/>
        <v>10000</v>
      </c>
      <c r="T102" s="25">
        <f t="shared" si="6"/>
        <v>0</v>
      </c>
      <c r="U102" s="25">
        <f t="shared" si="7"/>
        <v>10000</v>
      </c>
      <c r="V102" s="36">
        <v>10000</v>
      </c>
      <c r="W102" s="25">
        <f t="shared" si="5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35</v>
      </c>
      <c r="C103" s="36">
        <v>40</v>
      </c>
      <c r="D103" s="36">
        <v>40</v>
      </c>
      <c r="E103" s="36">
        <v>0</v>
      </c>
      <c r="F103" s="36">
        <v>0</v>
      </c>
      <c r="G103" s="36">
        <v>0</v>
      </c>
      <c r="H103" s="36">
        <v>5</v>
      </c>
      <c r="I103" s="36">
        <v>6</v>
      </c>
      <c r="J103" s="36">
        <v>1</v>
      </c>
      <c r="K103" s="36">
        <v>360</v>
      </c>
      <c r="L103" s="36">
        <v>360</v>
      </c>
      <c r="M103" s="36">
        <v>0</v>
      </c>
      <c r="N103" s="36"/>
      <c r="O103" s="36"/>
      <c r="P103" s="36">
        <v>0</v>
      </c>
      <c r="Q103" s="36">
        <v>10000</v>
      </c>
      <c r="R103" s="36"/>
      <c r="S103" s="36">
        <f t="shared" si="4"/>
        <v>10360</v>
      </c>
      <c r="T103" s="25">
        <f t="shared" si="6"/>
        <v>0</v>
      </c>
      <c r="U103" s="25">
        <f t="shared" si="7"/>
        <v>10360</v>
      </c>
      <c r="V103" s="36">
        <v>0</v>
      </c>
      <c r="W103" s="25">
        <f t="shared" si="5"/>
        <v>10360</v>
      </c>
      <c r="Y103">
        <f t="shared" si="3"/>
        <v>1</v>
      </c>
    </row>
    <row r="104" spans="1:25" ht="15.75" hidden="1" thickBot="1" x14ac:dyDescent="0.3">
      <c r="A104" s="20"/>
      <c r="B104" s="21" t="s">
        <v>24</v>
      </c>
      <c r="C104" s="36">
        <v>40</v>
      </c>
      <c r="D104" s="36">
        <v>40</v>
      </c>
      <c r="E104" s="36">
        <v>0</v>
      </c>
      <c r="F104" s="36">
        <v>0</v>
      </c>
      <c r="G104" s="36">
        <v>0</v>
      </c>
      <c r="H104" s="36">
        <v>6</v>
      </c>
      <c r="I104" s="36">
        <v>6</v>
      </c>
      <c r="J104" s="36">
        <v>0</v>
      </c>
      <c r="K104" s="36">
        <v>0</v>
      </c>
      <c r="L104" s="36">
        <v>0</v>
      </c>
      <c r="M104" s="36">
        <v>0</v>
      </c>
      <c r="N104" s="36"/>
      <c r="O104" s="36"/>
      <c r="P104" s="36">
        <v>0</v>
      </c>
      <c r="Q104" s="36">
        <v>10000</v>
      </c>
      <c r="R104" s="36"/>
      <c r="S104" s="36">
        <f t="shared" si="4"/>
        <v>10000</v>
      </c>
      <c r="T104" s="25">
        <f t="shared" si="6"/>
        <v>10360</v>
      </c>
      <c r="U104" s="25">
        <f t="shared" si="7"/>
        <v>20360</v>
      </c>
      <c r="V104" s="36">
        <v>20720</v>
      </c>
      <c r="W104" s="25">
        <f t="shared" si="5"/>
        <v>-360</v>
      </c>
      <c r="Y104">
        <f t="shared" si="3"/>
        <v>0</v>
      </c>
    </row>
    <row r="105" spans="1:25" ht="15.75" hidden="1" thickBot="1" x14ac:dyDescent="0.3">
      <c r="A105" s="20"/>
      <c r="B105" s="21" t="s">
        <v>25</v>
      </c>
      <c r="C105" s="36">
        <v>40</v>
      </c>
      <c r="D105" s="36">
        <v>41</v>
      </c>
      <c r="E105" s="36">
        <v>1</v>
      </c>
      <c r="F105" s="36">
        <v>146</v>
      </c>
      <c r="G105" s="36">
        <v>146</v>
      </c>
      <c r="H105" s="36">
        <v>6</v>
      </c>
      <c r="I105" s="36">
        <v>6</v>
      </c>
      <c r="J105" s="36">
        <v>0</v>
      </c>
      <c r="K105" s="36">
        <v>0</v>
      </c>
      <c r="L105" s="36">
        <v>0</v>
      </c>
      <c r="M105" s="36">
        <v>0</v>
      </c>
      <c r="N105" s="36"/>
      <c r="O105" s="36"/>
      <c r="P105" s="36">
        <v>0</v>
      </c>
      <c r="Q105" s="36">
        <v>10000</v>
      </c>
      <c r="R105" s="36"/>
      <c r="S105" s="36">
        <f t="shared" si="4"/>
        <v>10146</v>
      </c>
      <c r="T105" s="25">
        <f t="shared" si="6"/>
        <v>-360</v>
      </c>
      <c r="U105" s="25">
        <f t="shared" si="7"/>
        <v>9786</v>
      </c>
      <c r="V105" s="36">
        <v>10000</v>
      </c>
      <c r="W105" s="25">
        <f t="shared" si="5"/>
        <v>-214</v>
      </c>
      <c r="Y105">
        <f t="shared" si="3"/>
        <v>0</v>
      </c>
    </row>
    <row r="106" spans="1:25" ht="15.75" hidden="1" thickBot="1" x14ac:dyDescent="0.3">
      <c r="A106" s="20"/>
      <c r="B106" s="21" t="s">
        <v>26</v>
      </c>
      <c r="C106" s="36">
        <v>41</v>
      </c>
      <c r="D106" s="36">
        <v>41</v>
      </c>
      <c r="E106" s="36">
        <v>0</v>
      </c>
      <c r="F106" s="36">
        <v>0</v>
      </c>
      <c r="G106" s="36">
        <v>0</v>
      </c>
      <c r="H106" s="36">
        <v>6</v>
      </c>
      <c r="I106" s="36">
        <v>6</v>
      </c>
      <c r="J106" s="36">
        <v>0</v>
      </c>
      <c r="K106" s="36">
        <v>0</v>
      </c>
      <c r="L106" s="36">
        <v>0</v>
      </c>
      <c r="M106" s="36">
        <v>0</v>
      </c>
      <c r="N106" s="36"/>
      <c r="O106" s="36"/>
      <c r="P106" s="36">
        <v>0</v>
      </c>
      <c r="Q106" s="36">
        <v>10000</v>
      </c>
      <c r="R106" s="36"/>
      <c r="S106" s="36">
        <f t="shared" si="4"/>
        <v>10000</v>
      </c>
      <c r="T106" s="25">
        <f t="shared" si="6"/>
        <v>-214</v>
      </c>
      <c r="U106" s="25">
        <f t="shared" si="7"/>
        <v>9786</v>
      </c>
      <c r="V106" s="36">
        <v>10000</v>
      </c>
      <c r="W106" s="25">
        <f t="shared" si="5"/>
        <v>-214</v>
      </c>
      <c r="Y106">
        <f t="shared" si="3"/>
        <v>0</v>
      </c>
    </row>
    <row r="107" spans="1:25" ht="15.75" hidden="1" thickBot="1" x14ac:dyDescent="0.3">
      <c r="A107" s="20"/>
      <c r="B107" s="21" t="s">
        <v>27</v>
      </c>
      <c r="C107" s="36">
        <v>41</v>
      </c>
      <c r="D107" s="36">
        <v>43</v>
      </c>
      <c r="E107" s="36">
        <v>2</v>
      </c>
      <c r="F107" s="36">
        <v>146</v>
      </c>
      <c r="G107" s="36">
        <v>292</v>
      </c>
      <c r="H107" s="36">
        <v>6</v>
      </c>
      <c r="I107" s="36">
        <v>6</v>
      </c>
      <c r="J107" s="36">
        <v>0</v>
      </c>
      <c r="K107" s="36">
        <v>0</v>
      </c>
      <c r="L107" s="36">
        <v>0</v>
      </c>
      <c r="M107" s="36">
        <v>0</v>
      </c>
      <c r="N107" s="36"/>
      <c r="O107" s="36"/>
      <c r="P107" s="36">
        <v>0</v>
      </c>
      <c r="Q107" s="36">
        <v>10000</v>
      </c>
      <c r="R107" s="36"/>
      <c r="S107" s="36">
        <f t="shared" si="4"/>
        <v>10292</v>
      </c>
      <c r="T107" s="25">
        <f t="shared" si="6"/>
        <v>-214</v>
      </c>
      <c r="U107" s="25">
        <f t="shared" si="7"/>
        <v>10078</v>
      </c>
      <c r="V107" s="36">
        <v>10000</v>
      </c>
      <c r="W107" s="25">
        <f t="shared" si="5"/>
        <v>78</v>
      </c>
      <c r="Y107">
        <f t="shared" si="3"/>
        <v>1</v>
      </c>
    </row>
    <row r="108" spans="1:25" ht="15.75" hidden="1" thickBot="1" x14ac:dyDescent="0.3">
      <c r="A108" s="20"/>
      <c r="B108" s="21" t="s">
        <v>28</v>
      </c>
      <c r="C108" s="36">
        <v>43</v>
      </c>
      <c r="D108" s="36">
        <v>49</v>
      </c>
      <c r="E108" s="36">
        <v>6</v>
      </c>
      <c r="F108" s="36">
        <v>146</v>
      </c>
      <c r="G108" s="36">
        <v>876</v>
      </c>
      <c r="H108" s="36">
        <v>6</v>
      </c>
      <c r="I108" s="36">
        <v>6</v>
      </c>
      <c r="J108" s="36">
        <v>0</v>
      </c>
      <c r="K108" s="36">
        <v>0</v>
      </c>
      <c r="L108" s="36">
        <v>0</v>
      </c>
      <c r="M108" s="36">
        <v>0</v>
      </c>
      <c r="N108" s="36"/>
      <c r="O108" s="36"/>
      <c r="P108" s="36">
        <v>0</v>
      </c>
      <c r="Q108" s="36">
        <v>10000</v>
      </c>
      <c r="R108" s="36"/>
      <c r="S108" s="36">
        <f t="shared" si="4"/>
        <v>10876</v>
      </c>
      <c r="T108" s="25">
        <f t="shared" si="6"/>
        <v>78</v>
      </c>
      <c r="U108" s="25">
        <f t="shared" si="7"/>
        <v>10954</v>
      </c>
      <c r="V108" s="36">
        <v>10954</v>
      </c>
      <c r="W108" s="25">
        <f t="shared" si="5"/>
        <v>0</v>
      </c>
      <c r="Y108">
        <f t="shared" si="3"/>
        <v>0</v>
      </c>
    </row>
    <row r="109" spans="1:25" ht="15.75" hidden="1" thickBot="1" x14ac:dyDescent="0.3">
      <c r="A109" s="20"/>
      <c r="B109" s="21" t="s">
        <v>29</v>
      </c>
      <c r="C109" s="36">
        <v>49</v>
      </c>
      <c r="D109" s="36">
        <v>51</v>
      </c>
      <c r="E109" s="36">
        <v>2</v>
      </c>
      <c r="F109" s="36">
        <v>146</v>
      </c>
      <c r="G109" s="36">
        <v>292</v>
      </c>
      <c r="H109" s="36">
        <v>6</v>
      </c>
      <c r="I109" s="36">
        <v>6</v>
      </c>
      <c r="J109" s="36">
        <v>0</v>
      </c>
      <c r="K109" s="36">
        <v>0</v>
      </c>
      <c r="L109" s="36">
        <v>0</v>
      </c>
      <c r="M109" s="36">
        <v>0</v>
      </c>
      <c r="N109" s="36"/>
      <c r="O109" s="36"/>
      <c r="P109" s="36">
        <v>0</v>
      </c>
      <c r="Q109" s="36">
        <v>10000</v>
      </c>
      <c r="R109" s="36"/>
      <c r="S109" s="36">
        <f t="shared" si="4"/>
        <v>10292</v>
      </c>
      <c r="T109" s="25">
        <f t="shared" si="6"/>
        <v>0</v>
      </c>
      <c r="U109" s="25">
        <f t="shared" si="7"/>
        <v>10292</v>
      </c>
      <c r="V109" s="36">
        <v>10292</v>
      </c>
      <c r="W109" s="25">
        <f t="shared" si="5"/>
        <v>0</v>
      </c>
      <c r="Y109">
        <f t="shared" si="3"/>
        <v>0</v>
      </c>
    </row>
    <row r="110" spans="1:25" ht="15.75" hidden="1" thickBot="1" x14ac:dyDescent="0.3">
      <c r="A110" s="20"/>
      <c r="B110" s="21" t="s">
        <v>30</v>
      </c>
      <c r="C110" s="36">
        <v>51</v>
      </c>
      <c r="D110" s="36">
        <v>53</v>
      </c>
      <c r="E110" s="36">
        <v>2</v>
      </c>
      <c r="F110" s="36">
        <v>146</v>
      </c>
      <c r="G110" s="36">
        <v>292</v>
      </c>
      <c r="H110" s="36">
        <v>6</v>
      </c>
      <c r="I110" s="36">
        <v>6</v>
      </c>
      <c r="J110" s="36">
        <v>0</v>
      </c>
      <c r="K110" s="36">
        <v>0</v>
      </c>
      <c r="L110" s="36">
        <v>0</v>
      </c>
      <c r="M110" s="36">
        <v>0</v>
      </c>
      <c r="N110" s="36"/>
      <c r="O110" s="36"/>
      <c r="P110" s="36">
        <v>0</v>
      </c>
      <c r="Q110" s="36">
        <v>10000</v>
      </c>
      <c r="R110" s="36"/>
      <c r="S110" s="36">
        <f t="shared" si="4"/>
        <v>10292</v>
      </c>
      <c r="T110" s="25">
        <f t="shared" si="6"/>
        <v>0</v>
      </c>
      <c r="U110" s="25">
        <f t="shared" si="7"/>
        <v>10292</v>
      </c>
      <c r="V110" s="36">
        <v>10000</v>
      </c>
      <c r="W110" s="25">
        <f t="shared" si="5"/>
        <v>292</v>
      </c>
      <c r="Y110">
        <f t="shared" si="3"/>
        <v>1</v>
      </c>
    </row>
    <row r="111" spans="1:25" ht="15.75" hidden="1" thickBot="1" x14ac:dyDescent="0.3">
      <c r="A111" s="20"/>
      <c r="B111" s="21" t="s">
        <v>31</v>
      </c>
      <c r="C111" s="36">
        <v>53</v>
      </c>
      <c r="D111" s="36">
        <v>121</v>
      </c>
      <c r="E111" s="36">
        <v>68</v>
      </c>
      <c r="F111" s="36">
        <v>146</v>
      </c>
      <c r="G111" s="36">
        <v>9928</v>
      </c>
      <c r="H111" s="36">
        <v>6</v>
      </c>
      <c r="I111" s="36">
        <v>9</v>
      </c>
      <c r="J111" s="36">
        <v>3</v>
      </c>
      <c r="K111" s="36">
        <v>360</v>
      </c>
      <c r="L111" s="36">
        <v>1080</v>
      </c>
      <c r="M111" s="36">
        <v>0</v>
      </c>
      <c r="N111" s="36"/>
      <c r="O111" s="36"/>
      <c r="P111" s="36">
        <v>0</v>
      </c>
      <c r="Q111" s="36">
        <v>10000</v>
      </c>
      <c r="R111" s="36"/>
      <c r="S111" s="36">
        <f t="shared" si="4"/>
        <v>21008</v>
      </c>
      <c r="T111" s="25">
        <f t="shared" si="6"/>
        <v>292</v>
      </c>
      <c r="U111" s="25">
        <f t="shared" si="7"/>
        <v>21300</v>
      </c>
      <c r="V111" s="36">
        <v>21300</v>
      </c>
      <c r="W111" s="25">
        <f t="shared" si="5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32</v>
      </c>
      <c r="C112" s="36">
        <v>121</v>
      </c>
      <c r="D112" s="36">
        <v>123</v>
      </c>
      <c r="E112" s="36">
        <v>2</v>
      </c>
      <c r="F112" s="36">
        <v>146</v>
      </c>
      <c r="G112" s="36">
        <v>292</v>
      </c>
      <c r="H112" s="36">
        <v>9</v>
      </c>
      <c r="I112" s="36">
        <v>9</v>
      </c>
      <c r="J112" s="36">
        <v>0</v>
      </c>
      <c r="K112" s="36">
        <v>0</v>
      </c>
      <c r="L112" s="36">
        <v>0</v>
      </c>
      <c r="M112" s="36">
        <v>0</v>
      </c>
      <c r="N112" s="36"/>
      <c r="O112" s="36"/>
      <c r="P112" s="36">
        <v>0</v>
      </c>
      <c r="Q112" s="36">
        <v>10000</v>
      </c>
      <c r="R112" s="36"/>
      <c r="S112" s="36">
        <f t="shared" si="4"/>
        <v>10292</v>
      </c>
      <c r="T112" s="25">
        <f t="shared" si="6"/>
        <v>0</v>
      </c>
      <c r="U112" s="25">
        <f t="shared" si="7"/>
        <v>10292</v>
      </c>
      <c r="V112" s="36">
        <v>10292</v>
      </c>
      <c r="W112" s="25">
        <f t="shared" si="5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33</v>
      </c>
      <c r="C113" s="36">
        <v>123</v>
      </c>
      <c r="D113" s="36">
        <v>126</v>
      </c>
      <c r="E113" s="36">
        <v>3</v>
      </c>
      <c r="F113" s="36">
        <v>146</v>
      </c>
      <c r="G113" s="36">
        <v>438</v>
      </c>
      <c r="H113" s="36">
        <v>9</v>
      </c>
      <c r="I113" s="36">
        <v>10</v>
      </c>
      <c r="J113" s="36">
        <v>1</v>
      </c>
      <c r="K113" s="36">
        <v>360</v>
      </c>
      <c r="L113" s="36">
        <v>360</v>
      </c>
      <c r="M113" s="36">
        <v>0</v>
      </c>
      <c r="N113" s="36"/>
      <c r="O113" s="36"/>
      <c r="P113" s="36">
        <v>0</v>
      </c>
      <c r="Q113" s="36">
        <v>10000</v>
      </c>
      <c r="R113" s="36"/>
      <c r="S113" s="36">
        <f t="shared" si="4"/>
        <v>10798</v>
      </c>
      <c r="T113" s="25">
        <f t="shared" si="6"/>
        <v>0</v>
      </c>
      <c r="U113" s="25">
        <f t="shared" si="7"/>
        <v>10798</v>
      </c>
      <c r="V113" s="36">
        <v>10798</v>
      </c>
      <c r="W113" s="25">
        <f t="shared" si="5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34</v>
      </c>
      <c r="C114" s="36">
        <v>126</v>
      </c>
      <c r="D114" s="36">
        <v>126</v>
      </c>
      <c r="E114" s="36">
        <v>0</v>
      </c>
      <c r="F114" s="36">
        <v>0</v>
      </c>
      <c r="G114" s="36">
        <v>0</v>
      </c>
      <c r="H114" s="36">
        <v>10</v>
      </c>
      <c r="I114" s="36">
        <v>10</v>
      </c>
      <c r="J114" s="36">
        <v>0</v>
      </c>
      <c r="K114" s="36">
        <v>0</v>
      </c>
      <c r="L114" s="36">
        <v>0</v>
      </c>
      <c r="M114" s="36">
        <v>0</v>
      </c>
      <c r="N114" s="36"/>
      <c r="O114" s="36"/>
      <c r="P114" s="36">
        <v>0</v>
      </c>
      <c r="Q114" s="36">
        <v>10000</v>
      </c>
      <c r="R114" s="36"/>
      <c r="S114" s="36">
        <f t="shared" si="4"/>
        <v>10000</v>
      </c>
      <c r="T114" s="25">
        <f t="shared" si="6"/>
        <v>0</v>
      </c>
      <c r="U114" s="25">
        <f t="shared" si="7"/>
        <v>10000</v>
      </c>
      <c r="V114" s="36">
        <v>10000</v>
      </c>
      <c r="W114" s="25">
        <f t="shared" si="5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126</v>
      </c>
      <c r="D115" s="36">
        <v>126</v>
      </c>
      <c r="E115" s="36">
        <v>0</v>
      </c>
      <c r="F115" s="36">
        <v>0</v>
      </c>
      <c r="G115" s="36">
        <v>0</v>
      </c>
      <c r="H115" s="36">
        <v>10</v>
      </c>
      <c r="I115" s="36">
        <v>10</v>
      </c>
      <c r="J115" s="36">
        <v>0</v>
      </c>
      <c r="K115" s="36">
        <v>0</v>
      </c>
      <c r="L115" s="36">
        <v>0</v>
      </c>
      <c r="M115" s="36">
        <v>0</v>
      </c>
      <c r="N115" s="36"/>
      <c r="O115" s="36"/>
      <c r="P115" s="36">
        <v>0</v>
      </c>
      <c r="Q115" s="36">
        <v>10000</v>
      </c>
      <c r="R115" s="36"/>
      <c r="S115" s="36">
        <f t="shared" si="4"/>
        <v>10000</v>
      </c>
      <c r="T115" s="25">
        <f t="shared" si="6"/>
        <v>0</v>
      </c>
      <c r="U115" s="25">
        <f t="shared" si="7"/>
        <v>10000</v>
      </c>
      <c r="V115" s="36">
        <v>10000</v>
      </c>
      <c r="W115" s="25">
        <f t="shared" si="5"/>
        <v>0</v>
      </c>
      <c r="Y115">
        <f t="shared" si="3"/>
        <v>0</v>
      </c>
    </row>
    <row r="116" spans="1:25" ht="15.75" hidden="1" thickBot="1" x14ac:dyDescent="0.3">
      <c r="A116" s="20"/>
      <c r="B116" s="21" t="s">
        <v>24</v>
      </c>
      <c r="C116" s="36">
        <v>126</v>
      </c>
      <c r="D116" s="36">
        <v>131</v>
      </c>
      <c r="E116" s="36">
        <v>5</v>
      </c>
      <c r="F116" s="36">
        <v>146</v>
      </c>
      <c r="G116" s="36">
        <v>730</v>
      </c>
      <c r="H116" s="36">
        <v>10</v>
      </c>
      <c r="I116" s="36">
        <v>10</v>
      </c>
      <c r="J116" s="36">
        <v>0</v>
      </c>
      <c r="K116" s="36">
        <v>0</v>
      </c>
      <c r="L116" s="36">
        <v>0</v>
      </c>
      <c r="M116" s="36">
        <v>0</v>
      </c>
      <c r="N116" s="36"/>
      <c r="O116" s="36"/>
      <c r="P116" s="36">
        <v>0</v>
      </c>
      <c r="Q116" s="36">
        <v>10000</v>
      </c>
      <c r="R116" s="36"/>
      <c r="S116" s="36">
        <f t="shared" si="4"/>
        <v>10730</v>
      </c>
      <c r="T116" s="25">
        <f t="shared" si="6"/>
        <v>0</v>
      </c>
      <c r="U116" s="25">
        <f t="shared" si="7"/>
        <v>10730</v>
      </c>
      <c r="V116" s="36">
        <v>10730</v>
      </c>
      <c r="W116" s="25">
        <f t="shared" si="5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25</v>
      </c>
      <c r="C117" s="36">
        <v>131</v>
      </c>
      <c r="D117" s="36">
        <v>139</v>
      </c>
      <c r="E117" s="36">
        <v>8</v>
      </c>
      <c r="F117" s="36">
        <v>146</v>
      </c>
      <c r="G117" s="36">
        <v>1168</v>
      </c>
      <c r="H117" s="36">
        <v>10</v>
      </c>
      <c r="I117" s="36">
        <v>11</v>
      </c>
      <c r="J117" s="36">
        <v>1</v>
      </c>
      <c r="K117" s="36">
        <v>360</v>
      </c>
      <c r="L117" s="36">
        <v>360</v>
      </c>
      <c r="M117" s="36">
        <v>0</v>
      </c>
      <c r="N117" s="36"/>
      <c r="O117" s="36"/>
      <c r="P117" s="36">
        <v>0</v>
      </c>
      <c r="Q117" s="36">
        <v>13197</v>
      </c>
      <c r="R117" s="36"/>
      <c r="S117" s="36">
        <f t="shared" si="4"/>
        <v>14725</v>
      </c>
      <c r="T117" s="25">
        <f t="shared" si="6"/>
        <v>0</v>
      </c>
      <c r="U117" s="25">
        <f t="shared" si="7"/>
        <v>14725</v>
      </c>
      <c r="V117" s="36">
        <v>14725</v>
      </c>
      <c r="W117" s="25">
        <f t="shared" si="5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26</v>
      </c>
      <c r="C118" s="36">
        <v>139</v>
      </c>
      <c r="D118" s="36">
        <v>140</v>
      </c>
      <c r="E118" s="36">
        <v>1</v>
      </c>
      <c r="F118" s="36">
        <v>146</v>
      </c>
      <c r="G118" s="36">
        <v>146</v>
      </c>
      <c r="H118" s="36">
        <v>11</v>
      </c>
      <c r="I118" s="36">
        <v>11</v>
      </c>
      <c r="J118" s="36">
        <v>0</v>
      </c>
      <c r="K118" s="36">
        <v>0</v>
      </c>
      <c r="L118" s="36">
        <v>0</v>
      </c>
      <c r="M118" s="36">
        <v>0</v>
      </c>
      <c r="N118" s="36"/>
      <c r="O118" s="36"/>
      <c r="P118" s="36">
        <v>0</v>
      </c>
      <c r="Q118" s="36">
        <v>13197</v>
      </c>
      <c r="R118" s="36"/>
      <c r="S118" s="36">
        <f t="shared" si="4"/>
        <v>13343</v>
      </c>
      <c r="T118" s="25">
        <f t="shared" si="6"/>
        <v>0</v>
      </c>
      <c r="U118" s="25">
        <f t="shared" si="7"/>
        <v>13343</v>
      </c>
      <c r="V118" s="36">
        <v>13343</v>
      </c>
      <c r="W118" s="25">
        <f t="shared" si="5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27</v>
      </c>
      <c r="C119" s="36">
        <v>140</v>
      </c>
      <c r="D119" s="36">
        <v>143</v>
      </c>
      <c r="E119" s="36">
        <v>3</v>
      </c>
      <c r="F119" s="36">
        <v>146</v>
      </c>
      <c r="G119" s="36">
        <v>438</v>
      </c>
      <c r="H119" s="36">
        <v>11</v>
      </c>
      <c r="I119" s="36">
        <v>11</v>
      </c>
      <c r="J119" s="36">
        <v>0</v>
      </c>
      <c r="K119" s="36">
        <v>0</v>
      </c>
      <c r="L119" s="36">
        <v>0</v>
      </c>
      <c r="M119" s="36">
        <v>0</v>
      </c>
      <c r="N119" s="36"/>
      <c r="O119" s="36"/>
      <c r="P119" s="36">
        <v>0</v>
      </c>
      <c r="Q119" s="36">
        <v>13197</v>
      </c>
      <c r="R119" s="36"/>
      <c r="S119" s="36">
        <f t="shared" si="4"/>
        <v>13635</v>
      </c>
      <c r="T119" s="25">
        <f t="shared" si="6"/>
        <v>0</v>
      </c>
      <c r="U119" s="25">
        <f t="shared" si="7"/>
        <v>13635</v>
      </c>
      <c r="V119" s="36">
        <v>0</v>
      </c>
      <c r="W119" s="25">
        <f t="shared" si="5"/>
        <v>13635</v>
      </c>
      <c r="Y119">
        <f t="shared" si="3"/>
        <v>1</v>
      </c>
    </row>
    <row r="120" spans="1:25" ht="15.75" hidden="1" thickBot="1" x14ac:dyDescent="0.3">
      <c r="A120" s="20"/>
      <c r="B120" s="21" t="s">
        <v>28</v>
      </c>
      <c r="C120" s="36">
        <v>143</v>
      </c>
      <c r="D120" s="36">
        <v>143</v>
      </c>
      <c r="E120" s="36">
        <v>0</v>
      </c>
      <c r="F120" s="36">
        <v>0</v>
      </c>
      <c r="G120" s="36">
        <v>0</v>
      </c>
      <c r="H120" s="36">
        <v>11</v>
      </c>
      <c r="I120" s="36">
        <v>11</v>
      </c>
      <c r="J120" s="36">
        <v>0</v>
      </c>
      <c r="K120" s="36">
        <v>0</v>
      </c>
      <c r="L120" s="36">
        <v>0</v>
      </c>
      <c r="M120" s="36">
        <v>0</v>
      </c>
      <c r="N120" s="36"/>
      <c r="O120" s="36"/>
      <c r="P120" s="36">
        <v>0</v>
      </c>
      <c r="Q120" s="36">
        <v>13197</v>
      </c>
      <c r="R120" s="36"/>
      <c r="S120" s="36">
        <f t="shared" si="4"/>
        <v>13197</v>
      </c>
      <c r="T120" s="25">
        <f t="shared" si="6"/>
        <v>13635</v>
      </c>
      <c r="U120" s="25">
        <f t="shared" si="7"/>
        <v>26832</v>
      </c>
      <c r="V120" s="36">
        <v>53664</v>
      </c>
      <c r="W120" s="25">
        <f t="shared" si="5"/>
        <v>-26832</v>
      </c>
      <c r="Y120">
        <f t="shared" si="3"/>
        <v>0</v>
      </c>
    </row>
    <row r="121" spans="1:25" ht="15.75" hidden="1" thickBot="1" x14ac:dyDescent="0.3">
      <c r="A121" s="20"/>
      <c r="B121" s="21" t="s">
        <v>29</v>
      </c>
      <c r="C121" s="36">
        <v>143</v>
      </c>
      <c r="D121" s="36">
        <v>143</v>
      </c>
      <c r="E121" s="36">
        <v>0</v>
      </c>
      <c r="F121" s="36">
        <v>0</v>
      </c>
      <c r="G121" s="36">
        <v>0</v>
      </c>
      <c r="H121" s="36">
        <v>11</v>
      </c>
      <c r="I121" s="36">
        <v>11</v>
      </c>
      <c r="J121" s="36">
        <v>0</v>
      </c>
      <c r="K121" s="36">
        <v>0</v>
      </c>
      <c r="L121" s="36">
        <v>0</v>
      </c>
      <c r="M121" s="36">
        <v>0</v>
      </c>
      <c r="N121" s="36"/>
      <c r="O121" s="36"/>
      <c r="P121" s="36">
        <v>0</v>
      </c>
      <c r="Q121" s="36">
        <v>13197</v>
      </c>
      <c r="R121" s="36"/>
      <c r="S121" s="36">
        <f t="shared" si="4"/>
        <v>13197</v>
      </c>
      <c r="T121" s="25">
        <f t="shared" si="6"/>
        <v>-26832</v>
      </c>
      <c r="U121" s="25">
        <f t="shared" si="7"/>
        <v>-13635</v>
      </c>
      <c r="V121" s="36">
        <v>0</v>
      </c>
      <c r="W121" s="25">
        <f t="shared" si="5"/>
        <v>-13635</v>
      </c>
      <c r="Y121">
        <f t="shared" si="3"/>
        <v>0</v>
      </c>
    </row>
    <row r="122" spans="1:25" ht="15.75" hidden="1" thickBot="1" x14ac:dyDescent="0.3">
      <c r="A122" s="20"/>
      <c r="B122" s="21" t="s">
        <v>30</v>
      </c>
      <c r="C122" s="36">
        <v>143</v>
      </c>
      <c r="D122" s="36">
        <v>143</v>
      </c>
      <c r="E122" s="36">
        <v>0</v>
      </c>
      <c r="F122" s="36">
        <v>0</v>
      </c>
      <c r="G122" s="36">
        <v>0</v>
      </c>
      <c r="H122" s="36">
        <v>11</v>
      </c>
      <c r="I122" s="36">
        <v>11</v>
      </c>
      <c r="J122" s="36">
        <v>0</v>
      </c>
      <c r="K122" s="36">
        <v>0</v>
      </c>
      <c r="L122" s="36">
        <v>0</v>
      </c>
      <c r="M122" s="36">
        <v>0</v>
      </c>
      <c r="N122" s="36"/>
      <c r="O122" s="36"/>
      <c r="P122" s="36">
        <v>0</v>
      </c>
      <c r="Q122" s="36">
        <v>13197</v>
      </c>
      <c r="R122" s="36"/>
      <c r="S122" s="36">
        <f t="shared" si="4"/>
        <v>13197</v>
      </c>
      <c r="T122" s="25">
        <f t="shared" si="6"/>
        <v>-13635</v>
      </c>
      <c r="U122" s="25">
        <f t="shared" si="7"/>
        <v>-438</v>
      </c>
      <c r="V122" s="36">
        <v>0</v>
      </c>
      <c r="W122" s="25">
        <f t="shared" si="5"/>
        <v>-438</v>
      </c>
      <c r="Y122">
        <f t="shared" si="3"/>
        <v>0</v>
      </c>
    </row>
    <row r="123" spans="1:25" ht="15.75" hidden="1" thickBot="1" x14ac:dyDescent="0.3">
      <c r="A123" s="20"/>
      <c r="B123" s="21" t="s">
        <v>31</v>
      </c>
      <c r="C123" s="36">
        <v>143</v>
      </c>
      <c r="D123" s="36">
        <v>144</v>
      </c>
      <c r="E123" s="36">
        <v>1</v>
      </c>
      <c r="F123" s="36">
        <v>146</v>
      </c>
      <c r="G123" s="36">
        <v>146</v>
      </c>
      <c r="H123" s="36">
        <v>11</v>
      </c>
      <c r="I123" s="36">
        <v>11</v>
      </c>
      <c r="J123" s="36">
        <v>0</v>
      </c>
      <c r="K123" s="36">
        <v>0</v>
      </c>
      <c r="L123" s="36">
        <v>0</v>
      </c>
      <c r="M123" s="36">
        <v>0</v>
      </c>
      <c r="N123" s="36"/>
      <c r="O123" s="36"/>
      <c r="P123" s="36">
        <v>0</v>
      </c>
      <c r="Q123" s="36">
        <v>13197</v>
      </c>
      <c r="R123" s="36"/>
      <c r="S123" s="36">
        <f t="shared" si="4"/>
        <v>13343</v>
      </c>
      <c r="T123" s="25">
        <f t="shared" si="6"/>
        <v>-438</v>
      </c>
      <c r="U123" s="25">
        <f t="shared" si="7"/>
        <v>12905</v>
      </c>
      <c r="V123" s="36">
        <v>13343</v>
      </c>
      <c r="W123" s="25">
        <f t="shared" si="5"/>
        <v>-438</v>
      </c>
      <c r="Y123">
        <f t="shared" si="3"/>
        <v>0</v>
      </c>
    </row>
    <row r="124" spans="1:25" ht="15.75" hidden="1" thickBot="1" x14ac:dyDescent="0.3">
      <c r="A124" s="20"/>
      <c r="B124" s="21" t="s">
        <v>32</v>
      </c>
      <c r="C124" s="36">
        <v>144</v>
      </c>
      <c r="D124" s="36">
        <v>144</v>
      </c>
      <c r="E124" s="36">
        <v>0</v>
      </c>
      <c r="F124" s="36">
        <v>146</v>
      </c>
      <c r="G124" s="36"/>
      <c r="H124" s="36">
        <v>11</v>
      </c>
      <c r="I124" s="36">
        <v>11</v>
      </c>
      <c r="J124" s="36">
        <v>0</v>
      </c>
      <c r="K124" s="36">
        <v>0</v>
      </c>
      <c r="L124" s="36">
        <v>0</v>
      </c>
      <c r="M124" s="36">
        <v>0</v>
      </c>
      <c r="N124" s="36"/>
      <c r="O124" s="36"/>
      <c r="P124" s="36">
        <v>0</v>
      </c>
      <c r="Q124" s="36">
        <v>13197</v>
      </c>
      <c r="R124" s="36"/>
      <c r="S124" s="36">
        <f t="shared" si="4"/>
        <v>13197</v>
      </c>
      <c r="T124" s="25">
        <f t="shared" si="6"/>
        <v>-438</v>
      </c>
      <c r="U124" s="25">
        <f t="shared" si="7"/>
        <v>12759</v>
      </c>
      <c r="V124" s="36">
        <v>13197</v>
      </c>
      <c r="W124" s="25">
        <f t="shared" si="5"/>
        <v>-438</v>
      </c>
      <c r="Y124">
        <f t="shared" si="3"/>
        <v>0</v>
      </c>
    </row>
    <row r="125" spans="1:25" ht="15.75" hidden="1" thickBot="1" x14ac:dyDescent="0.3">
      <c r="A125" s="20"/>
      <c r="B125" s="21" t="s">
        <v>33</v>
      </c>
      <c r="C125" s="36">
        <v>144</v>
      </c>
      <c r="D125" s="36">
        <v>144</v>
      </c>
      <c r="E125" s="36">
        <v>0</v>
      </c>
      <c r="F125" s="36">
        <v>0</v>
      </c>
      <c r="G125" s="36">
        <v>0</v>
      </c>
      <c r="H125" s="36">
        <v>11</v>
      </c>
      <c r="I125" s="36">
        <v>13</v>
      </c>
      <c r="J125" s="36">
        <v>2</v>
      </c>
      <c r="K125" s="36">
        <v>360</v>
      </c>
      <c r="L125" s="36">
        <v>720</v>
      </c>
      <c r="M125" s="36">
        <v>0</v>
      </c>
      <c r="N125" s="36"/>
      <c r="O125" s="36"/>
      <c r="P125" s="36">
        <v>0</v>
      </c>
      <c r="Q125" s="36">
        <v>13197</v>
      </c>
      <c r="R125" s="36"/>
      <c r="S125" s="36">
        <f t="shared" si="4"/>
        <v>13917</v>
      </c>
      <c r="T125" s="25">
        <f t="shared" si="6"/>
        <v>-438</v>
      </c>
      <c r="U125" s="25">
        <f t="shared" si="7"/>
        <v>13479</v>
      </c>
      <c r="V125" s="36">
        <v>13917</v>
      </c>
      <c r="W125" s="25">
        <f t="shared" si="5"/>
        <v>-438</v>
      </c>
      <c r="Y125">
        <f t="shared" si="3"/>
        <v>0</v>
      </c>
    </row>
    <row r="126" spans="1:25" ht="15.75" hidden="1" thickBot="1" x14ac:dyDescent="0.3">
      <c r="A126" s="20"/>
      <c r="B126" s="21" t="s">
        <v>34</v>
      </c>
      <c r="C126" s="36">
        <v>144</v>
      </c>
      <c r="D126" s="36">
        <v>144</v>
      </c>
      <c r="E126" s="36">
        <v>0</v>
      </c>
      <c r="F126" s="36">
        <v>0</v>
      </c>
      <c r="G126" s="36">
        <v>0</v>
      </c>
      <c r="H126" s="36">
        <v>13</v>
      </c>
      <c r="I126" s="36">
        <v>14</v>
      </c>
      <c r="J126" s="36">
        <v>1</v>
      </c>
      <c r="K126" s="36">
        <v>360</v>
      </c>
      <c r="L126" s="36">
        <v>360</v>
      </c>
      <c r="M126" s="36">
        <v>0</v>
      </c>
      <c r="N126" s="36"/>
      <c r="O126" s="36"/>
      <c r="P126" s="36">
        <v>0</v>
      </c>
      <c r="Q126" s="36">
        <v>13197</v>
      </c>
      <c r="R126" s="36"/>
      <c r="S126" s="36">
        <f t="shared" si="4"/>
        <v>13557</v>
      </c>
      <c r="T126" s="25">
        <f t="shared" si="6"/>
        <v>-438</v>
      </c>
      <c r="U126" s="25">
        <f t="shared" si="7"/>
        <v>13119</v>
      </c>
      <c r="V126" s="36">
        <v>0</v>
      </c>
      <c r="W126" s="25">
        <f t="shared" si="5"/>
        <v>13119</v>
      </c>
      <c r="Y126">
        <f t="shared" si="3"/>
        <v>1</v>
      </c>
    </row>
    <row r="127" spans="1:25" ht="15.75" hidden="1" thickBot="1" x14ac:dyDescent="0.3">
      <c r="A127" s="20">
        <v>2013</v>
      </c>
      <c r="B127" s="21" t="s">
        <v>35</v>
      </c>
      <c r="C127" s="36">
        <v>144</v>
      </c>
      <c r="D127" s="36">
        <v>157</v>
      </c>
      <c r="E127" s="36">
        <v>13</v>
      </c>
      <c r="F127" s="36">
        <v>146</v>
      </c>
      <c r="G127" s="36">
        <v>1898</v>
      </c>
      <c r="H127" s="36">
        <v>14</v>
      </c>
      <c r="I127" s="36">
        <v>17</v>
      </c>
      <c r="J127" s="36">
        <v>3</v>
      </c>
      <c r="K127" s="36">
        <v>360</v>
      </c>
      <c r="L127" s="36">
        <v>1080</v>
      </c>
      <c r="M127" s="36">
        <v>0</v>
      </c>
      <c r="N127" s="36"/>
      <c r="O127" s="36"/>
      <c r="P127" s="36">
        <v>0</v>
      </c>
      <c r="Q127" s="36">
        <v>13393</v>
      </c>
      <c r="R127" s="36"/>
      <c r="S127" s="36">
        <f t="shared" si="4"/>
        <v>16371</v>
      </c>
      <c r="T127" s="25">
        <f t="shared" si="6"/>
        <v>13119</v>
      </c>
      <c r="U127" s="25">
        <f t="shared" si="7"/>
        <v>29490</v>
      </c>
      <c r="V127" s="36">
        <v>29928</v>
      </c>
      <c r="W127" s="25">
        <f t="shared" si="5"/>
        <v>-438</v>
      </c>
      <c r="Y127">
        <f t="shared" si="3"/>
        <v>0</v>
      </c>
    </row>
    <row r="128" spans="1:25" ht="15.75" hidden="1" thickBot="1" x14ac:dyDescent="0.3">
      <c r="A128" s="20"/>
      <c r="B128" s="21" t="s">
        <v>24</v>
      </c>
      <c r="C128" s="36">
        <v>157</v>
      </c>
      <c r="D128" s="36">
        <v>165</v>
      </c>
      <c r="E128" s="36">
        <v>8</v>
      </c>
      <c r="F128" s="36">
        <v>146</v>
      </c>
      <c r="G128" s="36">
        <v>1168</v>
      </c>
      <c r="H128" s="36">
        <v>17</v>
      </c>
      <c r="I128" s="36">
        <v>19</v>
      </c>
      <c r="J128" s="36">
        <v>2</v>
      </c>
      <c r="K128" s="36">
        <v>360</v>
      </c>
      <c r="L128" s="36">
        <v>720</v>
      </c>
      <c r="M128" s="36">
        <v>0</v>
      </c>
      <c r="N128" s="36"/>
      <c r="O128" s="36"/>
      <c r="P128" s="36">
        <v>0</v>
      </c>
      <c r="Q128" s="36">
        <v>13393</v>
      </c>
      <c r="R128" s="36"/>
      <c r="S128" s="36">
        <f t="shared" si="4"/>
        <v>15281</v>
      </c>
      <c r="T128" s="25">
        <f t="shared" si="6"/>
        <v>-438</v>
      </c>
      <c r="U128" s="25">
        <f t="shared" si="7"/>
        <v>14843</v>
      </c>
      <c r="V128" s="36">
        <v>15281</v>
      </c>
      <c r="W128" s="25">
        <f t="shared" si="5"/>
        <v>-438</v>
      </c>
      <c r="Y128">
        <f t="shared" si="3"/>
        <v>0</v>
      </c>
    </row>
    <row r="129" spans="1:25" ht="15.75" hidden="1" thickBot="1" x14ac:dyDescent="0.3">
      <c r="A129" s="20"/>
      <c r="B129" s="21" t="s">
        <v>25</v>
      </c>
      <c r="C129" s="36">
        <v>165</v>
      </c>
      <c r="D129" s="36">
        <v>165</v>
      </c>
      <c r="E129" s="36">
        <v>0</v>
      </c>
      <c r="F129" s="36"/>
      <c r="G129" s="36">
        <v>0</v>
      </c>
      <c r="H129" s="36">
        <v>19</v>
      </c>
      <c r="I129" s="36">
        <v>19</v>
      </c>
      <c r="J129" s="36">
        <v>0</v>
      </c>
      <c r="K129" s="36"/>
      <c r="L129" s="36">
        <v>0</v>
      </c>
      <c r="M129" s="36">
        <v>0</v>
      </c>
      <c r="N129" s="36"/>
      <c r="O129" s="36"/>
      <c r="P129" s="36">
        <v>0</v>
      </c>
      <c r="Q129" s="36">
        <v>13393</v>
      </c>
      <c r="R129" s="36"/>
      <c r="S129" s="36">
        <f t="shared" si="4"/>
        <v>13393</v>
      </c>
      <c r="T129" s="25">
        <f t="shared" si="6"/>
        <v>-438</v>
      </c>
      <c r="U129" s="25">
        <f t="shared" si="7"/>
        <v>12955</v>
      </c>
      <c r="V129" s="36">
        <v>13393</v>
      </c>
      <c r="W129" s="25">
        <f t="shared" si="5"/>
        <v>-438</v>
      </c>
      <c r="Y129">
        <f t="shared" si="3"/>
        <v>0</v>
      </c>
    </row>
    <row r="130" spans="1:25" ht="15.75" hidden="1" thickBot="1" x14ac:dyDescent="0.3">
      <c r="A130" s="20"/>
      <c r="B130" s="21" t="s">
        <v>26</v>
      </c>
      <c r="C130" s="36">
        <v>165</v>
      </c>
      <c r="D130" s="36">
        <v>170</v>
      </c>
      <c r="E130" s="36">
        <v>5</v>
      </c>
      <c r="F130" s="36">
        <v>146</v>
      </c>
      <c r="G130" s="36">
        <v>730</v>
      </c>
      <c r="H130" s="36">
        <v>19</v>
      </c>
      <c r="I130" s="36">
        <v>21</v>
      </c>
      <c r="J130" s="36">
        <v>2</v>
      </c>
      <c r="K130" s="36">
        <v>360</v>
      </c>
      <c r="L130" s="36">
        <v>720</v>
      </c>
      <c r="M130" s="36">
        <v>0</v>
      </c>
      <c r="N130" s="36"/>
      <c r="O130" s="36"/>
      <c r="P130" s="36">
        <v>0</v>
      </c>
      <c r="Q130" s="36">
        <v>13393</v>
      </c>
      <c r="R130" s="36"/>
      <c r="S130" s="36">
        <f t="shared" si="4"/>
        <v>14843</v>
      </c>
      <c r="T130" s="25">
        <f t="shared" si="6"/>
        <v>-438</v>
      </c>
      <c r="U130" s="25">
        <f t="shared" si="7"/>
        <v>14405</v>
      </c>
      <c r="V130" s="36">
        <v>14843</v>
      </c>
      <c r="W130" s="25">
        <f t="shared" si="5"/>
        <v>-438</v>
      </c>
      <c r="Y130">
        <f t="shared" si="3"/>
        <v>0</v>
      </c>
    </row>
    <row r="131" spans="1:25" ht="15.75" hidden="1" thickBot="1" x14ac:dyDescent="0.3">
      <c r="A131" s="20"/>
      <c r="B131" s="21" t="s">
        <v>27</v>
      </c>
      <c r="C131" s="36">
        <v>170</v>
      </c>
      <c r="D131" s="36">
        <v>185</v>
      </c>
      <c r="E131" s="36">
        <v>15</v>
      </c>
      <c r="F131" s="36">
        <v>146</v>
      </c>
      <c r="G131" s="36">
        <v>2190</v>
      </c>
      <c r="H131" s="36">
        <v>21</v>
      </c>
      <c r="I131" s="36">
        <v>22</v>
      </c>
      <c r="J131" s="36">
        <v>1</v>
      </c>
      <c r="K131" s="36">
        <v>360</v>
      </c>
      <c r="L131" s="36">
        <v>360</v>
      </c>
      <c r="M131" s="36">
        <v>0</v>
      </c>
      <c r="N131" s="36"/>
      <c r="O131" s="36"/>
      <c r="P131" s="36">
        <v>0</v>
      </c>
      <c r="Q131" s="36">
        <v>13393</v>
      </c>
      <c r="R131" s="36"/>
      <c r="S131" s="36">
        <f t="shared" si="4"/>
        <v>15943</v>
      </c>
      <c r="T131" s="25">
        <f t="shared" si="6"/>
        <v>-438</v>
      </c>
      <c r="U131" s="25">
        <f t="shared" si="7"/>
        <v>15505</v>
      </c>
      <c r="V131" s="36">
        <v>15943</v>
      </c>
      <c r="W131" s="25">
        <f t="shared" si="5"/>
        <v>-438</v>
      </c>
      <c r="Y131">
        <f t="shared" si="3"/>
        <v>0</v>
      </c>
    </row>
    <row r="132" spans="1:25" ht="15.75" hidden="1" thickBot="1" x14ac:dyDescent="0.3">
      <c r="A132" s="20"/>
      <c r="B132" s="21" t="s">
        <v>28</v>
      </c>
      <c r="C132" s="36">
        <v>185</v>
      </c>
      <c r="D132" s="36">
        <v>185</v>
      </c>
      <c r="E132" s="36">
        <v>0</v>
      </c>
      <c r="F132" s="36"/>
      <c r="G132" s="36">
        <v>0</v>
      </c>
      <c r="H132" s="36">
        <v>22</v>
      </c>
      <c r="I132" s="36">
        <v>23</v>
      </c>
      <c r="J132" s="36">
        <v>1</v>
      </c>
      <c r="K132" s="36">
        <v>360</v>
      </c>
      <c r="L132" s="36">
        <v>360</v>
      </c>
      <c r="M132" s="36">
        <v>0</v>
      </c>
      <c r="N132" s="36"/>
      <c r="O132" s="36"/>
      <c r="P132" s="36">
        <v>0</v>
      </c>
      <c r="Q132" s="36">
        <v>13393</v>
      </c>
      <c r="R132" s="36"/>
      <c r="S132" s="36">
        <f t="shared" si="4"/>
        <v>13753</v>
      </c>
      <c r="T132" s="25">
        <f t="shared" si="6"/>
        <v>-438</v>
      </c>
      <c r="U132" s="25">
        <f t="shared" si="7"/>
        <v>13315</v>
      </c>
      <c r="V132" s="36">
        <v>13753</v>
      </c>
      <c r="W132" s="25">
        <f t="shared" si="5"/>
        <v>-438</v>
      </c>
      <c r="Y132">
        <f t="shared" si="3"/>
        <v>0</v>
      </c>
    </row>
    <row r="133" spans="1:25" ht="15.75" hidden="1" thickBot="1" x14ac:dyDescent="0.3">
      <c r="A133" s="20"/>
      <c r="B133" s="21" t="s">
        <v>29</v>
      </c>
      <c r="C133" s="36">
        <v>185</v>
      </c>
      <c r="D133" s="36">
        <v>195</v>
      </c>
      <c r="E133" s="36">
        <v>10</v>
      </c>
      <c r="F133" s="36">
        <v>146</v>
      </c>
      <c r="G133" s="36">
        <v>1460</v>
      </c>
      <c r="H133" s="36">
        <v>23</v>
      </c>
      <c r="I133" s="36">
        <v>24</v>
      </c>
      <c r="J133" s="36">
        <v>1</v>
      </c>
      <c r="K133" s="36">
        <v>360</v>
      </c>
      <c r="L133" s="36">
        <v>360</v>
      </c>
      <c r="M133" s="36">
        <v>0</v>
      </c>
      <c r="N133" s="36"/>
      <c r="O133" s="36"/>
      <c r="P133" s="36">
        <v>0</v>
      </c>
      <c r="Q133" s="36">
        <v>13393</v>
      </c>
      <c r="R133" s="36"/>
      <c r="S133" s="36">
        <f t="shared" si="4"/>
        <v>15213</v>
      </c>
      <c r="T133" s="25">
        <f t="shared" si="6"/>
        <v>-438</v>
      </c>
      <c r="U133" s="25">
        <f t="shared" si="7"/>
        <v>14775</v>
      </c>
      <c r="V133" s="36">
        <v>15213</v>
      </c>
      <c r="W133" s="25">
        <f t="shared" si="5"/>
        <v>-438</v>
      </c>
      <c r="Y133">
        <f t="shared" si="3"/>
        <v>0</v>
      </c>
    </row>
    <row r="134" spans="1:25" ht="15.75" hidden="1" thickBot="1" x14ac:dyDescent="0.3">
      <c r="A134" s="20"/>
      <c r="B134" s="21" t="s">
        <v>30</v>
      </c>
      <c r="C134" s="36">
        <v>195</v>
      </c>
      <c r="D134" s="36">
        <v>204</v>
      </c>
      <c r="E134" s="36">
        <v>9</v>
      </c>
      <c r="F134" s="36">
        <v>146</v>
      </c>
      <c r="G134" s="36">
        <v>1314</v>
      </c>
      <c r="H134" s="36">
        <v>24</v>
      </c>
      <c r="I134" s="36">
        <v>25</v>
      </c>
      <c r="J134" s="36">
        <v>1</v>
      </c>
      <c r="K134" s="36">
        <v>360</v>
      </c>
      <c r="L134" s="36">
        <v>360</v>
      </c>
      <c r="M134" s="36">
        <v>0</v>
      </c>
      <c r="N134" s="36"/>
      <c r="O134" s="36"/>
      <c r="P134" s="36">
        <v>0</v>
      </c>
      <c r="Q134" s="36">
        <v>13393</v>
      </c>
      <c r="R134" s="36"/>
      <c r="S134" s="36">
        <f t="shared" si="4"/>
        <v>15067</v>
      </c>
      <c r="T134" s="25">
        <f t="shared" si="6"/>
        <v>-438</v>
      </c>
      <c r="U134" s="25">
        <f t="shared" si="7"/>
        <v>14629</v>
      </c>
      <c r="V134" s="36">
        <v>15067</v>
      </c>
      <c r="W134" s="25">
        <f t="shared" si="5"/>
        <v>-438</v>
      </c>
      <c r="Y134">
        <f t="shared" si="3"/>
        <v>0</v>
      </c>
    </row>
    <row r="135" spans="1:25" ht="15.75" hidden="1" thickBot="1" x14ac:dyDescent="0.3">
      <c r="A135" s="20"/>
      <c r="B135" s="21" t="s">
        <v>31</v>
      </c>
      <c r="C135" s="36">
        <v>204</v>
      </c>
      <c r="D135" s="36">
        <v>221</v>
      </c>
      <c r="E135" s="36">
        <v>17</v>
      </c>
      <c r="F135" s="36">
        <v>146</v>
      </c>
      <c r="G135" s="36">
        <v>2482</v>
      </c>
      <c r="H135" s="36">
        <v>25</v>
      </c>
      <c r="I135" s="36">
        <v>29</v>
      </c>
      <c r="J135" s="36">
        <v>4</v>
      </c>
      <c r="K135" s="36">
        <v>360</v>
      </c>
      <c r="L135" s="36">
        <v>1440</v>
      </c>
      <c r="M135" s="36">
        <v>0</v>
      </c>
      <c r="N135" s="36"/>
      <c r="O135" s="36"/>
      <c r="P135" s="36">
        <v>0</v>
      </c>
      <c r="Q135" s="36">
        <v>13393</v>
      </c>
      <c r="R135" s="36"/>
      <c r="S135" s="36">
        <f t="shared" si="4"/>
        <v>17315</v>
      </c>
      <c r="T135" s="25">
        <f t="shared" si="6"/>
        <v>-438</v>
      </c>
      <c r="U135" s="25">
        <f t="shared" si="7"/>
        <v>16877</v>
      </c>
      <c r="V135" s="36">
        <v>17315</v>
      </c>
      <c r="W135" s="25">
        <f t="shared" si="5"/>
        <v>-438</v>
      </c>
      <c r="Y135">
        <f t="shared" si="3"/>
        <v>0</v>
      </c>
    </row>
    <row r="136" spans="1:25" ht="15.75" hidden="1" thickBot="1" x14ac:dyDescent="0.3">
      <c r="A136" s="20"/>
      <c r="B136" s="21" t="s">
        <v>32</v>
      </c>
      <c r="C136" s="36">
        <v>221</v>
      </c>
      <c r="D136" s="36">
        <v>248</v>
      </c>
      <c r="E136" s="36">
        <v>27</v>
      </c>
      <c r="F136" s="36">
        <v>146</v>
      </c>
      <c r="G136" s="36">
        <v>3942</v>
      </c>
      <c r="H136" s="36">
        <v>29</v>
      </c>
      <c r="I136" s="36">
        <v>38</v>
      </c>
      <c r="J136" s="36">
        <v>9</v>
      </c>
      <c r="K136" s="36">
        <v>360</v>
      </c>
      <c r="L136" s="36">
        <v>3240</v>
      </c>
      <c r="M136" s="36">
        <v>0</v>
      </c>
      <c r="N136" s="36"/>
      <c r="O136" s="36"/>
      <c r="P136" s="36">
        <v>0</v>
      </c>
      <c r="Q136" s="36">
        <v>13393</v>
      </c>
      <c r="R136" s="36"/>
      <c r="S136" s="36">
        <f t="shared" si="4"/>
        <v>20575</v>
      </c>
      <c r="T136" s="25">
        <f t="shared" si="6"/>
        <v>-438</v>
      </c>
      <c r="U136" s="25">
        <f t="shared" si="7"/>
        <v>20137</v>
      </c>
      <c r="V136" s="36">
        <v>20575</v>
      </c>
      <c r="W136" s="25">
        <f t="shared" si="5"/>
        <v>-438</v>
      </c>
      <c r="Y136">
        <f t="shared" si="3"/>
        <v>0</v>
      </c>
    </row>
    <row r="137" spans="1:25" ht="15.75" hidden="1" thickBot="1" x14ac:dyDescent="0.3">
      <c r="A137" s="20"/>
      <c r="B137" s="21" t="s">
        <v>33</v>
      </c>
      <c r="C137" s="36">
        <v>248</v>
      </c>
      <c r="D137" s="36">
        <v>253</v>
      </c>
      <c r="E137" s="36">
        <v>5</v>
      </c>
      <c r="F137" s="36">
        <v>146</v>
      </c>
      <c r="G137" s="36">
        <v>730</v>
      </c>
      <c r="H137" s="36">
        <v>38</v>
      </c>
      <c r="I137" s="36">
        <v>56</v>
      </c>
      <c r="J137" s="36">
        <v>18</v>
      </c>
      <c r="K137" s="36">
        <v>360</v>
      </c>
      <c r="L137" s="36">
        <v>6480</v>
      </c>
      <c r="M137" s="36">
        <v>0</v>
      </c>
      <c r="N137" s="36"/>
      <c r="O137" s="36"/>
      <c r="P137" s="36">
        <v>0</v>
      </c>
      <c r="Q137" s="36">
        <v>13393</v>
      </c>
      <c r="R137" s="36"/>
      <c r="S137" s="36">
        <f t="shared" si="4"/>
        <v>20603</v>
      </c>
      <c r="T137" s="25">
        <f t="shared" si="6"/>
        <v>-438</v>
      </c>
      <c r="U137" s="25">
        <f t="shared" si="7"/>
        <v>20165</v>
      </c>
      <c r="V137" s="36">
        <v>20603</v>
      </c>
      <c r="W137" s="25">
        <f t="shared" si="5"/>
        <v>-438</v>
      </c>
      <c r="Y137">
        <f t="shared" ref="Y137:Y182" si="8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253</v>
      </c>
      <c r="D138" s="36">
        <v>328</v>
      </c>
      <c r="E138" s="36">
        <v>75</v>
      </c>
      <c r="F138" s="36">
        <v>146</v>
      </c>
      <c r="G138" s="36">
        <v>10950</v>
      </c>
      <c r="H138" s="36">
        <v>56</v>
      </c>
      <c r="I138" s="36">
        <v>111</v>
      </c>
      <c r="J138" s="36">
        <v>55</v>
      </c>
      <c r="K138" s="36">
        <v>360</v>
      </c>
      <c r="L138" s="36">
        <v>19800</v>
      </c>
      <c r="M138" s="36">
        <v>0</v>
      </c>
      <c r="N138" s="36"/>
      <c r="O138" s="36"/>
      <c r="P138" s="36">
        <v>0</v>
      </c>
      <c r="Q138" s="36">
        <v>13393</v>
      </c>
      <c r="R138" s="36"/>
      <c r="S138" s="36">
        <f t="shared" si="4"/>
        <v>44143</v>
      </c>
      <c r="T138" s="25">
        <f t="shared" si="6"/>
        <v>-438</v>
      </c>
      <c r="U138" s="25">
        <f t="shared" si="7"/>
        <v>43705</v>
      </c>
      <c r="V138" s="36">
        <v>44143</v>
      </c>
      <c r="W138" s="25">
        <f t="shared" si="5"/>
        <v>-438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35</v>
      </c>
      <c r="C139" s="36">
        <v>328</v>
      </c>
      <c r="D139" s="36">
        <v>415</v>
      </c>
      <c r="E139" s="36">
        <v>87</v>
      </c>
      <c r="F139" s="36">
        <v>146</v>
      </c>
      <c r="G139" s="36">
        <v>12702</v>
      </c>
      <c r="H139" s="36">
        <v>111</v>
      </c>
      <c r="I139" s="36">
        <v>169</v>
      </c>
      <c r="J139" s="36">
        <v>58</v>
      </c>
      <c r="K139" s="36">
        <v>360</v>
      </c>
      <c r="L139" s="36">
        <v>20880</v>
      </c>
      <c r="M139" s="36">
        <v>0</v>
      </c>
      <c r="N139" s="36"/>
      <c r="O139" s="36"/>
      <c r="P139" s="36">
        <v>0</v>
      </c>
      <c r="Q139" s="36">
        <v>13797</v>
      </c>
      <c r="R139" s="36"/>
      <c r="S139" s="36">
        <f t="shared" si="4"/>
        <v>47379</v>
      </c>
      <c r="T139" s="25">
        <f t="shared" si="6"/>
        <v>-438</v>
      </c>
      <c r="U139" s="25">
        <f t="shared" si="7"/>
        <v>46941</v>
      </c>
      <c r="V139" s="36">
        <v>47379</v>
      </c>
      <c r="W139" s="25">
        <f t="shared" si="5"/>
        <v>-438</v>
      </c>
      <c r="Y139">
        <f t="shared" si="8"/>
        <v>0</v>
      </c>
    </row>
    <row r="140" spans="1:25" ht="15.75" hidden="1" thickBot="1" x14ac:dyDescent="0.3">
      <c r="A140" s="20"/>
      <c r="B140" s="21" t="s">
        <v>24</v>
      </c>
      <c r="C140" s="36">
        <v>415</v>
      </c>
      <c r="D140" s="36">
        <v>505</v>
      </c>
      <c r="E140" s="36">
        <v>90</v>
      </c>
      <c r="F140" s="36">
        <v>146</v>
      </c>
      <c r="G140" s="36">
        <v>13140</v>
      </c>
      <c r="H140" s="36">
        <v>169</v>
      </c>
      <c r="I140" s="36">
        <v>254</v>
      </c>
      <c r="J140" s="36">
        <v>85</v>
      </c>
      <c r="K140" s="36">
        <v>360</v>
      </c>
      <c r="L140" s="36">
        <v>30600</v>
      </c>
      <c r="M140" s="36">
        <v>0</v>
      </c>
      <c r="N140" s="36"/>
      <c r="O140" s="36"/>
      <c r="P140" s="36">
        <v>0</v>
      </c>
      <c r="Q140" s="36">
        <v>13797</v>
      </c>
      <c r="R140" s="36"/>
      <c r="S140" s="36">
        <f t="shared" si="4"/>
        <v>57537</v>
      </c>
      <c r="T140" s="25">
        <f t="shared" si="6"/>
        <v>-438</v>
      </c>
      <c r="U140" s="25">
        <f t="shared" si="7"/>
        <v>57099</v>
      </c>
      <c r="V140" s="36">
        <v>57537</v>
      </c>
      <c r="W140" s="25">
        <f t="shared" si="5"/>
        <v>-438</v>
      </c>
      <c r="Y140">
        <f t="shared" si="8"/>
        <v>0</v>
      </c>
    </row>
    <row r="141" spans="1:25" ht="15.75" hidden="1" thickBot="1" x14ac:dyDescent="0.3">
      <c r="A141" s="20"/>
      <c r="B141" s="21" t="s">
        <v>25</v>
      </c>
      <c r="C141" s="36">
        <v>505</v>
      </c>
      <c r="D141" s="36">
        <v>548</v>
      </c>
      <c r="E141" s="36">
        <v>43</v>
      </c>
      <c r="F141" s="36">
        <v>146</v>
      </c>
      <c r="G141" s="36">
        <v>6278</v>
      </c>
      <c r="H141" s="36">
        <v>254</v>
      </c>
      <c r="I141" s="36">
        <v>318</v>
      </c>
      <c r="J141" s="36">
        <v>64</v>
      </c>
      <c r="K141" s="36">
        <v>360</v>
      </c>
      <c r="L141" s="36">
        <v>23040</v>
      </c>
      <c r="M141" s="36">
        <v>0</v>
      </c>
      <c r="N141" s="36"/>
      <c r="O141" s="36"/>
      <c r="P141" s="36">
        <v>0</v>
      </c>
      <c r="Q141" s="36">
        <v>13797</v>
      </c>
      <c r="R141" s="36"/>
      <c r="S141" s="36">
        <f t="shared" si="4"/>
        <v>43115</v>
      </c>
      <c r="T141" s="25">
        <f t="shared" si="6"/>
        <v>-438</v>
      </c>
      <c r="U141" s="25">
        <f t="shared" si="7"/>
        <v>42677</v>
      </c>
      <c r="V141" s="36">
        <v>43115</v>
      </c>
      <c r="W141" s="25">
        <f t="shared" si="5"/>
        <v>-438</v>
      </c>
      <c r="Y141">
        <f t="shared" si="8"/>
        <v>0</v>
      </c>
    </row>
    <row r="142" spans="1:25" ht="15.75" hidden="1" thickBot="1" x14ac:dyDescent="0.3">
      <c r="A142" s="20"/>
      <c r="B142" s="21" t="s">
        <v>26</v>
      </c>
      <c r="C142" s="36">
        <v>548</v>
      </c>
      <c r="D142" s="36">
        <v>570</v>
      </c>
      <c r="E142" s="36">
        <v>22</v>
      </c>
      <c r="F142" s="36">
        <v>146</v>
      </c>
      <c r="G142" s="36">
        <v>3212</v>
      </c>
      <c r="H142" s="36">
        <v>318</v>
      </c>
      <c r="I142" s="36">
        <v>446</v>
      </c>
      <c r="J142" s="36">
        <v>128</v>
      </c>
      <c r="K142" s="36"/>
      <c r="L142" s="36">
        <v>47520</v>
      </c>
      <c r="M142" s="36">
        <v>0</v>
      </c>
      <c r="N142" s="36"/>
      <c r="O142" s="36"/>
      <c r="P142" s="36">
        <v>0</v>
      </c>
      <c r="Q142" s="36">
        <v>13797</v>
      </c>
      <c r="R142" s="36"/>
      <c r="S142" s="36">
        <f t="shared" si="4"/>
        <v>64529</v>
      </c>
      <c r="T142" s="25">
        <f t="shared" si="6"/>
        <v>-438</v>
      </c>
      <c r="U142" s="25">
        <f t="shared" si="7"/>
        <v>64091</v>
      </c>
      <c r="V142" s="36">
        <v>64529</v>
      </c>
      <c r="W142" s="25">
        <f t="shared" si="5"/>
        <v>-438</v>
      </c>
      <c r="Y142">
        <f t="shared" si="8"/>
        <v>0</v>
      </c>
    </row>
    <row r="143" spans="1:25" ht="15.75" hidden="1" thickBot="1" x14ac:dyDescent="0.3">
      <c r="A143" s="20"/>
      <c r="B143" s="21" t="s">
        <v>27</v>
      </c>
      <c r="C143" s="36">
        <v>570</v>
      </c>
      <c r="D143" s="36">
        <v>573</v>
      </c>
      <c r="E143" s="36">
        <v>3</v>
      </c>
      <c r="F143" s="36">
        <v>146</v>
      </c>
      <c r="G143" s="36">
        <v>438</v>
      </c>
      <c r="H143" s="36">
        <v>446</v>
      </c>
      <c r="I143" s="36">
        <v>466</v>
      </c>
      <c r="J143" s="36">
        <v>20</v>
      </c>
      <c r="K143" s="36">
        <v>360</v>
      </c>
      <c r="L143" s="36">
        <v>7200</v>
      </c>
      <c r="M143" s="36">
        <v>0</v>
      </c>
      <c r="N143" s="36"/>
      <c r="O143" s="36"/>
      <c r="P143" s="36">
        <v>92016</v>
      </c>
      <c r="Q143" s="36">
        <v>13797</v>
      </c>
      <c r="R143" s="36"/>
      <c r="S143" s="36">
        <f t="shared" si="4"/>
        <v>113451</v>
      </c>
      <c r="T143" s="25">
        <f t="shared" si="6"/>
        <v>-438</v>
      </c>
      <c r="U143" s="25">
        <f t="shared" si="7"/>
        <v>113013</v>
      </c>
      <c r="V143" s="36">
        <v>113451</v>
      </c>
      <c r="W143" s="25">
        <f t="shared" si="5"/>
        <v>-438</v>
      </c>
      <c r="Y143">
        <f t="shared" si="8"/>
        <v>0</v>
      </c>
    </row>
    <row r="144" spans="1:25" ht="15.75" hidden="1" thickBot="1" x14ac:dyDescent="0.3">
      <c r="A144" s="20"/>
      <c r="B144" s="21" t="s">
        <v>28</v>
      </c>
      <c r="C144" s="36">
        <v>573</v>
      </c>
      <c r="D144" s="36">
        <v>652</v>
      </c>
      <c r="E144" s="36">
        <v>79</v>
      </c>
      <c r="F144" s="36">
        <v>146</v>
      </c>
      <c r="G144" s="36">
        <v>11534</v>
      </c>
      <c r="H144" s="36">
        <v>466</v>
      </c>
      <c r="I144" s="36">
        <v>475</v>
      </c>
      <c r="J144" s="36">
        <v>9</v>
      </c>
      <c r="K144" s="36">
        <v>360</v>
      </c>
      <c r="L144" s="36">
        <v>3240</v>
      </c>
      <c r="M144" s="36">
        <v>0</v>
      </c>
      <c r="N144" s="36"/>
      <c r="O144" s="36"/>
      <c r="P144" s="36">
        <v>0</v>
      </c>
      <c r="Q144" s="36">
        <v>13797</v>
      </c>
      <c r="R144" s="36"/>
      <c r="S144" s="36">
        <f t="shared" si="4"/>
        <v>28571</v>
      </c>
      <c r="T144" s="25">
        <f t="shared" si="6"/>
        <v>-438</v>
      </c>
      <c r="U144" s="25">
        <f t="shared" si="7"/>
        <v>28133</v>
      </c>
      <c r="V144" s="36">
        <v>28571</v>
      </c>
      <c r="W144" s="25">
        <f t="shared" si="5"/>
        <v>-438</v>
      </c>
      <c r="Y144">
        <f t="shared" si="8"/>
        <v>0</v>
      </c>
    </row>
    <row r="145" spans="1:25" ht="15.75" hidden="1" thickBot="1" x14ac:dyDescent="0.3">
      <c r="A145" s="20"/>
      <c r="B145" s="21" t="s">
        <v>29</v>
      </c>
      <c r="C145" s="36">
        <v>652</v>
      </c>
      <c r="D145" s="36">
        <v>655</v>
      </c>
      <c r="E145" s="36">
        <v>3</v>
      </c>
      <c r="F145" s="36">
        <v>146</v>
      </c>
      <c r="G145" s="36">
        <v>438</v>
      </c>
      <c r="H145" s="36">
        <v>475</v>
      </c>
      <c r="I145" s="36">
        <v>476</v>
      </c>
      <c r="J145" s="36">
        <v>1</v>
      </c>
      <c r="K145" s="36">
        <v>360</v>
      </c>
      <c r="L145" s="36">
        <v>360</v>
      </c>
      <c r="M145" s="36">
        <v>0</v>
      </c>
      <c r="N145" s="36"/>
      <c r="O145" s="36"/>
      <c r="P145" s="36">
        <v>0</v>
      </c>
      <c r="Q145" s="36">
        <v>13797</v>
      </c>
      <c r="R145" s="36"/>
      <c r="S145" s="36">
        <f t="shared" si="4"/>
        <v>14595</v>
      </c>
      <c r="T145" s="25">
        <f t="shared" si="6"/>
        <v>-438</v>
      </c>
      <c r="U145" s="25">
        <f t="shared" si="7"/>
        <v>14157</v>
      </c>
      <c r="V145" s="36">
        <v>14595</v>
      </c>
      <c r="W145" s="25">
        <f t="shared" si="5"/>
        <v>-438</v>
      </c>
      <c r="Y145">
        <f t="shared" si="8"/>
        <v>0</v>
      </c>
    </row>
    <row r="146" spans="1:25" ht="15.75" hidden="1" thickBot="1" x14ac:dyDescent="0.3">
      <c r="A146" s="20"/>
      <c r="B146" s="21" t="s">
        <v>30</v>
      </c>
      <c r="C146" s="36">
        <v>655</v>
      </c>
      <c r="D146" s="36">
        <v>655</v>
      </c>
      <c r="E146" s="36">
        <v>0</v>
      </c>
      <c r="F146" s="36">
        <v>146</v>
      </c>
      <c r="G146" s="36">
        <v>0</v>
      </c>
      <c r="H146" s="36">
        <v>476</v>
      </c>
      <c r="I146" s="36">
        <v>477</v>
      </c>
      <c r="J146" s="36">
        <v>1</v>
      </c>
      <c r="K146" s="36">
        <v>360</v>
      </c>
      <c r="L146" s="36">
        <v>360</v>
      </c>
      <c r="M146" s="36">
        <v>0</v>
      </c>
      <c r="N146" s="36"/>
      <c r="O146" s="36"/>
      <c r="P146" s="36">
        <v>0</v>
      </c>
      <c r="Q146" s="36">
        <v>13797</v>
      </c>
      <c r="R146" s="36"/>
      <c r="S146" s="36">
        <f t="shared" si="4"/>
        <v>14157</v>
      </c>
      <c r="T146" s="25">
        <f t="shared" si="6"/>
        <v>-438</v>
      </c>
      <c r="U146" s="25">
        <f t="shared" si="7"/>
        <v>13719</v>
      </c>
      <c r="V146" s="36">
        <v>14157</v>
      </c>
      <c r="W146" s="25">
        <f t="shared" si="5"/>
        <v>-438</v>
      </c>
      <c r="Y146">
        <f t="shared" si="8"/>
        <v>0</v>
      </c>
    </row>
    <row r="147" spans="1:25" ht="15.75" hidden="1" thickBot="1" x14ac:dyDescent="0.3">
      <c r="A147" s="20"/>
      <c r="B147" s="21" t="s">
        <v>31</v>
      </c>
      <c r="C147" s="36">
        <v>655</v>
      </c>
      <c r="D147" s="36">
        <v>655</v>
      </c>
      <c r="E147" s="36">
        <v>0</v>
      </c>
      <c r="F147" s="36">
        <v>146</v>
      </c>
      <c r="G147" s="36">
        <v>0</v>
      </c>
      <c r="H147" s="36">
        <v>477</v>
      </c>
      <c r="I147" s="36">
        <v>478</v>
      </c>
      <c r="J147" s="36">
        <v>1</v>
      </c>
      <c r="K147" s="36">
        <v>360</v>
      </c>
      <c r="L147" s="36">
        <v>360</v>
      </c>
      <c r="M147" s="36">
        <v>0</v>
      </c>
      <c r="N147" s="36"/>
      <c r="O147" s="36"/>
      <c r="P147" s="36">
        <v>0</v>
      </c>
      <c r="Q147" s="36">
        <v>13797</v>
      </c>
      <c r="R147" s="36"/>
      <c r="S147" s="36">
        <f t="shared" si="4"/>
        <v>14157</v>
      </c>
      <c r="T147" s="25">
        <f t="shared" si="6"/>
        <v>-438</v>
      </c>
      <c r="U147" s="25">
        <f t="shared" si="7"/>
        <v>13719</v>
      </c>
      <c r="V147" s="36">
        <v>14157</v>
      </c>
      <c r="W147" s="25">
        <f t="shared" si="5"/>
        <v>-438</v>
      </c>
      <c r="Y147">
        <f t="shared" si="8"/>
        <v>0</v>
      </c>
    </row>
    <row r="148" spans="1:25" ht="15.75" hidden="1" thickBot="1" x14ac:dyDescent="0.3">
      <c r="A148" s="20"/>
      <c r="B148" s="21" t="s">
        <v>32</v>
      </c>
      <c r="C148" s="36">
        <v>655</v>
      </c>
      <c r="D148" s="36">
        <v>661</v>
      </c>
      <c r="E148" s="36">
        <v>6</v>
      </c>
      <c r="F148" s="36">
        <v>146</v>
      </c>
      <c r="G148" s="36">
        <v>876</v>
      </c>
      <c r="H148" s="36">
        <v>478</v>
      </c>
      <c r="I148" s="36">
        <v>489</v>
      </c>
      <c r="J148" s="36">
        <v>11</v>
      </c>
      <c r="K148" s="36">
        <v>360</v>
      </c>
      <c r="L148" s="36">
        <v>3960</v>
      </c>
      <c r="M148" s="36">
        <v>0</v>
      </c>
      <c r="N148" s="36"/>
      <c r="O148" s="36"/>
      <c r="P148" s="36">
        <v>0</v>
      </c>
      <c r="Q148" s="36">
        <v>13797</v>
      </c>
      <c r="R148" s="36"/>
      <c r="S148" s="36">
        <f t="shared" si="4"/>
        <v>18633</v>
      </c>
      <c r="T148" s="25">
        <f t="shared" si="6"/>
        <v>-438</v>
      </c>
      <c r="U148" s="25">
        <f t="shared" si="7"/>
        <v>18195</v>
      </c>
      <c r="V148" s="36">
        <v>18633</v>
      </c>
      <c r="W148" s="25">
        <f t="shared" si="5"/>
        <v>-438</v>
      </c>
      <c r="Y148">
        <f t="shared" si="8"/>
        <v>0</v>
      </c>
    </row>
    <row r="149" spans="1:25" ht="15.75" hidden="1" thickBot="1" x14ac:dyDescent="0.3">
      <c r="A149" s="20"/>
      <c r="B149" s="21" t="s">
        <v>33</v>
      </c>
      <c r="C149" s="36">
        <v>661</v>
      </c>
      <c r="D149" s="36">
        <v>661</v>
      </c>
      <c r="E149" s="36">
        <v>0</v>
      </c>
      <c r="F149" s="36"/>
      <c r="G149" s="36">
        <v>0</v>
      </c>
      <c r="H149" s="36">
        <v>489</v>
      </c>
      <c r="I149" s="36">
        <v>489</v>
      </c>
      <c r="J149" s="36">
        <v>0</v>
      </c>
      <c r="K149" s="36"/>
      <c r="L149" s="36">
        <v>0</v>
      </c>
      <c r="M149" s="36">
        <v>0</v>
      </c>
      <c r="N149" s="36"/>
      <c r="O149" s="36"/>
      <c r="P149" s="36">
        <v>0</v>
      </c>
      <c r="Q149" s="36">
        <v>13797</v>
      </c>
      <c r="R149" s="36"/>
      <c r="S149" s="36">
        <f t="shared" si="4"/>
        <v>13797</v>
      </c>
      <c r="T149" s="25">
        <f t="shared" si="6"/>
        <v>-438</v>
      </c>
      <c r="U149" s="25">
        <f t="shared" si="7"/>
        <v>13359</v>
      </c>
      <c r="V149" s="36">
        <v>13797</v>
      </c>
      <c r="W149" s="25">
        <f t="shared" si="5"/>
        <v>-438</v>
      </c>
      <c r="Y149">
        <f t="shared" si="8"/>
        <v>0</v>
      </c>
    </row>
    <row r="150" spans="1:25" ht="15.75" hidden="1" thickBot="1" x14ac:dyDescent="0.3">
      <c r="A150" s="20"/>
      <c r="B150" s="21" t="s">
        <v>34</v>
      </c>
      <c r="C150" s="36">
        <v>661</v>
      </c>
      <c r="D150" s="36">
        <v>1142</v>
      </c>
      <c r="E150" s="36">
        <v>481</v>
      </c>
      <c r="F150" s="36">
        <v>146</v>
      </c>
      <c r="G150" s="36">
        <v>70226</v>
      </c>
      <c r="H150" s="36">
        <v>489</v>
      </c>
      <c r="I150" s="36">
        <v>523</v>
      </c>
      <c r="J150" s="36">
        <v>34</v>
      </c>
      <c r="K150" s="36">
        <v>360</v>
      </c>
      <c r="L150" s="36">
        <v>12240</v>
      </c>
      <c r="M150" s="36">
        <v>0</v>
      </c>
      <c r="N150" s="36"/>
      <c r="O150" s="36"/>
      <c r="P150" s="36">
        <v>18189</v>
      </c>
      <c r="Q150" s="36">
        <v>13797</v>
      </c>
      <c r="R150" s="36"/>
      <c r="S150" s="36">
        <f t="shared" si="4"/>
        <v>114452</v>
      </c>
      <c r="T150" s="25">
        <f t="shared" si="6"/>
        <v>-438</v>
      </c>
      <c r="U150" s="25">
        <f t="shared" si="7"/>
        <v>114014</v>
      </c>
      <c r="V150" s="36">
        <v>114452</v>
      </c>
      <c r="W150" s="25">
        <f t="shared" si="5"/>
        <v>-438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1142</v>
      </c>
      <c r="D151" s="36">
        <v>1456</v>
      </c>
      <c r="E151" s="36">
        <v>314</v>
      </c>
      <c r="F151" s="36">
        <v>146</v>
      </c>
      <c r="G151" s="36">
        <v>45844</v>
      </c>
      <c r="H151" s="36">
        <v>523</v>
      </c>
      <c r="I151" s="36">
        <v>565</v>
      </c>
      <c r="J151" s="36">
        <v>42</v>
      </c>
      <c r="K151" s="36">
        <v>360</v>
      </c>
      <c r="L151" s="36">
        <v>15120</v>
      </c>
      <c r="M151" s="36">
        <v>0</v>
      </c>
      <c r="N151" s="36"/>
      <c r="O151" s="36"/>
      <c r="P151" s="36">
        <v>20375</v>
      </c>
      <c r="Q151" s="36">
        <v>14438</v>
      </c>
      <c r="R151" s="36"/>
      <c r="S151" s="36">
        <f t="shared" si="4"/>
        <v>95777</v>
      </c>
      <c r="T151" s="25">
        <f t="shared" si="6"/>
        <v>-438</v>
      </c>
      <c r="U151" s="25">
        <f t="shared" si="7"/>
        <v>95339</v>
      </c>
      <c r="V151" s="36">
        <v>95777</v>
      </c>
      <c r="W151" s="25">
        <f t="shared" si="5"/>
        <v>-438</v>
      </c>
      <c r="Y151">
        <f t="shared" si="8"/>
        <v>0</v>
      </c>
    </row>
    <row r="152" spans="1:25" ht="15.75" hidden="1" thickBot="1" x14ac:dyDescent="0.3">
      <c r="A152" s="20"/>
      <c r="B152" s="21" t="s">
        <v>24</v>
      </c>
      <c r="C152" s="36">
        <v>1456</v>
      </c>
      <c r="D152" s="36">
        <v>1762</v>
      </c>
      <c r="E152" s="36">
        <v>306</v>
      </c>
      <c r="F152" s="36">
        <v>146</v>
      </c>
      <c r="G152" s="36">
        <v>44676</v>
      </c>
      <c r="H152" s="36">
        <v>565</v>
      </c>
      <c r="I152" s="36">
        <v>583</v>
      </c>
      <c r="J152" s="36">
        <v>18</v>
      </c>
      <c r="K152" s="36">
        <v>360</v>
      </c>
      <c r="L152" s="36">
        <v>6480</v>
      </c>
      <c r="M152" s="36">
        <v>0</v>
      </c>
      <c r="N152" s="36"/>
      <c r="O152" s="36"/>
      <c r="P152" s="36"/>
      <c r="Q152" s="36">
        <v>14438</v>
      </c>
      <c r="R152" s="36"/>
      <c r="S152" s="36">
        <f t="shared" si="4"/>
        <v>65594</v>
      </c>
      <c r="T152" s="25">
        <f t="shared" si="6"/>
        <v>-438</v>
      </c>
      <c r="U152" s="25">
        <f t="shared" si="7"/>
        <v>65156</v>
      </c>
      <c r="V152" s="36">
        <v>65594</v>
      </c>
      <c r="W152" s="25">
        <f t="shared" si="5"/>
        <v>-438</v>
      </c>
      <c r="Y152">
        <f t="shared" si="8"/>
        <v>0</v>
      </c>
    </row>
    <row r="153" spans="1:25" ht="15.75" hidden="1" thickBot="1" x14ac:dyDescent="0.3">
      <c r="A153" s="20"/>
      <c r="B153" s="21" t="s">
        <v>25</v>
      </c>
      <c r="C153" s="36">
        <v>1762</v>
      </c>
      <c r="D153" s="36">
        <v>2058</v>
      </c>
      <c r="E153" s="36">
        <v>296</v>
      </c>
      <c r="F153" s="36">
        <v>146</v>
      </c>
      <c r="G153" s="36">
        <v>43216</v>
      </c>
      <c r="H153" s="36">
        <v>583</v>
      </c>
      <c r="I153" s="36">
        <v>609</v>
      </c>
      <c r="J153" s="36">
        <v>26</v>
      </c>
      <c r="K153" s="36">
        <v>360</v>
      </c>
      <c r="L153" s="36">
        <v>9360</v>
      </c>
      <c r="M153" s="36">
        <v>0</v>
      </c>
      <c r="N153" s="36"/>
      <c r="O153" s="36"/>
      <c r="P153" s="36">
        <v>18375</v>
      </c>
      <c r="Q153" s="36">
        <v>14438</v>
      </c>
      <c r="R153" s="36"/>
      <c r="S153" s="36">
        <f t="shared" si="4"/>
        <v>85389</v>
      </c>
      <c r="T153" s="25">
        <f t="shared" si="6"/>
        <v>-438</v>
      </c>
      <c r="U153" s="25">
        <f t="shared" si="7"/>
        <v>84951</v>
      </c>
      <c r="V153" s="36">
        <v>85389</v>
      </c>
      <c r="W153" s="25">
        <f t="shared" si="5"/>
        <v>-438</v>
      </c>
      <c r="Y153">
        <f t="shared" si="8"/>
        <v>0</v>
      </c>
    </row>
    <row r="154" spans="1:25" ht="15.75" hidden="1" thickBot="1" x14ac:dyDescent="0.3">
      <c r="A154" s="20"/>
      <c r="B154" s="21" t="s">
        <v>26</v>
      </c>
      <c r="C154" s="36">
        <v>2058</v>
      </c>
      <c r="D154" s="36">
        <v>2086</v>
      </c>
      <c r="E154" s="36">
        <v>28</v>
      </c>
      <c r="F154" s="36">
        <v>146</v>
      </c>
      <c r="G154" s="36">
        <v>4088</v>
      </c>
      <c r="H154" s="36">
        <v>609</v>
      </c>
      <c r="I154" s="36">
        <v>615</v>
      </c>
      <c r="J154" s="36">
        <v>6</v>
      </c>
      <c r="K154" s="36">
        <v>360</v>
      </c>
      <c r="L154" s="36">
        <v>2160</v>
      </c>
      <c r="M154" s="36">
        <v>0</v>
      </c>
      <c r="N154" s="36"/>
      <c r="O154" s="36"/>
      <c r="P154" s="36">
        <v>3468</v>
      </c>
      <c r="Q154" s="36">
        <v>14438</v>
      </c>
      <c r="R154" s="36"/>
      <c r="S154" s="36">
        <f t="shared" si="4"/>
        <v>24154</v>
      </c>
      <c r="T154" s="25">
        <f t="shared" si="6"/>
        <v>-438</v>
      </c>
      <c r="U154" s="25">
        <f t="shared" si="7"/>
        <v>23716</v>
      </c>
      <c r="V154" s="36">
        <v>24154</v>
      </c>
      <c r="W154" s="25">
        <f t="shared" si="5"/>
        <v>-438</v>
      </c>
      <c r="Y154">
        <f t="shared" si="8"/>
        <v>0</v>
      </c>
    </row>
    <row r="155" spans="1:25" ht="15.75" hidden="1" thickBot="1" x14ac:dyDescent="0.3">
      <c r="A155" s="20"/>
      <c r="B155" s="21" t="s">
        <v>27</v>
      </c>
      <c r="C155" s="36">
        <v>2086</v>
      </c>
      <c r="D155" s="36">
        <v>2090</v>
      </c>
      <c r="E155" s="36">
        <v>4</v>
      </c>
      <c r="F155" s="36">
        <v>146</v>
      </c>
      <c r="G155" s="36">
        <v>584</v>
      </c>
      <c r="H155" s="36">
        <v>615</v>
      </c>
      <c r="I155" s="36">
        <v>634</v>
      </c>
      <c r="J155" s="36">
        <v>19</v>
      </c>
      <c r="K155" s="36">
        <v>360</v>
      </c>
      <c r="L155" s="36">
        <v>6840</v>
      </c>
      <c r="M155" s="36">
        <v>0</v>
      </c>
      <c r="N155" s="36"/>
      <c r="O155" s="36"/>
      <c r="P155" s="36">
        <v>3468</v>
      </c>
      <c r="Q155" s="36">
        <v>14438</v>
      </c>
      <c r="R155" s="36"/>
      <c r="S155" s="36">
        <f t="shared" si="4"/>
        <v>25330</v>
      </c>
      <c r="T155" s="25">
        <f t="shared" si="6"/>
        <v>-438</v>
      </c>
      <c r="U155" s="25">
        <f t="shared" si="7"/>
        <v>24892</v>
      </c>
      <c r="V155" s="36">
        <v>25330</v>
      </c>
      <c r="W155" s="25">
        <f t="shared" si="5"/>
        <v>-438</v>
      </c>
      <c r="Y155">
        <f t="shared" si="8"/>
        <v>0</v>
      </c>
    </row>
    <row r="156" spans="1:25" ht="15.75" hidden="1" thickBot="1" x14ac:dyDescent="0.3">
      <c r="A156" s="20"/>
      <c r="B156" s="21" t="s">
        <v>28</v>
      </c>
      <c r="C156" s="36">
        <v>2090</v>
      </c>
      <c r="D156" s="36">
        <v>2104</v>
      </c>
      <c r="E156" s="36">
        <v>14</v>
      </c>
      <c r="F156" s="36">
        <v>146</v>
      </c>
      <c r="G156" s="36">
        <v>2044</v>
      </c>
      <c r="H156" s="36">
        <v>634</v>
      </c>
      <c r="I156" s="36">
        <v>644</v>
      </c>
      <c r="J156" s="36">
        <v>10</v>
      </c>
      <c r="K156" s="36">
        <v>360</v>
      </c>
      <c r="L156" s="36">
        <v>3600</v>
      </c>
      <c r="M156" s="36">
        <v>0</v>
      </c>
      <c r="N156" s="36"/>
      <c r="O156" s="36"/>
      <c r="P156" s="36">
        <v>3468</v>
      </c>
      <c r="Q156" s="36">
        <v>14438</v>
      </c>
      <c r="R156" s="36"/>
      <c r="S156" s="36">
        <f t="shared" si="4"/>
        <v>23550</v>
      </c>
      <c r="T156" s="25">
        <f t="shared" si="6"/>
        <v>-438</v>
      </c>
      <c r="U156" s="25">
        <f t="shared" si="7"/>
        <v>23112</v>
      </c>
      <c r="V156" s="36">
        <v>23550</v>
      </c>
      <c r="W156" s="25">
        <f t="shared" si="5"/>
        <v>-438</v>
      </c>
      <c r="Y156">
        <f t="shared" si="8"/>
        <v>0</v>
      </c>
    </row>
    <row r="157" spans="1:25" ht="15.75" hidden="1" thickBot="1" x14ac:dyDescent="0.3">
      <c r="A157" s="20"/>
      <c r="B157" s="21" t="s">
        <v>29</v>
      </c>
      <c r="C157" s="36">
        <v>2104</v>
      </c>
      <c r="D157" s="36">
        <v>2133</v>
      </c>
      <c r="E157" s="36">
        <v>29</v>
      </c>
      <c r="F157" s="36">
        <v>146</v>
      </c>
      <c r="G157" s="36">
        <v>4234</v>
      </c>
      <c r="H157" s="36">
        <v>644</v>
      </c>
      <c r="I157" s="36">
        <v>650</v>
      </c>
      <c r="J157" s="36">
        <v>6</v>
      </c>
      <c r="K157" s="36">
        <v>360</v>
      </c>
      <c r="L157" s="36">
        <v>2160</v>
      </c>
      <c r="M157" s="36">
        <v>0</v>
      </c>
      <c r="N157" s="36"/>
      <c r="O157" s="36"/>
      <c r="P157" s="36">
        <v>46183</v>
      </c>
      <c r="Q157" s="36">
        <v>14438</v>
      </c>
      <c r="R157" s="36"/>
      <c r="S157" s="36">
        <f t="shared" si="4"/>
        <v>67015</v>
      </c>
      <c r="T157" s="25">
        <f t="shared" si="6"/>
        <v>-438</v>
      </c>
      <c r="U157" s="25">
        <f t="shared" si="7"/>
        <v>66577</v>
      </c>
      <c r="V157" s="36">
        <v>67015</v>
      </c>
      <c r="W157" s="25">
        <f t="shared" si="5"/>
        <v>-438</v>
      </c>
      <c r="Y157">
        <f t="shared" si="8"/>
        <v>0</v>
      </c>
    </row>
    <row r="158" spans="1:25" ht="15.75" hidden="1" thickBot="1" x14ac:dyDescent="0.3">
      <c r="A158" s="20"/>
      <c r="B158" s="21" t="s">
        <v>30</v>
      </c>
      <c r="C158" s="36">
        <v>2133</v>
      </c>
      <c r="D158" s="36">
        <v>2150</v>
      </c>
      <c r="E158" s="36">
        <v>17</v>
      </c>
      <c r="F158" s="36">
        <v>146</v>
      </c>
      <c r="G158" s="36">
        <v>2482</v>
      </c>
      <c r="H158" s="36">
        <v>650</v>
      </c>
      <c r="I158" s="36">
        <v>681</v>
      </c>
      <c r="J158" s="36">
        <v>31</v>
      </c>
      <c r="K158" s="36">
        <v>360</v>
      </c>
      <c r="L158" s="36">
        <v>11160</v>
      </c>
      <c r="M158" s="36">
        <v>0</v>
      </c>
      <c r="N158" s="36"/>
      <c r="O158" s="36"/>
      <c r="P158" s="36">
        <v>3468</v>
      </c>
      <c r="Q158" s="36">
        <v>14438</v>
      </c>
      <c r="R158" s="36"/>
      <c r="S158" s="36">
        <f t="shared" si="4"/>
        <v>31548</v>
      </c>
      <c r="T158" s="25">
        <f t="shared" si="6"/>
        <v>-438</v>
      </c>
      <c r="U158" s="25">
        <f t="shared" si="7"/>
        <v>31110</v>
      </c>
      <c r="V158" s="36">
        <v>31548</v>
      </c>
      <c r="W158" s="25">
        <f t="shared" ref="W158:W185" si="9">U158-V158</f>
        <v>-438</v>
      </c>
      <c r="Y158">
        <f t="shared" si="8"/>
        <v>0</v>
      </c>
    </row>
    <row r="159" spans="1:25" ht="15.75" hidden="1" thickBot="1" x14ac:dyDescent="0.3">
      <c r="A159" s="20"/>
      <c r="B159" s="21" t="s">
        <v>31</v>
      </c>
      <c r="C159" s="36">
        <v>2150</v>
      </c>
      <c r="D159" s="36">
        <v>2154</v>
      </c>
      <c r="E159" s="36">
        <v>4</v>
      </c>
      <c r="F159" s="36">
        <v>146</v>
      </c>
      <c r="G159" s="36">
        <v>584</v>
      </c>
      <c r="H159" s="36">
        <v>681</v>
      </c>
      <c r="I159" s="36">
        <v>765</v>
      </c>
      <c r="J159" s="36">
        <v>84</v>
      </c>
      <c r="K159" s="36">
        <v>360</v>
      </c>
      <c r="L159" s="36">
        <v>30240</v>
      </c>
      <c r="M159" s="36">
        <v>0</v>
      </c>
      <c r="N159" s="36"/>
      <c r="O159" s="36"/>
      <c r="P159" s="36"/>
      <c r="Q159" s="36">
        <v>14438</v>
      </c>
      <c r="R159" s="36"/>
      <c r="S159" s="36">
        <f t="shared" si="4"/>
        <v>45262</v>
      </c>
      <c r="T159" s="25">
        <f t="shared" si="6"/>
        <v>-438</v>
      </c>
      <c r="U159" s="25">
        <f t="shared" si="7"/>
        <v>44824</v>
      </c>
      <c r="V159" s="36">
        <v>48730</v>
      </c>
      <c r="W159" s="25">
        <f t="shared" si="9"/>
        <v>-3906</v>
      </c>
      <c r="Y159">
        <f t="shared" si="8"/>
        <v>0</v>
      </c>
    </row>
    <row r="160" spans="1:25" ht="15.75" hidden="1" thickBot="1" x14ac:dyDescent="0.3">
      <c r="A160" s="20"/>
      <c r="B160" s="21" t="s">
        <v>32</v>
      </c>
      <c r="C160" s="36">
        <v>2154</v>
      </c>
      <c r="D160" s="36">
        <v>2163</v>
      </c>
      <c r="E160" s="36">
        <v>9</v>
      </c>
      <c r="F160" s="36">
        <v>146</v>
      </c>
      <c r="G160" s="36">
        <v>1314</v>
      </c>
      <c r="H160" s="36">
        <v>765</v>
      </c>
      <c r="I160" s="36">
        <v>804</v>
      </c>
      <c r="J160" s="36">
        <v>39</v>
      </c>
      <c r="K160" s="36">
        <v>360</v>
      </c>
      <c r="L160" s="36">
        <v>14040</v>
      </c>
      <c r="M160" s="36">
        <v>0</v>
      </c>
      <c r="N160" s="36"/>
      <c r="O160" s="36"/>
      <c r="P160" s="36"/>
      <c r="Q160" s="36">
        <v>14438</v>
      </c>
      <c r="R160" s="36"/>
      <c r="S160" s="36">
        <f t="shared" si="4"/>
        <v>29792</v>
      </c>
      <c r="T160" s="25">
        <f t="shared" si="6"/>
        <v>-3906</v>
      </c>
      <c r="U160" s="25">
        <f t="shared" si="7"/>
        <v>25886</v>
      </c>
      <c r="V160" s="36">
        <v>26324</v>
      </c>
      <c r="W160" s="25">
        <f t="shared" si="9"/>
        <v>-438</v>
      </c>
      <c r="Y160">
        <f t="shared" si="8"/>
        <v>0</v>
      </c>
    </row>
    <row r="161" spans="1:25" ht="15.75" hidden="1" thickBot="1" x14ac:dyDescent="0.3">
      <c r="A161" s="20"/>
      <c r="B161" s="21" t="s">
        <v>33</v>
      </c>
      <c r="C161" s="36">
        <v>2163</v>
      </c>
      <c r="D161" s="36">
        <v>2351</v>
      </c>
      <c r="E161" s="36">
        <v>188</v>
      </c>
      <c r="F161" s="36">
        <v>146</v>
      </c>
      <c r="G161" s="36">
        <v>27448</v>
      </c>
      <c r="H161" s="36">
        <v>804</v>
      </c>
      <c r="I161" s="36">
        <v>815</v>
      </c>
      <c r="J161" s="36">
        <v>11</v>
      </c>
      <c r="K161" s="36">
        <v>360</v>
      </c>
      <c r="L161" s="36">
        <v>3960</v>
      </c>
      <c r="M161" s="36">
        <v>0</v>
      </c>
      <c r="N161" s="36"/>
      <c r="O161" s="36"/>
      <c r="P161" s="36"/>
      <c r="Q161" s="36">
        <v>14438</v>
      </c>
      <c r="R161" s="36"/>
      <c r="S161" s="36">
        <f t="shared" si="4"/>
        <v>45846</v>
      </c>
      <c r="T161" s="25">
        <f t="shared" si="6"/>
        <v>-438</v>
      </c>
      <c r="U161" s="25">
        <f t="shared" si="7"/>
        <v>45408</v>
      </c>
      <c r="V161" s="36"/>
      <c r="W161" s="25">
        <f t="shared" si="9"/>
        <v>45408</v>
      </c>
      <c r="Y161">
        <f t="shared" si="8"/>
        <v>1</v>
      </c>
    </row>
    <row r="162" spans="1:25" ht="15.75" hidden="1" thickBot="1" x14ac:dyDescent="0.3">
      <c r="A162" s="20"/>
      <c r="B162" s="21" t="s">
        <v>34</v>
      </c>
      <c r="C162" s="36">
        <v>2351</v>
      </c>
      <c r="D162" s="36">
        <v>2578</v>
      </c>
      <c r="E162" s="36">
        <v>227</v>
      </c>
      <c r="F162" s="36">
        <v>146</v>
      </c>
      <c r="G162" s="36">
        <v>33142</v>
      </c>
      <c r="H162" s="36">
        <v>815</v>
      </c>
      <c r="I162" s="36">
        <v>877</v>
      </c>
      <c r="J162" s="36">
        <v>62</v>
      </c>
      <c r="K162" s="36">
        <v>360</v>
      </c>
      <c r="L162" s="36">
        <v>22320</v>
      </c>
      <c r="M162" s="36">
        <v>0</v>
      </c>
      <c r="N162" s="36"/>
      <c r="O162" s="36"/>
      <c r="P162" s="36"/>
      <c r="Q162" s="36">
        <v>14438</v>
      </c>
      <c r="R162" s="36"/>
      <c r="S162" s="36">
        <f t="shared" ref="S162:S185" si="10">G162+L162+M162+N162+O162+P162+Q162+R162</f>
        <v>69900</v>
      </c>
      <c r="T162" s="25">
        <f t="shared" ref="T162:T185" si="11">W161</f>
        <v>45408</v>
      </c>
      <c r="U162" s="25">
        <f t="shared" ref="U162:U185" si="12">S162+T162</f>
        <v>115308</v>
      </c>
      <c r="V162" s="36">
        <v>115746</v>
      </c>
      <c r="W162" s="25">
        <f t="shared" si="9"/>
        <v>-438</v>
      </c>
      <c r="Y162">
        <f t="shared" si="8"/>
        <v>0</v>
      </c>
    </row>
    <row r="163" spans="1:25" ht="15.75" hidden="1" thickBot="1" x14ac:dyDescent="0.3">
      <c r="A163" s="20">
        <v>2016</v>
      </c>
      <c r="B163" s="21" t="s">
        <v>35</v>
      </c>
      <c r="C163" s="36">
        <v>2578</v>
      </c>
      <c r="D163" s="36">
        <v>2755</v>
      </c>
      <c r="E163" s="36">
        <v>177</v>
      </c>
      <c r="F163" s="36">
        <v>146</v>
      </c>
      <c r="G163" s="36">
        <v>25842</v>
      </c>
      <c r="H163" s="36">
        <v>877</v>
      </c>
      <c r="I163" s="36">
        <v>898</v>
      </c>
      <c r="J163" s="36">
        <v>21</v>
      </c>
      <c r="K163" s="36">
        <v>360</v>
      </c>
      <c r="L163" s="36">
        <v>7560</v>
      </c>
      <c r="M163" s="36">
        <v>0</v>
      </c>
      <c r="N163" s="36"/>
      <c r="O163" s="36"/>
      <c r="P163" s="36"/>
      <c r="Q163" s="36">
        <v>15073</v>
      </c>
      <c r="R163" s="36"/>
      <c r="S163" s="36">
        <f t="shared" si="10"/>
        <v>48475</v>
      </c>
      <c r="T163" s="25">
        <f t="shared" si="11"/>
        <v>-438</v>
      </c>
      <c r="U163" s="25">
        <f t="shared" si="12"/>
        <v>48037</v>
      </c>
      <c r="V163" s="36"/>
      <c r="W163" s="25">
        <f t="shared" si="9"/>
        <v>48037</v>
      </c>
      <c r="Y163">
        <f t="shared" si="8"/>
        <v>1</v>
      </c>
    </row>
    <row r="164" spans="1:25" ht="15.75" hidden="1" thickBot="1" x14ac:dyDescent="0.3">
      <c r="A164" s="20"/>
      <c r="B164" s="21" t="s">
        <v>24</v>
      </c>
      <c r="C164" s="36">
        <v>2755</v>
      </c>
      <c r="D164" s="36">
        <v>2874</v>
      </c>
      <c r="E164" s="36">
        <v>119</v>
      </c>
      <c r="F164" s="36">
        <v>146</v>
      </c>
      <c r="G164" s="36">
        <v>17374</v>
      </c>
      <c r="H164" s="36">
        <v>898</v>
      </c>
      <c r="I164" s="36">
        <v>909</v>
      </c>
      <c r="J164" s="36">
        <v>11</v>
      </c>
      <c r="K164" s="36">
        <v>360</v>
      </c>
      <c r="L164" s="36">
        <v>3960</v>
      </c>
      <c r="M164" s="36">
        <v>0</v>
      </c>
      <c r="N164" s="36"/>
      <c r="O164" s="36"/>
      <c r="P164" s="36">
        <v>39445</v>
      </c>
      <c r="Q164" s="36">
        <v>15073</v>
      </c>
      <c r="R164" s="36"/>
      <c r="S164" s="36">
        <f t="shared" si="10"/>
        <v>75852</v>
      </c>
      <c r="T164" s="25">
        <f t="shared" si="11"/>
        <v>48037</v>
      </c>
      <c r="U164" s="25">
        <f t="shared" si="12"/>
        <v>123889</v>
      </c>
      <c r="V164" s="36">
        <v>124327</v>
      </c>
      <c r="W164" s="25">
        <f t="shared" si="9"/>
        <v>-438</v>
      </c>
      <c r="Y164">
        <f t="shared" si="8"/>
        <v>0</v>
      </c>
    </row>
    <row r="165" spans="1:25" ht="15.75" hidden="1" thickBot="1" x14ac:dyDescent="0.3">
      <c r="A165" s="20"/>
      <c r="B165" s="21" t="s">
        <v>25</v>
      </c>
      <c r="C165" s="36">
        <v>2874</v>
      </c>
      <c r="D165" s="36">
        <v>3023</v>
      </c>
      <c r="E165" s="36">
        <v>149</v>
      </c>
      <c r="F165" s="36">
        <v>146</v>
      </c>
      <c r="G165" s="36">
        <v>21754</v>
      </c>
      <c r="H165" s="36">
        <v>909</v>
      </c>
      <c r="I165" s="36">
        <v>921</v>
      </c>
      <c r="J165" s="36">
        <v>12</v>
      </c>
      <c r="K165" s="36">
        <v>360</v>
      </c>
      <c r="L165" s="36">
        <v>4320</v>
      </c>
      <c r="M165" s="36">
        <v>0</v>
      </c>
      <c r="N165" s="36"/>
      <c r="O165" s="36"/>
      <c r="P165" s="36"/>
      <c r="Q165" s="36">
        <v>15073</v>
      </c>
      <c r="R165" s="36"/>
      <c r="S165" s="36">
        <f t="shared" si="10"/>
        <v>41147</v>
      </c>
      <c r="T165" s="25">
        <f t="shared" si="11"/>
        <v>-438</v>
      </c>
      <c r="U165" s="25">
        <f t="shared" si="12"/>
        <v>40709</v>
      </c>
      <c r="V165" s="36">
        <v>41147</v>
      </c>
      <c r="W165" s="25">
        <f t="shared" si="9"/>
        <v>-438</v>
      </c>
      <c r="Y165">
        <f t="shared" si="8"/>
        <v>0</v>
      </c>
    </row>
    <row r="166" spans="1:25" ht="15.75" hidden="1" thickBot="1" x14ac:dyDescent="0.3">
      <c r="A166" s="20"/>
      <c r="B166" s="21" t="s">
        <v>26</v>
      </c>
      <c r="C166" s="36">
        <v>3023</v>
      </c>
      <c r="D166" s="36">
        <v>3046</v>
      </c>
      <c r="E166" s="36">
        <v>23</v>
      </c>
      <c r="F166" s="36">
        <v>146</v>
      </c>
      <c r="G166" s="36">
        <v>3358</v>
      </c>
      <c r="H166" s="36">
        <v>921</v>
      </c>
      <c r="I166" s="36">
        <v>921</v>
      </c>
      <c r="J166" s="36">
        <v>0</v>
      </c>
      <c r="K166" s="36"/>
      <c r="L166" s="36">
        <v>0</v>
      </c>
      <c r="M166" s="36">
        <v>0</v>
      </c>
      <c r="N166" s="36"/>
      <c r="O166" s="36"/>
      <c r="P166" s="36"/>
      <c r="Q166" s="36">
        <v>15073</v>
      </c>
      <c r="R166" s="36"/>
      <c r="S166" s="36">
        <f t="shared" si="10"/>
        <v>18431</v>
      </c>
      <c r="T166" s="25">
        <f t="shared" si="11"/>
        <v>-438</v>
      </c>
      <c r="U166" s="25">
        <f t="shared" si="12"/>
        <v>17993</v>
      </c>
      <c r="V166" s="36">
        <v>18431</v>
      </c>
      <c r="W166" s="25">
        <f t="shared" si="9"/>
        <v>-438</v>
      </c>
      <c r="Y166">
        <f t="shared" si="8"/>
        <v>0</v>
      </c>
    </row>
    <row r="167" spans="1:25" ht="15.75" hidden="1" thickBot="1" x14ac:dyDescent="0.3">
      <c r="A167" s="20"/>
      <c r="B167" s="21" t="s">
        <v>27</v>
      </c>
      <c r="C167" s="36">
        <v>3046</v>
      </c>
      <c r="D167" s="36">
        <v>3047</v>
      </c>
      <c r="E167" s="36">
        <v>1</v>
      </c>
      <c r="F167" s="36">
        <v>146</v>
      </c>
      <c r="G167" s="36">
        <v>146</v>
      </c>
      <c r="H167" s="36">
        <v>921</v>
      </c>
      <c r="I167" s="36">
        <v>0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/>
      <c r="Q167" s="36">
        <v>15073</v>
      </c>
      <c r="R167" s="36"/>
      <c r="S167" s="36">
        <f t="shared" si="10"/>
        <v>15219</v>
      </c>
      <c r="T167" s="25">
        <f t="shared" si="11"/>
        <v>-438</v>
      </c>
      <c r="U167" s="25">
        <f t="shared" si="12"/>
        <v>14781</v>
      </c>
      <c r="V167" s="36">
        <v>15219</v>
      </c>
      <c r="W167" s="25">
        <f t="shared" si="9"/>
        <v>-438</v>
      </c>
      <c r="Y167">
        <f t="shared" si="8"/>
        <v>0</v>
      </c>
    </row>
    <row r="168" spans="1:25" ht="15.75" hidden="1" thickBot="1" x14ac:dyDescent="0.3">
      <c r="A168" s="20"/>
      <c r="B168" s="21" t="s">
        <v>28</v>
      </c>
      <c r="C168" s="36">
        <v>3047</v>
      </c>
      <c r="D168" s="36">
        <v>3062</v>
      </c>
      <c r="E168" s="36">
        <v>15</v>
      </c>
      <c r="F168" s="36">
        <v>146</v>
      </c>
      <c r="G168" s="36">
        <v>2190</v>
      </c>
      <c r="H168" s="36">
        <v>0</v>
      </c>
      <c r="I168" s="36">
        <v>2</v>
      </c>
      <c r="J168" s="36">
        <v>2</v>
      </c>
      <c r="K168" s="36">
        <v>360</v>
      </c>
      <c r="L168" s="36">
        <v>720</v>
      </c>
      <c r="M168" s="36">
        <v>0</v>
      </c>
      <c r="N168" s="36"/>
      <c r="O168" s="36"/>
      <c r="P168" s="36"/>
      <c r="Q168" s="36">
        <v>15073</v>
      </c>
      <c r="R168" s="36"/>
      <c r="S168" s="36">
        <f t="shared" si="10"/>
        <v>17983</v>
      </c>
      <c r="T168" s="25">
        <f t="shared" si="11"/>
        <v>-438</v>
      </c>
      <c r="U168" s="25">
        <f t="shared" si="12"/>
        <v>17545</v>
      </c>
      <c r="V168" s="36">
        <v>17983</v>
      </c>
      <c r="W168" s="25">
        <f t="shared" si="9"/>
        <v>-438</v>
      </c>
      <c r="Y168">
        <f t="shared" si="8"/>
        <v>0</v>
      </c>
    </row>
    <row r="169" spans="1:25" ht="15.75" hidden="1" thickBot="1" x14ac:dyDescent="0.3">
      <c r="A169" s="20"/>
      <c r="B169" s="21" t="s">
        <v>29</v>
      </c>
      <c r="C169" s="36">
        <v>3062</v>
      </c>
      <c r="D169" s="36">
        <v>3075</v>
      </c>
      <c r="E169" s="36">
        <v>13</v>
      </c>
      <c r="F169" s="36">
        <v>146</v>
      </c>
      <c r="G169" s="36">
        <v>1898</v>
      </c>
      <c r="H169" s="36">
        <v>2</v>
      </c>
      <c r="I169" s="36">
        <v>4</v>
      </c>
      <c r="J169" s="36">
        <v>2</v>
      </c>
      <c r="K169" s="36">
        <v>360</v>
      </c>
      <c r="L169" s="36">
        <v>720</v>
      </c>
      <c r="M169" s="36">
        <v>0</v>
      </c>
      <c r="N169" s="36"/>
      <c r="O169" s="36"/>
      <c r="P169" s="36">
        <v>5117</v>
      </c>
      <c r="Q169" s="36">
        <v>15073</v>
      </c>
      <c r="R169" s="36"/>
      <c r="S169" s="36">
        <f t="shared" si="10"/>
        <v>22808</v>
      </c>
      <c r="T169" s="25">
        <f t="shared" si="11"/>
        <v>-438</v>
      </c>
      <c r="U169" s="25">
        <f t="shared" si="12"/>
        <v>22370</v>
      </c>
      <c r="V169" s="36">
        <v>22808</v>
      </c>
      <c r="W169" s="25">
        <f t="shared" si="9"/>
        <v>-438</v>
      </c>
      <c r="Y169">
        <f t="shared" si="8"/>
        <v>0</v>
      </c>
    </row>
    <row r="170" spans="1:25" ht="15.75" hidden="1" thickBot="1" x14ac:dyDescent="0.3">
      <c r="A170" s="20"/>
      <c r="B170" s="21" t="s">
        <v>30</v>
      </c>
      <c r="C170" s="36">
        <v>3075</v>
      </c>
      <c r="D170" s="36">
        <v>3076</v>
      </c>
      <c r="E170" s="36">
        <v>1</v>
      </c>
      <c r="F170" s="36">
        <v>146</v>
      </c>
      <c r="G170" s="36">
        <v>146</v>
      </c>
      <c r="H170" s="36">
        <v>4</v>
      </c>
      <c r="I170" s="36">
        <v>62</v>
      </c>
      <c r="J170" s="36">
        <v>58</v>
      </c>
      <c r="K170" s="36">
        <v>360</v>
      </c>
      <c r="L170" s="36">
        <v>20880</v>
      </c>
      <c r="M170" s="36">
        <v>0</v>
      </c>
      <c r="N170" s="36"/>
      <c r="O170" s="36"/>
      <c r="P170" s="36">
        <v>125448</v>
      </c>
      <c r="Q170" s="36">
        <v>15073</v>
      </c>
      <c r="R170" s="36"/>
      <c r="S170" s="36">
        <f t="shared" si="10"/>
        <v>161547</v>
      </c>
      <c r="T170" s="25">
        <f t="shared" si="11"/>
        <v>-438</v>
      </c>
      <c r="U170" s="25">
        <f t="shared" si="12"/>
        <v>161109</v>
      </c>
      <c r="V170" s="36">
        <v>161547</v>
      </c>
      <c r="W170" s="25">
        <f t="shared" si="9"/>
        <v>-438</v>
      </c>
      <c r="Y170">
        <f t="shared" si="8"/>
        <v>0</v>
      </c>
    </row>
    <row r="171" spans="1:25" ht="15.75" hidden="1" thickBot="1" x14ac:dyDescent="0.3">
      <c r="A171" s="20"/>
      <c r="B171" s="21" t="s">
        <v>31</v>
      </c>
      <c r="C171" s="36">
        <v>3076</v>
      </c>
      <c r="D171" s="36">
        <v>3101</v>
      </c>
      <c r="E171" s="36">
        <v>25</v>
      </c>
      <c r="F171" s="36">
        <v>146</v>
      </c>
      <c r="G171" s="36">
        <v>3650</v>
      </c>
      <c r="H171" s="36">
        <v>62</v>
      </c>
      <c r="I171" s="36">
        <v>79</v>
      </c>
      <c r="J171" s="36">
        <v>17</v>
      </c>
      <c r="K171" s="36">
        <v>360</v>
      </c>
      <c r="L171" s="36">
        <v>6120</v>
      </c>
      <c r="M171" s="36">
        <v>0</v>
      </c>
      <c r="N171" s="36"/>
      <c r="O171" s="36"/>
      <c r="P171" s="36"/>
      <c r="Q171" s="36">
        <v>15073</v>
      </c>
      <c r="R171" s="36"/>
      <c r="S171" s="36">
        <f t="shared" si="10"/>
        <v>24843</v>
      </c>
      <c r="T171" s="25">
        <f t="shared" si="11"/>
        <v>-438</v>
      </c>
      <c r="U171" s="25">
        <f t="shared" si="12"/>
        <v>24405</v>
      </c>
      <c r="V171" s="36">
        <v>24843</v>
      </c>
      <c r="W171" s="25">
        <f t="shared" si="9"/>
        <v>-438</v>
      </c>
      <c r="Y171">
        <f t="shared" si="8"/>
        <v>0</v>
      </c>
    </row>
    <row r="172" spans="1:25" ht="15.75" hidden="1" thickBot="1" x14ac:dyDescent="0.3">
      <c r="A172" s="20"/>
      <c r="B172" s="21" t="s">
        <v>32</v>
      </c>
      <c r="C172" s="36">
        <v>3101</v>
      </c>
      <c r="D172" s="36">
        <v>3221</v>
      </c>
      <c r="E172" s="36">
        <v>120</v>
      </c>
      <c r="F172" s="36">
        <v>146</v>
      </c>
      <c r="G172" s="36">
        <v>17520</v>
      </c>
      <c r="H172" s="36">
        <v>79</v>
      </c>
      <c r="I172" s="36">
        <v>86</v>
      </c>
      <c r="J172" s="36">
        <v>7</v>
      </c>
      <c r="K172" s="36">
        <v>360</v>
      </c>
      <c r="L172" s="36">
        <v>2520</v>
      </c>
      <c r="M172" s="36">
        <v>0</v>
      </c>
      <c r="N172" s="36"/>
      <c r="O172" s="36"/>
      <c r="P172" s="36"/>
      <c r="Q172" s="36">
        <v>15073</v>
      </c>
      <c r="R172" s="36"/>
      <c r="S172" s="36">
        <f t="shared" si="10"/>
        <v>35113</v>
      </c>
      <c r="T172" s="25">
        <f t="shared" si="11"/>
        <v>-438</v>
      </c>
      <c r="U172" s="25">
        <f t="shared" si="12"/>
        <v>34675</v>
      </c>
      <c r="V172" s="36">
        <v>35113</v>
      </c>
      <c r="W172" s="25">
        <f t="shared" si="9"/>
        <v>-438</v>
      </c>
      <c r="Y172">
        <f t="shared" si="8"/>
        <v>0</v>
      </c>
    </row>
    <row r="173" spans="1:25" ht="15.75" hidden="1" thickBot="1" x14ac:dyDescent="0.3">
      <c r="A173" s="20"/>
      <c r="B173" s="21" t="s">
        <v>33</v>
      </c>
      <c r="C173" s="36">
        <v>3221</v>
      </c>
      <c r="D173" s="36">
        <v>3405</v>
      </c>
      <c r="E173" s="36">
        <v>184</v>
      </c>
      <c r="F173" s="36">
        <v>146</v>
      </c>
      <c r="G173" s="36">
        <v>26864</v>
      </c>
      <c r="H173" s="36">
        <v>86</v>
      </c>
      <c r="I173" s="36">
        <v>288</v>
      </c>
      <c r="J173" s="36">
        <v>202</v>
      </c>
      <c r="K173" s="36"/>
      <c r="L173" s="36">
        <v>139320</v>
      </c>
      <c r="M173" s="36">
        <v>0</v>
      </c>
      <c r="N173" s="36"/>
      <c r="O173" s="36"/>
      <c r="P173" s="36"/>
      <c r="Q173" s="36">
        <v>15073</v>
      </c>
      <c r="R173" s="36"/>
      <c r="S173" s="36">
        <f t="shared" si="10"/>
        <v>181257</v>
      </c>
      <c r="T173" s="25">
        <f t="shared" si="11"/>
        <v>-438</v>
      </c>
      <c r="U173" s="25">
        <f t="shared" si="12"/>
        <v>180819</v>
      </c>
      <c r="V173" s="36">
        <v>181257</v>
      </c>
      <c r="W173" s="25">
        <f t="shared" si="9"/>
        <v>-438</v>
      </c>
      <c r="Y173">
        <f t="shared" si="8"/>
        <v>0</v>
      </c>
    </row>
    <row r="174" spans="1:25" ht="15.75" hidden="1" thickBot="1" x14ac:dyDescent="0.3">
      <c r="A174" s="20"/>
      <c r="B174" s="21" t="s">
        <v>34</v>
      </c>
      <c r="C174" s="36">
        <v>3405</v>
      </c>
      <c r="D174" s="36">
        <v>3792</v>
      </c>
      <c r="E174" s="36">
        <v>387</v>
      </c>
      <c r="F174" s="36">
        <v>146</v>
      </c>
      <c r="G174" s="36">
        <v>56502</v>
      </c>
      <c r="H174" s="36">
        <v>288</v>
      </c>
      <c r="I174" s="36">
        <v>380</v>
      </c>
      <c r="J174" s="36">
        <v>92</v>
      </c>
      <c r="K174" s="36">
        <v>360</v>
      </c>
      <c r="L174" s="36">
        <v>33120</v>
      </c>
      <c r="M174" s="36">
        <v>0</v>
      </c>
      <c r="N174" s="36"/>
      <c r="O174" s="36"/>
      <c r="P174" s="36">
        <v>64167</v>
      </c>
      <c r="Q174" s="36">
        <v>15073</v>
      </c>
      <c r="R174" s="36"/>
      <c r="S174" s="36">
        <f t="shared" si="10"/>
        <v>168862</v>
      </c>
      <c r="T174" s="25">
        <f t="shared" si="11"/>
        <v>-438</v>
      </c>
      <c r="U174" s="25">
        <f t="shared" si="12"/>
        <v>168424</v>
      </c>
      <c r="V174" s="36">
        <v>168862</v>
      </c>
      <c r="W174" s="25">
        <f t="shared" si="9"/>
        <v>-438</v>
      </c>
      <c r="Y174">
        <f t="shared" si="8"/>
        <v>0</v>
      </c>
    </row>
    <row r="175" spans="1:25" hidden="1" x14ac:dyDescent="0.25">
      <c r="A175" s="20">
        <v>2017</v>
      </c>
      <c r="B175" s="47" t="s">
        <v>35</v>
      </c>
      <c r="C175" s="48">
        <v>3792</v>
      </c>
      <c r="D175" s="48">
        <v>4302</v>
      </c>
      <c r="E175" s="48">
        <v>510</v>
      </c>
      <c r="F175" s="48">
        <v>146</v>
      </c>
      <c r="G175" s="61">
        <v>74460</v>
      </c>
      <c r="H175" s="48">
        <v>380</v>
      </c>
      <c r="I175" s="48">
        <v>514</v>
      </c>
      <c r="J175" s="48">
        <v>134</v>
      </c>
      <c r="K175" s="48"/>
      <c r="L175" s="61">
        <v>77426</v>
      </c>
      <c r="M175" s="61">
        <v>0</v>
      </c>
      <c r="N175" s="61"/>
      <c r="O175" s="61"/>
      <c r="P175" s="61"/>
      <c r="Q175" s="61">
        <v>15481</v>
      </c>
      <c r="R175" s="61"/>
      <c r="S175" s="61">
        <f t="shared" si="10"/>
        <v>167367</v>
      </c>
      <c r="T175" s="49">
        <f t="shared" si="11"/>
        <v>-438</v>
      </c>
      <c r="U175" s="49">
        <f t="shared" si="12"/>
        <v>166929</v>
      </c>
      <c r="V175" s="45">
        <v>167367</v>
      </c>
      <c r="W175" s="49">
        <f t="shared" si="9"/>
        <v>-438</v>
      </c>
      <c r="Y175">
        <f t="shared" si="8"/>
        <v>0</v>
      </c>
    </row>
    <row r="176" spans="1:25" hidden="1" x14ac:dyDescent="0.25">
      <c r="A176" s="20"/>
      <c r="B176" s="50" t="s">
        <v>24</v>
      </c>
      <c r="C176" s="51">
        <v>4302</v>
      </c>
      <c r="D176" s="51">
        <v>5377</v>
      </c>
      <c r="E176" s="51">
        <v>1075</v>
      </c>
      <c r="F176" s="51">
        <v>146</v>
      </c>
      <c r="G176" s="62">
        <v>156950</v>
      </c>
      <c r="H176" s="51">
        <v>514</v>
      </c>
      <c r="I176" s="51">
        <v>514</v>
      </c>
      <c r="J176" s="51">
        <v>0</v>
      </c>
      <c r="K176" s="51">
        <v>360</v>
      </c>
      <c r="L176" s="62">
        <v>0</v>
      </c>
      <c r="M176" s="62">
        <v>0</v>
      </c>
      <c r="N176" s="62"/>
      <c r="O176" s="62"/>
      <c r="P176" s="62"/>
      <c r="Q176" s="62">
        <v>15481</v>
      </c>
      <c r="R176" s="62"/>
      <c r="S176" s="62">
        <f t="shared" si="10"/>
        <v>172431</v>
      </c>
      <c r="T176" s="52">
        <f t="shared" si="11"/>
        <v>-438</v>
      </c>
      <c r="U176" s="52">
        <f t="shared" si="12"/>
        <v>171993</v>
      </c>
      <c r="V176" s="46">
        <v>172431</v>
      </c>
      <c r="W176" s="52">
        <f t="shared" si="9"/>
        <v>-438</v>
      </c>
      <c r="Y176">
        <f t="shared" si="8"/>
        <v>0</v>
      </c>
    </row>
    <row r="177" spans="1:26" hidden="1" x14ac:dyDescent="0.25">
      <c r="A177" s="20"/>
      <c r="B177" s="50" t="s">
        <v>25</v>
      </c>
      <c r="C177" s="51">
        <v>5377</v>
      </c>
      <c r="D177" s="51">
        <v>6463</v>
      </c>
      <c r="E177" s="51">
        <v>1086</v>
      </c>
      <c r="F177" s="51">
        <v>146</v>
      </c>
      <c r="G177" s="62">
        <v>158556</v>
      </c>
      <c r="H177" s="51">
        <v>514</v>
      </c>
      <c r="I177" s="51">
        <v>514</v>
      </c>
      <c r="J177" s="51">
        <v>0</v>
      </c>
      <c r="K177" s="51">
        <v>360</v>
      </c>
      <c r="L177" s="62">
        <v>0</v>
      </c>
      <c r="M177" s="62">
        <v>0</v>
      </c>
      <c r="N177" s="62"/>
      <c r="O177" s="62">
        <v>54473</v>
      </c>
      <c r="P177" s="62"/>
      <c r="Q177" s="62">
        <v>15481</v>
      </c>
      <c r="R177" s="62"/>
      <c r="S177" s="62">
        <f>G177+L177+M177+N177+O177+P177+Q177+R177</f>
        <v>228510</v>
      </c>
      <c r="T177" s="52">
        <f t="shared" si="11"/>
        <v>-438</v>
      </c>
      <c r="U177" s="52">
        <f t="shared" si="12"/>
        <v>228072</v>
      </c>
      <c r="V177" s="46">
        <v>228510</v>
      </c>
      <c r="W177" s="52">
        <f t="shared" si="9"/>
        <v>-438</v>
      </c>
      <c r="Y177">
        <f t="shared" si="8"/>
        <v>0</v>
      </c>
    </row>
    <row r="178" spans="1:26" hidden="1" x14ac:dyDescent="0.25">
      <c r="A178" s="20"/>
      <c r="B178" s="50" t="s">
        <v>26</v>
      </c>
      <c r="C178" s="51">
        <v>6463</v>
      </c>
      <c r="D178" s="51">
        <v>6884</v>
      </c>
      <c r="E178" s="51">
        <v>421</v>
      </c>
      <c r="F178" s="51">
        <v>146</v>
      </c>
      <c r="G178" s="62">
        <v>61466</v>
      </c>
      <c r="H178" s="51">
        <v>514</v>
      </c>
      <c r="I178" s="51">
        <v>522</v>
      </c>
      <c r="J178" s="51">
        <v>8</v>
      </c>
      <c r="K178" s="51">
        <v>360</v>
      </c>
      <c r="L178" s="62">
        <v>2880</v>
      </c>
      <c r="M178" s="62">
        <v>0</v>
      </c>
      <c r="N178" s="62"/>
      <c r="O178" s="62">
        <v>22500</v>
      </c>
      <c r="P178" s="62"/>
      <c r="Q178" s="62">
        <v>15481</v>
      </c>
      <c r="R178" s="62"/>
      <c r="S178" s="62">
        <f>G178+L178+M178+N178+O178+P178+Q178+R178</f>
        <v>102327</v>
      </c>
      <c r="T178" s="52">
        <f t="shared" si="11"/>
        <v>-438</v>
      </c>
      <c r="U178" s="52">
        <f t="shared" si="12"/>
        <v>101889</v>
      </c>
      <c r="V178" s="46">
        <v>228510</v>
      </c>
      <c r="W178" s="52">
        <f t="shared" si="9"/>
        <v>-126621</v>
      </c>
      <c r="Y178">
        <f t="shared" si="8"/>
        <v>0</v>
      </c>
    </row>
    <row r="179" spans="1:26" hidden="1" x14ac:dyDescent="0.25">
      <c r="A179" s="20"/>
      <c r="B179" s="50" t="s">
        <v>27</v>
      </c>
      <c r="C179" s="51">
        <v>6884</v>
      </c>
      <c r="D179" s="51">
        <v>6932</v>
      </c>
      <c r="E179" s="51">
        <v>48</v>
      </c>
      <c r="F179" s="51">
        <v>146</v>
      </c>
      <c r="G179" s="62">
        <v>7008</v>
      </c>
      <c r="H179" s="51">
        <v>522</v>
      </c>
      <c r="I179" s="51">
        <v>532</v>
      </c>
      <c r="J179" s="51">
        <v>10</v>
      </c>
      <c r="K179" s="51">
        <v>360</v>
      </c>
      <c r="L179" s="62">
        <v>3600</v>
      </c>
      <c r="M179" s="62">
        <v>0</v>
      </c>
      <c r="N179" s="62"/>
      <c r="O179" s="62"/>
      <c r="P179" s="62"/>
      <c r="Q179" s="62">
        <v>15481</v>
      </c>
      <c r="R179" s="62"/>
      <c r="S179" s="62">
        <f t="shared" si="10"/>
        <v>26089</v>
      </c>
      <c r="T179" s="52">
        <f t="shared" si="11"/>
        <v>-126621</v>
      </c>
      <c r="U179" s="52">
        <f t="shared" si="12"/>
        <v>-100532</v>
      </c>
      <c r="V179" s="46"/>
      <c r="W179" s="52">
        <f t="shared" si="9"/>
        <v>-100532</v>
      </c>
      <c r="Y179">
        <f t="shared" si="8"/>
        <v>0</v>
      </c>
    </row>
    <row r="180" spans="1:26" hidden="1" x14ac:dyDescent="0.25">
      <c r="A180" s="20"/>
      <c r="B180" s="50" t="s">
        <v>28</v>
      </c>
      <c r="C180" s="51">
        <v>6932</v>
      </c>
      <c r="D180" s="51">
        <v>6955</v>
      </c>
      <c r="E180" s="51">
        <v>23</v>
      </c>
      <c r="F180" s="51">
        <v>146</v>
      </c>
      <c r="G180" s="62">
        <v>3358</v>
      </c>
      <c r="H180" s="51">
        <v>532</v>
      </c>
      <c r="I180" s="51">
        <v>547</v>
      </c>
      <c r="J180" s="51">
        <v>15</v>
      </c>
      <c r="K180" s="51">
        <v>360</v>
      </c>
      <c r="L180" s="62">
        <v>5400</v>
      </c>
      <c r="M180" s="62">
        <v>0</v>
      </c>
      <c r="N180" s="62"/>
      <c r="O180" s="62"/>
      <c r="P180" s="62"/>
      <c r="Q180" s="62">
        <v>15481</v>
      </c>
      <c r="R180" s="62"/>
      <c r="S180" s="62">
        <f t="shared" si="10"/>
        <v>24239</v>
      </c>
      <c r="T180" s="52">
        <f t="shared" si="11"/>
        <v>-100532</v>
      </c>
      <c r="U180" s="52">
        <f t="shared" si="12"/>
        <v>-76293</v>
      </c>
      <c r="V180" s="72"/>
      <c r="W180" s="52">
        <f t="shared" si="9"/>
        <v>-76293</v>
      </c>
      <c r="Y180">
        <f t="shared" si="8"/>
        <v>0</v>
      </c>
    </row>
    <row r="181" spans="1:26" hidden="1" x14ac:dyDescent="0.25">
      <c r="A181" s="20"/>
      <c r="B181" s="50" t="s">
        <v>29</v>
      </c>
      <c r="C181" s="51">
        <v>6955</v>
      </c>
      <c r="D181" s="51">
        <v>6960</v>
      </c>
      <c r="E181" s="51">
        <v>5</v>
      </c>
      <c r="F181" s="51">
        <v>146</v>
      </c>
      <c r="G181" s="62">
        <v>730</v>
      </c>
      <c r="H181" s="51">
        <v>547</v>
      </c>
      <c r="I181" s="51">
        <v>549</v>
      </c>
      <c r="J181" s="51">
        <v>2</v>
      </c>
      <c r="K181" s="51">
        <v>360</v>
      </c>
      <c r="L181" s="62">
        <v>720</v>
      </c>
      <c r="M181" s="62">
        <v>0</v>
      </c>
      <c r="N181" s="62"/>
      <c r="O181" s="62"/>
      <c r="P181" s="62"/>
      <c r="Q181" s="62">
        <v>15481</v>
      </c>
      <c r="R181" s="62"/>
      <c r="S181" s="62">
        <f t="shared" si="10"/>
        <v>16931</v>
      </c>
      <c r="T181" s="52">
        <f t="shared" si="11"/>
        <v>-76293</v>
      </c>
      <c r="U181" s="52">
        <f t="shared" si="12"/>
        <v>-59362</v>
      </c>
      <c r="V181" s="72"/>
      <c r="W181" s="52">
        <f t="shared" si="9"/>
        <v>-59362</v>
      </c>
      <c r="Y181">
        <f t="shared" si="8"/>
        <v>0</v>
      </c>
    </row>
    <row r="182" spans="1:26" hidden="1" x14ac:dyDescent="0.25">
      <c r="A182" s="20"/>
      <c r="B182" s="50" t="s">
        <v>30</v>
      </c>
      <c r="C182" s="51">
        <v>6960</v>
      </c>
      <c r="D182" s="51">
        <v>6990</v>
      </c>
      <c r="E182" s="51">
        <f>D182-C182</f>
        <v>30</v>
      </c>
      <c r="F182" s="51">
        <v>146</v>
      </c>
      <c r="G182" s="62">
        <f>F182*E182</f>
        <v>4380</v>
      </c>
      <c r="H182" s="51">
        <v>549</v>
      </c>
      <c r="I182" s="51">
        <v>555</v>
      </c>
      <c r="J182" s="51">
        <f>I182-H182</f>
        <v>6</v>
      </c>
      <c r="K182" s="51">
        <v>360</v>
      </c>
      <c r="L182" s="62">
        <f>K182*J182</f>
        <v>2160</v>
      </c>
      <c r="M182" s="62">
        <v>0</v>
      </c>
      <c r="N182" s="62"/>
      <c r="O182" s="62"/>
      <c r="P182" s="62"/>
      <c r="Q182" s="62">
        <v>15481</v>
      </c>
      <c r="R182" s="62"/>
      <c r="S182" s="62">
        <f t="shared" si="10"/>
        <v>22021</v>
      </c>
      <c r="T182" s="52">
        <f t="shared" si="11"/>
        <v>-59362</v>
      </c>
      <c r="U182" s="52">
        <f t="shared" si="12"/>
        <v>-37341</v>
      </c>
      <c r="V182" s="71"/>
      <c r="W182" s="52">
        <f t="shared" si="9"/>
        <v>-37341</v>
      </c>
      <c r="Y182">
        <f t="shared" si="8"/>
        <v>0</v>
      </c>
    </row>
    <row r="183" spans="1:26" hidden="1" x14ac:dyDescent="0.25">
      <c r="A183" s="20"/>
      <c r="B183" s="50" t="s">
        <v>31</v>
      </c>
      <c r="C183" s="51">
        <f>D182</f>
        <v>6990</v>
      </c>
      <c r="D183" s="51">
        <v>7096</v>
      </c>
      <c r="E183" s="51">
        <f t="shared" ref="E183:E186" si="13">D183-C183</f>
        <v>106</v>
      </c>
      <c r="F183" s="51">
        <v>146</v>
      </c>
      <c r="G183" s="62">
        <f t="shared" ref="G183:G186" si="14">F183*E183</f>
        <v>15476</v>
      </c>
      <c r="H183" s="51">
        <f>I182</f>
        <v>555</v>
      </c>
      <c r="I183" s="51">
        <v>573</v>
      </c>
      <c r="J183" s="51">
        <f t="shared" ref="J183:J186" si="15">I183-H183</f>
        <v>18</v>
      </c>
      <c r="K183" s="51">
        <v>360</v>
      </c>
      <c r="L183" s="62">
        <f t="shared" ref="L183:L186" si="16">K183*J183</f>
        <v>6480</v>
      </c>
      <c r="M183" s="62">
        <v>0</v>
      </c>
      <c r="N183" s="62"/>
      <c r="O183" s="62"/>
      <c r="P183" s="62"/>
      <c r="Q183" s="62">
        <v>15481</v>
      </c>
      <c r="R183" s="62"/>
      <c r="S183" s="62">
        <f t="shared" si="10"/>
        <v>37437</v>
      </c>
      <c r="T183" s="52">
        <f t="shared" si="11"/>
        <v>-37341</v>
      </c>
      <c r="U183" s="52">
        <f t="shared" si="12"/>
        <v>96</v>
      </c>
      <c r="V183" s="71"/>
      <c r="W183" s="52">
        <f t="shared" si="9"/>
        <v>96</v>
      </c>
    </row>
    <row r="184" spans="1:26" hidden="1" x14ac:dyDescent="0.25">
      <c r="A184" s="20"/>
      <c r="B184" s="50" t="s">
        <v>32</v>
      </c>
      <c r="C184" s="51">
        <f t="shared" ref="C184:C185" si="17">D183</f>
        <v>7096</v>
      </c>
      <c r="D184" s="51">
        <v>7139</v>
      </c>
      <c r="E184" s="51">
        <f t="shared" si="13"/>
        <v>43</v>
      </c>
      <c r="F184" s="51">
        <v>146</v>
      </c>
      <c r="G184" s="71">
        <f t="shared" si="14"/>
        <v>6278</v>
      </c>
      <c r="H184" s="51">
        <f t="shared" ref="H184:H186" si="18">I183</f>
        <v>573</v>
      </c>
      <c r="I184" s="51">
        <v>598</v>
      </c>
      <c r="J184" s="51">
        <f t="shared" si="15"/>
        <v>25</v>
      </c>
      <c r="K184" s="51">
        <v>360</v>
      </c>
      <c r="L184" s="62">
        <f t="shared" si="16"/>
        <v>9000</v>
      </c>
      <c r="M184" s="51">
        <v>0</v>
      </c>
      <c r="N184" s="51"/>
      <c r="O184" s="51"/>
      <c r="P184" s="51"/>
      <c r="Q184" s="62">
        <v>15481</v>
      </c>
      <c r="R184" s="51"/>
      <c r="S184" s="62">
        <f t="shared" si="10"/>
        <v>30759</v>
      </c>
      <c r="T184" s="52">
        <f t="shared" si="11"/>
        <v>96</v>
      </c>
      <c r="U184" s="52">
        <f t="shared" si="12"/>
        <v>30855</v>
      </c>
      <c r="V184" s="71">
        <v>30855</v>
      </c>
      <c r="W184" s="52">
        <f t="shared" si="9"/>
        <v>0</v>
      </c>
      <c r="Z184" s="64"/>
    </row>
    <row r="185" spans="1:26" hidden="1" x14ac:dyDescent="0.25">
      <c r="A185" s="20"/>
      <c r="B185" s="50" t="s">
        <v>33</v>
      </c>
      <c r="C185" s="51">
        <f t="shared" si="17"/>
        <v>7139</v>
      </c>
      <c r="D185" s="51">
        <v>7544</v>
      </c>
      <c r="E185" s="51">
        <f t="shared" si="13"/>
        <v>405</v>
      </c>
      <c r="F185" s="51">
        <v>146</v>
      </c>
      <c r="G185" s="71">
        <f t="shared" si="14"/>
        <v>59130</v>
      </c>
      <c r="H185" s="51">
        <f t="shared" si="18"/>
        <v>598</v>
      </c>
      <c r="I185" s="51">
        <v>599</v>
      </c>
      <c r="J185" s="51">
        <f t="shared" si="15"/>
        <v>1</v>
      </c>
      <c r="K185" s="51">
        <v>360</v>
      </c>
      <c r="L185" s="71">
        <f t="shared" si="16"/>
        <v>360</v>
      </c>
      <c r="M185" s="71">
        <v>0</v>
      </c>
      <c r="N185" s="71"/>
      <c r="O185" s="71">
        <v>2800</v>
      </c>
      <c r="P185" s="71">
        <v>0</v>
      </c>
      <c r="Q185" s="71">
        <v>15481</v>
      </c>
      <c r="R185" s="71"/>
      <c r="S185" s="71">
        <f t="shared" si="10"/>
        <v>77771</v>
      </c>
      <c r="T185" s="73">
        <f t="shared" si="11"/>
        <v>0</v>
      </c>
      <c r="U185" s="73">
        <f t="shared" si="12"/>
        <v>77771</v>
      </c>
      <c r="V185" s="71">
        <v>102971</v>
      </c>
      <c r="W185" s="73">
        <f t="shared" si="9"/>
        <v>-25200</v>
      </c>
    </row>
    <row r="186" spans="1:26" ht="15.75" hidden="1" thickBot="1" x14ac:dyDescent="0.3">
      <c r="A186" s="20"/>
      <c r="B186" s="74" t="s">
        <v>34</v>
      </c>
      <c r="C186" s="75">
        <f>D185</f>
        <v>7544</v>
      </c>
      <c r="D186" s="75">
        <v>7815</v>
      </c>
      <c r="E186" s="75">
        <f t="shared" si="13"/>
        <v>271</v>
      </c>
      <c r="F186" s="75">
        <v>146</v>
      </c>
      <c r="G186" s="76">
        <f t="shared" si="14"/>
        <v>39566</v>
      </c>
      <c r="H186" s="75">
        <f t="shared" si="18"/>
        <v>599</v>
      </c>
      <c r="I186" s="75">
        <v>617</v>
      </c>
      <c r="J186" s="75">
        <f t="shared" si="15"/>
        <v>18</v>
      </c>
      <c r="K186" s="75">
        <v>360</v>
      </c>
      <c r="L186" s="76">
        <f t="shared" si="16"/>
        <v>6480</v>
      </c>
      <c r="M186" s="76">
        <v>0</v>
      </c>
      <c r="N186" s="76"/>
      <c r="O186" s="76"/>
      <c r="P186" s="76">
        <v>0</v>
      </c>
      <c r="Q186" s="76">
        <v>15481</v>
      </c>
      <c r="R186" s="76"/>
      <c r="S186" s="76">
        <f>G186+L186+M186+N186+O186+P186+Q186+R186</f>
        <v>61527</v>
      </c>
      <c r="T186" s="77">
        <f>W185</f>
        <v>-25200</v>
      </c>
      <c r="U186" s="77">
        <f>S186+T186</f>
        <v>36327</v>
      </c>
      <c r="V186" s="76">
        <v>36327</v>
      </c>
      <c r="W186" s="77">
        <f>U186-V186</f>
        <v>0</v>
      </c>
    </row>
    <row r="187" spans="1:26" x14ac:dyDescent="0.25">
      <c r="A187">
        <v>2018</v>
      </c>
      <c r="B187" s="47" t="s">
        <v>35</v>
      </c>
      <c r="C187" s="48">
        <f t="shared" ref="C187:C198" si="19">D186</f>
        <v>7815</v>
      </c>
      <c r="D187" s="48">
        <v>9073</v>
      </c>
      <c r="E187" s="48">
        <f t="shared" ref="E187:E198" si="20">D187-C187</f>
        <v>1258</v>
      </c>
      <c r="F187" s="48">
        <v>146</v>
      </c>
      <c r="G187" s="70">
        <f t="shared" ref="G187:G198" si="21">F187*E187</f>
        <v>183668</v>
      </c>
      <c r="H187" s="48">
        <f t="shared" ref="H187:H198" si="22">I186</f>
        <v>617</v>
      </c>
      <c r="I187" s="48">
        <v>777</v>
      </c>
      <c r="J187" s="48">
        <f t="shared" ref="J187:J198" si="23">I187-H187</f>
        <v>160</v>
      </c>
      <c r="K187" s="113">
        <v>360</v>
      </c>
      <c r="L187" s="70">
        <f t="shared" ref="L187:L198" si="24">K187*J187</f>
        <v>57600</v>
      </c>
      <c r="M187" s="70">
        <v>0</v>
      </c>
      <c r="N187" s="70"/>
      <c r="O187" s="70">
        <v>4970</v>
      </c>
      <c r="P187" s="70">
        <v>0</v>
      </c>
      <c r="Q187" s="70">
        <v>15832</v>
      </c>
      <c r="R187" s="70"/>
      <c r="S187" s="70">
        <f t="shared" ref="S187:S192" si="25">G187+L187+M187+N187+O187+P187+Q187+R187</f>
        <v>262070</v>
      </c>
      <c r="T187" s="88">
        <f t="shared" ref="T187:T198" si="26">W186</f>
        <v>0</v>
      </c>
      <c r="U187" s="88">
        <f t="shared" ref="U187:U193" si="27">S187+T187</f>
        <v>262070</v>
      </c>
      <c r="V187" s="70">
        <v>262070</v>
      </c>
      <c r="W187" s="88">
        <f t="shared" ref="W187:W192" si="28">U187-V187</f>
        <v>0</v>
      </c>
    </row>
    <row r="188" spans="1:26" x14ac:dyDescent="0.25">
      <c r="B188" s="50" t="s">
        <v>24</v>
      </c>
      <c r="C188" s="51">
        <f t="shared" si="19"/>
        <v>9073</v>
      </c>
      <c r="D188" s="51">
        <v>9488</v>
      </c>
      <c r="E188" s="51">
        <f t="shared" si="20"/>
        <v>415</v>
      </c>
      <c r="F188" s="51">
        <v>146</v>
      </c>
      <c r="G188" s="71">
        <f t="shared" si="21"/>
        <v>60590</v>
      </c>
      <c r="H188" s="51">
        <f t="shared" si="22"/>
        <v>777</v>
      </c>
      <c r="I188" s="51">
        <v>790</v>
      </c>
      <c r="J188" s="51">
        <f t="shared" si="23"/>
        <v>13</v>
      </c>
      <c r="K188" s="109">
        <v>360</v>
      </c>
      <c r="L188" s="71">
        <f t="shared" si="24"/>
        <v>4680</v>
      </c>
      <c r="M188" s="71">
        <v>0</v>
      </c>
      <c r="N188" s="71"/>
      <c r="O188" s="71"/>
      <c r="P188" s="71">
        <v>0</v>
      </c>
      <c r="Q188" s="71">
        <v>15832</v>
      </c>
      <c r="R188" s="71"/>
      <c r="S188" s="71">
        <f t="shared" si="25"/>
        <v>81102</v>
      </c>
      <c r="T188" s="73">
        <f t="shared" si="26"/>
        <v>0</v>
      </c>
      <c r="U188" s="73">
        <f t="shared" si="27"/>
        <v>81102</v>
      </c>
      <c r="V188" s="71">
        <v>81102</v>
      </c>
      <c r="W188" s="73">
        <f t="shared" si="28"/>
        <v>0</v>
      </c>
    </row>
    <row r="189" spans="1:26" x14ac:dyDescent="0.25">
      <c r="B189" s="50" t="s">
        <v>25</v>
      </c>
      <c r="C189" s="51">
        <f t="shared" si="19"/>
        <v>9488</v>
      </c>
      <c r="D189" s="51">
        <v>9727</v>
      </c>
      <c r="E189" s="51">
        <f t="shared" si="20"/>
        <v>239</v>
      </c>
      <c r="F189" s="51">
        <v>146</v>
      </c>
      <c r="G189" s="71">
        <f t="shared" si="21"/>
        <v>34894</v>
      </c>
      <c r="H189" s="51">
        <f t="shared" si="22"/>
        <v>790</v>
      </c>
      <c r="I189" s="51">
        <v>793</v>
      </c>
      <c r="J189" s="51">
        <f t="shared" si="23"/>
        <v>3</v>
      </c>
      <c r="K189" s="109">
        <v>360</v>
      </c>
      <c r="L189" s="71">
        <f t="shared" si="24"/>
        <v>1080</v>
      </c>
      <c r="M189" s="71">
        <v>0</v>
      </c>
      <c r="N189" s="71"/>
      <c r="O189" s="71"/>
      <c r="P189" s="71">
        <v>0</v>
      </c>
      <c r="Q189" s="71">
        <v>15832</v>
      </c>
      <c r="R189" s="71"/>
      <c r="S189" s="71">
        <f t="shared" si="25"/>
        <v>51806</v>
      </c>
      <c r="T189" s="73">
        <f t="shared" si="26"/>
        <v>0</v>
      </c>
      <c r="U189" s="73">
        <f t="shared" si="27"/>
        <v>51806</v>
      </c>
      <c r="V189" s="71"/>
      <c r="W189" s="73">
        <f t="shared" si="28"/>
        <v>51806</v>
      </c>
    </row>
    <row r="190" spans="1:26" x14ac:dyDescent="0.25">
      <c r="B190" s="50" t="s">
        <v>26</v>
      </c>
      <c r="C190" s="51">
        <f t="shared" si="19"/>
        <v>9727</v>
      </c>
      <c r="D190" s="51">
        <v>10003</v>
      </c>
      <c r="E190" s="51">
        <f t="shared" si="20"/>
        <v>276</v>
      </c>
      <c r="F190" s="51">
        <v>146</v>
      </c>
      <c r="G190" s="71">
        <f t="shared" si="21"/>
        <v>40296</v>
      </c>
      <c r="H190" s="51">
        <f t="shared" si="22"/>
        <v>793</v>
      </c>
      <c r="I190" s="51">
        <v>806</v>
      </c>
      <c r="J190" s="51">
        <f t="shared" si="23"/>
        <v>13</v>
      </c>
      <c r="K190" s="109">
        <v>360</v>
      </c>
      <c r="L190" s="71">
        <f t="shared" si="24"/>
        <v>4680</v>
      </c>
      <c r="M190" s="71">
        <v>0</v>
      </c>
      <c r="N190" s="71"/>
      <c r="O190" s="71">
        <v>42500</v>
      </c>
      <c r="P190" s="71">
        <v>0</v>
      </c>
      <c r="Q190" s="71">
        <v>15832</v>
      </c>
      <c r="R190" s="71"/>
      <c r="S190" s="71">
        <f t="shared" si="25"/>
        <v>103308</v>
      </c>
      <c r="T190" s="73">
        <f t="shared" si="26"/>
        <v>51806</v>
      </c>
      <c r="U190" s="73">
        <f t="shared" si="27"/>
        <v>155114</v>
      </c>
      <c r="V190" s="71">
        <v>155114</v>
      </c>
      <c r="W190" s="73">
        <f t="shared" si="28"/>
        <v>0</v>
      </c>
    </row>
    <row r="191" spans="1:26" x14ac:dyDescent="0.25">
      <c r="B191" s="90" t="s">
        <v>27</v>
      </c>
      <c r="C191" s="91">
        <f t="shared" si="19"/>
        <v>10003</v>
      </c>
      <c r="D191" s="91">
        <v>10381</v>
      </c>
      <c r="E191" s="91">
        <f t="shared" si="20"/>
        <v>378</v>
      </c>
      <c r="F191" s="91">
        <v>146</v>
      </c>
      <c r="G191" s="92">
        <f t="shared" si="21"/>
        <v>55188</v>
      </c>
      <c r="H191" s="91">
        <f t="shared" si="22"/>
        <v>806</v>
      </c>
      <c r="I191" s="91">
        <v>807</v>
      </c>
      <c r="J191" s="91">
        <f t="shared" si="23"/>
        <v>1</v>
      </c>
      <c r="K191" s="114">
        <v>360</v>
      </c>
      <c r="L191" s="92">
        <f t="shared" si="24"/>
        <v>360</v>
      </c>
      <c r="M191" s="92">
        <v>0</v>
      </c>
      <c r="N191" s="92"/>
      <c r="O191" s="92"/>
      <c r="P191" s="92">
        <v>0</v>
      </c>
      <c r="Q191" s="92">
        <v>15832</v>
      </c>
      <c r="R191" s="92"/>
      <c r="S191" s="92">
        <f t="shared" si="25"/>
        <v>71380</v>
      </c>
      <c r="T191" s="72">
        <f t="shared" si="26"/>
        <v>0</v>
      </c>
      <c r="U191" s="72">
        <f t="shared" si="27"/>
        <v>71380</v>
      </c>
      <c r="V191" s="92">
        <v>71380</v>
      </c>
      <c r="W191" s="72">
        <f t="shared" si="28"/>
        <v>0</v>
      </c>
    </row>
    <row r="192" spans="1:26" x14ac:dyDescent="0.25">
      <c r="B192" s="50" t="s">
        <v>28</v>
      </c>
      <c r="C192" s="51">
        <f t="shared" si="19"/>
        <v>10381</v>
      </c>
      <c r="D192" s="51">
        <v>10466</v>
      </c>
      <c r="E192" s="51">
        <f t="shared" si="20"/>
        <v>85</v>
      </c>
      <c r="F192" s="51">
        <v>146</v>
      </c>
      <c r="G192" s="71">
        <f t="shared" si="21"/>
        <v>12410</v>
      </c>
      <c r="H192" s="51">
        <f t="shared" si="22"/>
        <v>807</v>
      </c>
      <c r="I192" s="51">
        <v>807</v>
      </c>
      <c r="J192" s="51">
        <f t="shared" si="23"/>
        <v>0</v>
      </c>
      <c r="K192" s="109">
        <v>360</v>
      </c>
      <c r="L192" s="71">
        <f t="shared" si="24"/>
        <v>0</v>
      </c>
      <c r="M192" s="71">
        <v>0</v>
      </c>
      <c r="N192" s="71"/>
      <c r="O192" s="71">
        <v>104167</v>
      </c>
      <c r="P192" s="71">
        <v>0</v>
      </c>
      <c r="Q192" s="71">
        <v>15832</v>
      </c>
      <c r="R192" s="71"/>
      <c r="S192" s="71">
        <f t="shared" si="25"/>
        <v>132409</v>
      </c>
      <c r="T192" s="73">
        <f t="shared" si="26"/>
        <v>0</v>
      </c>
      <c r="U192" s="73">
        <f t="shared" si="27"/>
        <v>132409</v>
      </c>
      <c r="V192" s="71">
        <v>132409</v>
      </c>
      <c r="W192" s="73">
        <f t="shared" si="28"/>
        <v>0</v>
      </c>
    </row>
    <row r="193" spans="1:23" x14ac:dyDescent="0.25">
      <c r="B193" s="50" t="s">
        <v>29</v>
      </c>
      <c r="C193" s="51">
        <f t="shared" si="19"/>
        <v>10466</v>
      </c>
      <c r="D193" s="51">
        <v>10561</v>
      </c>
      <c r="E193" s="51">
        <f t="shared" si="20"/>
        <v>95</v>
      </c>
      <c r="F193" s="51">
        <v>146</v>
      </c>
      <c r="G193" s="71">
        <f t="shared" si="21"/>
        <v>13870</v>
      </c>
      <c r="H193" s="51">
        <f t="shared" si="22"/>
        <v>807</v>
      </c>
      <c r="I193" s="51">
        <v>807</v>
      </c>
      <c r="J193" s="51">
        <f t="shared" si="23"/>
        <v>0</v>
      </c>
      <c r="K193" s="109">
        <v>360</v>
      </c>
      <c r="L193" s="71">
        <f t="shared" si="24"/>
        <v>0</v>
      </c>
      <c r="M193" s="71">
        <v>0</v>
      </c>
      <c r="N193" s="71"/>
      <c r="O193" s="71">
        <v>33430</v>
      </c>
      <c r="P193" s="71">
        <v>0</v>
      </c>
      <c r="Q193" s="71">
        <v>15832</v>
      </c>
      <c r="R193" s="71"/>
      <c r="S193" s="71">
        <f t="shared" ref="S193:S198" si="29">G193+L193+M193+N193+O193+P193+Q193+R193</f>
        <v>63132</v>
      </c>
      <c r="T193" s="73">
        <f t="shared" si="26"/>
        <v>0</v>
      </c>
      <c r="U193" s="73">
        <f t="shared" si="27"/>
        <v>63132</v>
      </c>
      <c r="V193" s="71">
        <v>63132</v>
      </c>
      <c r="W193" s="73">
        <f t="shared" ref="W193:W198" si="30">U193-V193</f>
        <v>0</v>
      </c>
    </row>
    <row r="194" spans="1:23" ht="15.75" customHeight="1" x14ac:dyDescent="0.25">
      <c r="B194" s="50" t="s">
        <v>30</v>
      </c>
      <c r="C194" s="51">
        <f t="shared" si="19"/>
        <v>10561</v>
      </c>
      <c r="D194" s="51">
        <v>10653</v>
      </c>
      <c r="E194" s="51">
        <f t="shared" si="20"/>
        <v>92</v>
      </c>
      <c r="F194" s="51">
        <v>146</v>
      </c>
      <c r="G194" s="71">
        <f t="shared" si="21"/>
        <v>13432</v>
      </c>
      <c r="H194" s="51">
        <f t="shared" si="22"/>
        <v>807</v>
      </c>
      <c r="I194" s="51">
        <v>807</v>
      </c>
      <c r="J194" s="51">
        <f t="shared" si="23"/>
        <v>0</v>
      </c>
      <c r="K194" s="109">
        <v>360</v>
      </c>
      <c r="L194" s="71">
        <f t="shared" si="24"/>
        <v>0</v>
      </c>
      <c r="M194" s="71">
        <v>0</v>
      </c>
      <c r="N194" s="71"/>
      <c r="O194" s="71"/>
      <c r="P194" s="71">
        <v>0</v>
      </c>
      <c r="Q194" s="71">
        <v>15832</v>
      </c>
      <c r="R194" s="71"/>
      <c r="S194" s="71">
        <f t="shared" si="29"/>
        <v>29264</v>
      </c>
      <c r="T194" s="73">
        <f t="shared" si="26"/>
        <v>0</v>
      </c>
      <c r="U194" s="73">
        <f>S194+T194</f>
        <v>29264</v>
      </c>
      <c r="V194" s="71">
        <v>29264</v>
      </c>
      <c r="W194" s="73">
        <f t="shared" si="30"/>
        <v>0</v>
      </c>
    </row>
    <row r="195" spans="1:23" ht="15.75" customHeight="1" x14ac:dyDescent="0.25">
      <c r="B195" s="50" t="s">
        <v>31</v>
      </c>
      <c r="C195" s="51">
        <f t="shared" si="19"/>
        <v>10653</v>
      </c>
      <c r="D195" s="51">
        <v>10755</v>
      </c>
      <c r="E195" s="51">
        <f t="shared" si="20"/>
        <v>102</v>
      </c>
      <c r="F195" s="51">
        <v>146</v>
      </c>
      <c r="G195" s="71">
        <f t="shared" si="21"/>
        <v>14892</v>
      </c>
      <c r="H195" s="51">
        <f t="shared" si="22"/>
        <v>807</v>
      </c>
      <c r="I195" s="51">
        <v>807</v>
      </c>
      <c r="J195" s="51">
        <f t="shared" si="23"/>
        <v>0</v>
      </c>
      <c r="K195" s="109">
        <v>360</v>
      </c>
      <c r="L195" s="71">
        <f t="shared" si="24"/>
        <v>0</v>
      </c>
      <c r="M195" s="71">
        <v>0</v>
      </c>
      <c r="N195" s="71"/>
      <c r="O195" s="71"/>
      <c r="P195" s="71">
        <v>0</v>
      </c>
      <c r="Q195" s="71">
        <v>15832</v>
      </c>
      <c r="R195" s="71"/>
      <c r="S195" s="71">
        <f t="shared" si="29"/>
        <v>30724</v>
      </c>
      <c r="T195" s="73">
        <f t="shared" si="26"/>
        <v>0</v>
      </c>
      <c r="U195" s="73">
        <f>S195+T195</f>
        <v>30724</v>
      </c>
      <c r="V195" s="71">
        <v>30724</v>
      </c>
      <c r="W195" s="73">
        <f t="shared" si="30"/>
        <v>0</v>
      </c>
    </row>
    <row r="196" spans="1:23" x14ac:dyDescent="0.25">
      <c r="B196" s="50" t="s">
        <v>32</v>
      </c>
      <c r="C196" s="51">
        <f t="shared" si="19"/>
        <v>10755</v>
      </c>
      <c r="D196" s="51">
        <v>10899</v>
      </c>
      <c r="E196" s="51">
        <f t="shared" si="20"/>
        <v>144</v>
      </c>
      <c r="F196" s="51">
        <v>146</v>
      </c>
      <c r="G196" s="71">
        <f t="shared" si="21"/>
        <v>21024</v>
      </c>
      <c r="H196" s="51">
        <f t="shared" si="22"/>
        <v>807</v>
      </c>
      <c r="I196" s="51">
        <v>807</v>
      </c>
      <c r="J196" s="51">
        <f t="shared" si="23"/>
        <v>0</v>
      </c>
      <c r="K196" s="109">
        <v>1230</v>
      </c>
      <c r="L196" s="71">
        <f t="shared" si="24"/>
        <v>0</v>
      </c>
      <c r="M196" s="71">
        <v>0</v>
      </c>
      <c r="N196" s="71"/>
      <c r="O196" s="71">
        <v>33333</v>
      </c>
      <c r="P196" s="71">
        <v>0</v>
      </c>
      <c r="Q196" s="71">
        <v>15832</v>
      </c>
      <c r="R196" s="71"/>
      <c r="S196" s="71">
        <f t="shared" si="29"/>
        <v>70189</v>
      </c>
      <c r="T196" s="73">
        <f t="shared" si="26"/>
        <v>0</v>
      </c>
      <c r="U196" s="73">
        <f>S196+T196</f>
        <v>70189</v>
      </c>
      <c r="V196" s="71">
        <v>70189</v>
      </c>
      <c r="W196" s="73">
        <f t="shared" si="30"/>
        <v>0</v>
      </c>
    </row>
    <row r="197" spans="1:23" x14ac:dyDescent="0.25">
      <c r="B197" s="50" t="s">
        <v>33</v>
      </c>
      <c r="C197" s="51">
        <f t="shared" si="19"/>
        <v>10899</v>
      </c>
      <c r="D197" s="51">
        <v>11173</v>
      </c>
      <c r="E197" s="51">
        <f t="shared" si="20"/>
        <v>274</v>
      </c>
      <c r="F197" s="51">
        <v>146</v>
      </c>
      <c r="G197" s="71">
        <f t="shared" si="21"/>
        <v>40004</v>
      </c>
      <c r="H197" s="51">
        <f t="shared" si="22"/>
        <v>807</v>
      </c>
      <c r="I197" s="51">
        <v>807</v>
      </c>
      <c r="J197" s="51">
        <f t="shared" si="23"/>
        <v>0</v>
      </c>
      <c r="K197" s="109">
        <v>1230</v>
      </c>
      <c r="L197" s="71">
        <f t="shared" si="24"/>
        <v>0</v>
      </c>
      <c r="M197" s="71">
        <v>0</v>
      </c>
      <c r="N197" s="71"/>
      <c r="O197" s="71"/>
      <c r="P197" s="71">
        <v>0</v>
      </c>
      <c r="Q197" s="71"/>
      <c r="R197" s="71"/>
      <c r="S197" s="71">
        <f t="shared" si="29"/>
        <v>40004</v>
      </c>
      <c r="T197" s="73">
        <f t="shared" si="26"/>
        <v>0</v>
      </c>
      <c r="U197" s="73">
        <f>S197+T197</f>
        <v>40004</v>
      </c>
      <c r="V197" s="71">
        <v>40004</v>
      </c>
      <c r="W197" s="73">
        <f t="shared" si="30"/>
        <v>0</v>
      </c>
    </row>
    <row r="198" spans="1:23" ht="15.75" thickBot="1" x14ac:dyDescent="0.3">
      <c r="B198" s="74" t="s">
        <v>34</v>
      </c>
      <c r="C198" s="75">
        <f t="shared" si="19"/>
        <v>11173</v>
      </c>
      <c r="D198" s="75">
        <v>11497</v>
      </c>
      <c r="E198" s="75">
        <f t="shared" si="20"/>
        <v>324</v>
      </c>
      <c r="F198" s="75">
        <v>146</v>
      </c>
      <c r="G198" s="76">
        <f t="shared" si="21"/>
        <v>47304</v>
      </c>
      <c r="H198" s="75">
        <f t="shared" si="22"/>
        <v>807</v>
      </c>
      <c r="I198" s="75">
        <v>807</v>
      </c>
      <c r="J198" s="75">
        <f t="shared" si="23"/>
        <v>0</v>
      </c>
      <c r="K198" s="110">
        <v>1230</v>
      </c>
      <c r="L198" s="76">
        <f t="shared" si="24"/>
        <v>0</v>
      </c>
      <c r="M198" s="76">
        <v>0</v>
      </c>
      <c r="N198" s="76"/>
      <c r="O198" s="76"/>
      <c r="P198" s="76">
        <v>0</v>
      </c>
      <c r="Q198" s="76"/>
      <c r="R198" s="76"/>
      <c r="S198" s="76">
        <f t="shared" si="29"/>
        <v>47304</v>
      </c>
      <c r="T198" s="77">
        <f t="shared" si="26"/>
        <v>0</v>
      </c>
      <c r="U198" s="77">
        <f>S198+T198</f>
        <v>47304</v>
      </c>
      <c r="V198" s="76">
        <v>47304</v>
      </c>
      <c r="W198" s="77">
        <f t="shared" si="30"/>
        <v>0</v>
      </c>
    </row>
    <row r="199" spans="1:23" x14ac:dyDescent="0.25">
      <c r="A199">
        <v>2019</v>
      </c>
      <c r="B199" s="47" t="s">
        <v>35</v>
      </c>
      <c r="C199" s="48">
        <f t="shared" ref="C199:C210" si="31">D198</f>
        <v>11497</v>
      </c>
      <c r="D199" s="48">
        <v>12090</v>
      </c>
      <c r="E199" s="48">
        <f t="shared" ref="E199:E210" si="32">D199-C199</f>
        <v>593</v>
      </c>
      <c r="F199" s="48">
        <v>150</v>
      </c>
      <c r="G199" s="70">
        <f t="shared" ref="G199:G210" si="33">F199*E199</f>
        <v>88950</v>
      </c>
      <c r="H199" s="48">
        <f t="shared" ref="H199:H210" si="34">I198</f>
        <v>807</v>
      </c>
      <c r="I199" s="48">
        <v>807</v>
      </c>
      <c r="J199" s="48">
        <f t="shared" ref="J199:J210" si="35">I199-H199</f>
        <v>0</v>
      </c>
      <c r="K199" s="113">
        <v>1230</v>
      </c>
      <c r="L199" s="70">
        <f t="shared" ref="L199:L210" si="36">K199*J199</f>
        <v>0</v>
      </c>
      <c r="M199" s="70">
        <v>0</v>
      </c>
      <c r="N199" s="70"/>
      <c r="O199" s="70"/>
      <c r="P199" s="70">
        <v>0</v>
      </c>
      <c r="Q199" s="70"/>
      <c r="R199" s="70"/>
      <c r="S199" s="70">
        <f t="shared" ref="S199:S210" si="37">G199+L199+M199+N199+O199+P199+Q199+R199</f>
        <v>88950</v>
      </c>
      <c r="T199" s="88">
        <f t="shared" ref="T199:T210" si="38">W198</f>
        <v>0</v>
      </c>
      <c r="U199" s="88">
        <f t="shared" ref="U199:U210" si="39">S199+T199</f>
        <v>88950</v>
      </c>
      <c r="V199" s="70">
        <v>88950</v>
      </c>
      <c r="W199" s="88">
        <f t="shared" ref="W199:W210" si="40">U199-V199</f>
        <v>0</v>
      </c>
    </row>
    <row r="200" spans="1:23" x14ac:dyDescent="0.25">
      <c r="B200" s="50" t="s">
        <v>24</v>
      </c>
      <c r="C200" s="51">
        <f t="shared" si="31"/>
        <v>12090</v>
      </c>
      <c r="D200" s="51">
        <v>12441</v>
      </c>
      <c r="E200" s="51">
        <f t="shared" si="32"/>
        <v>351</v>
      </c>
      <c r="F200" s="51">
        <v>150</v>
      </c>
      <c r="G200" s="71">
        <f t="shared" si="33"/>
        <v>52650</v>
      </c>
      <c r="H200" s="51">
        <f t="shared" si="34"/>
        <v>807</v>
      </c>
      <c r="I200" s="51"/>
      <c r="J200" s="51"/>
      <c r="K200" s="109">
        <v>1230</v>
      </c>
      <c r="L200" s="71">
        <f t="shared" si="36"/>
        <v>0</v>
      </c>
      <c r="M200" s="71">
        <v>0</v>
      </c>
      <c r="N200" s="71"/>
      <c r="O200" s="71"/>
      <c r="P200" s="71">
        <v>0</v>
      </c>
      <c r="Q200" s="71"/>
      <c r="R200" s="71"/>
      <c r="S200" s="71">
        <f t="shared" si="37"/>
        <v>52650</v>
      </c>
      <c r="T200" s="73">
        <f t="shared" si="38"/>
        <v>0</v>
      </c>
      <c r="U200" s="73">
        <f t="shared" si="39"/>
        <v>52650</v>
      </c>
      <c r="V200" s="71">
        <v>52650</v>
      </c>
      <c r="W200" s="73">
        <f t="shared" si="40"/>
        <v>0</v>
      </c>
    </row>
    <row r="201" spans="1:23" x14ac:dyDescent="0.25">
      <c r="B201" s="150" t="s">
        <v>25</v>
      </c>
      <c r="C201" s="151">
        <f t="shared" si="31"/>
        <v>12441</v>
      </c>
      <c r="D201" s="151">
        <v>12748</v>
      </c>
      <c r="E201" s="151">
        <f t="shared" si="32"/>
        <v>307</v>
      </c>
      <c r="F201" s="151">
        <v>150</v>
      </c>
      <c r="G201" s="152">
        <f t="shared" si="33"/>
        <v>46050</v>
      </c>
      <c r="H201" s="151">
        <f t="shared" si="34"/>
        <v>0</v>
      </c>
      <c r="I201" s="151"/>
      <c r="J201" s="151">
        <f t="shared" si="35"/>
        <v>0</v>
      </c>
      <c r="K201" s="153">
        <v>1230</v>
      </c>
      <c r="L201" s="152">
        <f t="shared" si="36"/>
        <v>0</v>
      </c>
      <c r="M201" s="152">
        <v>0</v>
      </c>
      <c r="N201" s="152"/>
      <c r="O201" s="152"/>
      <c r="P201" s="152">
        <v>0</v>
      </c>
      <c r="Q201" s="152"/>
      <c r="R201" s="152"/>
      <c r="S201" s="152">
        <f t="shared" si="37"/>
        <v>46050</v>
      </c>
      <c r="T201" s="154">
        <f t="shared" si="38"/>
        <v>0</v>
      </c>
      <c r="U201" s="154">
        <f t="shared" si="39"/>
        <v>46050</v>
      </c>
      <c r="V201" s="152">
        <v>46050</v>
      </c>
      <c r="W201" s="154">
        <f t="shared" si="40"/>
        <v>0</v>
      </c>
    </row>
    <row r="202" spans="1:23" ht="15.75" thickBot="1" x14ac:dyDescent="0.3">
      <c r="B202" s="143" t="s">
        <v>26</v>
      </c>
      <c r="C202" s="144">
        <f t="shared" si="31"/>
        <v>12748</v>
      </c>
      <c r="D202" s="144">
        <v>13302</v>
      </c>
      <c r="E202" s="144">
        <f t="shared" si="32"/>
        <v>554</v>
      </c>
      <c r="F202" s="144">
        <v>150</v>
      </c>
      <c r="G202" s="145">
        <f t="shared" si="33"/>
        <v>83100</v>
      </c>
      <c r="H202" s="144">
        <f t="shared" si="34"/>
        <v>0</v>
      </c>
      <c r="I202" s="144"/>
      <c r="J202" s="144">
        <f t="shared" si="35"/>
        <v>0</v>
      </c>
      <c r="K202" s="146">
        <v>1230</v>
      </c>
      <c r="L202" s="145">
        <f t="shared" si="36"/>
        <v>0</v>
      </c>
      <c r="M202" s="145">
        <v>0</v>
      </c>
      <c r="N202" s="145"/>
      <c r="O202" s="145"/>
      <c r="P202" s="145">
        <v>0</v>
      </c>
      <c r="Q202" s="145"/>
      <c r="R202" s="145"/>
      <c r="S202" s="145">
        <f t="shared" si="37"/>
        <v>83100</v>
      </c>
      <c r="T202" s="147">
        <f t="shared" si="38"/>
        <v>0</v>
      </c>
      <c r="U202" s="147">
        <f t="shared" si="39"/>
        <v>83100</v>
      </c>
      <c r="V202" s="145">
        <v>83100</v>
      </c>
      <c r="W202" s="147">
        <f t="shared" si="40"/>
        <v>0</v>
      </c>
    </row>
    <row r="203" spans="1:23" ht="15.75" thickBot="1" x14ac:dyDescent="0.3">
      <c r="B203" s="41" t="s">
        <v>27</v>
      </c>
      <c r="C203" s="42">
        <f t="shared" si="31"/>
        <v>13302</v>
      </c>
      <c r="D203" s="42">
        <v>13541</v>
      </c>
      <c r="E203" s="42">
        <f t="shared" si="32"/>
        <v>239</v>
      </c>
      <c r="F203" s="42">
        <v>150</v>
      </c>
      <c r="G203" s="67">
        <f t="shared" si="33"/>
        <v>35850</v>
      </c>
      <c r="H203" s="42">
        <f t="shared" si="34"/>
        <v>0</v>
      </c>
      <c r="I203" s="42"/>
      <c r="J203" s="42">
        <f t="shared" si="35"/>
        <v>0</v>
      </c>
      <c r="K203" s="111">
        <v>1230</v>
      </c>
      <c r="L203" s="67">
        <f t="shared" si="36"/>
        <v>0</v>
      </c>
      <c r="M203" s="67">
        <v>0</v>
      </c>
      <c r="N203" s="67"/>
      <c r="O203" s="67"/>
      <c r="P203" s="67">
        <v>0</v>
      </c>
      <c r="Q203" s="67"/>
      <c r="R203" s="67"/>
      <c r="S203" s="67">
        <f t="shared" si="37"/>
        <v>35850</v>
      </c>
      <c r="T203" s="68">
        <f t="shared" si="38"/>
        <v>0</v>
      </c>
      <c r="U203" s="68">
        <f t="shared" si="39"/>
        <v>35850</v>
      </c>
      <c r="V203" s="67"/>
      <c r="W203" s="68">
        <f t="shared" si="40"/>
        <v>35850</v>
      </c>
    </row>
    <row r="204" spans="1:23" ht="15.75" hidden="1" thickBot="1" x14ac:dyDescent="0.3">
      <c r="B204" s="41" t="s">
        <v>28</v>
      </c>
      <c r="C204" s="42">
        <f t="shared" si="31"/>
        <v>13541</v>
      </c>
      <c r="D204" s="42"/>
      <c r="E204" s="42">
        <f t="shared" si="32"/>
        <v>-13541</v>
      </c>
      <c r="F204" s="42">
        <v>150</v>
      </c>
      <c r="G204" s="67">
        <f t="shared" si="33"/>
        <v>-2031150</v>
      </c>
      <c r="H204" s="42">
        <f t="shared" si="34"/>
        <v>0</v>
      </c>
      <c r="I204" s="42"/>
      <c r="J204" s="42">
        <f t="shared" si="35"/>
        <v>0</v>
      </c>
      <c r="K204" s="111">
        <v>1230</v>
      </c>
      <c r="L204" s="67">
        <f t="shared" si="36"/>
        <v>0</v>
      </c>
      <c r="M204" s="67">
        <v>0</v>
      </c>
      <c r="N204" s="67"/>
      <c r="O204" s="67"/>
      <c r="P204" s="67">
        <v>0</v>
      </c>
      <c r="Q204" s="67"/>
      <c r="R204" s="67"/>
      <c r="S204" s="67">
        <f t="shared" si="37"/>
        <v>-2031150</v>
      </c>
      <c r="T204" s="68">
        <f t="shared" si="38"/>
        <v>35850</v>
      </c>
      <c r="U204" s="68">
        <f t="shared" si="39"/>
        <v>-1995300</v>
      </c>
      <c r="V204" s="67"/>
      <c r="W204" s="68">
        <f t="shared" si="40"/>
        <v>-1995300</v>
      </c>
    </row>
    <row r="205" spans="1:23" ht="15.75" hidden="1" thickBot="1" x14ac:dyDescent="0.3">
      <c r="B205" s="41" t="s">
        <v>29</v>
      </c>
      <c r="C205" s="42">
        <f t="shared" si="31"/>
        <v>0</v>
      </c>
      <c r="D205" s="42"/>
      <c r="E205" s="42">
        <f t="shared" si="32"/>
        <v>0</v>
      </c>
      <c r="F205" s="42">
        <v>150</v>
      </c>
      <c r="G205" s="67">
        <f t="shared" si="33"/>
        <v>0</v>
      </c>
      <c r="H205" s="42">
        <f t="shared" si="34"/>
        <v>0</v>
      </c>
      <c r="I205" s="42"/>
      <c r="J205" s="42">
        <f t="shared" si="35"/>
        <v>0</v>
      </c>
      <c r="K205" s="111">
        <v>1230</v>
      </c>
      <c r="L205" s="67">
        <f t="shared" si="36"/>
        <v>0</v>
      </c>
      <c r="M205" s="67">
        <v>0</v>
      </c>
      <c r="N205" s="67"/>
      <c r="O205" s="67"/>
      <c r="P205" s="67">
        <v>0</v>
      </c>
      <c r="Q205" s="67"/>
      <c r="R205" s="67"/>
      <c r="S205" s="67">
        <f t="shared" si="37"/>
        <v>0</v>
      </c>
      <c r="T205" s="68">
        <f t="shared" si="38"/>
        <v>-1995300</v>
      </c>
      <c r="U205" s="68">
        <f t="shared" si="39"/>
        <v>-1995300</v>
      </c>
      <c r="V205" s="67"/>
      <c r="W205" s="68">
        <f t="shared" si="40"/>
        <v>-1995300</v>
      </c>
    </row>
    <row r="206" spans="1:23" ht="15.75" hidden="1" thickBot="1" x14ac:dyDescent="0.3">
      <c r="B206" s="41" t="s">
        <v>30</v>
      </c>
      <c r="C206" s="42">
        <f t="shared" si="31"/>
        <v>0</v>
      </c>
      <c r="D206" s="42"/>
      <c r="E206" s="42">
        <f t="shared" si="32"/>
        <v>0</v>
      </c>
      <c r="F206" s="42">
        <v>150</v>
      </c>
      <c r="G206" s="67">
        <f t="shared" si="33"/>
        <v>0</v>
      </c>
      <c r="H206" s="42">
        <f t="shared" si="34"/>
        <v>0</v>
      </c>
      <c r="I206" s="42"/>
      <c r="J206" s="42">
        <f t="shared" si="35"/>
        <v>0</v>
      </c>
      <c r="K206" s="111">
        <v>1230</v>
      </c>
      <c r="L206" s="67">
        <f t="shared" si="36"/>
        <v>0</v>
      </c>
      <c r="M206" s="67">
        <v>0</v>
      </c>
      <c r="N206" s="67"/>
      <c r="O206" s="67"/>
      <c r="P206" s="67">
        <v>0</v>
      </c>
      <c r="Q206" s="67"/>
      <c r="R206" s="67"/>
      <c r="S206" s="67">
        <f t="shared" si="37"/>
        <v>0</v>
      </c>
      <c r="T206" s="68">
        <f t="shared" si="38"/>
        <v>-1995300</v>
      </c>
      <c r="U206" s="68">
        <f t="shared" si="39"/>
        <v>-1995300</v>
      </c>
      <c r="V206" s="67"/>
      <c r="W206" s="68">
        <f t="shared" si="40"/>
        <v>-1995300</v>
      </c>
    </row>
    <row r="207" spans="1:23" ht="15.75" hidden="1" thickBot="1" x14ac:dyDescent="0.3">
      <c r="B207" s="41" t="s">
        <v>31</v>
      </c>
      <c r="C207" s="42">
        <f t="shared" si="31"/>
        <v>0</v>
      </c>
      <c r="D207" s="42"/>
      <c r="E207" s="42">
        <f t="shared" si="32"/>
        <v>0</v>
      </c>
      <c r="F207" s="42">
        <v>150</v>
      </c>
      <c r="G207" s="67">
        <f t="shared" si="33"/>
        <v>0</v>
      </c>
      <c r="H207" s="42">
        <f t="shared" si="34"/>
        <v>0</v>
      </c>
      <c r="I207" s="42"/>
      <c r="J207" s="42">
        <f t="shared" si="35"/>
        <v>0</v>
      </c>
      <c r="K207" s="111">
        <v>1230</v>
      </c>
      <c r="L207" s="67">
        <f t="shared" si="36"/>
        <v>0</v>
      </c>
      <c r="M207" s="67">
        <v>0</v>
      </c>
      <c r="N207" s="67"/>
      <c r="O207" s="67"/>
      <c r="P207" s="67">
        <v>0</v>
      </c>
      <c r="Q207" s="67"/>
      <c r="R207" s="67"/>
      <c r="S207" s="67">
        <f t="shared" si="37"/>
        <v>0</v>
      </c>
      <c r="T207" s="68">
        <f t="shared" si="38"/>
        <v>-1995300</v>
      </c>
      <c r="U207" s="68">
        <f t="shared" si="39"/>
        <v>-1995300</v>
      </c>
      <c r="V207" s="67"/>
      <c r="W207" s="68">
        <f t="shared" si="40"/>
        <v>-1995300</v>
      </c>
    </row>
    <row r="208" spans="1:23" ht="15.75" hidden="1" thickBot="1" x14ac:dyDescent="0.3">
      <c r="B208" s="41" t="s">
        <v>32</v>
      </c>
      <c r="C208" s="42">
        <f t="shared" si="31"/>
        <v>0</v>
      </c>
      <c r="D208" s="42"/>
      <c r="E208" s="42">
        <f t="shared" si="32"/>
        <v>0</v>
      </c>
      <c r="F208" s="42">
        <v>150</v>
      </c>
      <c r="G208" s="67">
        <f t="shared" si="33"/>
        <v>0</v>
      </c>
      <c r="H208" s="42">
        <f t="shared" si="34"/>
        <v>0</v>
      </c>
      <c r="I208" s="42"/>
      <c r="J208" s="42">
        <f t="shared" si="35"/>
        <v>0</v>
      </c>
      <c r="K208" s="111">
        <v>1230</v>
      </c>
      <c r="L208" s="67">
        <f t="shared" si="36"/>
        <v>0</v>
      </c>
      <c r="M208" s="67">
        <v>0</v>
      </c>
      <c r="N208" s="67"/>
      <c r="O208" s="67"/>
      <c r="P208" s="67">
        <v>0</v>
      </c>
      <c r="Q208" s="67"/>
      <c r="R208" s="67"/>
      <c r="S208" s="67">
        <f t="shared" si="37"/>
        <v>0</v>
      </c>
      <c r="T208" s="68">
        <f t="shared" si="38"/>
        <v>-1995300</v>
      </c>
      <c r="U208" s="68">
        <f t="shared" si="39"/>
        <v>-1995300</v>
      </c>
      <c r="V208" s="67"/>
      <c r="W208" s="68">
        <f t="shared" si="40"/>
        <v>-1995300</v>
      </c>
    </row>
    <row r="209" spans="2:23" ht="15.75" hidden="1" thickBot="1" x14ac:dyDescent="0.3">
      <c r="B209" s="41" t="s">
        <v>33</v>
      </c>
      <c r="C209" s="42">
        <f t="shared" si="31"/>
        <v>0</v>
      </c>
      <c r="D209" s="42"/>
      <c r="E209" s="42">
        <f t="shared" si="32"/>
        <v>0</v>
      </c>
      <c r="F209" s="42">
        <v>150</v>
      </c>
      <c r="G209" s="67">
        <f t="shared" si="33"/>
        <v>0</v>
      </c>
      <c r="H209" s="42">
        <f t="shared" si="34"/>
        <v>0</v>
      </c>
      <c r="I209" s="42"/>
      <c r="J209" s="42">
        <f t="shared" si="35"/>
        <v>0</v>
      </c>
      <c r="K209" s="111">
        <v>1230</v>
      </c>
      <c r="L209" s="67">
        <f t="shared" si="36"/>
        <v>0</v>
      </c>
      <c r="M209" s="67">
        <v>0</v>
      </c>
      <c r="N209" s="67"/>
      <c r="O209" s="67"/>
      <c r="P209" s="67">
        <v>0</v>
      </c>
      <c r="Q209" s="67"/>
      <c r="R209" s="67"/>
      <c r="S209" s="67">
        <f t="shared" si="37"/>
        <v>0</v>
      </c>
      <c r="T209" s="68">
        <f t="shared" si="38"/>
        <v>-1995300</v>
      </c>
      <c r="U209" s="68">
        <f t="shared" si="39"/>
        <v>-1995300</v>
      </c>
      <c r="V209" s="67"/>
      <c r="W209" s="68">
        <f t="shared" si="40"/>
        <v>-1995300</v>
      </c>
    </row>
    <row r="210" spans="2:23" ht="15.75" hidden="1" thickBot="1" x14ac:dyDescent="0.3">
      <c r="B210" s="41" t="s">
        <v>34</v>
      </c>
      <c r="C210" s="42">
        <f t="shared" si="31"/>
        <v>0</v>
      </c>
      <c r="D210" s="42"/>
      <c r="E210" s="42">
        <f t="shared" si="32"/>
        <v>0</v>
      </c>
      <c r="F210" s="42">
        <v>150</v>
      </c>
      <c r="G210" s="67">
        <f t="shared" si="33"/>
        <v>0</v>
      </c>
      <c r="H210" s="42">
        <f t="shared" si="34"/>
        <v>0</v>
      </c>
      <c r="I210" s="42"/>
      <c r="J210" s="42">
        <f t="shared" si="35"/>
        <v>0</v>
      </c>
      <c r="K210" s="111">
        <v>1230</v>
      </c>
      <c r="L210" s="67">
        <f t="shared" si="36"/>
        <v>0</v>
      </c>
      <c r="M210" s="67">
        <v>0</v>
      </c>
      <c r="N210" s="67"/>
      <c r="O210" s="67"/>
      <c r="P210" s="67">
        <v>0</v>
      </c>
      <c r="Q210" s="67"/>
      <c r="R210" s="67"/>
      <c r="S210" s="67">
        <f t="shared" si="37"/>
        <v>0</v>
      </c>
      <c r="T210" s="68">
        <f t="shared" si="38"/>
        <v>-1995300</v>
      </c>
      <c r="U210" s="68">
        <f t="shared" si="39"/>
        <v>-1995300</v>
      </c>
      <c r="V210" s="67"/>
      <c r="W210" s="68">
        <f t="shared" si="40"/>
        <v>-1995300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210">
    <cfRule type="cellIs" dxfId="11" priority="2" operator="greaterThan">
      <formula>100</formula>
    </cfRule>
  </conditionalFormatting>
  <conditionalFormatting sqref="V7:V192">
    <cfRule type="cellIs" dxfId="10" priority="1" operator="lessThan">
      <formula>1</formula>
    </cfRule>
  </conditionalFormatting>
  <pageMargins left="0.7" right="0.7" top="0.75" bottom="0.75" header="0.3" footer="0.3"/>
  <pageSetup orientation="portrait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Y210"/>
  <sheetViews>
    <sheetView zoomScaleNormal="100" workbookViewId="0">
      <selection activeCell="R219" sqref="R219"/>
    </sheetView>
  </sheetViews>
  <sheetFormatPr baseColWidth="10" defaultRowHeight="15" x14ac:dyDescent="0.25"/>
  <cols>
    <col min="3" max="3" width="9.85546875" customWidth="1"/>
    <col min="4" max="4" width="8.7109375" customWidth="1"/>
    <col min="5" max="5" width="9.85546875" customWidth="1"/>
    <col min="6" max="6" width="9" customWidth="1"/>
    <col min="7" max="7" width="11.7109375" customWidth="1"/>
    <col min="8" max="8" width="9.140625" hidden="1" customWidth="1"/>
    <col min="9" max="9" width="9" hidden="1" customWidth="1"/>
    <col min="10" max="10" width="8.85546875" hidden="1" customWidth="1"/>
    <col min="11" max="11" width="8.42578125" hidden="1" customWidth="1"/>
    <col min="12" max="12" width="14.42578125" hidden="1" customWidth="1"/>
    <col min="13" max="14" width="0" hidden="1" customWidth="1"/>
    <col min="15" max="15" width="10.85546875" customWidth="1"/>
    <col min="16" max="16" width="12.140625" hidden="1" customWidth="1"/>
    <col min="17" max="17" width="11.85546875" hidden="1" customWidth="1"/>
    <col min="18" max="18" width="7.42578125" customWidth="1"/>
    <col min="19" max="19" width="10.85546875" customWidth="1"/>
    <col min="20" max="20" width="10.28515625" bestFit="1" customWidth="1"/>
    <col min="21" max="21" width="11.7109375" customWidth="1"/>
    <col min="22" max="23" width="11" customWidth="1"/>
    <col min="25" max="25" width="0" hidden="1" customWidth="1"/>
  </cols>
  <sheetData>
    <row r="1" spans="1:25" x14ac:dyDescent="0.25">
      <c r="B1" s="169" t="s">
        <v>37</v>
      </c>
      <c r="C1" s="169"/>
      <c r="D1" s="170">
        <v>4</v>
      </c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37" t="s">
        <v>50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37" t="s">
        <v>54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/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 t="s">
        <v>10</v>
      </c>
      <c r="Q5" s="9" t="s">
        <v>61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60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f t="shared" ref="T51:T98" si="1">W50</f>
        <v>0</v>
      </c>
      <c r="U51" s="25">
        <f t="shared" ref="U51:U98" si="2">S51+T51</f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>
        <v>0</v>
      </c>
      <c r="W54" s="25">
        <v>0</v>
      </c>
      <c r="Y54">
        <f t="shared" si="0"/>
        <v>0</v>
      </c>
    </row>
    <row r="55" spans="1:25" ht="24.75" hidden="1" customHeight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1</v>
      </c>
      <c r="D64" s="36">
        <v>22</v>
      </c>
      <c r="E64" s="36">
        <v>21</v>
      </c>
      <c r="F64" s="36">
        <v>79</v>
      </c>
      <c r="G64" s="36">
        <v>1659</v>
      </c>
      <c r="H64" s="36">
        <v>106</v>
      </c>
      <c r="I64" s="36">
        <v>177</v>
      </c>
      <c r="J64" s="36">
        <v>71</v>
      </c>
      <c r="K64" s="36">
        <v>360</v>
      </c>
      <c r="L64" s="36">
        <v>25560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37219</v>
      </c>
      <c r="T64" s="25">
        <f t="shared" si="1"/>
        <v>0</v>
      </c>
      <c r="U64" s="25">
        <f t="shared" si="2"/>
        <v>37219</v>
      </c>
      <c r="V64" s="36">
        <v>0</v>
      </c>
      <c r="W64" s="25">
        <v>37219</v>
      </c>
      <c r="Y64">
        <f t="shared" si="0"/>
        <v>1</v>
      </c>
    </row>
    <row r="65" spans="1:25" ht="15.75" hidden="1" thickBot="1" x14ac:dyDescent="0.3">
      <c r="A65" s="20"/>
      <c r="B65" s="21" t="s">
        <v>33</v>
      </c>
      <c r="C65" s="36">
        <v>22</v>
      </c>
      <c r="D65" s="36">
        <v>31</v>
      </c>
      <c r="E65" s="36">
        <v>9</v>
      </c>
      <c r="F65" s="36">
        <v>79</v>
      </c>
      <c r="G65" s="36">
        <v>711</v>
      </c>
      <c r="H65" s="36">
        <v>177</v>
      </c>
      <c r="I65" s="36">
        <v>212</v>
      </c>
      <c r="J65" s="36">
        <v>35</v>
      </c>
      <c r="K65" s="36">
        <v>360</v>
      </c>
      <c r="L65" s="36">
        <v>12600</v>
      </c>
      <c r="M65" s="36">
        <v>0</v>
      </c>
      <c r="N65" s="36">
        <v>0</v>
      </c>
      <c r="O65" s="36">
        <v>0</v>
      </c>
      <c r="P65" s="36">
        <v>0</v>
      </c>
      <c r="Q65" s="36">
        <v>10000</v>
      </c>
      <c r="R65" s="36">
        <v>0</v>
      </c>
      <c r="S65" s="36">
        <v>23311</v>
      </c>
      <c r="T65" s="25">
        <f t="shared" si="1"/>
        <v>37219</v>
      </c>
      <c r="U65" s="25">
        <f t="shared" si="2"/>
        <v>60530</v>
      </c>
      <c r="V65" s="36">
        <v>0</v>
      </c>
      <c r="W65" s="25">
        <v>60530</v>
      </c>
      <c r="Y65">
        <f t="shared" si="0"/>
        <v>2</v>
      </c>
    </row>
    <row r="66" spans="1:25" ht="15.75" hidden="1" thickBot="1" x14ac:dyDescent="0.3">
      <c r="A66" s="20"/>
      <c r="B66" s="21" t="s">
        <v>34</v>
      </c>
      <c r="C66" s="36">
        <v>31</v>
      </c>
      <c r="D66" s="36">
        <v>32</v>
      </c>
      <c r="E66" s="36">
        <v>1</v>
      </c>
      <c r="F66" s="36">
        <v>79</v>
      </c>
      <c r="G66" s="36">
        <v>79</v>
      </c>
      <c r="H66" s="36">
        <v>212</v>
      </c>
      <c r="I66" s="36">
        <v>245</v>
      </c>
      <c r="J66" s="36">
        <v>33</v>
      </c>
      <c r="K66" s="36">
        <v>360</v>
      </c>
      <c r="L66" s="36">
        <v>11880</v>
      </c>
      <c r="M66" s="36">
        <v>0</v>
      </c>
      <c r="N66" s="36">
        <v>0</v>
      </c>
      <c r="O66" s="36">
        <v>0</v>
      </c>
      <c r="P66" s="36">
        <v>0</v>
      </c>
      <c r="Q66" s="36">
        <v>10000</v>
      </c>
      <c r="R66" s="36">
        <v>0</v>
      </c>
      <c r="S66" s="36">
        <v>21959</v>
      </c>
      <c r="T66" s="25">
        <f t="shared" si="1"/>
        <v>60530</v>
      </c>
      <c r="U66" s="25">
        <f t="shared" si="2"/>
        <v>82489</v>
      </c>
      <c r="V66" s="36">
        <v>0</v>
      </c>
      <c r="W66" s="25">
        <v>82489</v>
      </c>
      <c r="Y66">
        <f t="shared" si="0"/>
        <v>3</v>
      </c>
    </row>
    <row r="67" spans="1:25" ht="15.75" hidden="1" thickBot="1" x14ac:dyDescent="0.3">
      <c r="A67" s="20">
        <v>2008</v>
      </c>
      <c r="B67" s="21" t="s">
        <v>35</v>
      </c>
      <c r="C67" s="36">
        <v>32</v>
      </c>
      <c r="D67" s="36">
        <v>35.6</v>
      </c>
      <c r="E67" s="36">
        <v>3.6000000000000014</v>
      </c>
      <c r="F67" s="36">
        <v>87</v>
      </c>
      <c r="G67" s="36">
        <v>313.2000000000001</v>
      </c>
      <c r="H67" s="36">
        <v>245</v>
      </c>
      <c r="I67" s="36">
        <v>300</v>
      </c>
      <c r="J67" s="36">
        <v>55</v>
      </c>
      <c r="K67" s="36">
        <v>360</v>
      </c>
      <c r="L67" s="36">
        <v>19800</v>
      </c>
      <c r="M67" s="36">
        <v>0</v>
      </c>
      <c r="N67" s="36">
        <v>0</v>
      </c>
      <c r="O67" s="36">
        <v>0</v>
      </c>
      <c r="P67" s="36">
        <v>0</v>
      </c>
      <c r="Q67" s="36">
        <v>10000</v>
      </c>
      <c r="R67" s="36">
        <v>0</v>
      </c>
      <c r="S67" s="36">
        <v>30113.200000000001</v>
      </c>
      <c r="T67" s="25">
        <f t="shared" si="1"/>
        <v>82489</v>
      </c>
      <c r="U67" s="25">
        <f t="shared" si="2"/>
        <v>112602.2</v>
      </c>
      <c r="V67" s="36">
        <v>0</v>
      </c>
      <c r="W67" s="25">
        <v>112602.2</v>
      </c>
      <c r="Y67">
        <f t="shared" si="0"/>
        <v>4</v>
      </c>
    </row>
    <row r="68" spans="1:25" ht="15.75" hidden="1" thickBot="1" x14ac:dyDescent="0.3">
      <c r="A68" s="20"/>
      <c r="B68" s="21" t="s">
        <v>24</v>
      </c>
      <c r="C68" s="36">
        <v>35.6</v>
      </c>
      <c r="D68" s="36">
        <v>37</v>
      </c>
      <c r="E68" s="36">
        <v>1.3999999999999986</v>
      </c>
      <c r="F68" s="36">
        <v>87</v>
      </c>
      <c r="G68" s="36">
        <v>121.79999999999987</v>
      </c>
      <c r="H68" s="36">
        <v>300</v>
      </c>
      <c r="I68" s="36">
        <v>376</v>
      </c>
      <c r="J68" s="36">
        <v>76</v>
      </c>
      <c r="K68" s="36">
        <v>360</v>
      </c>
      <c r="L68" s="36">
        <v>27360</v>
      </c>
      <c r="M68" s="36">
        <v>0</v>
      </c>
      <c r="N68" s="36">
        <v>0</v>
      </c>
      <c r="O68" s="36">
        <v>0</v>
      </c>
      <c r="P68" s="36">
        <v>0</v>
      </c>
      <c r="Q68" s="36">
        <v>10000</v>
      </c>
      <c r="R68" s="36">
        <v>0</v>
      </c>
      <c r="S68" s="36">
        <v>37481.800000000003</v>
      </c>
      <c r="T68" s="25">
        <f t="shared" si="1"/>
        <v>112602.2</v>
      </c>
      <c r="U68" s="25">
        <f t="shared" si="2"/>
        <v>150084</v>
      </c>
      <c r="V68" s="36">
        <v>112602</v>
      </c>
      <c r="W68" s="25">
        <v>37482</v>
      </c>
      <c r="Y68">
        <f t="shared" si="0"/>
        <v>5</v>
      </c>
    </row>
    <row r="69" spans="1:25" ht="15.75" hidden="1" thickBot="1" x14ac:dyDescent="0.3">
      <c r="A69" s="20"/>
      <c r="B69" s="21" t="s">
        <v>25</v>
      </c>
      <c r="C69" s="36">
        <v>37</v>
      </c>
      <c r="D69" s="36">
        <v>39</v>
      </c>
      <c r="E69" s="36">
        <v>2</v>
      </c>
      <c r="F69" s="36">
        <v>111</v>
      </c>
      <c r="G69" s="36">
        <v>222</v>
      </c>
      <c r="H69" s="36">
        <v>376</v>
      </c>
      <c r="I69" s="36">
        <v>453</v>
      </c>
      <c r="J69" s="36">
        <v>77</v>
      </c>
      <c r="K69" s="36">
        <v>360</v>
      </c>
      <c r="L69" s="36">
        <v>27720</v>
      </c>
      <c r="M69" s="36">
        <v>0</v>
      </c>
      <c r="N69" s="36">
        <v>0</v>
      </c>
      <c r="O69" s="36">
        <v>0</v>
      </c>
      <c r="P69" s="36">
        <v>0</v>
      </c>
      <c r="Q69" s="36">
        <v>10000</v>
      </c>
      <c r="R69" s="36">
        <v>0</v>
      </c>
      <c r="S69" s="36">
        <v>37942</v>
      </c>
      <c r="T69" s="25">
        <f t="shared" si="1"/>
        <v>37482</v>
      </c>
      <c r="U69" s="25">
        <f t="shared" si="2"/>
        <v>75424</v>
      </c>
      <c r="V69" s="36">
        <v>0</v>
      </c>
      <c r="W69" s="25">
        <v>75424</v>
      </c>
      <c r="Y69">
        <f t="shared" si="0"/>
        <v>6</v>
      </c>
    </row>
    <row r="70" spans="1:25" ht="15.75" hidden="1" thickBot="1" x14ac:dyDescent="0.3">
      <c r="A70" s="20"/>
      <c r="B70" s="21" t="s">
        <v>26</v>
      </c>
      <c r="C70" s="36">
        <v>39</v>
      </c>
      <c r="D70" s="36">
        <v>45</v>
      </c>
      <c r="E70" s="36">
        <v>6</v>
      </c>
      <c r="F70" s="36">
        <v>124</v>
      </c>
      <c r="G70" s="36">
        <v>744</v>
      </c>
      <c r="H70" s="36">
        <v>453</v>
      </c>
      <c r="I70" s="36">
        <v>517</v>
      </c>
      <c r="J70" s="36">
        <v>64</v>
      </c>
      <c r="K70" s="36">
        <v>360</v>
      </c>
      <c r="L70" s="36">
        <v>23040</v>
      </c>
      <c r="M70" s="36">
        <v>0</v>
      </c>
      <c r="N70" s="36">
        <v>0</v>
      </c>
      <c r="O70" s="36">
        <v>0</v>
      </c>
      <c r="P70" s="36">
        <v>0</v>
      </c>
      <c r="Q70" s="36">
        <v>10000</v>
      </c>
      <c r="R70" s="36">
        <v>0</v>
      </c>
      <c r="S70" s="36">
        <v>33784</v>
      </c>
      <c r="T70" s="25">
        <f t="shared" si="1"/>
        <v>75424</v>
      </c>
      <c r="U70" s="25">
        <f t="shared" si="2"/>
        <v>109208</v>
      </c>
      <c r="V70" s="36">
        <v>0</v>
      </c>
      <c r="W70" s="25">
        <v>109208</v>
      </c>
      <c r="Y70">
        <f t="shared" si="0"/>
        <v>7</v>
      </c>
    </row>
    <row r="71" spans="1:25" ht="15.75" hidden="1" thickBot="1" x14ac:dyDescent="0.3">
      <c r="A71" s="20"/>
      <c r="B71" s="21" t="s">
        <v>27</v>
      </c>
      <c r="C71" s="36">
        <v>45</v>
      </c>
      <c r="D71" s="36">
        <v>45</v>
      </c>
      <c r="E71" s="36">
        <v>0</v>
      </c>
      <c r="F71" s="36">
        <v>98</v>
      </c>
      <c r="G71" s="36">
        <v>0</v>
      </c>
      <c r="H71" s="36">
        <v>517</v>
      </c>
      <c r="I71" s="36">
        <v>569</v>
      </c>
      <c r="J71" s="36">
        <v>52</v>
      </c>
      <c r="K71" s="36">
        <v>360</v>
      </c>
      <c r="L71" s="36">
        <v>18720</v>
      </c>
      <c r="M71" s="36">
        <v>0</v>
      </c>
      <c r="N71" s="36">
        <v>0</v>
      </c>
      <c r="O71" s="36">
        <v>0</v>
      </c>
      <c r="P71" s="36">
        <v>0</v>
      </c>
      <c r="Q71" s="36">
        <v>10000</v>
      </c>
      <c r="R71" s="36">
        <v>0</v>
      </c>
      <c r="S71" s="36">
        <v>28720</v>
      </c>
      <c r="T71" s="25">
        <f t="shared" si="1"/>
        <v>109208</v>
      </c>
      <c r="U71" s="25">
        <f t="shared" si="2"/>
        <v>137928</v>
      </c>
      <c r="V71" s="36">
        <v>0</v>
      </c>
      <c r="W71" s="25">
        <v>137928</v>
      </c>
      <c r="Y71">
        <f t="shared" si="0"/>
        <v>8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10000</v>
      </c>
      <c r="R72" s="36">
        <v>0</v>
      </c>
      <c r="S72" s="36">
        <v>10000</v>
      </c>
      <c r="T72" s="25">
        <f t="shared" si="1"/>
        <v>137928</v>
      </c>
      <c r="U72" s="25">
        <f t="shared" si="2"/>
        <v>147928</v>
      </c>
      <c r="V72" s="36">
        <v>0</v>
      </c>
      <c r="W72" s="25">
        <v>147928</v>
      </c>
      <c r="Y72">
        <f t="shared" si="0"/>
        <v>9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10000</v>
      </c>
      <c r="R73" s="36">
        <v>0</v>
      </c>
      <c r="S73" s="36">
        <v>10000</v>
      </c>
      <c r="T73" s="25">
        <f t="shared" si="1"/>
        <v>147928</v>
      </c>
      <c r="U73" s="25">
        <f t="shared" si="2"/>
        <v>157928</v>
      </c>
      <c r="V73" s="36">
        <v>0</v>
      </c>
      <c r="W73" s="25">
        <v>157928</v>
      </c>
      <c r="Y73">
        <f t="shared" ref="Y73:Y136" si="3">IF(W73&gt;1,Y72+1,)</f>
        <v>10</v>
      </c>
    </row>
    <row r="74" spans="1:25" ht="15.75" hidden="1" thickBot="1" x14ac:dyDescent="0.3">
      <c r="A74" s="20"/>
      <c r="B74" s="21" t="s">
        <v>30</v>
      </c>
      <c r="C74" s="36">
        <v>48</v>
      </c>
      <c r="D74" s="36">
        <v>92</v>
      </c>
      <c r="E74" s="36">
        <v>44</v>
      </c>
      <c r="F74" s="36">
        <v>107</v>
      </c>
      <c r="G74" s="36">
        <v>4708</v>
      </c>
      <c r="H74" s="36">
        <v>571</v>
      </c>
      <c r="I74" s="36">
        <v>573</v>
      </c>
      <c r="J74" s="36">
        <v>2</v>
      </c>
      <c r="K74" s="36">
        <v>360</v>
      </c>
      <c r="L74" s="36">
        <v>720</v>
      </c>
      <c r="M74" s="36">
        <v>0</v>
      </c>
      <c r="N74" s="36">
        <v>0</v>
      </c>
      <c r="O74" s="36">
        <v>0</v>
      </c>
      <c r="P74" s="36">
        <v>0</v>
      </c>
      <c r="Q74" s="36">
        <v>10000</v>
      </c>
      <c r="R74" s="36">
        <v>0</v>
      </c>
      <c r="S74" s="36">
        <v>15428</v>
      </c>
      <c r="T74" s="25">
        <f t="shared" si="1"/>
        <v>157928</v>
      </c>
      <c r="U74" s="25">
        <f t="shared" si="2"/>
        <v>173356</v>
      </c>
      <c r="V74" s="36">
        <v>100000</v>
      </c>
      <c r="W74" s="25">
        <v>73356</v>
      </c>
      <c r="Y74">
        <f t="shared" si="3"/>
        <v>11</v>
      </c>
    </row>
    <row r="75" spans="1:25" ht="15.75" hidden="1" thickBot="1" x14ac:dyDescent="0.3">
      <c r="A75" s="20"/>
      <c r="B75" s="21" t="s">
        <v>31</v>
      </c>
      <c r="C75" s="36">
        <v>44</v>
      </c>
      <c r="D75" s="36">
        <v>116</v>
      </c>
      <c r="E75" s="36">
        <v>72</v>
      </c>
      <c r="F75" s="36">
        <v>110</v>
      </c>
      <c r="G75" s="36">
        <v>7920</v>
      </c>
      <c r="H75" s="36">
        <v>573</v>
      </c>
      <c r="I75" s="36">
        <v>585</v>
      </c>
      <c r="J75" s="36">
        <v>12</v>
      </c>
      <c r="K75" s="36">
        <v>360</v>
      </c>
      <c r="L75" s="36">
        <v>4320</v>
      </c>
      <c r="M75" s="36">
        <v>0</v>
      </c>
      <c r="N75" s="36">
        <v>0</v>
      </c>
      <c r="O75" s="36">
        <v>0</v>
      </c>
      <c r="P75" s="36">
        <v>0</v>
      </c>
      <c r="Q75" s="36">
        <v>10000</v>
      </c>
      <c r="R75" s="36">
        <v>0</v>
      </c>
      <c r="S75" s="36">
        <v>22240</v>
      </c>
      <c r="T75" s="25">
        <f t="shared" si="1"/>
        <v>73356</v>
      </c>
      <c r="U75" s="25">
        <f t="shared" si="2"/>
        <v>95596</v>
      </c>
      <c r="V75" s="36">
        <v>50000</v>
      </c>
      <c r="W75" s="25">
        <v>45596</v>
      </c>
      <c r="Y75">
        <f t="shared" si="3"/>
        <v>12</v>
      </c>
    </row>
    <row r="76" spans="1:25" ht="15.75" hidden="1" thickBot="1" x14ac:dyDescent="0.3">
      <c r="A76" s="20"/>
      <c r="B76" s="21" t="s">
        <v>32</v>
      </c>
      <c r="C76" s="36">
        <v>116</v>
      </c>
      <c r="D76" s="36">
        <v>123</v>
      </c>
      <c r="E76" s="36">
        <v>7</v>
      </c>
      <c r="F76" s="36">
        <v>126</v>
      </c>
      <c r="G76" s="36">
        <v>882</v>
      </c>
      <c r="H76" s="36">
        <v>585</v>
      </c>
      <c r="I76" s="36">
        <v>603</v>
      </c>
      <c r="J76" s="36">
        <v>18</v>
      </c>
      <c r="K76" s="36">
        <v>360</v>
      </c>
      <c r="L76" s="36">
        <v>6480</v>
      </c>
      <c r="M76" s="36">
        <v>0</v>
      </c>
      <c r="N76" s="36">
        <v>0</v>
      </c>
      <c r="O76" s="36">
        <v>0</v>
      </c>
      <c r="P76" s="36">
        <v>0</v>
      </c>
      <c r="Q76" s="36">
        <v>10000</v>
      </c>
      <c r="R76" s="36">
        <v>0</v>
      </c>
      <c r="S76" s="36">
        <v>17362</v>
      </c>
      <c r="T76" s="25">
        <f t="shared" si="1"/>
        <v>45596</v>
      </c>
      <c r="U76" s="25">
        <f t="shared" si="2"/>
        <v>62958</v>
      </c>
      <c r="V76" s="36">
        <v>0</v>
      </c>
      <c r="W76" s="25">
        <v>62958</v>
      </c>
      <c r="Y76">
        <f t="shared" si="3"/>
        <v>13</v>
      </c>
    </row>
    <row r="77" spans="1:25" ht="15.75" hidden="1" thickBot="1" x14ac:dyDescent="0.3">
      <c r="A77" s="20"/>
      <c r="B77" s="21" t="s">
        <v>33</v>
      </c>
      <c r="C77" s="36">
        <v>123</v>
      </c>
      <c r="D77" s="36">
        <v>135</v>
      </c>
      <c r="E77" s="36">
        <v>12</v>
      </c>
      <c r="F77" s="36">
        <v>119</v>
      </c>
      <c r="G77" s="36">
        <v>1428</v>
      </c>
      <c r="H77" s="36">
        <v>603</v>
      </c>
      <c r="I77" s="36">
        <v>917</v>
      </c>
      <c r="J77" s="36">
        <v>314</v>
      </c>
      <c r="K77" s="36">
        <v>360</v>
      </c>
      <c r="L77" s="36">
        <v>113040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124468</v>
      </c>
      <c r="T77" s="25">
        <f t="shared" si="1"/>
        <v>62958</v>
      </c>
      <c r="U77" s="25">
        <f t="shared" si="2"/>
        <v>187426</v>
      </c>
      <c r="V77" s="36">
        <v>62958</v>
      </c>
      <c r="W77" s="25">
        <v>124468</v>
      </c>
      <c r="Y77">
        <f t="shared" si="3"/>
        <v>14</v>
      </c>
    </row>
    <row r="78" spans="1:25" ht="15.75" hidden="1" thickBot="1" x14ac:dyDescent="0.3">
      <c r="A78" s="20"/>
      <c r="B78" s="21" t="s">
        <v>34</v>
      </c>
      <c r="C78" s="36">
        <v>135</v>
      </c>
      <c r="D78" s="36">
        <v>178</v>
      </c>
      <c r="E78" s="36">
        <v>43</v>
      </c>
      <c r="F78" s="36">
        <v>108</v>
      </c>
      <c r="G78" s="36">
        <v>4644</v>
      </c>
      <c r="H78" s="36">
        <v>917</v>
      </c>
      <c r="I78" s="36">
        <v>1390</v>
      </c>
      <c r="J78" s="36">
        <v>473</v>
      </c>
      <c r="K78" s="36">
        <v>360</v>
      </c>
      <c r="L78" s="36">
        <v>170280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184924</v>
      </c>
      <c r="T78" s="25">
        <f t="shared" si="1"/>
        <v>124468</v>
      </c>
      <c r="U78" s="25">
        <f t="shared" si="2"/>
        <v>309392</v>
      </c>
      <c r="V78" s="36">
        <v>124468</v>
      </c>
      <c r="W78" s="25">
        <v>184924</v>
      </c>
      <c r="Y78">
        <f t="shared" si="3"/>
        <v>15</v>
      </c>
    </row>
    <row r="79" spans="1:25" ht="15.75" hidden="1" thickBot="1" x14ac:dyDescent="0.3">
      <c r="A79" s="20">
        <v>2009</v>
      </c>
      <c r="B79" s="21" t="s">
        <v>35</v>
      </c>
      <c r="C79" s="36">
        <v>178</v>
      </c>
      <c r="D79" s="36">
        <v>201</v>
      </c>
      <c r="E79" s="36">
        <v>23</v>
      </c>
      <c r="F79" s="36">
        <v>124</v>
      </c>
      <c r="G79" s="36">
        <v>2852</v>
      </c>
      <c r="H79" s="36">
        <v>1390</v>
      </c>
      <c r="I79" s="36">
        <v>1508</v>
      </c>
      <c r="J79" s="36">
        <v>118</v>
      </c>
      <c r="K79" s="36">
        <v>360</v>
      </c>
      <c r="L79" s="36">
        <v>42480</v>
      </c>
      <c r="M79" s="36">
        <v>0</v>
      </c>
      <c r="N79" s="36">
        <v>0</v>
      </c>
      <c r="O79" s="36">
        <v>0</v>
      </c>
      <c r="P79" s="36">
        <v>0</v>
      </c>
      <c r="Q79" s="36">
        <v>10000</v>
      </c>
      <c r="R79" s="36">
        <v>0</v>
      </c>
      <c r="S79" s="36">
        <v>55332</v>
      </c>
      <c r="T79" s="25">
        <f t="shared" si="1"/>
        <v>184924</v>
      </c>
      <c r="U79" s="25">
        <f t="shared" si="2"/>
        <v>240256</v>
      </c>
      <c r="V79" s="36">
        <v>184924</v>
      </c>
      <c r="W79" s="25">
        <v>55332</v>
      </c>
      <c r="Y79">
        <f t="shared" si="3"/>
        <v>16</v>
      </c>
    </row>
    <row r="80" spans="1:25" ht="15.75" hidden="1" thickBot="1" x14ac:dyDescent="0.3">
      <c r="A80" s="20"/>
      <c r="B80" s="21" t="s">
        <v>24</v>
      </c>
      <c r="C80" s="36">
        <v>201</v>
      </c>
      <c r="D80" s="36">
        <v>288</v>
      </c>
      <c r="E80" s="36">
        <v>87</v>
      </c>
      <c r="F80" s="36">
        <v>130</v>
      </c>
      <c r="G80" s="36">
        <v>11310</v>
      </c>
      <c r="H80" s="36">
        <v>1508</v>
      </c>
      <c r="I80" s="36">
        <v>1650</v>
      </c>
      <c r="J80" s="36">
        <v>142</v>
      </c>
      <c r="K80" s="36">
        <v>360</v>
      </c>
      <c r="L80" s="36">
        <v>51120</v>
      </c>
      <c r="M80" s="36">
        <v>0</v>
      </c>
      <c r="N80" s="36">
        <v>0</v>
      </c>
      <c r="O80" s="36">
        <v>0</v>
      </c>
      <c r="P80" s="36">
        <v>0</v>
      </c>
      <c r="Q80" s="36">
        <v>10000</v>
      </c>
      <c r="R80" s="36">
        <v>0</v>
      </c>
      <c r="S80" s="36">
        <v>72430</v>
      </c>
      <c r="T80" s="25">
        <f t="shared" si="1"/>
        <v>55332</v>
      </c>
      <c r="U80" s="25">
        <f t="shared" si="2"/>
        <v>127762</v>
      </c>
      <c r="V80" s="36">
        <v>50000</v>
      </c>
      <c r="W80" s="25">
        <v>77762</v>
      </c>
      <c r="Y80">
        <f t="shared" si="3"/>
        <v>17</v>
      </c>
    </row>
    <row r="81" spans="1:25" ht="15.75" hidden="1" thickBot="1" x14ac:dyDescent="0.3">
      <c r="A81" s="20"/>
      <c r="B81" s="21" t="s">
        <v>25</v>
      </c>
      <c r="C81" s="36">
        <v>288</v>
      </c>
      <c r="D81" s="36">
        <v>328</v>
      </c>
      <c r="E81" s="36">
        <v>40</v>
      </c>
      <c r="F81" s="36">
        <v>130</v>
      </c>
      <c r="G81" s="36">
        <v>5200</v>
      </c>
      <c r="H81" s="36">
        <v>1650</v>
      </c>
      <c r="I81" s="36">
        <v>1717</v>
      </c>
      <c r="J81" s="36">
        <v>67</v>
      </c>
      <c r="K81" s="36">
        <v>360</v>
      </c>
      <c r="L81" s="36">
        <v>24120</v>
      </c>
      <c r="M81" s="36">
        <v>0</v>
      </c>
      <c r="N81" s="36">
        <v>0</v>
      </c>
      <c r="O81" s="36">
        <v>0</v>
      </c>
      <c r="P81" s="36">
        <v>0</v>
      </c>
      <c r="Q81" s="36">
        <v>10000</v>
      </c>
      <c r="R81" s="36">
        <v>0</v>
      </c>
      <c r="S81" s="36">
        <v>39320</v>
      </c>
      <c r="T81" s="25">
        <f t="shared" si="1"/>
        <v>77762</v>
      </c>
      <c r="U81" s="25">
        <f t="shared" si="2"/>
        <v>117082</v>
      </c>
      <c r="V81" s="36">
        <v>77762</v>
      </c>
      <c r="W81" s="25">
        <v>39320</v>
      </c>
      <c r="Y81">
        <f t="shared" si="3"/>
        <v>18</v>
      </c>
    </row>
    <row r="82" spans="1:25" ht="15.75" hidden="1" thickBot="1" x14ac:dyDescent="0.3">
      <c r="A82" s="20"/>
      <c r="B82" s="21" t="s">
        <v>26</v>
      </c>
      <c r="C82" s="36">
        <v>328</v>
      </c>
      <c r="D82" s="36">
        <v>351</v>
      </c>
      <c r="E82" s="36">
        <v>23</v>
      </c>
      <c r="F82" s="36">
        <v>140</v>
      </c>
      <c r="G82" s="36">
        <v>3220</v>
      </c>
      <c r="H82" s="36">
        <v>1717</v>
      </c>
      <c r="I82" s="36">
        <v>1803</v>
      </c>
      <c r="J82" s="36">
        <v>86</v>
      </c>
      <c r="K82" s="36">
        <v>360</v>
      </c>
      <c r="L82" s="36">
        <v>30960</v>
      </c>
      <c r="M82" s="36">
        <v>0</v>
      </c>
      <c r="N82" s="36">
        <v>0</v>
      </c>
      <c r="O82" s="36">
        <v>0</v>
      </c>
      <c r="P82" s="36">
        <v>0</v>
      </c>
      <c r="Q82" s="36">
        <v>10000</v>
      </c>
      <c r="R82" s="36">
        <v>0</v>
      </c>
      <c r="S82" s="36">
        <v>44180</v>
      </c>
      <c r="T82" s="25">
        <f t="shared" si="1"/>
        <v>39320</v>
      </c>
      <c r="U82" s="25">
        <f t="shared" si="2"/>
        <v>83500</v>
      </c>
      <c r="V82" s="36">
        <v>39320</v>
      </c>
      <c r="W82" s="25">
        <v>44180</v>
      </c>
      <c r="Y82">
        <f t="shared" si="3"/>
        <v>19</v>
      </c>
    </row>
    <row r="83" spans="1:25" ht="15.75" hidden="1" thickBot="1" x14ac:dyDescent="0.3">
      <c r="A83" s="20"/>
      <c r="B83" s="21" t="s">
        <v>27</v>
      </c>
      <c r="C83" s="36">
        <v>351</v>
      </c>
      <c r="D83" s="36">
        <v>383</v>
      </c>
      <c r="E83" s="36">
        <v>32</v>
      </c>
      <c r="F83" s="36">
        <v>143</v>
      </c>
      <c r="G83" s="36">
        <v>4576</v>
      </c>
      <c r="H83" s="36">
        <v>1803</v>
      </c>
      <c r="I83" s="36">
        <v>1827</v>
      </c>
      <c r="J83" s="36">
        <v>24</v>
      </c>
      <c r="K83" s="36">
        <v>360</v>
      </c>
      <c r="L83" s="36">
        <v>8640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23216</v>
      </c>
      <c r="T83" s="25">
        <f t="shared" si="1"/>
        <v>44180</v>
      </c>
      <c r="U83" s="25">
        <f t="shared" si="2"/>
        <v>67396</v>
      </c>
      <c r="V83" s="36">
        <v>40000</v>
      </c>
      <c r="W83" s="25">
        <v>27396</v>
      </c>
      <c r="Y83">
        <f t="shared" si="3"/>
        <v>20</v>
      </c>
    </row>
    <row r="84" spans="1:25" ht="15.75" hidden="1" thickBot="1" x14ac:dyDescent="0.3">
      <c r="A84" s="20"/>
      <c r="B84" s="21" t="s">
        <v>28</v>
      </c>
      <c r="C84" s="36">
        <v>383</v>
      </c>
      <c r="D84" s="36">
        <v>417</v>
      </c>
      <c r="E84" s="36">
        <v>34</v>
      </c>
      <c r="F84" s="36">
        <v>146</v>
      </c>
      <c r="G84" s="36">
        <v>4964</v>
      </c>
      <c r="H84" s="36">
        <v>1827</v>
      </c>
      <c r="I84" s="36">
        <v>1841</v>
      </c>
      <c r="J84" s="36">
        <v>14</v>
      </c>
      <c r="K84" s="36">
        <v>360</v>
      </c>
      <c r="L84" s="36">
        <v>5040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20004</v>
      </c>
      <c r="T84" s="25">
        <f t="shared" si="1"/>
        <v>27396</v>
      </c>
      <c r="U84" s="25">
        <f t="shared" si="2"/>
        <v>47400</v>
      </c>
      <c r="V84" s="36">
        <v>27396</v>
      </c>
      <c r="W84" s="25">
        <v>20004</v>
      </c>
      <c r="Y84">
        <f t="shared" si="3"/>
        <v>21</v>
      </c>
    </row>
    <row r="85" spans="1:25" ht="15.75" hidden="1" thickBot="1" x14ac:dyDescent="0.3">
      <c r="A85" s="20"/>
      <c r="B85" s="21" t="s">
        <v>29</v>
      </c>
      <c r="C85" s="36">
        <v>417</v>
      </c>
      <c r="D85" s="36">
        <v>443</v>
      </c>
      <c r="E85" s="36">
        <v>26</v>
      </c>
      <c r="F85" s="36">
        <v>146</v>
      </c>
      <c r="G85" s="36">
        <v>3796</v>
      </c>
      <c r="H85" s="36">
        <v>1841</v>
      </c>
      <c r="I85" s="36">
        <v>1844</v>
      </c>
      <c r="J85" s="36">
        <v>3</v>
      </c>
      <c r="K85" s="36">
        <v>360</v>
      </c>
      <c r="L85" s="36">
        <v>1080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24876</v>
      </c>
      <c r="T85" s="25">
        <f t="shared" si="1"/>
        <v>20004</v>
      </c>
      <c r="U85" s="25">
        <f t="shared" si="2"/>
        <v>44880</v>
      </c>
      <c r="V85" s="36">
        <v>20004</v>
      </c>
      <c r="W85" s="25">
        <v>24876</v>
      </c>
      <c r="Y85">
        <f t="shared" si="3"/>
        <v>22</v>
      </c>
    </row>
    <row r="86" spans="1:25" ht="15.75" hidden="1" thickBot="1" x14ac:dyDescent="0.3">
      <c r="A86" s="20"/>
      <c r="B86" s="21" t="s">
        <v>30</v>
      </c>
      <c r="C86" s="36">
        <v>443</v>
      </c>
      <c r="D86" s="36">
        <v>460</v>
      </c>
      <c r="E86" s="36">
        <v>17</v>
      </c>
      <c r="F86" s="36">
        <v>146</v>
      </c>
      <c r="G86" s="36">
        <v>2482</v>
      </c>
      <c r="H86" s="36">
        <v>1844</v>
      </c>
      <c r="I86" s="36">
        <v>1848</v>
      </c>
      <c r="J86" s="36">
        <v>4</v>
      </c>
      <c r="K86" s="36">
        <v>360</v>
      </c>
      <c r="L86" s="36">
        <v>1440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13922</v>
      </c>
      <c r="T86" s="25">
        <f t="shared" si="1"/>
        <v>24876</v>
      </c>
      <c r="U86" s="25">
        <f t="shared" si="2"/>
        <v>38798</v>
      </c>
      <c r="V86" s="36">
        <v>20004</v>
      </c>
      <c r="W86" s="25">
        <v>18794</v>
      </c>
      <c r="Y86">
        <f t="shared" si="3"/>
        <v>23</v>
      </c>
    </row>
    <row r="87" spans="1:25" ht="15.75" hidden="1" thickBot="1" x14ac:dyDescent="0.3">
      <c r="A87" s="20"/>
      <c r="B87" s="21" t="s">
        <v>31</v>
      </c>
      <c r="C87" s="36">
        <v>460</v>
      </c>
      <c r="D87" s="36">
        <v>487</v>
      </c>
      <c r="E87" s="36">
        <v>27</v>
      </c>
      <c r="F87" s="36">
        <v>146</v>
      </c>
      <c r="G87" s="36">
        <v>3942</v>
      </c>
      <c r="H87" s="36">
        <v>1848</v>
      </c>
      <c r="I87" s="36">
        <v>1859</v>
      </c>
      <c r="J87" s="36">
        <v>11</v>
      </c>
      <c r="K87" s="36">
        <v>360</v>
      </c>
      <c r="L87" s="36">
        <v>3960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17902</v>
      </c>
      <c r="T87" s="25">
        <f t="shared" si="1"/>
        <v>18794</v>
      </c>
      <c r="U87" s="25">
        <f t="shared" si="2"/>
        <v>36696</v>
      </c>
      <c r="V87" s="36">
        <v>18794</v>
      </c>
      <c r="W87" s="25">
        <v>17902</v>
      </c>
      <c r="Y87">
        <f t="shared" si="3"/>
        <v>24</v>
      </c>
    </row>
    <row r="88" spans="1:25" ht="15.75" hidden="1" thickBot="1" x14ac:dyDescent="0.3">
      <c r="A88" s="20"/>
      <c r="B88" s="21" t="s">
        <v>32</v>
      </c>
      <c r="C88" s="36">
        <v>487</v>
      </c>
      <c r="D88" s="36">
        <v>524</v>
      </c>
      <c r="E88" s="36">
        <v>37</v>
      </c>
      <c r="F88" s="36">
        <v>146</v>
      </c>
      <c r="G88" s="36">
        <v>5402</v>
      </c>
      <c r="H88" s="36">
        <v>1859</v>
      </c>
      <c r="I88" s="36">
        <v>1936</v>
      </c>
      <c r="J88" s="36">
        <v>77</v>
      </c>
      <c r="K88" s="36">
        <v>360</v>
      </c>
      <c r="L88" s="36">
        <v>27720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0</v>
      </c>
      <c r="S88" s="36">
        <v>43122</v>
      </c>
      <c r="T88" s="25">
        <f t="shared" si="1"/>
        <v>17902</v>
      </c>
      <c r="U88" s="25">
        <f t="shared" si="2"/>
        <v>61024</v>
      </c>
      <c r="V88" s="36">
        <v>7902</v>
      </c>
      <c r="W88" s="25">
        <v>53122</v>
      </c>
      <c r="Y88">
        <f t="shared" si="3"/>
        <v>25</v>
      </c>
    </row>
    <row r="89" spans="1:25" ht="15.75" hidden="1" thickBot="1" x14ac:dyDescent="0.3">
      <c r="A89" s="20"/>
      <c r="B89" s="21" t="s">
        <v>33</v>
      </c>
      <c r="C89" s="36">
        <v>524</v>
      </c>
      <c r="D89" s="36">
        <v>567</v>
      </c>
      <c r="E89" s="36">
        <v>43</v>
      </c>
      <c r="F89" s="36">
        <v>146</v>
      </c>
      <c r="G89" s="36">
        <v>6278</v>
      </c>
      <c r="H89" s="36">
        <v>1936</v>
      </c>
      <c r="I89" s="36">
        <v>2032</v>
      </c>
      <c r="J89" s="36">
        <v>96</v>
      </c>
      <c r="K89" s="36">
        <v>360</v>
      </c>
      <c r="L89" s="36">
        <v>34560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50838</v>
      </c>
      <c r="T89" s="25">
        <f t="shared" si="1"/>
        <v>53122</v>
      </c>
      <c r="U89" s="25">
        <f t="shared" si="2"/>
        <v>103960</v>
      </c>
      <c r="V89" s="36">
        <v>53122</v>
      </c>
      <c r="W89" s="25">
        <v>50838</v>
      </c>
      <c r="Y89">
        <f t="shared" si="3"/>
        <v>26</v>
      </c>
    </row>
    <row r="90" spans="1:25" ht="15.75" hidden="1" thickBot="1" x14ac:dyDescent="0.3">
      <c r="A90" s="20"/>
      <c r="B90" s="21" t="s">
        <v>34</v>
      </c>
      <c r="C90" s="36">
        <v>567</v>
      </c>
      <c r="D90" s="36">
        <v>1087</v>
      </c>
      <c r="E90" s="36">
        <v>520</v>
      </c>
      <c r="F90" s="36">
        <v>146</v>
      </c>
      <c r="G90" s="36">
        <v>75920</v>
      </c>
      <c r="H90" s="36">
        <v>2032</v>
      </c>
      <c r="I90" s="36">
        <v>2256</v>
      </c>
      <c r="J90" s="36">
        <v>224</v>
      </c>
      <c r="K90" s="36">
        <v>0</v>
      </c>
      <c r="L90" s="36">
        <v>98280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184200</v>
      </c>
      <c r="T90" s="25">
        <f t="shared" si="1"/>
        <v>50838</v>
      </c>
      <c r="U90" s="25">
        <f t="shared" si="2"/>
        <v>235038</v>
      </c>
      <c r="V90" s="36">
        <v>50838</v>
      </c>
      <c r="W90" s="25">
        <v>184200</v>
      </c>
      <c r="Y90">
        <f t="shared" si="3"/>
        <v>27</v>
      </c>
    </row>
    <row r="91" spans="1:25" ht="15.75" hidden="1" thickBot="1" x14ac:dyDescent="0.3">
      <c r="A91">
        <v>2010</v>
      </c>
      <c r="B91" s="21" t="s">
        <v>35</v>
      </c>
      <c r="C91" s="36">
        <v>1087</v>
      </c>
      <c r="D91" s="36">
        <v>1209</v>
      </c>
      <c r="E91" s="36">
        <v>122</v>
      </c>
      <c r="F91" s="36">
        <v>146</v>
      </c>
      <c r="G91" s="36">
        <v>17812</v>
      </c>
      <c r="H91" s="36">
        <v>2256</v>
      </c>
      <c r="I91" s="36">
        <v>2426</v>
      </c>
      <c r="J91" s="36">
        <v>170</v>
      </c>
      <c r="K91" s="36">
        <v>0</v>
      </c>
      <c r="L91" s="36">
        <v>64800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92612</v>
      </c>
      <c r="T91" s="25">
        <f t="shared" si="1"/>
        <v>184200</v>
      </c>
      <c r="U91" s="25">
        <f t="shared" si="2"/>
        <v>276812</v>
      </c>
      <c r="V91" s="36">
        <v>184200</v>
      </c>
      <c r="W91" s="25">
        <v>92612</v>
      </c>
      <c r="Y91">
        <f t="shared" si="3"/>
        <v>28</v>
      </c>
    </row>
    <row r="92" spans="1:25" ht="15.75" hidden="1" thickBot="1" x14ac:dyDescent="0.3">
      <c r="B92" s="21" t="s">
        <v>24</v>
      </c>
      <c r="C92" s="36">
        <v>1209</v>
      </c>
      <c r="D92" s="36">
        <v>1418</v>
      </c>
      <c r="E92" s="36">
        <v>209</v>
      </c>
      <c r="F92" s="36">
        <v>146</v>
      </c>
      <c r="G92" s="36">
        <v>30514</v>
      </c>
      <c r="H92" s="36">
        <v>2426</v>
      </c>
      <c r="I92" s="36">
        <v>2685</v>
      </c>
      <c r="J92" s="36">
        <v>259</v>
      </c>
      <c r="K92" s="36"/>
      <c r="L92" s="36">
        <v>123480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>
        <v>0</v>
      </c>
      <c r="S92" s="36">
        <v>163994</v>
      </c>
      <c r="T92" s="25">
        <f t="shared" si="1"/>
        <v>92612</v>
      </c>
      <c r="U92" s="25">
        <f t="shared" si="2"/>
        <v>256606</v>
      </c>
      <c r="V92" s="36">
        <v>92612</v>
      </c>
      <c r="W92" s="25">
        <v>163994</v>
      </c>
      <c r="Y92">
        <f t="shared" si="3"/>
        <v>29</v>
      </c>
    </row>
    <row r="93" spans="1:25" ht="15.75" hidden="1" thickBot="1" x14ac:dyDescent="0.3">
      <c r="B93" s="21" t="s">
        <v>25</v>
      </c>
      <c r="C93" s="36">
        <v>1418</v>
      </c>
      <c r="D93" s="36">
        <v>1532</v>
      </c>
      <c r="E93" s="36">
        <v>114</v>
      </c>
      <c r="F93" s="36">
        <v>146</v>
      </c>
      <c r="G93" s="36">
        <v>16644</v>
      </c>
      <c r="H93" s="36">
        <v>2685</v>
      </c>
      <c r="I93" s="36">
        <v>2787</v>
      </c>
      <c r="J93" s="36">
        <v>102</v>
      </c>
      <c r="K93" s="36">
        <v>360</v>
      </c>
      <c r="L93" s="36">
        <v>36720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63364</v>
      </c>
      <c r="T93" s="25">
        <f t="shared" si="1"/>
        <v>163994</v>
      </c>
      <c r="U93" s="25">
        <f t="shared" si="2"/>
        <v>227358</v>
      </c>
      <c r="V93" s="36">
        <v>92612</v>
      </c>
      <c r="W93" s="25">
        <v>134746</v>
      </c>
      <c r="Y93">
        <f t="shared" si="3"/>
        <v>30</v>
      </c>
    </row>
    <row r="94" spans="1:25" ht="15.75" hidden="1" thickBot="1" x14ac:dyDescent="0.3">
      <c r="B94" s="21" t="s">
        <v>26</v>
      </c>
      <c r="C94" s="36">
        <v>1532</v>
      </c>
      <c r="D94" s="36">
        <v>1635</v>
      </c>
      <c r="E94" s="36">
        <v>103</v>
      </c>
      <c r="F94" s="36">
        <v>146</v>
      </c>
      <c r="G94" s="36">
        <v>15038</v>
      </c>
      <c r="H94" s="36">
        <v>2787</v>
      </c>
      <c r="I94" s="36">
        <v>2855</v>
      </c>
      <c r="J94" s="36">
        <v>68</v>
      </c>
      <c r="K94" s="36">
        <v>360</v>
      </c>
      <c r="L94" s="36">
        <v>24480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49518</v>
      </c>
      <c r="T94" s="25">
        <f t="shared" si="1"/>
        <v>134746</v>
      </c>
      <c r="U94" s="25">
        <f t="shared" si="2"/>
        <v>184264</v>
      </c>
      <c r="V94" s="36">
        <v>134746</v>
      </c>
      <c r="W94" s="25">
        <v>49518</v>
      </c>
      <c r="Y94">
        <f t="shared" si="3"/>
        <v>31</v>
      </c>
    </row>
    <row r="95" spans="1:25" ht="15.75" hidden="1" thickBot="1" x14ac:dyDescent="0.3">
      <c r="B95" s="21" t="s">
        <v>27</v>
      </c>
      <c r="C95" s="36">
        <v>1635</v>
      </c>
      <c r="D95" s="36">
        <v>1773</v>
      </c>
      <c r="E95" s="36">
        <v>138</v>
      </c>
      <c r="F95" s="36">
        <v>146</v>
      </c>
      <c r="G95" s="36">
        <v>20148</v>
      </c>
      <c r="H95" s="36">
        <v>2855</v>
      </c>
      <c r="I95" s="36">
        <v>2877</v>
      </c>
      <c r="J95" s="36">
        <v>22</v>
      </c>
      <c r="K95" s="36">
        <v>360</v>
      </c>
      <c r="L95" s="36">
        <v>7920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38068</v>
      </c>
      <c r="T95" s="25">
        <f t="shared" si="1"/>
        <v>49518</v>
      </c>
      <c r="U95" s="25">
        <f t="shared" si="2"/>
        <v>87586</v>
      </c>
      <c r="V95" s="36">
        <v>49518</v>
      </c>
      <c r="W95" s="25">
        <v>38068</v>
      </c>
      <c r="Y95">
        <f t="shared" si="3"/>
        <v>32</v>
      </c>
    </row>
    <row r="96" spans="1:25" ht="15.75" hidden="1" thickBot="1" x14ac:dyDescent="0.3">
      <c r="B96" s="21" t="s">
        <v>28</v>
      </c>
      <c r="C96" s="36">
        <v>1773</v>
      </c>
      <c r="D96" s="36">
        <v>1948</v>
      </c>
      <c r="E96" s="36">
        <v>175</v>
      </c>
      <c r="F96" s="36">
        <v>146</v>
      </c>
      <c r="G96" s="36">
        <v>25550</v>
      </c>
      <c r="H96" s="36">
        <v>2877</v>
      </c>
      <c r="I96" s="36">
        <v>2879</v>
      </c>
      <c r="J96" s="36">
        <v>2</v>
      </c>
      <c r="K96" s="36">
        <v>360</v>
      </c>
      <c r="L96" s="36">
        <v>720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36270</v>
      </c>
      <c r="T96" s="25">
        <f t="shared" si="1"/>
        <v>38068</v>
      </c>
      <c r="U96" s="25">
        <f t="shared" si="2"/>
        <v>74338</v>
      </c>
      <c r="V96" s="36">
        <v>38068</v>
      </c>
      <c r="W96" s="25">
        <v>36270</v>
      </c>
      <c r="Y96">
        <f t="shared" si="3"/>
        <v>33</v>
      </c>
    </row>
    <row r="97" spans="1:25" ht="22.5" hidden="1" customHeight="1" thickBot="1" x14ac:dyDescent="0.3">
      <c r="A97" s="20"/>
      <c r="B97" s="21" t="s">
        <v>29</v>
      </c>
      <c r="C97" s="36">
        <v>1948</v>
      </c>
      <c r="D97" s="36">
        <v>2885</v>
      </c>
      <c r="E97" s="36">
        <v>937</v>
      </c>
      <c r="F97" s="36">
        <v>146</v>
      </c>
      <c r="G97" s="36">
        <v>136802</v>
      </c>
      <c r="H97" s="36">
        <v>2879</v>
      </c>
      <c r="I97" s="36">
        <v>2886</v>
      </c>
      <c r="J97" s="36">
        <v>7</v>
      </c>
      <c r="K97" s="36">
        <v>360</v>
      </c>
      <c r="L97" s="36">
        <v>2520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4">G97+L97+M97+N97+O97+P97+Q97+R97</f>
        <v>149322</v>
      </c>
      <c r="T97" s="25">
        <f t="shared" si="1"/>
        <v>36270</v>
      </c>
      <c r="U97" s="25">
        <f t="shared" si="2"/>
        <v>185592</v>
      </c>
      <c r="V97" s="36">
        <v>36270</v>
      </c>
      <c r="W97" s="25">
        <f t="shared" ref="W97:W157" si="5">U97-V97</f>
        <v>149322</v>
      </c>
      <c r="Y97">
        <f t="shared" si="3"/>
        <v>34</v>
      </c>
    </row>
    <row r="98" spans="1:25" ht="15.75" hidden="1" thickBot="1" x14ac:dyDescent="0.3">
      <c r="A98" s="20"/>
      <c r="B98" s="21" t="s">
        <v>30</v>
      </c>
      <c r="C98" s="36">
        <v>2885</v>
      </c>
      <c r="D98" s="36">
        <v>2925</v>
      </c>
      <c r="E98" s="36">
        <v>40</v>
      </c>
      <c r="F98" s="36">
        <v>146</v>
      </c>
      <c r="G98" s="36">
        <v>5840</v>
      </c>
      <c r="H98" s="36">
        <v>2886</v>
      </c>
      <c r="I98" s="36">
        <v>2891</v>
      </c>
      <c r="J98" s="36">
        <v>5</v>
      </c>
      <c r="K98" s="36">
        <v>360</v>
      </c>
      <c r="L98" s="36">
        <v>1800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4"/>
        <v>17640</v>
      </c>
      <c r="T98" s="25">
        <f t="shared" si="1"/>
        <v>149322</v>
      </c>
      <c r="U98" s="25">
        <f t="shared" si="2"/>
        <v>166962</v>
      </c>
      <c r="V98" s="36">
        <v>100000</v>
      </c>
      <c r="W98" s="25">
        <f t="shared" si="5"/>
        <v>66962</v>
      </c>
      <c r="Y98">
        <f t="shared" si="3"/>
        <v>35</v>
      </c>
    </row>
    <row r="99" spans="1:25" ht="15.75" hidden="1" thickBot="1" x14ac:dyDescent="0.3">
      <c r="A99" s="20"/>
      <c r="B99" s="21" t="s">
        <v>31</v>
      </c>
      <c r="C99" s="36">
        <v>2925</v>
      </c>
      <c r="D99" s="36">
        <v>2973</v>
      </c>
      <c r="E99" s="36">
        <v>48</v>
      </c>
      <c r="F99" s="36">
        <v>146</v>
      </c>
      <c r="G99" s="36">
        <v>7008</v>
      </c>
      <c r="H99" s="36">
        <v>2891</v>
      </c>
      <c r="I99" s="36">
        <v>2936</v>
      </c>
      <c r="J99" s="36">
        <v>45</v>
      </c>
      <c r="K99" s="36">
        <v>360</v>
      </c>
      <c r="L99" s="36">
        <v>16200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4"/>
        <v>33208</v>
      </c>
      <c r="T99" s="25">
        <f t="shared" ref="T99:T161" si="6">W98</f>
        <v>66962</v>
      </c>
      <c r="U99" s="25">
        <f t="shared" ref="U99:U161" si="7">S99+T99</f>
        <v>100170</v>
      </c>
      <c r="V99" s="36">
        <v>100170</v>
      </c>
      <c r="W99" s="25">
        <f t="shared" si="5"/>
        <v>0</v>
      </c>
      <c r="Y99">
        <f t="shared" si="3"/>
        <v>0</v>
      </c>
    </row>
    <row r="100" spans="1:25" ht="15.75" hidden="1" thickBot="1" x14ac:dyDescent="0.3">
      <c r="A100" s="20"/>
      <c r="B100" s="21" t="s">
        <v>32</v>
      </c>
      <c r="C100" s="36">
        <v>2973</v>
      </c>
      <c r="D100" s="36">
        <v>3015</v>
      </c>
      <c r="E100" s="36">
        <v>42</v>
      </c>
      <c r="F100" s="36">
        <v>146</v>
      </c>
      <c r="G100" s="36">
        <v>6132</v>
      </c>
      <c r="H100" s="36">
        <v>2936</v>
      </c>
      <c r="I100" s="36">
        <v>3020</v>
      </c>
      <c r="J100" s="36">
        <v>84</v>
      </c>
      <c r="K100" s="36">
        <v>360</v>
      </c>
      <c r="L100" s="36">
        <v>30240</v>
      </c>
      <c r="M100" s="36">
        <v>0</v>
      </c>
      <c r="N100" s="36"/>
      <c r="O100" s="36"/>
      <c r="P100" s="36">
        <v>4000</v>
      </c>
      <c r="Q100" s="36">
        <v>10000</v>
      </c>
      <c r="R100" s="36"/>
      <c r="S100" s="36">
        <f t="shared" si="4"/>
        <v>50372</v>
      </c>
      <c r="T100" s="25">
        <f t="shared" si="6"/>
        <v>0</v>
      </c>
      <c r="U100" s="25">
        <f t="shared" si="7"/>
        <v>50372</v>
      </c>
      <c r="V100" s="36">
        <v>50372</v>
      </c>
      <c r="W100" s="25">
        <f t="shared" si="5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33</v>
      </c>
      <c r="C101" s="36">
        <v>3015</v>
      </c>
      <c r="D101" s="36">
        <v>3061</v>
      </c>
      <c r="E101" s="36">
        <v>46</v>
      </c>
      <c r="F101" s="36">
        <v>146</v>
      </c>
      <c r="G101" s="36">
        <v>6716</v>
      </c>
      <c r="H101" s="36">
        <v>3020</v>
      </c>
      <c r="I101" s="36">
        <v>3137</v>
      </c>
      <c r="J101" s="36">
        <v>117</v>
      </c>
      <c r="K101" s="36">
        <v>360</v>
      </c>
      <c r="L101" s="36">
        <v>42120</v>
      </c>
      <c r="M101" s="36">
        <v>0</v>
      </c>
      <c r="N101" s="36"/>
      <c r="O101" s="36"/>
      <c r="P101" s="36">
        <v>4000</v>
      </c>
      <c r="Q101" s="36">
        <v>10000</v>
      </c>
      <c r="R101" s="36"/>
      <c r="S101" s="36">
        <f t="shared" si="4"/>
        <v>62836</v>
      </c>
      <c r="T101" s="25">
        <f t="shared" si="6"/>
        <v>0</v>
      </c>
      <c r="U101" s="25">
        <f t="shared" si="7"/>
        <v>62836</v>
      </c>
      <c r="V101" s="36">
        <v>62836</v>
      </c>
      <c r="W101" s="25">
        <f t="shared" si="5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34</v>
      </c>
      <c r="C102" s="36">
        <v>3061</v>
      </c>
      <c r="D102" s="36">
        <v>3108</v>
      </c>
      <c r="E102" s="36">
        <v>47</v>
      </c>
      <c r="F102" s="36">
        <v>146</v>
      </c>
      <c r="G102" s="36">
        <v>6862</v>
      </c>
      <c r="H102" s="36">
        <v>3137</v>
      </c>
      <c r="I102" s="36">
        <v>3291</v>
      </c>
      <c r="J102" s="36">
        <v>154</v>
      </c>
      <c r="K102" s="36"/>
      <c r="L102" s="36">
        <v>56160</v>
      </c>
      <c r="M102" s="36">
        <v>0</v>
      </c>
      <c r="N102" s="36"/>
      <c r="O102" s="36"/>
      <c r="P102" s="36">
        <v>4000</v>
      </c>
      <c r="Q102" s="36">
        <v>10000</v>
      </c>
      <c r="R102" s="36"/>
      <c r="S102" s="36">
        <f t="shared" si="4"/>
        <v>77022</v>
      </c>
      <c r="T102" s="25">
        <f t="shared" si="6"/>
        <v>0</v>
      </c>
      <c r="U102" s="25">
        <f t="shared" si="7"/>
        <v>77022</v>
      </c>
      <c r="V102" s="36">
        <v>77022</v>
      </c>
      <c r="W102" s="25">
        <f t="shared" si="5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35</v>
      </c>
      <c r="C103" s="36">
        <v>3108</v>
      </c>
      <c r="D103" s="36">
        <v>3181</v>
      </c>
      <c r="E103" s="36">
        <v>73</v>
      </c>
      <c r="F103" s="36">
        <v>146</v>
      </c>
      <c r="G103" s="36">
        <v>10658</v>
      </c>
      <c r="H103" s="36">
        <v>3291</v>
      </c>
      <c r="I103" s="36">
        <v>3462</v>
      </c>
      <c r="J103" s="36">
        <v>171</v>
      </c>
      <c r="K103" s="36">
        <v>0</v>
      </c>
      <c r="L103" s="36">
        <v>65340</v>
      </c>
      <c r="M103" s="36">
        <v>0</v>
      </c>
      <c r="N103" s="36"/>
      <c r="O103" s="36"/>
      <c r="P103" s="36">
        <v>4000</v>
      </c>
      <c r="Q103" s="36">
        <v>10000</v>
      </c>
      <c r="R103" s="36"/>
      <c r="S103" s="36">
        <f t="shared" si="4"/>
        <v>89998</v>
      </c>
      <c r="T103" s="25">
        <f t="shared" si="6"/>
        <v>0</v>
      </c>
      <c r="U103" s="25">
        <f t="shared" si="7"/>
        <v>89998</v>
      </c>
      <c r="V103" s="36">
        <v>89998</v>
      </c>
      <c r="W103" s="25">
        <f t="shared" si="5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24</v>
      </c>
      <c r="C104" s="36">
        <v>3181</v>
      </c>
      <c r="D104" s="36">
        <v>3280</v>
      </c>
      <c r="E104" s="36">
        <v>99</v>
      </c>
      <c r="F104" s="36">
        <v>146</v>
      </c>
      <c r="G104" s="36">
        <v>14454</v>
      </c>
      <c r="H104" s="36">
        <v>3462</v>
      </c>
      <c r="I104" s="36">
        <v>3608</v>
      </c>
      <c r="J104" s="36">
        <v>146</v>
      </c>
      <c r="K104" s="36">
        <v>360</v>
      </c>
      <c r="L104" s="36">
        <v>52560</v>
      </c>
      <c r="M104" s="36">
        <v>0</v>
      </c>
      <c r="N104" s="36"/>
      <c r="O104" s="36"/>
      <c r="P104" s="36">
        <v>4000</v>
      </c>
      <c r="Q104" s="36">
        <v>10000</v>
      </c>
      <c r="R104" s="36"/>
      <c r="S104" s="36">
        <f t="shared" si="4"/>
        <v>81014</v>
      </c>
      <c r="T104" s="25">
        <f t="shared" si="6"/>
        <v>0</v>
      </c>
      <c r="U104" s="25">
        <f t="shared" si="7"/>
        <v>81014</v>
      </c>
      <c r="V104" s="36">
        <v>81014</v>
      </c>
      <c r="W104" s="25">
        <f t="shared" si="5"/>
        <v>0</v>
      </c>
      <c r="Y104">
        <f t="shared" si="3"/>
        <v>0</v>
      </c>
    </row>
    <row r="105" spans="1:25" ht="15.75" hidden="1" thickBot="1" x14ac:dyDescent="0.3">
      <c r="A105" s="20"/>
      <c r="B105" s="21" t="s">
        <v>25</v>
      </c>
      <c r="C105" s="36">
        <v>3280</v>
      </c>
      <c r="D105" s="36">
        <v>3350</v>
      </c>
      <c r="E105" s="36">
        <v>70</v>
      </c>
      <c r="F105" s="36">
        <v>146</v>
      </c>
      <c r="G105" s="36">
        <v>10220</v>
      </c>
      <c r="H105" s="36">
        <v>3608</v>
      </c>
      <c r="I105" s="36">
        <v>3760</v>
      </c>
      <c r="J105" s="36">
        <v>152</v>
      </c>
      <c r="K105" s="36">
        <v>360</v>
      </c>
      <c r="L105" s="36">
        <v>54720</v>
      </c>
      <c r="M105" s="36">
        <v>0</v>
      </c>
      <c r="N105" s="36"/>
      <c r="O105" s="36"/>
      <c r="P105" s="36">
        <v>4000</v>
      </c>
      <c r="Q105" s="36">
        <v>10000</v>
      </c>
      <c r="R105" s="36"/>
      <c r="S105" s="36">
        <f t="shared" si="4"/>
        <v>78940</v>
      </c>
      <c r="T105" s="25">
        <f t="shared" si="6"/>
        <v>0</v>
      </c>
      <c r="U105" s="25">
        <f t="shared" si="7"/>
        <v>78940</v>
      </c>
      <c r="V105" s="36">
        <v>78940</v>
      </c>
      <c r="W105" s="25">
        <f t="shared" si="5"/>
        <v>0</v>
      </c>
      <c r="Y105">
        <f t="shared" si="3"/>
        <v>0</v>
      </c>
    </row>
    <row r="106" spans="1:25" ht="15.75" hidden="1" thickBot="1" x14ac:dyDescent="0.3">
      <c r="A106" s="20"/>
      <c r="B106" s="21" t="s">
        <v>26</v>
      </c>
      <c r="C106" s="36">
        <v>3350</v>
      </c>
      <c r="D106" s="36">
        <v>3398</v>
      </c>
      <c r="E106" s="36">
        <v>48</v>
      </c>
      <c r="F106" s="36">
        <v>146</v>
      </c>
      <c r="G106" s="36">
        <v>7008</v>
      </c>
      <c r="H106" s="36">
        <v>3760</v>
      </c>
      <c r="I106" s="36">
        <v>3821</v>
      </c>
      <c r="J106" s="36">
        <v>61</v>
      </c>
      <c r="K106" s="36">
        <v>360</v>
      </c>
      <c r="L106" s="36">
        <v>21960</v>
      </c>
      <c r="M106" s="36">
        <v>0</v>
      </c>
      <c r="N106" s="36"/>
      <c r="O106" s="36"/>
      <c r="P106" s="36">
        <v>4000</v>
      </c>
      <c r="Q106" s="36">
        <v>10000</v>
      </c>
      <c r="R106" s="36"/>
      <c r="S106" s="36">
        <f t="shared" si="4"/>
        <v>42968</v>
      </c>
      <c r="T106" s="25">
        <f t="shared" si="6"/>
        <v>0</v>
      </c>
      <c r="U106" s="25">
        <f t="shared" si="7"/>
        <v>42968</v>
      </c>
      <c r="V106" s="36">
        <v>42968</v>
      </c>
      <c r="W106" s="25">
        <f t="shared" si="5"/>
        <v>0</v>
      </c>
      <c r="Y106">
        <f t="shared" si="3"/>
        <v>0</v>
      </c>
    </row>
    <row r="107" spans="1:25" ht="15.75" hidden="1" thickBot="1" x14ac:dyDescent="0.3">
      <c r="A107" s="20"/>
      <c r="B107" s="21" t="s">
        <v>27</v>
      </c>
      <c r="C107" s="36">
        <v>3398</v>
      </c>
      <c r="D107" s="36">
        <v>3443</v>
      </c>
      <c r="E107" s="36">
        <v>45</v>
      </c>
      <c r="F107" s="36">
        <v>146</v>
      </c>
      <c r="G107" s="36">
        <v>6570</v>
      </c>
      <c r="H107" s="36">
        <v>3821</v>
      </c>
      <c r="I107" s="36">
        <v>3857</v>
      </c>
      <c r="J107" s="36">
        <v>36</v>
      </c>
      <c r="K107" s="36">
        <v>360</v>
      </c>
      <c r="L107" s="36">
        <v>12960</v>
      </c>
      <c r="M107" s="36">
        <v>0</v>
      </c>
      <c r="N107" s="36"/>
      <c r="O107" s="36"/>
      <c r="P107" s="36">
        <v>4000</v>
      </c>
      <c r="Q107" s="36">
        <v>10000</v>
      </c>
      <c r="R107" s="36"/>
      <c r="S107" s="36">
        <f t="shared" si="4"/>
        <v>33530</v>
      </c>
      <c r="T107" s="25">
        <f t="shared" si="6"/>
        <v>0</v>
      </c>
      <c r="U107" s="25">
        <f t="shared" si="7"/>
        <v>33530</v>
      </c>
      <c r="V107" s="36">
        <v>33530</v>
      </c>
      <c r="W107" s="25">
        <f t="shared" si="5"/>
        <v>0</v>
      </c>
      <c r="Y107">
        <f t="shared" si="3"/>
        <v>0</v>
      </c>
    </row>
    <row r="108" spans="1:25" ht="15.75" hidden="1" thickBot="1" x14ac:dyDescent="0.3">
      <c r="A108" s="20"/>
      <c r="B108" s="21" t="s">
        <v>28</v>
      </c>
      <c r="C108" s="36">
        <v>3443</v>
      </c>
      <c r="D108" s="36">
        <v>3466</v>
      </c>
      <c r="E108" s="36">
        <v>23</v>
      </c>
      <c r="F108" s="36">
        <v>146</v>
      </c>
      <c r="G108" s="36">
        <v>3358</v>
      </c>
      <c r="H108" s="36">
        <v>3857</v>
      </c>
      <c r="I108" s="36">
        <v>3859</v>
      </c>
      <c r="J108" s="36">
        <v>2</v>
      </c>
      <c r="K108" s="36">
        <v>360</v>
      </c>
      <c r="L108" s="36">
        <v>720</v>
      </c>
      <c r="M108" s="36">
        <v>0</v>
      </c>
      <c r="N108" s="36"/>
      <c r="O108" s="36"/>
      <c r="P108" s="36">
        <v>4000</v>
      </c>
      <c r="Q108" s="36">
        <v>10000</v>
      </c>
      <c r="R108" s="36"/>
      <c r="S108" s="36">
        <f t="shared" si="4"/>
        <v>18078</v>
      </c>
      <c r="T108" s="25">
        <f t="shared" si="6"/>
        <v>0</v>
      </c>
      <c r="U108" s="25">
        <f t="shared" si="7"/>
        <v>18078</v>
      </c>
      <c r="V108" s="36">
        <v>18078</v>
      </c>
      <c r="W108" s="25">
        <f t="shared" si="5"/>
        <v>0</v>
      </c>
      <c r="Y108">
        <f t="shared" si="3"/>
        <v>0</v>
      </c>
    </row>
    <row r="109" spans="1:25" ht="15.75" hidden="1" thickBot="1" x14ac:dyDescent="0.3">
      <c r="A109" s="20"/>
      <c r="B109" s="21" t="s">
        <v>29</v>
      </c>
      <c r="C109" s="36">
        <v>3466</v>
      </c>
      <c r="D109" s="36">
        <v>3564</v>
      </c>
      <c r="E109" s="36">
        <v>98</v>
      </c>
      <c r="F109" s="36">
        <v>146</v>
      </c>
      <c r="G109" s="36">
        <v>14308</v>
      </c>
      <c r="H109" s="36">
        <v>3859</v>
      </c>
      <c r="I109" s="36">
        <v>3874</v>
      </c>
      <c r="J109" s="36">
        <v>15</v>
      </c>
      <c r="K109" s="36">
        <v>360</v>
      </c>
      <c r="L109" s="36">
        <v>5400</v>
      </c>
      <c r="M109" s="36">
        <v>0</v>
      </c>
      <c r="N109" s="36"/>
      <c r="O109" s="36"/>
      <c r="P109" s="36">
        <v>4000</v>
      </c>
      <c r="Q109" s="36">
        <v>10000</v>
      </c>
      <c r="R109" s="36"/>
      <c r="S109" s="36">
        <f t="shared" si="4"/>
        <v>33708</v>
      </c>
      <c r="T109" s="25">
        <f t="shared" si="6"/>
        <v>0</v>
      </c>
      <c r="U109" s="25">
        <f t="shared" si="7"/>
        <v>33708</v>
      </c>
      <c r="V109" s="36">
        <v>0</v>
      </c>
      <c r="W109" s="25">
        <f t="shared" si="5"/>
        <v>33708</v>
      </c>
      <c r="Y109">
        <f t="shared" si="3"/>
        <v>1</v>
      </c>
    </row>
    <row r="110" spans="1:25" ht="15.75" hidden="1" thickBot="1" x14ac:dyDescent="0.3">
      <c r="A110" s="20"/>
      <c r="B110" s="21" t="s">
        <v>30</v>
      </c>
      <c r="C110" s="36">
        <v>3564</v>
      </c>
      <c r="D110" s="36">
        <v>3605</v>
      </c>
      <c r="E110" s="36">
        <v>41</v>
      </c>
      <c r="F110" s="36">
        <v>146</v>
      </c>
      <c r="G110" s="36">
        <v>5986</v>
      </c>
      <c r="H110" s="36">
        <v>3874</v>
      </c>
      <c r="I110" s="36">
        <v>3879</v>
      </c>
      <c r="J110" s="36">
        <v>5</v>
      </c>
      <c r="K110" s="36">
        <v>360</v>
      </c>
      <c r="L110" s="36">
        <v>1800</v>
      </c>
      <c r="M110" s="36">
        <v>0</v>
      </c>
      <c r="N110" s="36"/>
      <c r="O110" s="36"/>
      <c r="P110" s="36">
        <v>4000</v>
      </c>
      <c r="Q110" s="36">
        <v>10000</v>
      </c>
      <c r="R110" s="36"/>
      <c r="S110" s="36">
        <f t="shared" si="4"/>
        <v>21786</v>
      </c>
      <c r="T110" s="25">
        <f t="shared" si="6"/>
        <v>33708</v>
      </c>
      <c r="U110" s="25">
        <f t="shared" si="7"/>
        <v>55494</v>
      </c>
      <c r="V110" s="36">
        <v>55494</v>
      </c>
      <c r="W110" s="25">
        <f t="shared" si="5"/>
        <v>0</v>
      </c>
      <c r="Y110">
        <f t="shared" si="3"/>
        <v>0</v>
      </c>
    </row>
    <row r="111" spans="1:25" ht="15.75" hidden="1" thickBot="1" x14ac:dyDescent="0.3">
      <c r="A111" s="20"/>
      <c r="B111" s="21" t="s">
        <v>31</v>
      </c>
      <c r="C111" s="36">
        <v>3605</v>
      </c>
      <c r="D111" s="36">
        <v>3681</v>
      </c>
      <c r="E111" s="36">
        <v>76</v>
      </c>
      <c r="F111" s="36">
        <v>146</v>
      </c>
      <c r="G111" s="36">
        <v>11096</v>
      </c>
      <c r="H111" s="36">
        <v>3879</v>
      </c>
      <c r="I111" s="36">
        <v>3936</v>
      </c>
      <c r="J111" s="36">
        <v>57</v>
      </c>
      <c r="K111" s="36">
        <v>360</v>
      </c>
      <c r="L111" s="36">
        <v>20520</v>
      </c>
      <c r="M111" s="36">
        <v>0</v>
      </c>
      <c r="N111" s="36"/>
      <c r="O111" s="36"/>
      <c r="P111" s="36">
        <v>4000</v>
      </c>
      <c r="Q111" s="36">
        <v>10000</v>
      </c>
      <c r="R111" s="36"/>
      <c r="S111" s="36">
        <f t="shared" si="4"/>
        <v>45616</v>
      </c>
      <c r="T111" s="25">
        <f t="shared" si="6"/>
        <v>0</v>
      </c>
      <c r="U111" s="25">
        <f t="shared" si="7"/>
        <v>45616</v>
      </c>
      <c r="V111" s="36">
        <v>45616</v>
      </c>
      <c r="W111" s="25">
        <f t="shared" si="5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32</v>
      </c>
      <c r="C112" s="36">
        <v>3681</v>
      </c>
      <c r="D112" s="36">
        <v>3732</v>
      </c>
      <c r="E112" s="36">
        <v>51</v>
      </c>
      <c r="F112" s="36">
        <v>146</v>
      </c>
      <c r="G112" s="36">
        <v>7446</v>
      </c>
      <c r="H112" s="36">
        <v>3936</v>
      </c>
      <c r="I112" s="36">
        <v>4059</v>
      </c>
      <c r="J112" s="36">
        <v>123</v>
      </c>
      <c r="K112" s="36">
        <v>360</v>
      </c>
      <c r="L112" s="36">
        <v>44280</v>
      </c>
      <c r="M112" s="36">
        <v>0</v>
      </c>
      <c r="N112" s="36"/>
      <c r="O112" s="36"/>
      <c r="P112" s="36">
        <v>4000</v>
      </c>
      <c r="Q112" s="36">
        <v>10000</v>
      </c>
      <c r="R112" s="36"/>
      <c r="S112" s="36">
        <f t="shared" si="4"/>
        <v>65726</v>
      </c>
      <c r="T112" s="25">
        <f t="shared" si="6"/>
        <v>0</v>
      </c>
      <c r="U112" s="25">
        <f t="shared" si="7"/>
        <v>65726</v>
      </c>
      <c r="V112" s="36">
        <v>65726</v>
      </c>
      <c r="W112" s="25">
        <f t="shared" si="5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33</v>
      </c>
      <c r="C113" s="36">
        <v>3732</v>
      </c>
      <c r="D113" s="36">
        <v>3789</v>
      </c>
      <c r="E113" s="36">
        <v>57</v>
      </c>
      <c r="F113" s="36">
        <v>146</v>
      </c>
      <c r="G113" s="36">
        <v>8322</v>
      </c>
      <c r="H113" s="36">
        <v>4059</v>
      </c>
      <c r="I113" s="36">
        <v>4272</v>
      </c>
      <c r="J113" s="36">
        <v>213</v>
      </c>
      <c r="K113" s="36">
        <v>0</v>
      </c>
      <c r="L113" s="36">
        <v>90360</v>
      </c>
      <c r="M113" s="36">
        <v>0</v>
      </c>
      <c r="N113" s="36"/>
      <c r="O113" s="36"/>
      <c r="P113" s="36">
        <v>4000</v>
      </c>
      <c r="Q113" s="36">
        <v>10000</v>
      </c>
      <c r="R113" s="36"/>
      <c r="S113" s="36">
        <f t="shared" si="4"/>
        <v>112682</v>
      </c>
      <c r="T113" s="25">
        <f t="shared" si="6"/>
        <v>0</v>
      </c>
      <c r="U113" s="25">
        <f t="shared" si="7"/>
        <v>112682</v>
      </c>
      <c r="V113" s="36">
        <v>112682</v>
      </c>
      <c r="W113" s="25">
        <f t="shared" si="5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34</v>
      </c>
      <c r="C114" s="36">
        <v>3789</v>
      </c>
      <c r="D114" s="36">
        <v>3877</v>
      </c>
      <c r="E114" s="36">
        <v>88</v>
      </c>
      <c r="F114" s="36">
        <v>146</v>
      </c>
      <c r="G114" s="36">
        <v>12848</v>
      </c>
      <c r="H114" s="36">
        <v>4272</v>
      </c>
      <c r="I114" s="36">
        <v>4578</v>
      </c>
      <c r="J114" s="36">
        <v>306</v>
      </c>
      <c r="K114" s="36">
        <v>0</v>
      </c>
      <c r="L114" s="36">
        <v>157320</v>
      </c>
      <c r="M114" s="36">
        <v>0</v>
      </c>
      <c r="N114" s="36"/>
      <c r="O114" s="36"/>
      <c r="P114" s="36">
        <v>4000</v>
      </c>
      <c r="Q114" s="36">
        <v>10000</v>
      </c>
      <c r="R114" s="36"/>
      <c r="S114" s="36">
        <f t="shared" si="4"/>
        <v>184168</v>
      </c>
      <c r="T114" s="25">
        <f t="shared" si="6"/>
        <v>0</v>
      </c>
      <c r="U114" s="25">
        <f t="shared" si="7"/>
        <v>184168</v>
      </c>
      <c r="V114" s="36">
        <v>184168</v>
      </c>
      <c r="W114" s="25">
        <f t="shared" si="5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3877</v>
      </c>
      <c r="D115" s="36">
        <v>4032</v>
      </c>
      <c r="E115" s="36">
        <v>155</v>
      </c>
      <c r="F115" s="36">
        <v>146</v>
      </c>
      <c r="G115" s="36">
        <v>22630</v>
      </c>
      <c r="H115" s="36">
        <v>4578</v>
      </c>
      <c r="I115" s="36">
        <v>4936</v>
      </c>
      <c r="J115" s="36">
        <v>358</v>
      </c>
      <c r="K115" s="36">
        <v>0</v>
      </c>
      <c r="L115" s="36">
        <v>194760</v>
      </c>
      <c r="M115" s="36">
        <v>0</v>
      </c>
      <c r="N115" s="36"/>
      <c r="O115" s="36"/>
      <c r="P115" s="36">
        <v>4000</v>
      </c>
      <c r="Q115" s="36">
        <v>10000</v>
      </c>
      <c r="R115" s="36"/>
      <c r="S115" s="36">
        <f t="shared" si="4"/>
        <v>231390</v>
      </c>
      <c r="T115" s="25">
        <f t="shared" si="6"/>
        <v>0</v>
      </c>
      <c r="U115" s="25">
        <f t="shared" si="7"/>
        <v>231390</v>
      </c>
      <c r="V115" s="36">
        <v>231390</v>
      </c>
      <c r="W115" s="25">
        <f t="shared" si="5"/>
        <v>0</v>
      </c>
      <c r="Y115">
        <f t="shared" si="3"/>
        <v>0</v>
      </c>
    </row>
    <row r="116" spans="1:25" ht="15.75" hidden="1" thickBot="1" x14ac:dyDescent="0.3">
      <c r="A116" s="20"/>
      <c r="B116" s="21" t="s">
        <v>24</v>
      </c>
      <c r="C116" s="36">
        <v>4032</v>
      </c>
      <c r="D116" s="36">
        <v>4236</v>
      </c>
      <c r="E116" s="36">
        <v>204</v>
      </c>
      <c r="F116" s="36">
        <v>146</v>
      </c>
      <c r="G116" s="36">
        <v>29784</v>
      </c>
      <c r="H116" s="36">
        <v>4936</v>
      </c>
      <c r="I116" s="36">
        <v>5209</v>
      </c>
      <c r="J116" s="36">
        <v>273</v>
      </c>
      <c r="K116" s="36">
        <v>0</v>
      </c>
      <c r="L116" s="36">
        <v>133560</v>
      </c>
      <c r="M116" s="36">
        <v>0</v>
      </c>
      <c r="N116" s="36"/>
      <c r="O116" s="36"/>
      <c r="P116" s="36">
        <v>4000</v>
      </c>
      <c r="Q116" s="36">
        <v>10000</v>
      </c>
      <c r="R116" s="36"/>
      <c r="S116" s="36">
        <f t="shared" si="4"/>
        <v>177344</v>
      </c>
      <c r="T116" s="25">
        <f t="shared" si="6"/>
        <v>0</v>
      </c>
      <c r="U116" s="25">
        <f t="shared" si="7"/>
        <v>177344</v>
      </c>
      <c r="V116" s="36">
        <v>177344</v>
      </c>
      <c r="W116" s="25">
        <f t="shared" si="5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25</v>
      </c>
      <c r="C117" s="36">
        <v>4236</v>
      </c>
      <c r="D117" s="36">
        <v>4425</v>
      </c>
      <c r="E117" s="36">
        <v>189</v>
      </c>
      <c r="F117" s="36">
        <v>146</v>
      </c>
      <c r="G117" s="36">
        <v>27594</v>
      </c>
      <c r="H117" s="36">
        <v>5209</v>
      </c>
      <c r="I117" s="36">
        <v>5396</v>
      </c>
      <c r="J117" s="36">
        <v>187</v>
      </c>
      <c r="K117" s="36">
        <v>0</v>
      </c>
      <c r="L117" s="36">
        <v>73980</v>
      </c>
      <c r="M117" s="36">
        <v>0</v>
      </c>
      <c r="N117" s="36"/>
      <c r="O117" s="36"/>
      <c r="P117" s="36">
        <v>4000</v>
      </c>
      <c r="Q117" s="36">
        <v>13197</v>
      </c>
      <c r="R117" s="36"/>
      <c r="S117" s="36">
        <f t="shared" si="4"/>
        <v>118771</v>
      </c>
      <c r="T117" s="25">
        <f t="shared" si="6"/>
        <v>0</v>
      </c>
      <c r="U117" s="25">
        <f t="shared" si="7"/>
        <v>118771</v>
      </c>
      <c r="V117" s="36">
        <v>118771</v>
      </c>
      <c r="W117" s="25">
        <f t="shared" si="5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26</v>
      </c>
      <c r="C118" s="36">
        <v>4425</v>
      </c>
      <c r="D118" s="36">
        <v>4553</v>
      </c>
      <c r="E118" s="36">
        <v>128</v>
      </c>
      <c r="F118" s="36">
        <v>146</v>
      </c>
      <c r="G118" s="36">
        <v>18688</v>
      </c>
      <c r="H118" s="36">
        <v>5396</v>
      </c>
      <c r="I118" s="36">
        <v>5517</v>
      </c>
      <c r="J118" s="36">
        <v>121</v>
      </c>
      <c r="K118" s="36">
        <v>360</v>
      </c>
      <c r="L118" s="36">
        <v>43560</v>
      </c>
      <c r="M118" s="36">
        <v>0</v>
      </c>
      <c r="N118" s="36"/>
      <c r="O118" s="36"/>
      <c r="P118" s="36">
        <v>4000</v>
      </c>
      <c r="Q118" s="36">
        <v>13197</v>
      </c>
      <c r="R118" s="36"/>
      <c r="S118" s="36">
        <f t="shared" si="4"/>
        <v>79445</v>
      </c>
      <c r="T118" s="25">
        <f t="shared" si="6"/>
        <v>0</v>
      </c>
      <c r="U118" s="25">
        <f t="shared" si="7"/>
        <v>79445</v>
      </c>
      <c r="V118" s="36">
        <v>79445</v>
      </c>
      <c r="W118" s="25">
        <f t="shared" si="5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27</v>
      </c>
      <c r="C119" s="36">
        <v>4553</v>
      </c>
      <c r="D119" s="36">
        <v>4745</v>
      </c>
      <c r="E119" s="36">
        <v>192</v>
      </c>
      <c r="F119" s="36">
        <v>146</v>
      </c>
      <c r="G119" s="36">
        <v>28032</v>
      </c>
      <c r="H119" s="36">
        <v>5517</v>
      </c>
      <c r="I119" s="36">
        <v>5621</v>
      </c>
      <c r="J119" s="36">
        <v>104</v>
      </c>
      <c r="K119" s="36">
        <v>360</v>
      </c>
      <c r="L119" s="36">
        <v>37440</v>
      </c>
      <c r="M119" s="36">
        <v>0</v>
      </c>
      <c r="N119" s="36"/>
      <c r="O119" s="36"/>
      <c r="P119" s="36">
        <v>4000</v>
      </c>
      <c r="Q119" s="36">
        <v>13197</v>
      </c>
      <c r="R119" s="36"/>
      <c r="S119" s="36">
        <f t="shared" si="4"/>
        <v>82669</v>
      </c>
      <c r="T119" s="25">
        <f t="shared" si="6"/>
        <v>0</v>
      </c>
      <c r="U119" s="25">
        <f t="shared" si="7"/>
        <v>82669</v>
      </c>
      <c r="V119" s="36">
        <v>82669</v>
      </c>
      <c r="W119" s="25">
        <f t="shared" si="5"/>
        <v>0</v>
      </c>
      <c r="Y119">
        <f t="shared" si="3"/>
        <v>0</v>
      </c>
    </row>
    <row r="120" spans="1:25" ht="15.75" hidden="1" thickBot="1" x14ac:dyDescent="0.3">
      <c r="A120" s="20"/>
      <c r="B120" s="21" t="s">
        <v>28</v>
      </c>
      <c r="C120" s="36">
        <v>4745</v>
      </c>
      <c r="D120" s="36">
        <v>4818</v>
      </c>
      <c r="E120" s="36">
        <v>73</v>
      </c>
      <c r="F120" s="36">
        <v>146</v>
      </c>
      <c r="G120" s="36">
        <v>10658</v>
      </c>
      <c r="H120" s="36">
        <v>5621</v>
      </c>
      <c r="I120" s="36">
        <v>5624</v>
      </c>
      <c r="J120" s="36">
        <v>3</v>
      </c>
      <c r="K120" s="36">
        <v>360</v>
      </c>
      <c r="L120" s="36">
        <v>1080</v>
      </c>
      <c r="M120" s="36">
        <v>0</v>
      </c>
      <c r="N120" s="36"/>
      <c r="O120" s="36"/>
      <c r="P120" s="36">
        <v>4000</v>
      </c>
      <c r="Q120" s="36">
        <v>13197</v>
      </c>
      <c r="R120" s="36"/>
      <c r="S120" s="36">
        <f t="shared" si="4"/>
        <v>28935</v>
      </c>
      <c r="T120" s="25">
        <f t="shared" si="6"/>
        <v>0</v>
      </c>
      <c r="U120" s="25">
        <f t="shared" si="7"/>
        <v>28935</v>
      </c>
      <c r="V120" s="36">
        <v>28935</v>
      </c>
      <c r="W120" s="25">
        <f t="shared" si="5"/>
        <v>0</v>
      </c>
      <c r="Y120">
        <f t="shared" si="3"/>
        <v>0</v>
      </c>
    </row>
    <row r="121" spans="1:25" ht="15.75" hidden="1" thickBot="1" x14ac:dyDescent="0.3">
      <c r="A121" s="20"/>
      <c r="B121" s="21" t="s">
        <v>29</v>
      </c>
      <c r="C121" s="36">
        <v>4818</v>
      </c>
      <c r="D121" s="36">
        <v>4890</v>
      </c>
      <c r="E121" s="36">
        <v>72</v>
      </c>
      <c r="F121" s="36">
        <v>146</v>
      </c>
      <c r="G121" s="36">
        <v>10512</v>
      </c>
      <c r="H121" s="36">
        <v>5624</v>
      </c>
      <c r="I121" s="36">
        <v>5626</v>
      </c>
      <c r="J121" s="36">
        <v>2</v>
      </c>
      <c r="K121" s="36">
        <v>360</v>
      </c>
      <c r="L121" s="36">
        <v>720</v>
      </c>
      <c r="M121" s="36">
        <v>0</v>
      </c>
      <c r="N121" s="36"/>
      <c r="O121" s="36"/>
      <c r="P121" s="36">
        <v>4000</v>
      </c>
      <c r="Q121" s="36">
        <v>13197</v>
      </c>
      <c r="R121" s="36"/>
      <c r="S121" s="36">
        <f t="shared" si="4"/>
        <v>28429</v>
      </c>
      <c r="T121" s="25">
        <f t="shared" si="6"/>
        <v>0</v>
      </c>
      <c r="U121" s="25">
        <f t="shared" si="7"/>
        <v>28429</v>
      </c>
      <c r="V121" s="36">
        <v>28429</v>
      </c>
      <c r="W121" s="25">
        <f t="shared" si="5"/>
        <v>0</v>
      </c>
      <c r="Y121">
        <f t="shared" si="3"/>
        <v>0</v>
      </c>
    </row>
    <row r="122" spans="1:25" ht="15.75" hidden="1" thickBot="1" x14ac:dyDescent="0.3">
      <c r="A122" s="20"/>
      <c r="B122" s="21" t="s">
        <v>30</v>
      </c>
      <c r="C122" s="36">
        <v>4890</v>
      </c>
      <c r="D122" s="36">
        <v>4935</v>
      </c>
      <c r="E122" s="36">
        <v>45</v>
      </c>
      <c r="F122" s="36">
        <v>146</v>
      </c>
      <c r="G122" s="36">
        <v>6570</v>
      </c>
      <c r="H122" s="36">
        <v>5626</v>
      </c>
      <c r="I122" s="36">
        <v>5627</v>
      </c>
      <c r="J122" s="36">
        <v>1</v>
      </c>
      <c r="K122" s="36">
        <v>360</v>
      </c>
      <c r="L122" s="36">
        <v>360</v>
      </c>
      <c r="M122" s="36">
        <v>0</v>
      </c>
      <c r="N122" s="36"/>
      <c r="O122" s="36"/>
      <c r="P122" s="36">
        <v>10000</v>
      </c>
      <c r="Q122" s="36">
        <v>13197</v>
      </c>
      <c r="R122" s="36"/>
      <c r="S122" s="36">
        <f t="shared" si="4"/>
        <v>30127</v>
      </c>
      <c r="T122" s="25">
        <f t="shared" si="6"/>
        <v>0</v>
      </c>
      <c r="U122" s="25">
        <f t="shared" si="7"/>
        <v>30127</v>
      </c>
      <c r="V122" s="36">
        <v>30127</v>
      </c>
      <c r="W122" s="25">
        <f t="shared" si="5"/>
        <v>0</v>
      </c>
      <c r="Y122">
        <f t="shared" si="3"/>
        <v>0</v>
      </c>
    </row>
    <row r="123" spans="1:25" ht="15.75" hidden="1" thickBot="1" x14ac:dyDescent="0.3">
      <c r="A123" s="20"/>
      <c r="B123" s="21" t="s">
        <v>31</v>
      </c>
      <c r="C123" s="36">
        <v>4935</v>
      </c>
      <c r="D123" s="36">
        <v>5116</v>
      </c>
      <c r="E123" s="36">
        <v>181</v>
      </c>
      <c r="F123" s="36">
        <v>146</v>
      </c>
      <c r="G123" s="36">
        <v>26426</v>
      </c>
      <c r="H123" s="36">
        <v>5627</v>
      </c>
      <c r="I123" s="36">
        <v>5633</v>
      </c>
      <c r="J123" s="36">
        <v>6</v>
      </c>
      <c r="K123" s="36">
        <v>360</v>
      </c>
      <c r="L123" s="36">
        <v>2160</v>
      </c>
      <c r="M123" s="36">
        <v>0</v>
      </c>
      <c r="N123" s="36"/>
      <c r="O123" s="36"/>
      <c r="P123" s="36">
        <v>10000</v>
      </c>
      <c r="Q123" s="36">
        <v>13197</v>
      </c>
      <c r="R123" s="36"/>
      <c r="S123" s="36">
        <f t="shared" si="4"/>
        <v>51783</v>
      </c>
      <c r="T123" s="25">
        <f t="shared" si="6"/>
        <v>0</v>
      </c>
      <c r="U123" s="25">
        <f t="shared" si="7"/>
        <v>51783</v>
      </c>
      <c r="V123" s="36">
        <v>51783</v>
      </c>
      <c r="W123" s="25">
        <f t="shared" si="5"/>
        <v>0</v>
      </c>
      <c r="Y123">
        <f t="shared" si="3"/>
        <v>0</v>
      </c>
    </row>
    <row r="124" spans="1:25" ht="15.75" hidden="1" thickBot="1" x14ac:dyDescent="0.3">
      <c r="A124" s="20"/>
      <c r="B124" s="21" t="s">
        <v>32</v>
      </c>
      <c r="C124" s="36">
        <v>5116</v>
      </c>
      <c r="D124" s="36">
        <v>5328</v>
      </c>
      <c r="E124" s="36">
        <v>212</v>
      </c>
      <c r="F124" s="36">
        <v>146</v>
      </c>
      <c r="G124" s="36">
        <v>30952</v>
      </c>
      <c r="H124" s="36">
        <v>5633</v>
      </c>
      <c r="I124" s="36">
        <v>5640</v>
      </c>
      <c r="J124" s="36">
        <v>7</v>
      </c>
      <c r="K124" s="36">
        <v>360</v>
      </c>
      <c r="L124" s="36">
        <v>2520</v>
      </c>
      <c r="M124" s="36">
        <v>0</v>
      </c>
      <c r="N124" s="36"/>
      <c r="O124" s="36"/>
      <c r="P124" s="36">
        <v>10000</v>
      </c>
      <c r="Q124" s="36">
        <v>13197</v>
      </c>
      <c r="R124" s="36"/>
      <c r="S124" s="36">
        <f t="shared" si="4"/>
        <v>56669</v>
      </c>
      <c r="T124" s="25">
        <f t="shared" si="6"/>
        <v>0</v>
      </c>
      <c r="U124" s="25">
        <f t="shared" si="7"/>
        <v>56669</v>
      </c>
      <c r="V124" s="36">
        <v>56669</v>
      </c>
      <c r="W124" s="25">
        <f t="shared" si="5"/>
        <v>0</v>
      </c>
      <c r="Y124">
        <f t="shared" si="3"/>
        <v>0</v>
      </c>
    </row>
    <row r="125" spans="1:25" ht="15.75" hidden="1" thickBot="1" x14ac:dyDescent="0.3">
      <c r="A125" s="20"/>
      <c r="B125" s="21" t="s">
        <v>33</v>
      </c>
      <c r="C125" s="36">
        <v>5328</v>
      </c>
      <c r="D125" s="36">
        <v>6066</v>
      </c>
      <c r="E125" s="36">
        <v>738</v>
      </c>
      <c r="F125" s="36">
        <v>146</v>
      </c>
      <c r="G125" s="36">
        <v>107748</v>
      </c>
      <c r="H125" s="36">
        <v>5640</v>
      </c>
      <c r="I125" s="36">
        <v>5654</v>
      </c>
      <c r="J125" s="36">
        <v>14</v>
      </c>
      <c r="K125" s="36">
        <v>360</v>
      </c>
      <c r="L125" s="36">
        <v>5040</v>
      </c>
      <c r="M125" s="36">
        <v>0</v>
      </c>
      <c r="N125" s="36"/>
      <c r="O125" s="36"/>
      <c r="P125" s="36">
        <v>10000</v>
      </c>
      <c r="Q125" s="36">
        <v>13197</v>
      </c>
      <c r="R125" s="36"/>
      <c r="S125" s="36">
        <f t="shared" si="4"/>
        <v>135985</v>
      </c>
      <c r="T125" s="25">
        <f t="shared" si="6"/>
        <v>0</v>
      </c>
      <c r="U125" s="25">
        <f t="shared" si="7"/>
        <v>135985</v>
      </c>
      <c r="V125" s="36">
        <v>135985</v>
      </c>
      <c r="W125" s="25">
        <f t="shared" si="5"/>
        <v>0</v>
      </c>
      <c r="Y125">
        <f t="shared" si="3"/>
        <v>0</v>
      </c>
    </row>
    <row r="126" spans="1:25" ht="15.75" hidden="1" thickBot="1" x14ac:dyDescent="0.3">
      <c r="A126" s="20"/>
      <c r="B126" s="21" t="s">
        <v>34</v>
      </c>
      <c r="C126" s="36">
        <v>6066</v>
      </c>
      <c r="D126" s="36">
        <v>6874</v>
      </c>
      <c r="E126" s="36">
        <v>808</v>
      </c>
      <c r="F126" s="36">
        <v>146</v>
      </c>
      <c r="G126" s="36">
        <v>117968</v>
      </c>
      <c r="H126" s="36">
        <v>5654</v>
      </c>
      <c r="I126" s="36">
        <v>5752</v>
      </c>
      <c r="J126" s="36">
        <v>98</v>
      </c>
      <c r="K126" s="36">
        <v>360</v>
      </c>
      <c r="L126" s="36">
        <v>35280</v>
      </c>
      <c r="M126" s="36">
        <v>0</v>
      </c>
      <c r="N126" s="36"/>
      <c r="O126" s="36"/>
      <c r="P126" s="36">
        <v>10000</v>
      </c>
      <c r="Q126" s="36">
        <v>13197</v>
      </c>
      <c r="R126" s="36"/>
      <c r="S126" s="36">
        <f t="shared" si="4"/>
        <v>176445</v>
      </c>
      <c r="T126" s="25">
        <f t="shared" si="6"/>
        <v>0</v>
      </c>
      <c r="U126" s="25">
        <f t="shared" si="7"/>
        <v>176445</v>
      </c>
      <c r="V126" s="36">
        <v>176445</v>
      </c>
      <c r="W126" s="25">
        <f t="shared" si="5"/>
        <v>0</v>
      </c>
      <c r="Y126">
        <f t="shared" si="3"/>
        <v>0</v>
      </c>
    </row>
    <row r="127" spans="1:25" ht="15.75" hidden="1" thickBot="1" x14ac:dyDescent="0.3">
      <c r="A127" s="20">
        <v>2013</v>
      </c>
      <c r="B127" s="21" t="s">
        <v>35</v>
      </c>
      <c r="C127" s="36">
        <v>6874</v>
      </c>
      <c r="D127" s="36">
        <v>7839</v>
      </c>
      <c r="E127" s="36">
        <v>965</v>
      </c>
      <c r="F127" s="36">
        <v>146</v>
      </c>
      <c r="G127" s="36">
        <v>140890</v>
      </c>
      <c r="H127" s="36">
        <v>5752</v>
      </c>
      <c r="I127" s="36">
        <v>5769</v>
      </c>
      <c r="J127" s="36">
        <v>17</v>
      </c>
      <c r="K127" s="36">
        <v>360</v>
      </c>
      <c r="L127" s="36">
        <v>6120</v>
      </c>
      <c r="M127" s="36">
        <v>0</v>
      </c>
      <c r="N127" s="36"/>
      <c r="O127" s="36"/>
      <c r="P127" s="36">
        <v>10000</v>
      </c>
      <c r="Q127" s="36">
        <v>13393</v>
      </c>
      <c r="R127" s="36"/>
      <c r="S127" s="36">
        <f t="shared" si="4"/>
        <v>170403</v>
      </c>
      <c r="T127" s="25">
        <f t="shared" si="6"/>
        <v>0</v>
      </c>
      <c r="U127" s="25">
        <f t="shared" si="7"/>
        <v>170403</v>
      </c>
      <c r="V127" s="36">
        <v>170403</v>
      </c>
      <c r="W127" s="25">
        <f t="shared" si="5"/>
        <v>0</v>
      </c>
      <c r="Y127">
        <f t="shared" si="3"/>
        <v>0</v>
      </c>
    </row>
    <row r="128" spans="1:25" ht="15.75" hidden="1" thickBot="1" x14ac:dyDescent="0.3">
      <c r="A128" s="20"/>
      <c r="B128" s="21" t="s">
        <v>24</v>
      </c>
      <c r="C128" s="36">
        <v>7839</v>
      </c>
      <c r="D128" s="36">
        <v>8807</v>
      </c>
      <c r="E128" s="36">
        <v>968</v>
      </c>
      <c r="F128" s="36">
        <v>146</v>
      </c>
      <c r="G128" s="36">
        <v>141328</v>
      </c>
      <c r="H128" s="36">
        <v>5769</v>
      </c>
      <c r="I128" s="36">
        <v>5812</v>
      </c>
      <c r="J128" s="36">
        <v>43</v>
      </c>
      <c r="K128" s="36">
        <v>360</v>
      </c>
      <c r="L128" s="36">
        <v>15480</v>
      </c>
      <c r="M128" s="36">
        <v>0</v>
      </c>
      <c r="N128" s="36"/>
      <c r="O128" s="36"/>
      <c r="P128" s="36">
        <v>10000</v>
      </c>
      <c r="Q128" s="36">
        <v>13393</v>
      </c>
      <c r="R128" s="36"/>
      <c r="S128" s="36">
        <f t="shared" si="4"/>
        <v>180201</v>
      </c>
      <c r="T128" s="25">
        <f t="shared" si="6"/>
        <v>0</v>
      </c>
      <c r="U128" s="25">
        <f t="shared" si="7"/>
        <v>180201</v>
      </c>
      <c r="V128" s="36">
        <v>180201</v>
      </c>
      <c r="W128" s="25">
        <f t="shared" si="5"/>
        <v>0</v>
      </c>
      <c r="Y128">
        <f t="shared" si="3"/>
        <v>0</v>
      </c>
    </row>
    <row r="129" spans="1:25" ht="15.75" hidden="1" thickBot="1" x14ac:dyDescent="0.3">
      <c r="A129" s="20"/>
      <c r="B129" s="21" t="s">
        <v>25</v>
      </c>
      <c r="C129" s="36">
        <v>8807</v>
      </c>
      <c r="D129" s="36">
        <v>9698</v>
      </c>
      <c r="E129" s="36">
        <v>891</v>
      </c>
      <c r="F129" s="36">
        <v>146</v>
      </c>
      <c r="G129" s="36">
        <v>130086</v>
      </c>
      <c r="H129" s="36">
        <v>5812</v>
      </c>
      <c r="I129" s="36">
        <v>5816</v>
      </c>
      <c r="J129" s="36">
        <v>4</v>
      </c>
      <c r="K129" s="36">
        <v>360</v>
      </c>
      <c r="L129" s="36">
        <v>1440</v>
      </c>
      <c r="M129" s="36">
        <v>0</v>
      </c>
      <c r="N129" s="36"/>
      <c r="O129" s="36"/>
      <c r="P129" s="36">
        <v>10000</v>
      </c>
      <c r="Q129" s="36">
        <v>13393</v>
      </c>
      <c r="R129" s="36"/>
      <c r="S129" s="36">
        <f t="shared" si="4"/>
        <v>154919</v>
      </c>
      <c r="T129" s="25">
        <f t="shared" si="6"/>
        <v>0</v>
      </c>
      <c r="U129" s="25">
        <f t="shared" si="7"/>
        <v>154919</v>
      </c>
      <c r="V129" s="36">
        <v>154919</v>
      </c>
      <c r="W129" s="25">
        <f t="shared" si="5"/>
        <v>0</v>
      </c>
      <c r="Y129">
        <f t="shared" si="3"/>
        <v>0</v>
      </c>
    </row>
    <row r="130" spans="1:25" ht="15.75" hidden="1" thickBot="1" x14ac:dyDescent="0.3">
      <c r="A130" s="20"/>
      <c r="B130" s="21" t="s">
        <v>26</v>
      </c>
      <c r="C130" s="36">
        <v>9698</v>
      </c>
      <c r="D130" s="36">
        <v>10533</v>
      </c>
      <c r="E130" s="36">
        <v>835</v>
      </c>
      <c r="F130" s="36">
        <v>146</v>
      </c>
      <c r="G130" s="36">
        <v>121910</v>
      </c>
      <c r="H130" s="36">
        <v>5816</v>
      </c>
      <c r="I130" s="36">
        <v>5822</v>
      </c>
      <c r="J130" s="36">
        <v>6</v>
      </c>
      <c r="K130" s="36">
        <v>360</v>
      </c>
      <c r="L130" s="36">
        <v>2160</v>
      </c>
      <c r="M130" s="36">
        <v>0</v>
      </c>
      <c r="N130" s="36"/>
      <c r="O130" s="36"/>
      <c r="P130" s="36">
        <v>15000</v>
      </c>
      <c r="Q130" s="36">
        <v>13393</v>
      </c>
      <c r="R130" s="36"/>
      <c r="S130" s="36">
        <f t="shared" si="4"/>
        <v>152463</v>
      </c>
      <c r="T130" s="25">
        <f t="shared" si="6"/>
        <v>0</v>
      </c>
      <c r="U130" s="25">
        <f t="shared" si="7"/>
        <v>152463</v>
      </c>
      <c r="V130" s="36">
        <v>152463</v>
      </c>
      <c r="W130" s="25">
        <f t="shared" si="5"/>
        <v>0</v>
      </c>
      <c r="Y130">
        <f t="shared" si="3"/>
        <v>0</v>
      </c>
    </row>
    <row r="131" spans="1:25" ht="15.75" hidden="1" thickBot="1" x14ac:dyDescent="0.3">
      <c r="A131" s="20"/>
      <c r="B131" s="21" t="s">
        <v>27</v>
      </c>
      <c r="C131" s="36">
        <v>10533</v>
      </c>
      <c r="D131" s="36">
        <v>11203</v>
      </c>
      <c r="E131" s="36">
        <v>670</v>
      </c>
      <c r="F131" s="36">
        <v>146</v>
      </c>
      <c r="G131" s="36">
        <v>97820</v>
      </c>
      <c r="H131" s="36">
        <v>5822</v>
      </c>
      <c r="I131" s="36">
        <v>5825</v>
      </c>
      <c r="J131" s="36">
        <v>3</v>
      </c>
      <c r="K131" s="36">
        <v>360</v>
      </c>
      <c r="L131" s="36">
        <v>1080</v>
      </c>
      <c r="M131" s="36">
        <v>0</v>
      </c>
      <c r="N131" s="36"/>
      <c r="O131" s="36"/>
      <c r="P131" s="36">
        <v>15000</v>
      </c>
      <c r="Q131" s="36">
        <v>13393</v>
      </c>
      <c r="R131" s="36"/>
      <c r="S131" s="36">
        <f t="shared" si="4"/>
        <v>127293</v>
      </c>
      <c r="T131" s="25">
        <f t="shared" si="6"/>
        <v>0</v>
      </c>
      <c r="U131" s="25">
        <f t="shared" si="7"/>
        <v>127293</v>
      </c>
      <c r="V131" s="36">
        <v>127293</v>
      </c>
      <c r="W131" s="25">
        <f t="shared" si="5"/>
        <v>0</v>
      </c>
      <c r="Y131">
        <f t="shared" si="3"/>
        <v>0</v>
      </c>
    </row>
    <row r="132" spans="1:25" ht="15.75" hidden="1" thickBot="1" x14ac:dyDescent="0.3">
      <c r="A132" s="20"/>
      <c r="B132" s="21" t="s">
        <v>28</v>
      </c>
      <c r="C132" s="36">
        <v>11203</v>
      </c>
      <c r="D132" s="36">
        <v>11756</v>
      </c>
      <c r="E132" s="36">
        <v>553</v>
      </c>
      <c r="F132" s="36">
        <v>146</v>
      </c>
      <c r="G132" s="36">
        <v>80738</v>
      </c>
      <c r="H132" s="36">
        <v>5825</v>
      </c>
      <c r="I132" s="36">
        <v>5827</v>
      </c>
      <c r="J132" s="36">
        <v>2</v>
      </c>
      <c r="K132" s="36">
        <v>360</v>
      </c>
      <c r="L132" s="36">
        <v>720</v>
      </c>
      <c r="M132" s="36">
        <v>0</v>
      </c>
      <c r="N132" s="36"/>
      <c r="O132" s="36"/>
      <c r="P132" s="36">
        <v>15000</v>
      </c>
      <c r="Q132" s="36">
        <v>13393</v>
      </c>
      <c r="R132" s="36"/>
      <c r="S132" s="36">
        <f t="shared" si="4"/>
        <v>109851</v>
      </c>
      <c r="T132" s="25">
        <f t="shared" si="6"/>
        <v>0</v>
      </c>
      <c r="U132" s="25">
        <f t="shared" si="7"/>
        <v>109851</v>
      </c>
      <c r="V132" s="36">
        <v>109851</v>
      </c>
      <c r="W132" s="25">
        <f t="shared" si="5"/>
        <v>0</v>
      </c>
      <c r="Y132">
        <f t="shared" si="3"/>
        <v>0</v>
      </c>
    </row>
    <row r="133" spans="1:25" ht="15.75" hidden="1" thickBot="1" x14ac:dyDescent="0.3">
      <c r="A133" s="20"/>
      <c r="B133" s="21" t="s">
        <v>29</v>
      </c>
      <c r="C133" s="36">
        <v>11756</v>
      </c>
      <c r="D133" s="36">
        <v>12314</v>
      </c>
      <c r="E133" s="36">
        <v>558</v>
      </c>
      <c r="F133" s="36">
        <v>146</v>
      </c>
      <c r="G133" s="36">
        <v>81468</v>
      </c>
      <c r="H133" s="36">
        <v>5827</v>
      </c>
      <c r="I133" s="36">
        <v>5836</v>
      </c>
      <c r="J133" s="36">
        <v>9</v>
      </c>
      <c r="K133" s="36">
        <v>360</v>
      </c>
      <c r="L133" s="36">
        <v>3240</v>
      </c>
      <c r="M133" s="36">
        <v>0</v>
      </c>
      <c r="N133" s="36"/>
      <c r="O133" s="36"/>
      <c r="P133" s="36">
        <v>15000</v>
      </c>
      <c r="Q133" s="36">
        <v>13393</v>
      </c>
      <c r="R133" s="36"/>
      <c r="S133" s="36">
        <f t="shared" si="4"/>
        <v>113101</v>
      </c>
      <c r="T133" s="25">
        <f t="shared" si="6"/>
        <v>0</v>
      </c>
      <c r="U133" s="25">
        <f t="shared" si="7"/>
        <v>113101</v>
      </c>
      <c r="V133" s="36">
        <v>113101</v>
      </c>
      <c r="W133" s="25">
        <f t="shared" si="5"/>
        <v>0</v>
      </c>
      <c r="Y133">
        <f t="shared" si="3"/>
        <v>0</v>
      </c>
    </row>
    <row r="134" spans="1:25" ht="15.75" hidden="1" thickBot="1" x14ac:dyDescent="0.3">
      <c r="A134" s="20"/>
      <c r="B134" s="21" t="s">
        <v>30</v>
      </c>
      <c r="C134" s="36">
        <v>12314</v>
      </c>
      <c r="D134" s="36">
        <v>12844</v>
      </c>
      <c r="E134" s="36">
        <v>530</v>
      </c>
      <c r="F134" s="36">
        <v>146</v>
      </c>
      <c r="G134" s="36">
        <v>77380</v>
      </c>
      <c r="H134" s="36">
        <v>5836</v>
      </c>
      <c r="I134" s="36">
        <v>5844</v>
      </c>
      <c r="J134" s="36">
        <v>8</v>
      </c>
      <c r="K134" s="36">
        <v>360</v>
      </c>
      <c r="L134" s="36">
        <v>2880</v>
      </c>
      <c r="M134" s="36">
        <v>0</v>
      </c>
      <c r="N134" s="36"/>
      <c r="O134" s="36"/>
      <c r="P134" s="36">
        <v>15000</v>
      </c>
      <c r="Q134" s="36">
        <v>13393</v>
      </c>
      <c r="R134" s="36"/>
      <c r="S134" s="36">
        <f t="shared" si="4"/>
        <v>108653</v>
      </c>
      <c r="T134" s="25">
        <f t="shared" si="6"/>
        <v>0</v>
      </c>
      <c r="U134" s="25">
        <f t="shared" si="7"/>
        <v>108653</v>
      </c>
      <c r="V134" s="36">
        <v>108653</v>
      </c>
      <c r="W134" s="25">
        <f t="shared" si="5"/>
        <v>0</v>
      </c>
      <c r="Y134">
        <f t="shared" si="3"/>
        <v>0</v>
      </c>
    </row>
    <row r="135" spans="1:25" ht="15.75" hidden="1" thickBot="1" x14ac:dyDescent="0.3">
      <c r="A135" s="20"/>
      <c r="B135" s="21" t="s">
        <v>31</v>
      </c>
      <c r="C135" s="36">
        <v>12844</v>
      </c>
      <c r="D135" s="36">
        <v>13429</v>
      </c>
      <c r="E135" s="36">
        <v>585</v>
      </c>
      <c r="F135" s="36">
        <v>146</v>
      </c>
      <c r="G135" s="36">
        <v>85410</v>
      </c>
      <c r="H135" s="36">
        <v>5844</v>
      </c>
      <c r="I135" s="36">
        <v>5861</v>
      </c>
      <c r="J135" s="36">
        <v>17</v>
      </c>
      <c r="K135" s="36">
        <v>360</v>
      </c>
      <c r="L135" s="36">
        <v>6120</v>
      </c>
      <c r="M135" s="36">
        <v>0</v>
      </c>
      <c r="N135" s="36"/>
      <c r="O135" s="36"/>
      <c r="P135" s="36">
        <v>15000</v>
      </c>
      <c r="Q135" s="36">
        <v>13393</v>
      </c>
      <c r="R135" s="36"/>
      <c r="S135" s="36">
        <f t="shared" si="4"/>
        <v>119923</v>
      </c>
      <c r="T135" s="25">
        <f t="shared" si="6"/>
        <v>0</v>
      </c>
      <c r="U135" s="25">
        <f t="shared" si="7"/>
        <v>119923</v>
      </c>
      <c r="V135" s="36">
        <v>119923</v>
      </c>
      <c r="W135" s="25">
        <f t="shared" si="5"/>
        <v>0</v>
      </c>
      <c r="Y135">
        <f t="shared" si="3"/>
        <v>0</v>
      </c>
    </row>
    <row r="136" spans="1:25" ht="15.75" hidden="1" thickBot="1" x14ac:dyDescent="0.3">
      <c r="A136" s="20"/>
      <c r="B136" s="21" t="s">
        <v>32</v>
      </c>
      <c r="C136" s="36">
        <v>13429</v>
      </c>
      <c r="D136" s="36">
        <v>14111</v>
      </c>
      <c r="E136" s="36">
        <v>682</v>
      </c>
      <c r="F136" s="36">
        <v>146</v>
      </c>
      <c r="G136" s="36">
        <v>99572</v>
      </c>
      <c r="H136" s="36">
        <v>5861</v>
      </c>
      <c r="I136" s="36">
        <v>5863</v>
      </c>
      <c r="J136" s="36">
        <v>2</v>
      </c>
      <c r="K136" s="36">
        <v>360</v>
      </c>
      <c r="L136" s="36">
        <v>720</v>
      </c>
      <c r="M136" s="36">
        <v>0</v>
      </c>
      <c r="N136" s="36"/>
      <c r="O136" s="36"/>
      <c r="P136" s="36">
        <v>10000</v>
      </c>
      <c r="Q136" s="36">
        <v>13393</v>
      </c>
      <c r="R136" s="36"/>
      <c r="S136" s="36">
        <f t="shared" si="4"/>
        <v>123685</v>
      </c>
      <c r="T136" s="25">
        <f t="shared" si="6"/>
        <v>0</v>
      </c>
      <c r="U136" s="25">
        <f t="shared" si="7"/>
        <v>123685</v>
      </c>
      <c r="V136" s="36">
        <v>123685</v>
      </c>
      <c r="W136" s="25">
        <f t="shared" si="5"/>
        <v>0</v>
      </c>
      <c r="Y136">
        <f t="shared" si="3"/>
        <v>0</v>
      </c>
    </row>
    <row r="137" spans="1:25" ht="15.75" hidden="1" thickBot="1" x14ac:dyDescent="0.3">
      <c r="A137" s="20"/>
      <c r="B137" s="21" t="s">
        <v>33</v>
      </c>
      <c r="C137" s="36">
        <v>14111</v>
      </c>
      <c r="D137" s="36">
        <v>14683</v>
      </c>
      <c r="E137" s="36">
        <v>572</v>
      </c>
      <c r="F137" s="36">
        <v>146</v>
      </c>
      <c r="G137" s="36">
        <v>83512</v>
      </c>
      <c r="H137" s="36">
        <v>5863</v>
      </c>
      <c r="I137" s="36">
        <v>5868</v>
      </c>
      <c r="J137" s="36">
        <v>5</v>
      </c>
      <c r="K137" s="36">
        <v>360</v>
      </c>
      <c r="L137" s="36">
        <v>1800</v>
      </c>
      <c r="M137" s="36">
        <v>0</v>
      </c>
      <c r="N137" s="36"/>
      <c r="O137" s="36"/>
      <c r="P137" s="36">
        <v>10000</v>
      </c>
      <c r="Q137" s="36">
        <v>13393</v>
      </c>
      <c r="R137" s="36"/>
      <c r="S137" s="36">
        <f t="shared" si="4"/>
        <v>108705</v>
      </c>
      <c r="T137" s="25">
        <f t="shared" si="6"/>
        <v>0</v>
      </c>
      <c r="U137" s="25">
        <f t="shared" si="7"/>
        <v>108705</v>
      </c>
      <c r="V137" s="36">
        <v>108705</v>
      </c>
      <c r="W137" s="25">
        <f t="shared" si="5"/>
        <v>0</v>
      </c>
      <c r="Y137">
        <f t="shared" ref="Y137:Y182" si="8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14683</v>
      </c>
      <c r="D138" s="36">
        <v>15470</v>
      </c>
      <c r="E138" s="36">
        <v>787</v>
      </c>
      <c r="F138" s="36">
        <v>146</v>
      </c>
      <c r="G138" s="36">
        <v>114902</v>
      </c>
      <c r="H138" s="36">
        <v>5868</v>
      </c>
      <c r="I138" s="36">
        <v>5875</v>
      </c>
      <c r="J138" s="36">
        <v>7</v>
      </c>
      <c r="K138" s="36">
        <v>360</v>
      </c>
      <c r="L138" s="36">
        <v>2520</v>
      </c>
      <c r="M138" s="36">
        <v>0</v>
      </c>
      <c r="N138" s="36"/>
      <c r="O138" s="36"/>
      <c r="P138" s="36">
        <v>10000</v>
      </c>
      <c r="Q138" s="36">
        <v>13393</v>
      </c>
      <c r="R138" s="36"/>
      <c r="S138" s="36">
        <f t="shared" si="4"/>
        <v>140815</v>
      </c>
      <c r="T138" s="25">
        <f t="shared" si="6"/>
        <v>0</v>
      </c>
      <c r="U138" s="25">
        <f t="shared" si="7"/>
        <v>140815</v>
      </c>
      <c r="V138" s="36">
        <v>140815</v>
      </c>
      <c r="W138" s="25">
        <f t="shared" si="5"/>
        <v>0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35</v>
      </c>
      <c r="C139" s="36">
        <v>15470</v>
      </c>
      <c r="D139" s="36">
        <v>16330</v>
      </c>
      <c r="E139" s="36">
        <v>860</v>
      </c>
      <c r="F139" s="36">
        <v>146</v>
      </c>
      <c r="G139" s="36">
        <v>125560</v>
      </c>
      <c r="H139" s="36">
        <v>5875</v>
      </c>
      <c r="I139" s="36">
        <v>5889</v>
      </c>
      <c r="J139" s="36">
        <v>14</v>
      </c>
      <c r="K139" s="36">
        <v>360</v>
      </c>
      <c r="L139" s="36">
        <v>5040</v>
      </c>
      <c r="M139" s="36">
        <v>0</v>
      </c>
      <c r="N139" s="36"/>
      <c r="O139" s="36"/>
      <c r="P139" s="36">
        <v>10000</v>
      </c>
      <c r="Q139" s="36">
        <v>13797</v>
      </c>
      <c r="R139" s="36"/>
      <c r="S139" s="36">
        <f t="shared" si="4"/>
        <v>154397</v>
      </c>
      <c r="T139" s="25">
        <f t="shared" si="6"/>
        <v>0</v>
      </c>
      <c r="U139" s="25">
        <f t="shared" si="7"/>
        <v>154397</v>
      </c>
      <c r="V139" s="36">
        <v>154397</v>
      </c>
      <c r="W139" s="25">
        <f t="shared" si="5"/>
        <v>0</v>
      </c>
      <c r="Y139">
        <f t="shared" si="8"/>
        <v>0</v>
      </c>
    </row>
    <row r="140" spans="1:25" ht="15.75" hidden="1" thickBot="1" x14ac:dyDescent="0.3">
      <c r="A140" s="20"/>
      <c r="B140" s="21" t="s">
        <v>24</v>
      </c>
      <c r="C140" s="36">
        <v>16330</v>
      </c>
      <c r="D140" s="36">
        <v>16766</v>
      </c>
      <c r="E140" s="36">
        <v>436</v>
      </c>
      <c r="F140" s="36">
        <v>146</v>
      </c>
      <c r="G140" s="36">
        <v>63656</v>
      </c>
      <c r="H140" s="36">
        <v>5889</v>
      </c>
      <c r="I140" s="36">
        <v>5904</v>
      </c>
      <c r="J140" s="36">
        <v>15</v>
      </c>
      <c r="K140" s="36">
        <v>360</v>
      </c>
      <c r="L140" s="36">
        <v>5400</v>
      </c>
      <c r="M140" s="36">
        <v>0</v>
      </c>
      <c r="N140" s="36"/>
      <c r="O140" s="36"/>
      <c r="P140" s="36">
        <v>10000</v>
      </c>
      <c r="Q140" s="36">
        <v>13797</v>
      </c>
      <c r="R140" s="36"/>
      <c r="S140" s="36">
        <f t="shared" si="4"/>
        <v>92853</v>
      </c>
      <c r="T140" s="25">
        <f t="shared" si="6"/>
        <v>0</v>
      </c>
      <c r="U140" s="25">
        <f t="shared" si="7"/>
        <v>92853</v>
      </c>
      <c r="V140" s="36"/>
      <c r="W140" s="25">
        <f t="shared" si="5"/>
        <v>92853</v>
      </c>
      <c r="Y140">
        <f t="shared" si="8"/>
        <v>1</v>
      </c>
    </row>
    <row r="141" spans="1:25" ht="15.75" hidden="1" thickBot="1" x14ac:dyDescent="0.3">
      <c r="A141" s="20"/>
      <c r="B141" s="21" t="s">
        <v>25</v>
      </c>
      <c r="C141" s="36">
        <v>16766</v>
      </c>
      <c r="D141" s="36">
        <v>17136</v>
      </c>
      <c r="E141" s="36">
        <v>370</v>
      </c>
      <c r="F141" s="36">
        <v>146</v>
      </c>
      <c r="G141" s="36">
        <v>54020</v>
      </c>
      <c r="H141" s="36">
        <v>5904</v>
      </c>
      <c r="I141" s="36">
        <v>5921</v>
      </c>
      <c r="J141" s="36">
        <v>17</v>
      </c>
      <c r="K141" s="36">
        <v>360</v>
      </c>
      <c r="L141" s="36">
        <v>6120</v>
      </c>
      <c r="M141" s="36">
        <v>0</v>
      </c>
      <c r="N141" s="36"/>
      <c r="O141" s="36"/>
      <c r="P141" s="36">
        <v>10000</v>
      </c>
      <c r="Q141" s="36">
        <v>13797</v>
      </c>
      <c r="R141" s="36"/>
      <c r="S141" s="36">
        <f t="shared" si="4"/>
        <v>83937</v>
      </c>
      <c r="T141" s="25">
        <f t="shared" si="6"/>
        <v>92853</v>
      </c>
      <c r="U141" s="25">
        <f t="shared" si="7"/>
        <v>176790</v>
      </c>
      <c r="V141" s="36">
        <v>176790</v>
      </c>
      <c r="W141" s="25">
        <f t="shared" si="5"/>
        <v>0</v>
      </c>
      <c r="Y141">
        <f t="shared" si="8"/>
        <v>0</v>
      </c>
    </row>
    <row r="142" spans="1:25" ht="15.75" hidden="1" thickBot="1" x14ac:dyDescent="0.3">
      <c r="A142" s="20"/>
      <c r="B142" s="21" t="s">
        <v>26</v>
      </c>
      <c r="C142" s="36">
        <v>17136</v>
      </c>
      <c r="D142" s="36">
        <v>17697</v>
      </c>
      <c r="E142" s="36">
        <v>561</v>
      </c>
      <c r="F142" s="36">
        <v>146</v>
      </c>
      <c r="G142" s="36">
        <v>81906</v>
      </c>
      <c r="H142" s="36">
        <v>5921</v>
      </c>
      <c r="I142" s="36">
        <v>5925</v>
      </c>
      <c r="J142" s="36">
        <v>4</v>
      </c>
      <c r="K142" s="36">
        <v>360</v>
      </c>
      <c r="L142" s="36">
        <v>1440</v>
      </c>
      <c r="M142" s="36">
        <v>0</v>
      </c>
      <c r="N142" s="36"/>
      <c r="O142" s="36"/>
      <c r="P142" s="36">
        <v>10000</v>
      </c>
      <c r="Q142" s="36">
        <v>13797</v>
      </c>
      <c r="R142" s="36"/>
      <c r="S142" s="36">
        <f t="shared" si="4"/>
        <v>107143</v>
      </c>
      <c r="T142" s="25">
        <f t="shared" si="6"/>
        <v>0</v>
      </c>
      <c r="U142" s="25">
        <f t="shared" si="7"/>
        <v>107143</v>
      </c>
      <c r="V142" s="36">
        <v>107143</v>
      </c>
      <c r="W142" s="25">
        <f t="shared" si="5"/>
        <v>0</v>
      </c>
      <c r="Y142">
        <f t="shared" si="8"/>
        <v>0</v>
      </c>
    </row>
    <row r="143" spans="1:25" ht="15.75" hidden="1" thickBot="1" x14ac:dyDescent="0.3">
      <c r="A143" s="20"/>
      <c r="B143" s="21" t="s">
        <v>27</v>
      </c>
      <c r="C143" s="36">
        <v>17697</v>
      </c>
      <c r="D143" s="36">
        <v>17954</v>
      </c>
      <c r="E143" s="36">
        <v>257</v>
      </c>
      <c r="F143" s="36">
        <v>146</v>
      </c>
      <c r="G143" s="36">
        <v>37522</v>
      </c>
      <c r="H143" s="36">
        <v>5925</v>
      </c>
      <c r="I143" s="36">
        <v>5926</v>
      </c>
      <c r="J143" s="36">
        <v>1</v>
      </c>
      <c r="K143" s="36">
        <v>360</v>
      </c>
      <c r="L143" s="36">
        <v>360</v>
      </c>
      <c r="M143" s="36">
        <v>0</v>
      </c>
      <c r="N143" s="36"/>
      <c r="O143" s="36">
        <v>92016</v>
      </c>
      <c r="P143" s="36">
        <v>10000</v>
      </c>
      <c r="Q143" s="36">
        <v>13797</v>
      </c>
      <c r="R143" s="36"/>
      <c r="S143" s="36">
        <f t="shared" si="4"/>
        <v>153695</v>
      </c>
      <c r="T143" s="25">
        <f t="shared" si="6"/>
        <v>0</v>
      </c>
      <c r="U143" s="25">
        <f t="shared" si="7"/>
        <v>153695</v>
      </c>
      <c r="V143" s="36">
        <v>153695</v>
      </c>
      <c r="W143" s="25">
        <f t="shared" si="5"/>
        <v>0</v>
      </c>
      <c r="Y143">
        <f t="shared" si="8"/>
        <v>0</v>
      </c>
    </row>
    <row r="144" spans="1:25" ht="15.75" hidden="1" thickBot="1" x14ac:dyDescent="0.3">
      <c r="A144" s="20"/>
      <c r="B144" s="21" t="s">
        <v>28</v>
      </c>
      <c r="C144" s="36">
        <v>17954</v>
      </c>
      <c r="D144" s="36">
        <v>18182</v>
      </c>
      <c r="E144" s="36">
        <v>228</v>
      </c>
      <c r="F144" s="36">
        <v>146</v>
      </c>
      <c r="G144" s="36">
        <v>33288</v>
      </c>
      <c r="H144" s="36">
        <v>5926</v>
      </c>
      <c r="I144" s="36">
        <v>5929</v>
      </c>
      <c r="J144" s="36">
        <v>3</v>
      </c>
      <c r="K144" s="36">
        <v>360</v>
      </c>
      <c r="L144" s="36">
        <v>1080</v>
      </c>
      <c r="M144" s="36">
        <v>0</v>
      </c>
      <c r="N144" s="36"/>
      <c r="O144" s="36"/>
      <c r="P144" s="36">
        <v>10000</v>
      </c>
      <c r="Q144" s="36">
        <v>13797</v>
      </c>
      <c r="R144" s="36"/>
      <c r="S144" s="36">
        <f t="shared" si="4"/>
        <v>58165</v>
      </c>
      <c r="T144" s="25">
        <f t="shared" si="6"/>
        <v>0</v>
      </c>
      <c r="U144" s="25">
        <f t="shared" si="7"/>
        <v>58165</v>
      </c>
      <c r="V144" s="36">
        <v>58165</v>
      </c>
      <c r="W144" s="25">
        <f t="shared" si="5"/>
        <v>0</v>
      </c>
      <c r="Y144">
        <f t="shared" si="8"/>
        <v>0</v>
      </c>
    </row>
    <row r="145" spans="1:25" ht="15.75" hidden="1" thickBot="1" x14ac:dyDescent="0.3">
      <c r="A145" s="20"/>
      <c r="B145" s="21" t="s">
        <v>29</v>
      </c>
      <c r="C145" s="36">
        <v>18182</v>
      </c>
      <c r="D145" s="36">
        <v>18377</v>
      </c>
      <c r="E145" s="36">
        <v>195</v>
      </c>
      <c r="F145" s="36">
        <v>146</v>
      </c>
      <c r="G145" s="36">
        <v>28470</v>
      </c>
      <c r="H145" s="36">
        <v>5929</v>
      </c>
      <c r="I145" s="36">
        <v>5934</v>
      </c>
      <c r="J145" s="36">
        <v>5</v>
      </c>
      <c r="K145" s="36">
        <v>360</v>
      </c>
      <c r="L145" s="36">
        <v>1800</v>
      </c>
      <c r="M145" s="36">
        <v>0</v>
      </c>
      <c r="N145" s="36"/>
      <c r="O145" s="36"/>
      <c r="P145" s="36">
        <v>10000</v>
      </c>
      <c r="Q145" s="36">
        <v>13797</v>
      </c>
      <c r="R145" s="36"/>
      <c r="S145" s="36">
        <f t="shared" si="4"/>
        <v>54067</v>
      </c>
      <c r="T145" s="25">
        <f t="shared" si="6"/>
        <v>0</v>
      </c>
      <c r="U145" s="25">
        <f t="shared" si="7"/>
        <v>54067</v>
      </c>
      <c r="V145" s="36">
        <v>54067</v>
      </c>
      <c r="W145" s="25">
        <f t="shared" si="5"/>
        <v>0</v>
      </c>
      <c r="Y145">
        <f t="shared" si="8"/>
        <v>0</v>
      </c>
    </row>
    <row r="146" spans="1:25" ht="15.75" hidden="1" thickBot="1" x14ac:dyDescent="0.3">
      <c r="A146" s="20"/>
      <c r="B146" s="21" t="s">
        <v>30</v>
      </c>
      <c r="C146" s="36">
        <v>18377</v>
      </c>
      <c r="D146" s="36">
        <v>18569</v>
      </c>
      <c r="E146" s="36">
        <v>192</v>
      </c>
      <c r="F146" s="36">
        <v>146</v>
      </c>
      <c r="G146" s="36">
        <v>28032</v>
      </c>
      <c r="H146" s="36">
        <v>5934</v>
      </c>
      <c r="I146" s="36">
        <v>5943</v>
      </c>
      <c r="J146" s="36">
        <v>9</v>
      </c>
      <c r="K146" s="36">
        <v>360</v>
      </c>
      <c r="L146" s="36">
        <v>3240</v>
      </c>
      <c r="M146" s="36">
        <v>0</v>
      </c>
      <c r="N146" s="36"/>
      <c r="O146" s="36"/>
      <c r="P146" s="36">
        <v>10000</v>
      </c>
      <c r="Q146" s="36">
        <v>13797</v>
      </c>
      <c r="R146" s="36"/>
      <c r="S146" s="36">
        <f t="shared" si="4"/>
        <v>55069</v>
      </c>
      <c r="T146" s="25">
        <f t="shared" si="6"/>
        <v>0</v>
      </c>
      <c r="U146" s="25">
        <f t="shared" si="7"/>
        <v>55069</v>
      </c>
      <c r="V146" s="36">
        <v>55069</v>
      </c>
      <c r="W146" s="25">
        <f t="shared" si="5"/>
        <v>0</v>
      </c>
      <c r="Y146">
        <f t="shared" si="8"/>
        <v>0</v>
      </c>
    </row>
    <row r="147" spans="1:25" ht="15.75" hidden="1" thickBot="1" x14ac:dyDescent="0.3">
      <c r="A147" s="20"/>
      <c r="B147" s="21" t="s">
        <v>31</v>
      </c>
      <c r="C147" s="36">
        <v>18569</v>
      </c>
      <c r="D147" s="36">
        <v>18766</v>
      </c>
      <c r="E147" s="36">
        <v>197</v>
      </c>
      <c r="F147" s="36">
        <v>146</v>
      </c>
      <c r="G147" s="36">
        <v>28762</v>
      </c>
      <c r="H147" s="36">
        <v>5943</v>
      </c>
      <c r="I147" s="36">
        <v>5950</v>
      </c>
      <c r="J147" s="36">
        <v>7</v>
      </c>
      <c r="K147" s="36">
        <v>360</v>
      </c>
      <c r="L147" s="36">
        <v>2520</v>
      </c>
      <c r="M147" s="36">
        <v>0</v>
      </c>
      <c r="N147" s="36"/>
      <c r="O147" s="36"/>
      <c r="P147" s="36">
        <v>10000</v>
      </c>
      <c r="Q147" s="36">
        <v>13797</v>
      </c>
      <c r="R147" s="36"/>
      <c r="S147" s="36">
        <f t="shared" si="4"/>
        <v>55079</v>
      </c>
      <c r="T147" s="25">
        <f t="shared" si="6"/>
        <v>0</v>
      </c>
      <c r="U147" s="25">
        <f t="shared" si="7"/>
        <v>55079</v>
      </c>
      <c r="V147" s="36">
        <v>55079</v>
      </c>
      <c r="W147" s="25">
        <f t="shared" si="5"/>
        <v>0</v>
      </c>
      <c r="Y147">
        <f t="shared" si="8"/>
        <v>0</v>
      </c>
    </row>
    <row r="148" spans="1:25" ht="15.75" hidden="1" thickBot="1" x14ac:dyDescent="0.3">
      <c r="A148" s="20"/>
      <c r="B148" s="21" t="s">
        <v>32</v>
      </c>
      <c r="C148" s="36">
        <v>18766</v>
      </c>
      <c r="D148" s="36">
        <v>18985</v>
      </c>
      <c r="E148" s="36">
        <v>219</v>
      </c>
      <c r="F148" s="36">
        <v>146</v>
      </c>
      <c r="G148" s="36">
        <v>31974</v>
      </c>
      <c r="H148" s="36">
        <v>5950</v>
      </c>
      <c r="I148" s="36">
        <v>6086</v>
      </c>
      <c r="J148" s="36">
        <v>136</v>
      </c>
      <c r="K148" s="36"/>
      <c r="L148" s="36">
        <v>51840</v>
      </c>
      <c r="M148" s="36">
        <v>0</v>
      </c>
      <c r="N148" s="36"/>
      <c r="O148" s="36"/>
      <c r="P148" s="36">
        <v>10000</v>
      </c>
      <c r="Q148" s="36">
        <v>13797</v>
      </c>
      <c r="R148" s="36"/>
      <c r="S148" s="36">
        <f t="shared" si="4"/>
        <v>107611</v>
      </c>
      <c r="T148" s="25">
        <f t="shared" si="6"/>
        <v>0</v>
      </c>
      <c r="U148" s="25">
        <f t="shared" si="7"/>
        <v>107611</v>
      </c>
      <c r="V148" s="36">
        <v>107611</v>
      </c>
      <c r="W148" s="25">
        <f t="shared" si="5"/>
        <v>0</v>
      </c>
      <c r="Y148">
        <f t="shared" si="8"/>
        <v>0</v>
      </c>
    </row>
    <row r="149" spans="1:25" ht="15.75" hidden="1" thickBot="1" x14ac:dyDescent="0.3">
      <c r="A149" s="20"/>
      <c r="B149" s="21" t="s">
        <v>33</v>
      </c>
      <c r="C149" s="36">
        <v>18985</v>
      </c>
      <c r="D149" s="36">
        <v>19772</v>
      </c>
      <c r="E149" s="36">
        <v>787</v>
      </c>
      <c r="F149" s="36">
        <v>146</v>
      </c>
      <c r="G149" s="36">
        <v>114902</v>
      </c>
      <c r="H149" s="36">
        <v>6086</v>
      </c>
      <c r="I149" s="36">
        <v>6097</v>
      </c>
      <c r="J149" s="36">
        <v>11</v>
      </c>
      <c r="K149" s="36">
        <v>360</v>
      </c>
      <c r="L149" s="36">
        <v>3960</v>
      </c>
      <c r="M149" s="36">
        <v>0</v>
      </c>
      <c r="N149" s="36"/>
      <c r="O149" s="36"/>
      <c r="P149" s="36">
        <v>10000</v>
      </c>
      <c r="Q149" s="36">
        <v>13797</v>
      </c>
      <c r="R149" s="36"/>
      <c r="S149" s="36">
        <f t="shared" si="4"/>
        <v>142659</v>
      </c>
      <c r="T149" s="25">
        <f t="shared" si="6"/>
        <v>0</v>
      </c>
      <c r="U149" s="25">
        <f t="shared" si="7"/>
        <v>142659</v>
      </c>
      <c r="V149" s="36">
        <v>142659</v>
      </c>
      <c r="W149" s="25">
        <f t="shared" si="5"/>
        <v>0</v>
      </c>
      <c r="Y149">
        <f t="shared" si="8"/>
        <v>0</v>
      </c>
    </row>
    <row r="150" spans="1:25" ht="15.75" hidden="1" thickBot="1" x14ac:dyDescent="0.3">
      <c r="A150" s="20"/>
      <c r="B150" s="21" t="s">
        <v>34</v>
      </c>
      <c r="C150" s="36">
        <v>19772</v>
      </c>
      <c r="D150" s="36">
        <v>20495</v>
      </c>
      <c r="E150" s="36">
        <v>723</v>
      </c>
      <c r="F150" s="36">
        <v>146</v>
      </c>
      <c r="G150" s="36">
        <v>105558</v>
      </c>
      <c r="H150" s="36">
        <v>6097</v>
      </c>
      <c r="I150" s="36">
        <v>6105</v>
      </c>
      <c r="J150" s="36">
        <v>8</v>
      </c>
      <c r="K150" s="36">
        <v>360</v>
      </c>
      <c r="L150" s="36">
        <v>2880</v>
      </c>
      <c r="M150" s="36">
        <v>0</v>
      </c>
      <c r="N150" s="36"/>
      <c r="O150" s="36"/>
      <c r="P150" s="36">
        <v>10000</v>
      </c>
      <c r="Q150" s="36">
        <v>13797</v>
      </c>
      <c r="R150" s="36"/>
      <c r="S150" s="36">
        <f t="shared" si="4"/>
        <v>132235</v>
      </c>
      <c r="T150" s="25">
        <v>18189</v>
      </c>
      <c r="U150" s="25">
        <f t="shared" si="7"/>
        <v>150424</v>
      </c>
      <c r="V150" s="36">
        <v>150424</v>
      </c>
      <c r="W150" s="25">
        <f t="shared" si="5"/>
        <v>0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20495</v>
      </c>
      <c r="D151" s="36">
        <v>21303</v>
      </c>
      <c r="E151" s="36">
        <v>808</v>
      </c>
      <c r="F151" s="36">
        <v>146</v>
      </c>
      <c r="G151" s="36">
        <v>117968</v>
      </c>
      <c r="H151" s="36">
        <v>6105</v>
      </c>
      <c r="I151" s="36">
        <v>6151</v>
      </c>
      <c r="J151" s="36">
        <v>46</v>
      </c>
      <c r="K151" s="36">
        <v>360</v>
      </c>
      <c r="L151" s="36">
        <v>16560</v>
      </c>
      <c r="M151" s="36">
        <v>0</v>
      </c>
      <c r="N151" s="36"/>
      <c r="O151" s="36"/>
      <c r="P151" s="36">
        <v>10000</v>
      </c>
      <c r="Q151" s="36">
        <v>14438</v>
      </c>
      <c r="R151" s="36"/>
      <c r="S151" s="36">
        <f t="shared" si="4"/>
        <v>158966</v>
      </c>
      <c r="T151" s="25">
        <v>20375</v>
      </c>
      <c r="U151" s="25">
        <f t="shared" si="7"/>
        <v>179341</v>
      </c>
      <c r="V151" s="36">
        <v>179341</v>
      </c>
      <c r="W151" s="25">
        <f t="shared" si="5"/>
        <v>0</v>
      </c>
      <c r="Y151">
        <f t="shared" si="8"/>
        <v>0</v>
      </c>
    </row>
    <row r="152" spans="1:25" ht="15.75" hidden="1" thickBot="1" x14ac:dyDescent="0.3">
      <c r="A152" s="20"/>
      <c r="B152" s="21" t="s">
        <v>24</v>
      </c>
      <c r="C152" s="36">
        <v>21303</v>
      </c>
      <c r="D152" s="36">
        <v>22502</v>
      </c>
      <c r="E152" s="36">
        <v>1199</v>
      </c>
      <c r="F152" s="36">
        <v>146</v>
      </c>
      <c r="G152" s="36">
        <v>175054</v>
      </c>
      <c r="H152" s="36">
        <v>6151</v>
      </c>
      <c r="I152" s="36">
        <v>6181</v>
      </c>
      <c r="J152" s="36">
        <v>30</v>
      </c>
      <c r="K152" s="36">
        <v>360</v>
      </c>
      <c r="L152" s="36">
        <v>10800</v>
      </c>
      <c r="M152" s="36">
        <v>0</v>
      </c>
      <c r="N152" s="36"/>
      <c r="O152" s="36"/>
      <c r="P152" s="36">
        <v>10000</v>
      </c>
      <c r="Q152" s="36">
        <v>14438</v>
      </c>
      <c r="R152" s="36"/>
      <c r="S152" s="36">
        <f t="shared" si="4"/>
        <v>210292</v>
      </c>
      <c r="T152" s="25">
        <f t="shared" si="6"/>
        <v>0</v>
      </c>
      <c r="U152" s="25">
        <f t="shared" si="7"/>
        <v>210292</v>
      </c>
      <c r="V152" s="36">
        <v>210292</v>
      </c>
      <c r="W152" s="25">
        <f t="shared" si="5"/>
        <v>0</v>
      </c>
      <c r="Y152">
        <f t="shared" si="8"/>
        <v>0</v>
      </c>
    </row>
    <row r="153" spans="1:25" ht="15.75" hidden="1" thickBot="1" x14ac:dyDescent="0.3">
      <c r="A153" s="20"/>
      <c r="B153" s="21" t="s">
        <v>25</v>
      </c>
      <c r="C153" s="36">
        <v>22502</v>
      </c>
      <c r="D153" s="36">
        <v>23326</v>
      </c>
      <c r="E153" s="36">
        <v>824</v>
      </c>
      <c r="F153" s="36">
        <v>146</v>
      </c>
      <c r="G153" s="36">
        <v>120304</v>
      </c>
      <c r="H153" s="36">
        <v>6181</v>
      </c>
      <c r="I153" s="36">
        <v>6197</v>
      </c>
      <c r="J153" s="36">
        <v>16</v>
      </c>
      <c r="K153" s="36">
        <v>360</v>
      </c>
      <c r="L153" s="36">
        <v>5760</v>
      </c>
      <c r="M153" s="36">
        <v>0</v>
      </c>
      <c r="N153" s="36"/>
      <c r="O153" s="36">
        <v>18375</v>
      </c>
      <c r="P153" s="36">
        <v>10000</v>
      </c>
      <c r="Q153" s="36">
        <v>14438</v>
      </c>
      <c r="R153" s="36"/>
      <c r="S153" s="36">
        <f t="shared" si="4"/>
        <v>168877</v>
      </c>
      <c r="T153" s="25">
        <f t="shared" si="6"/>
        <v>0</v>
      </c>
      <c r="U153" s="25">
        <f t="shared" si="7"/>
        <v>168877</v>
      </c>
      <c r="V153" s="36">
        <v>168877</v>
      </c>
      <c r="W153" s="25">
        <f t="shared" si="5"/>
        <v>0</v>
      </c>
      <c r="Y153">
        <f t="shared" si="8"/>
        <v>0</v>
      </c>
    </row>
    <row r="154" spans="1:25" ht="15.75" hidden="1" thickBot="1" x14ac:dyDescent="0.3">
      <c r="A154" s="20"/>
      <c r="B154" s="21" t="s">
        <v>26</v>
      </c>
      <c r="C154" s="36">
        <v>23326</v>
      </c>
      <c r="D154" s="36">
        <v>23963</v>
      </c>
      <c r="E154" s="36">
        <v>637</v>
      </c>
      <c r="F154" s="36">
        <v>146</v>
      </c>
      <c r="G154" s="36">
        <v>93002</v>
      </c>
      <c r="H154" s="36">
        <v>6197</v>
      </c>
      <c r="I154" s="36">
        <v>6206</v>
      </c>
      <c r="J154" s="36">
        <v>9</v>
      </c>
      <c r="K154" s="36">
        <v>360</v>
      </c>
      <c r="L154" s="36">
        <v>3240</v>
      </c>
      <c r="M154" s="36">
        <v>0</v>
      </c>
      <c r="N154" s="36"/>
      <c r="O154" s="36">
        <v>3468</v>
      </c>
      <c r="P154" s="36">
        <v>10000</v>
      </c>
      <c r="Q154" s="36">
        <v>14438</v>
      </c>
      <c r="R154" s="36"/>
      <c r="S154" s="36">
        <f t="shared" si="4"/>
        <v>124148</v>
      </c>
      <c r="T154" s="25">
        <f t="shared" si="6"/>
        <v>0</v>
      </c>
      <c r="U154" s="25">
        <f t="shared" si="7"/>
        <v>124148</v>
      </c>
      <c r="V154" s="36">
        <v>124148</v>
      </c>
      <c r="W154" s="25">
        <f t="shared" si="5"/>
        <v>0</v>
      </c>
      <c r="Y154">
        <f t="shared" si="8"/>
        <v>0</v>
      </c>
    </row>
    <row r="155" spans="1:25" ht="15.75" hidden="1" thickBot="1" x14ac:dyDescent="0.3">
      <c r="A155" s="20"/>
      <c r="B155" s="21" t="s">
        <v>27</v>
      </c>
      <c r="C155" s="36">
        <v>23963</v>
      </c>
      <c r="D155" s="36">
        <v>24412</v>
      </c>
      <c r="E155" s="36">
        <v>449</v>
      </c>
      <c r="F155" s="36">
        <v>146</v>
      </c>
      <c r="G155" s="36">
        <v>65554</v>
      </c>
      <c r="H155" s="36">
        <v>6206</v>
      </c>
      <c r="I155" s="36">
        <v>6214</v>
      </c>
      <c r="J155" s="36">
        <v>8</v>
      </c>
      <c r="K155" s="36">
        <v>360</v>
      </c>
      <c r="L155" s="36">
        <v>2880</v>
      </c>
      <c r="M155" s="36">
        <v>0</v>
      </c>
      <c r="N155" s="36"/>
      <c r="O155" s="36">
        <v>3468</v>
      </c>
      <c r="P155" s="36">
        <v>10000</v>
      </c>
      <c r="Q155" s="36">
        <v>14438</v>
      </c>
      <c r="R155" s="36"/>
      <c r="S155" s="36">
        <f t="shared" si="4"/>
        <v>96340</v>
      </c>
      <c r="T155" s="25">
        <f t="shared" si="6"/>
        <v>0</v>
      </c>
      <c r="U155" s="25">
        <f t="shared" si="7"/>
        <v>96340</v>
      </c>
      <c r="V155" s="36">
        <v>96340</v>
      </c>
      <c r="W155" s="25">
        <f t="shared" si="5"/>
        <v>0</v>
      </c>
      <c r="Y155">
        <f t="shared" si="8"/>
        <v>0</v>
      </c>
    </row>
    <row r="156" spans="1:25" ht="15.75" hidden="1" thickBot="1" x14ac:dyDescent="0.3">
      <c r="A156" s="20"/>
      <c r="B156" s="21" t="s">
        <v>28</v>
      </c>
      <c r="C156" s="36">
        <v>24412</v>
      </c>
      <c r="D156" s="36">
        <v>24774</v>
      </c>
      <c r="E156" s="36">
        <v>362</v>
      </c>
      <c r="F156" s="36">
        <v>146</v>
      </c>
      <c r="G156" s="36">
        <v>52852</v>
      </c>
      <c r="H156" s="36">
        <v>6214</v>
      </c>
      <c r="I156" s="36">
        <v>6217</v>
      </c>
      <c r="J156" s="36">
        <v>3</v>
      </c>
      <c r="K156" s="36">
        <v>360</v>
      </c>
      <c r="L156" s="36">
        <v>1080</v>
      </c>
      <c r="M156" s="36">
        <v>0</v>
      </c>
      <c r="N156" s="36"/>
      <c r="O156" s="36">
        <v>3468</v>
      </c>
      <c r="P156" s="36">
        <v>10000</v>
      </c>
      <c r="Q156" s="36">
        <v>14438</v>
      </c>
      <c r="R156" s="36"/>
      <c r="S156" s="36">
        <f t="shared" si="4"/>
        <v>81838</v>
      </c>
      <c r="T156" s="25">
        <f t="shared" si="6"/>
        <v>0</v>
      </c>
      <c r="U156" s="25">
        <f t="shared" si="7"/>
        <v>81838</v>
      </c>
      <c r="V156" s="36">
        <v>81838</v>
      </c>
      <c r="W156" s="25">
        <f t="shared" si="5"/>
        <v>0</v>
      </c>
      <c r="Y156">
        <f t="shared" si="8"/>
        <v>0</v>
      </c>
    </row>
    <row r="157" spans="1:25" ht="15.75" hidden="1" thickBot="1" x14ac:dyDescent="0.3">
      <c r="A157" s="20"/>
      <c r="B157" s="21" t="s">
        <v>29</v>
      </c>
      <c r="C157" s="36">
        <v>24774</v>
      </c>
      <c r="D157" s="36">
        <v>25157</v>
      </c>
      <c r="E157" s="36">
        <v>383</v>
      </c>
      <c r="F157" s="36">
        <v>146</v>
      </c>
      <c r="G157" s="36">
        <v>55918</v>
      </c>
      <c r="H157" s="36">
        <v>6217</v>
      </c>
      <c r="I157" s="36">
        <v>6217</v>
      </c>
      <c r="J157" s="36">
        <v>0</v>
      </c>
      <c r="K157" s="36"/>
      <c r="L157" s="36">
        <v>0</v>
      </c>
      <c r="M157" s="36">
        <v>0</v>
      </c>
      <c r="N157" s="36"/>
      <c r="O157" s="36">
        <v>46183</v>
      </c>
      <c r="P157" s="36">
        <v>10000</v>
      </c>
      <c r="Q157" s="36">
        <v>14438</v>
      </c>
      <c r="R157" s="36"/>
      <c r="S157" s="36">
        <f t="shared" si="4"/>
        <v>126539</v>
      </c>
      <c r="T157" s="25">
        <f t="shared" si="6"/>
        <v>0</v>
      </c>
      <c r="U157" s="25">
        <f t="shared" si="7"/>
        <v>126539</v>
      </c>
      <c r="V157" s="36">
        <v>126539</v>
      </c>
      <c r="W157" s="25">
        <f t="shared" si="5"/>
        <v>0</v>
      </c>
      <c r="Y157">
        <f t="shared" si="8"/>
        <v>0</v>
      </c>
    </row>
    <row r="158" spans="1:25" ht="15.75" hidden="1" thickBot="1" x14ac:dyDescent="0.3">
      <c r="A158" s="20"/>
      <c r="B158" s="21" t="s">
        <v>30</v>
      </c>
      <c r="C158" s="36">
        <v>25157</v>
      </c>
      <c r="D158" s="36">
        <v>25520</v>
      </c>
      <c r="E158" s="36">
        <v>363</v>
      </c>
      <c r="F158" s="36">
        <v>146</v>
      </c>
      <c r="G158" s="36">
        <v>52998</v>
      </c>
      <c r="H158" s="36">
        <v>6217</v>
      </c>
      <c r="I158" s="36">
        <v>6217</v>
      </c>
      <c r="J158" s="36">
        <v>0</v>
      </c>
      <c r="K158" s="36"/>
      <c r="L158" s="36">
        <v>0</v>
      </c>
      <c r="M158" s="36">
        <v>0</v>
      </c>
      <c r="N158" s="36"/>
      <c r="O158" s="36">
        <v>3468</v>
      </c>
      <c r="P158" s="36">
        <v>10000</v>
      </c>
      <c r="Q158" s="36">
        <v>14438</v>
      </c>
      <c r="R158" s="36"/>
      <c r="S158" s="36">
        <f t="shared" si="4"/>
        <v>80904</v>
      </c>
      <c r="T158" s="25">
        <f t="shared" si="6"/>
        <v>0</v>
      </c>
      <c r="U158" s="25">
        <f t="shared" si="7"/>
        <v>80904</v>
      </c>
      <c r="V158" s="36">
        <v>80904</v>
      </c>
      <c r="W158" s="25">
        <f t="shared" ref="W158:W185" si="9">U158-V158</f>
        <v>0</v>
      </c>
      <c r="Y158">
        <f t="shared" si="8"/>
        <v>0</v>
      </c>
    </row>
    <row r="159" spans="1:25" ht="15.75" hidden="1" thickBot="1" x14ac:dyDescent="0.3">
      <c r="A159" s="20"/>
      <c r="B159" s="21" t="s">
        <v>31</v>
      </c>
      <c r="C159" s="36">
        <v>25520</v>
      </c>
      <c r="D159" s="36">
        <v>25908</v>
      </c>
      <c r="E159" s="36">
        <v>388</v>
      </c>
      <c r="F159" s="36">
        <v>146</v>
      </c>
      <c r="G159" s="36">
        <v>56648</v>
      </c>
      <c r="H159" s="36">
        <v>6217</v>
      </c>
      <c r="I159" s="36">
        <v>6219</v>
      </c>
      <c r="J159" s="36">
        <v>2</v>
      </c>
      <c r="K159" s="36">
        <v>360</v>
      </c>
      <c r="L159" s="36">
        <v>720</v>
      </c>
      <c r="M159" s="36">
        <v>0</v>
      </c>
      <c r="N159" s="36"/>
      <c r="O159" s="36"/>
      <c r="P159" s="36">
        <v>10000</v>
      </c>
      <c r="Q159" s="36">
        <v>14438</v>
      </c>
      <c r="R159" s="36"/>
      <c r="S159" s="36">
        <f t="shared" si="4"/>
        <v>81806</v>
      </c>
      <c r="T159" s="25">
        <f t="shared" si="6"/>
        <v>0</v>
      </c>
      <c r="U159" s="25">
        <f t="shared" si="7"/>
        <v>81806</v>
      </c>
      <c r="V159" s="36">
        <v>81806</v>
      </c>
      <c r="W159" s="25">
        <f t="shared" si="9"/>
        <v>0</v>
      </c>
      <c r="Y159">
        <f t="shared" si="8"/>
        <v>0</v>
      </c>
    </row>
    <row r="160" spans="1:25" ht="15.75" hidden="1" thickBot="1" x14ac:dyDescent="0.3">
      <c r="A160" s="20"/>
      <c r="B160" s="21" t="s">
        <v>32</v>
      </c>
      <c r="C160" s="36">
        <v>25908</v>
      </c>
      <c r="D160" s="36">
        <v>26334</v>
      </c>
      <c r="E160" s="36">
        <v>426</v>
      </c>
      <c r="F160" s="36">
        <v>146</v>
      </c>
      <c r="G160" s="36">
        <v>62196</v>
      </c>
      <c r="H160" s="36">
        <v>6219</v>
      </c>
      <c r="I160" s="36">
        <v>6219</v>
      </c>
      <c r="J160" s="36">
        <v>0</v>
      </c>
      <c r="K160" s="36"/>
      <c r="L160" s="36">
        <v>0</v>
      </c>
      <c r="M160" s="36">
        <v>0</v>
      </c>
      <c r="N160" s="36"/>
      <c r="O160" s="36"/>
      <c r="P160" s="36">
        <v>10000</v>
      </c>
      <c r="Q160" s="36">
        <v>14438</v>
      </c>
      <c r="R160" s="36"/>
      <c r="S160" s="36">
        <f t="shared" si="4"/>
        <v>86634</v>
      </c>
      <c r="T160" s="25">
        <f t="shared" si="6"/>
        <v>0</v>
      </c>
      <c r="U160" s="25">
        <f t="shared" si="7"/>
        <v>86634</v>
      </c>
      <c r="V160" s="36">
        <v>86634</v>
      </c>
      <c r="W160" s="25">
        <f t="shared" si="9"/>
        <v>0</v>
      </c>
      <c r="Y160">
        <f t="shared" si="8"/>
        <v>0</v>
      </c>
    </row>
    <row r="161" spans="1:25" ht="15.75" hidden="1" thickBot="1" x14ac:dyDescent="0.3">
      <c r="A161" s="20"/>
      <c r="B161" s="21" t="s">
        <v>33</v>
      </c>
      <c r="C161" s="36">
        <v>26334</v>
      </c>
      <c r="D161" s="36">
        <v>26754</v>
      </c>
      <c r="E161" s="36">
        <v>420</v>
      </c>
      <c r="F161" s="36">
        <v>146</v>
      </c>
      <c r="G161" s="36">
        <v>61320</v>
      </c>
      <c r="H161" s="36">
        <v>6219</v>
      </c>
      <c r="I161" s="36">
        <v>6220</v>
      </c>
      <c r="J161" s="36">
        <v>1</v>
      </c>
      <c r="K161" s="36">
        <v>360</v>
      </c>
      <c r="L161" s="36">
        <v>360</v>
      </c>
      <c r="M161" s="36">
        <v>0</v>
      </c>
      <c r="N161" s="36"/>
      <c r="O161" s="36"/>
      <c r="P161" s="36">
        <v>10000</v>
      </c>
      <c r="Q161" s="36">
        <v>14438</v>
      </c>
      <c r="R161" s="36"/>
      <c r="S161" s="36">
        <f t="shared" si="4"/>
        <v>86118</v>
      </c>
      <c r="T161" s="25">
        <f t="shared" si="6"/>
        <v>0</v>
      </c>
      <c r="U161" s="25">
        <f t="shared" si="7"/>
        <v>86118</v>
      </c>
      <c r="V161" s="36">
        <v>86118</v>
      </c>
      <c r="W161" s="25">
        <f t="shared" si="9"/>
        <v>0</v>
      </c>
      <c r="Y161">
        <f t="shared" si="8"/>
        <v>0</v>
      </c>
    </row>
    <row r="162" spans="1:25" ht="15.75" hidden="1" thickBot="1" x14ac:dyDescent="0.3">
      <c r="A162" s="20"/>
      <c r="B162" s="21" t="s">
        <v>34</v>
      </c>
      <c r="C162" s="36">
        <v>26754</v>
      </c>
      <c r="D162" s="36">
        <v>27533</v>
      </c>
      <c r="E162" s="36">
        <v>779</v>
      </c>
      <c r="F162" s="36">
        <v>146</v>
      </c>
      <c r="G162" s="36">
        <v>113734</v>
      </c>
      <c r="H162" s="36">
        <v>6220</v>
      </c>
      <c r="I162" s="36">
        <v>6221</v>
      </c>
      <c r="J162" s="36">
        <v>1</v>
      </c>
      <c r="K162" s="36">
        <v>360</v>
      </c>
      <c r="L162" s="36">
        <v>360</v>
      </c>
      <c r="M162" s="36">
        <v>0</v>
      </c>
      <c r="N162" s="36"/>
      <c r="O162" s="36"/>
      <c r="P162" s="36">
        <v>10000</v>
      </c>
      <c r="Q162" s="36">
        <v>14438</v>
      </c>
      <c r="R162" s="36"/>
      <c r="S162" s="36">
        <f t="shared" ref="S162:S185" si="10">G162+L162+M162+N162+O162+P162+Q162+R162</f>
        <v>138532</v>
      </c>
      <c r="T162" s="25">
        <f t="shared" ref="T162:T185" si="11">W161</f>
        <v>0</v>
      </c>
      <c r="U162" s="25">
        <f t="shared" ref="U162:U185" si="12">S162+T162</f>
        <v>138532</v>
      </c>
      <c r="V162" s="36">
        <v>138532</v>
      </c>
      <c r="W162" s="25">
        <f t="shared" si="9"/>
        <v>0</v>
      </c>
      <c r="Y162">
        <f t="shared" si="8"/>
        <v>0</v>
      </c>
    </row>
    <row r="163" spans="1:25" ht="15.75" hidden="1" thickBot="1" x14ac:dyDescent="0.3">
      <c r="A163" s="20">
        <v>2016</v>
      </c>
      <c r="B163" s="21" t="s">
        <v>35</v>
      </c>
      <c r="C163" s="36">
        <v>27533</v>
      </c>
      <c r="D163" s="36">
        <v>28209</v>
      </c>
      <c r="E163" s="36">
        <v>676</v>
      </c>
      <c r="F163" s="36">
        <v>146</v>
      </c>
      <c r="G163" s="36">
        <v>98696</v>
      </c>
      <c r="H163" s="36">
        <v>6221</v>
      </c>
      <c r="I163" s="36">
        <v>6239</v>
      </c>
      <c r="J163" s="36">
        <v>18</v>
      </c>
      <c r="K163" s="36">
        <v>360</v>
      </c>
      <c r="L163" s="36">
        <v>6480</v>
      </c>
      <c r="M163" s="36">
        <v>0</v>
      </c>
      <c r="N163" s="36"/>
      <c r="O163" s="36"/>
      <c r="P163" s="36">
        <v>10000</v>
      </c>
      <c r="Q163" s="36">
        <v>15073</v>
      </c>
      <c r="R163" s="36"/>
      <c r="S163" s="36">
        <f t="shared" si="10"/>
        <v>130249</v>
      </c>
      <c r="T163" s="25">
        <f t="shared" si="11"/>
        <v>0</v>
      </c>
      <c r="U163" s="25">
        <f t="shared" si="12"/>
        <v>130249</v>
      </c>
      <c r="V163" s="36">
        <v>130249</v>
      </c>
      <c r="W163" s="25">
        <f t="shared" si="9"/>
        <v>0</v>
      </c>
      <c r="Y163">
        <f t="shared" si="8"/>
        <v>0</v>
      </c>
    </row>
    <row r="164" spans="1:25" ht="15.75" hidden="1" thickBot="1" x14ac:dyDescent="0.3">
      <c r="A164" s="20"/>
      <c r="B164" s="21" t="s">
        <v>24</v>
      </c>
      <c r="C164" s="36">
        <v>28209</v>
      </c>
      <c r="D164" s="36">
        <v>28947</v>
      </c>
      <c r="E164" s="36">
        <v>738</v>
      </c>
      <c r="F164" s="36">
        <v>146</v>
      </c>
      <c r="G164" s="36">
        <v>107748</v>
      </c>
      <c r="H164" s="36">
        <v>6239</v>
      </c>
      <c r="I164" s="36">
        <v>6239</v>
      </c>
      <c r="J164" s="36">
        <v>0</v>
      </c>
      <c r="K164" s="36"/>
      <c r="L164" s="36">
        <v>0</v>
      </c>
      <c r="M164" s="36">
        <v>0</v>
      </c>
      <c r="N164" s="36"/>
      <c r="O164" s="36">
        <v>39445</v>
      </c>
      <c r="P164" s="36">
        <v>10000</v>
      </c>
      <c r="Q164" s="36">
        <v>15073</v>
      </c>
      <c r="R164" s="36"/>
      <c r="S164" s="36">
        <f t="shared" si="10"/>
        <v>172266</v>
      </c>
      <c r="T164" s="25">
        <f t="shared" si="11"/>
        <v>0</v>
      </c>
      <c r="U164" s="25">
        <f t="shared" si="12"/>
        <v>172266</v>
      </c>
      <c r="V164" s="36">
        <v>172266</v>
      </c>
      <c r="W164" s="25">
        <f t="shared" si="9"/>
        <v>0</v>
      </c>
      <c r="Y164">
        <f t="shared" si="8"/>
        <v>0</v>
      </c>
    </row>
    <row r="165" spans="1:25" ht="15.75" hidden="1" thickBot="1" x14ac:dyDescent="0.3">
      <c r="A165" s="20"/>
      <c r="B165" s="21" t="s">
        <v>25</v>
      </c>
      <c r="C165" s="36">
        <v>28947</v>
      </c>
      <c r="D165" s="36">
        <v>29779</v>
      </c>
      <c r="E165" s="36">
        <v>832</v>
      </c>
      <c r="F165" s="36">
        <v>146</v>
      </c>
      <c r="G165" s="36">
        <v>121472</v>
      </c>
      <c r="H165" s="36">
        <v>6239</v>
      </c>
      <c r="I165" s="36">
        <v>6240</v>
      </c>
      <c r="J165" s="36">
        <v>1</v>
      </c>
      <c r="K165" s="36">
        <v>360</v>
      </c>
      <c r="L165" s="36">
        <v>360</v>
      </c>
      <c r="M165" s="36">
        <v>0</v>
      </c>
      <c r="N165" s="36"/>
      <c r="O165" s="36"/>
      <c r="P165" s="36"/>
      <c r="Q165" s="36">
        <v>15073</v>
      </c>
      <c r="R165" s="36"/>
      <c r="S165" s="36">
        <f t="shared" si="10"/>
        <v>136905</v>
      </c>
      <c r="T165" s="25">
        <f t="shared" si="11"/>
        <v>0</v>
      </c>
      <c r="U165" s="25">
        <f t="shared" si="12"/>
        <v>136905</v>
      </c>
      <c r="V165" s="36"/>
      <c r="W165" s="25">
        <f t="shared" si="9"/>
        <v>136905</v>
      </c>
      <c r="Y165">
        <f t="shared" si="8"/>
        <v>1</v>
      </c>
    </row>
    <row r="166" spans="1:25" ht="15.75" hidden="1" thickBot="1" x14ac:dyDescent="0.3">
      <c r="A166" s="20"/>
      <c r="B166" s="21" t="s">
        <v>26</v>
      </c>
      <c r="C166" s="36">
        <v>29779</v>
      </c>
      <c r="D166" s="36">
        <v>30265</v>
      </c>
      <c r="E166" s="36">
        <v>486</v>
      </c>
      <c r="F166" s="36">
        <v>146</v>
      </c>
      <c r="G166" s="36">
        <v>70956</v>
      </c>
      <c r="H166" s="36">
        <v>6240</v>
      </c>
      <c r="I166" s="36">
        <v>6240</v>
      </c>
      <c r="J166" s="36">
        <v>0</v>
      </c>
      <c r="K166" s="36">
        <v>360</v>
      </c>
      <c r="L166" s="36">
        <v>0</v>
      </c>
      <c r="M166" s="36">
        <v>0</v>
      </c>
      <c r="N166" s="36"/>
      <c r="O166" s="36"/>
      <c r="P166" s="36"/>
      <c r="Q166" s="36">
        <v>15073</v>
      </c>
      <c r="R166" s="36"/>
      <c r="S166" s="36">
        <f t="shared" si="10"/>
        <v>86029</v>
      </c>
      <c r="T166" s="25">
        <f t="shared" si="11"/>
        <v>136905</v>
      </c>
      <c r="U166" s="25">
        <f t="shared" si="12"/>
        <v>222934</v>
      </c>
      <c r="V166" s="36">
        <v>222934</v>
      </c>
      <c r="W166" s="25">
        <f t="shared" si="9"/>
        <v>0</v>
      </c>
      <c r="Y166">
        <f t="shared" si="8"/>
        <v>0</v>
      </c>
    </row>
    <row r="167" spans="1:25" ht="15.75" hidden="1" thickBot="1" x14ac:dyDescent="0.3">
      <c r="A167" s="20"/>
      <c r="B167" s="21" t="s">
        <v>27</v>
      </c>
      <c r="C167" s="36">
        <v>30265</v>
      </c>
      <c r="D167" s="36">
        <v>30634</v>
      </c>
      <c r="E167" s="36">
        <v>369</v>
      </c>
      <c r="F167" s="36">
        <v>146</v>
      </c>
      <c r="G167" s="36">
        <v>53874</v>
      </c>
      <c r="H167" s="36">
        <v>6240</v>
      </c>
      <c r="I167" s="36">
        <v>6240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/>
      <c r="Q167" s="36">
        <v>15073</v>
      </c>
      <c r="R167" s="36"/>
      <c r="S167" s="36">
        <f t="shared" si="10"/>
        <v>68947</v>
      </c>
      <c r="T167" s="25">
        <f t="shared" si="11"/>
        <v>0</v>
      </c>
      <c r="U167" s="25">
        <f t="shared" si="12"/>
        <v>68947</v>
      </c>
      <c r="V167" s="36">
        <v>68947</v>
      </c>
      <c r="W167" s="25">
        <f t="shared" si="9"/>
        <v>0</v>
      </c>
      <c r="Y167">
        <f t="shared" si="8"/>
        <v>0</v>
      </c>
    </row>
    <row r="168" spans="1:25" ht="15.75" hidden="1" thickBot="1" x14ac:dyDescent="0.3">
      <c r="A168" s="20"/>
      <c r="B168" s="21" t="s">
        <v>28</v>
      </c>
      <c r="C168" s="36">
        <v>30634</v>
      </c>
      <c r="D168" s="36">
        <v>31001</v>
      </c>
      <c r="E168" s="36">
        <v>367</v>
      </c>
      <c r="F168" s="36">
        <v>146</v>
      </c>
      <c r="G168" s="36">
        <v>53582</v>
      </c>
      <c r="H168" s="36">
        <v>6240</v>
      </c>
      <c r="I168" s="36">
        <v>6242</v>
      </c>
      <c r="J168" s="36">
        <v>2</v>
      </c>
      <c r="K168" s="36">
        <v>360</v>
      </c>
      <c r="L168" s="36">
        <v>720</v>
      </c>
      <c r="M168" s="36">
        <v>0</v>
      </c>
      <c r="N168" s="36"/>
      <c r="O168" s="36"/>
      <c r="P168" s="36"/>
      <c r="Q168" s="36">
        <v>15073</v>
      </c>
      <c r="R168" s="36"/>
      <c r="S168" s="36">
        <f t="shared" si="10"/>
        <v>69375</v>
      </c>
      <c r="T168" s="25">
        <f t="shared" si="11"/>
        <v>0</v>
      </c>
      <c r="U168" s="25">
        <f t="shared" si="12"/>
        <v>69375</v>
      </c>
      <c r="V168" s="36">
        <v>69375</v>
      </c>
      <c r="W168" s="25">
        <f t="shared" si="9"/>
        <v>0</v>
      </c>
      <c r="Y168">
        <f t="shared" si="8"/>
        <v>0</v>
      </c>
    </row>
    <row r="169" spans="1:25" ht="15.75" hidden="1" thickBot="1" x14ac:dyDescent="0.3">
      <c r="A169" s="20"/>
      <c r="B169" s="21" t="s">
        <v>29</v>
      </c>
      <c r="C169" s="36">
        <v>31001</v>
      </c>
      <c r="D169" s="36">
        <v>31330</v>
      </c>
      <c r="E169" s="36">
        <v>329</v>
      </c>
      <c r="F169" s="36">
        <v>146</v>
      </c>
      <c r="G169" s="36">
        <v>48034</v>
      </c>
      <c r="H169" s="36">
        <v>6242</v>
      </c>
      <c r="I169" s="36">
        <v>6242</v>
      </c>
      <c r="J169" s="36">
        <v>0</v>
      </c>
      <c r="K169" s="36"/>
      <c r="L169" s="36">
        <v>0</v>
      </c>
      <c r="M169" s="36">
        <v>0</v>
      </c>
      <c r="N169" s="36"/>
      <c r="O169" s="36">
        <v>5117</v>
      </c>
      <c r="P169" s="36"/>
      <c r="Q169" s="36">
        <v>15073</v>
      </c>
      <c r="R169" s="36"/>
      <c r="S169" s="36">
        <f t="shared" si="10"/>
        <v>68224</v>
      </c>
      <c r="T169" s="25">
        <f t="shared" si="11"/>
        <v>0</v>
      </c>
      <c r="U169" s="25">
        <f t="shared" si="12"/>
        <v>68224</v>
      </c>
      <c r="V169" s="36">
        <v>68224</v>
      </c>
      <c r="W169" s="25">
        <f t="shared" si="9"/>
        <v>0</v>
      </c>
      <c r="Y169">
        <f t="shared" si="8"/>
        <v>0</v>
      </c>
    </row>
    <row r="170" spans="1:25" ht="15.75" hidden="1" thickBot="1" x14ac:dyDescent="0.3">
      <c r="A170" s="20"/>
      <c r="B170" s="21" t="s">
        <v>30</v>
      </c>
      <c r="C170" s="36">
        <v>31330</v>
      </c>
      <c r="D170" s="36">
        <v>31718</v>
      </c>
      <c r="E170" s="36">
        <v>388</v>
      </c>
      <c r="F170" s="36">
        <v>146</v>
      </c>
      <c r="G170" s="36">
        <v>56648</v>
      </c>
      <c r="H170" s="36">
        <v>6242</v>
      </c>
      <c r="I170" s="36">
        <v>6242</v>
      </c>
      <c r="J170" s="36">
        <v>0</v>
      </c>
      <c r="K170" s="36">
        <v>360</v>
      </c>
      <c r="L170" s="36">
        <v>0</v>
      </c>
      <c r="M170" s="36">
        <v>0</v>
      </c>
      <c r="N170" s="36"/>
      <c r="O170" s="36">
        <v>125448</v>
      </c>
      <c r="P170" s="36"/>
      <c r="Q170" s="36">
        <v>15073</v>
      </c>
      <c r="R170" s="36"/>
      <c r="S170" s="36">
        <f t="shared" si="10"/>
        <v>197169</v>
      </c>
      <c r="T170" s="25">
        <f t="shared" si="11"/>
        <v>0</v>
      </c>
      <c r="U170" s="25">
        <f t="shared" si="12"/>
        <v>197169</v>
      </c>
      <c r="V170" s="36">
        <v>197169</v>
      </c>
      <c r="W170" s="25">
        <f t="shared" si="9"/>
        <v>0</v>
      </c>
      <c r="Y170">
        <f t="shared" si="8"/>
        <v>0</v>
      </c>
    </row>
    <row r="171" spans="1:25" ht="15.75" hidden="1" thickBot="1" x14ac:dyDescent="0.3">
      <c r="A171" s="20"/>
      <c r="B171" s="21" t="s">
        <v>31</v>
      </c>
      <c r="C171" s="36">
        <v>31718</v>
      </c>
      <c r="D171" s="36">
        <v>32250</v>
      </c>
      <c r="E171" s="36">
        <v>532</v>
      </c>
      <c r="F171" s="36">
        <v>146</v>
      </c>
      <c r="G171" s="36">
        <v>77672</v>
      </c>
      <c r="H171" s="36">
        <v>6242</v>
      </c>
      <c r="I171" s="36">
        <v>6242</v>
      </c>
      <c r="J171" s="36">
        <v>0</v>
      </c>
      <c r="K171" s="36">
        <v>360</v>
      </c>
      <c r="L171" s="36">
        <v>0</v>
      </c>
      <c r="M171" s="36">
        <v>0</v>
      </c>
      <c r="N171" s="36"/>
      <c r="O171" s="36"/>
      <c r="P171" s="36"/>
      <c r="Q171" s="36">
        <v>15073</v>
      </c>
      <c r="R171" s="36"/>
      <c r="S171" s="36">
        <f t="shared" si="10"/>
        <v>92745</v>
      </c>
      <c r="T171" s="25">
        <f t="shared" si="11"/>
        <v>0</v>
      </c>
      <c r="U171" s="25">
        <f t="shared" si="12"/>
        <v>92745</v>
      </c>
      <c r="V171" s="36">
        <v>92745</v>
      </c>
      <c r="W171" s="25">
        <f t="shared" si="9"/>
        <v>0</v>
      </c>
      <c r="Y171">
        <f t="shared" si="8"/>
        <v>0</v>
      </c>
    </row>
    <row r="172" spans="1:25" ht="15.75" hidden="1" thickBot="1" x14ac:dyDescent="0.3">
      <c r="A172" s="20"/>
      <c r="B172" s="21" t="s">
        <v>32</v>
      </c>
      <c r="C172" s="36">
        <v>32250</v>
      </c>
      <c r="D172" s="36">
        <v>32729</v>
      </c>
      <c r="E172" s="36">
        <v>479</v>
      </c>
      <c r="F172" s="36">
        <v>146</v>
      </c>
      <c r="G172" s="36">
        <v>69934</v>
      </c>
      <c r="H172" s="36">
        <v>6242</v>
      </c>
      <c r="I172" s="36">
        <v>6246</v>
      </c>
      <c r="J172" s="36">
        <v>4</v>
      </c>
      <c r="K172" s="36">
        <v>360</v>
      </c>
      <c r="L172" s="36">
        <v>1440</v>
      </c>
      <c r="M172" s="36">
        <v>0</v>
      </c>
      <c r="N172" s="36"/>
      <c r="O172" s="36"/>
      <c r="P172" s="36"/>
      <c r="Q172" s="36">
        <v>15073</v>
      </c>
      <c r="R172" s="36"/>
      <c r="S172" s="36">
        <f t="shared" si="10"/>
        <v>86447</v>
      </c>
      <c r="T172" s="25">
        <f t="shared" si="11"/>
        <v>0</v>
      </c>
      <c r="U172" s="25">
        <f t="shared" si="12"/>
        <v>86447</v>
      </c>
      <c r="V172" s="36">
        <v>86447</v>
      </c>
      <c r="W172" s="25">
        <f t="shared" si="9"/>
        <v>0</v>
      </c>
      <c r="Y172">
        <f t="shared" si="8"/>
        <v>0</v>
      </c>
    </row>
    <row r="173" spans="1:25" ht="15.75" hidden="1" thickBot="1" x14ac:dyDescent="0.3">
      <c r="A173" s="20"/>
      <c r="B173" s="21" t="s">
        <v>33</v>
      </c>
      <c r="C173" s="36">
        <v>32729</v>
      </c>
      <c r="D173" s="36">
        <v>33302</v>
      </c>
      <c r="E173" s="36">
        <v>573</v>
      </c>
      <c r="F173" s="36">
        <v>146</v>
      </c>
      <c r="G173" s="36">
        <v>83658</v>
      </c>
      <c r="H173" s="36">
        <v>6246</v>
      </c>
      <c r="I173" s="36">
        <v>6252</v>
      </c>
      <c r="J173" s="36">
        <v>6</v>
      </c>
      <c r="K173" s="36">
        <v>360</v>
      </c>
      <c r="L173" s="36">
        <v>2160</v>
      </c>
      <c r="M173" s="36">
        <v>0</v>
      </c>
      <c r="N173" s="36"/>
      <c r="O173" s="36"/>
      <c r="P173" s="36"/>
      <c r="Q173" s="36">
        <v>15073</v>
      </c>
      <c r="R173" s="36"/>
      <c r="S173" s="36">
        <f t="shared" si="10"/>
        <v>100891</v>
      </c>
      <c r="T173" s="25">
        <f t="shared" si="11"/>
        <v>0</v>
      </c>
      <c r="U173" s="25">
        <f t="shared" si="12"/>
        <v>100891</v>
      </c>
      <c r="V173" s="36">
        <v>100891</v>
      </c>
      <c r="W173" s="25">
        <f t="shared" si="9"/>
        <v>0</v>
      </c>
      <c r="Y173">
        <f t="shared" si="8"/>
        <v>0</v>
      </c>
    </row>
    <row r="174" spans="1:25" ht="15.75" hidden="1" thickBot="1" x14ac:dyDescent="0.3">
      <c r="A174" s="20"/>
      <c r="B174" s="21" t="s">
        <v>34</v>
      </c>
      <c r="C174" s="36">
        <v>33302</v>
      </c>
      <c r="D174" s="36">
        <v>33958</v>
      </c>
      <c r="E174" s="36">
        <v>656</v>
      </c>
      <c r="F174" s="36">
        <v>146</v>
      </c>
      <c r="G174" s="36">
        <v>95776</v>
      </c>
      <c r="H174" s="36">
        <v>6252</v>
      </c>
      <c r="I174" s="36">
        <v>6257</v>
      </c>
      <c r="J174" s="36">
        <v>5</v>
      </c>
      <c r="K174" s="36">
        <v>360</v>
      </c>
      <c r="L174" s="36">
        <v>1800</v>
      </c>
      <c r="M174" s="36">
        <v>0</v>
      </c>
      <c r="N174" s="36"/>
      <c r="O174" s="36">
        <v>64167</v>
      </c>
      <c r="P174" s="36"/>
      <c r="Q174" s="36">
        <v>15073</v>
      </c>
      <c r="R174" s="36"/>
      <c r="S174" s="36">
        <f t="shared" si="10"/>
        <v>176816</v>
      </c>
      <c r="T174" s="25">
        <f t="shared" si="11"/>
        <v>0</v>
      </c>
      <c r="U174" s="25">
        <f t="shared" si="12"/>
        <v>176816</v>
      </c>
      <c r="V174" s="36">
        <v>176816</v>
      </c>
      <c r="W174" s="25">
        <f t="shared" si="9"/>
        <v>0</v>
      </c>
      <c r="Y174">
        <f t="shared" si="8"/>
        <v>0</v>
      </c>
    </row>
    <row r="175" spans="1:25" hidden="1" x14ac:dyDescent="0.25">
      <c r="A175" s="20">
        <v>2017</v>
      </c>
      <c r="B175" s="47" t="s">
        <v>35</v>
      </c>
      <c r="C175" s="48">
        <v>33958</v>
      </c>
      <c r="D175" s="48">
        <v>34608</v>
      </c>
      <c r="E175" s="48">
        <v>650</v>
      </c>
      <c r="F175" s="48">
        <v>146</v>
      </c>
      <c r="G175" s="61">
        <v>94900</v>
      </c>
      <c r="H175" s="48">
        <v>6257</v>
      </c>
      <c r="I175" s="48">
        <v>6332</v>
      </c>
      <c r="J175" s="48">
        <v>75</v>
      </c>
      <c r="K175" s="48">
        <v>360</v>
      </c>
      <c r="L175" s="61">
        <v>27000</v>
      </c>
      <c r="M175" s="61">
        <v>0</v>
      </c>
      <c r="N175" s="61"/>
      <c r="O175" s="61"/>
      <c r="P175" s="61"/>
      <c r="Q175" s="61">
        <v>15481</v>
      </c>
      <c r="R175" s="61"/>
      <c r="S175" s="61">
        <f t="shared" si="10"/>
        <v>137381</v>
      </c>
      <c r="T175" s="49">
        <f t="shared" si="11"/>
        <v>0</v>
      </c>
      <c r="U175" s="49">
        <f t="shared" si="12"/>
        <v>137381</v>
      </c>
      <c r="V175" s="45">
        <v>137381</v>
      </c>
      <c r="W175" s="49">
        <f t="shared" si="9"/>
        <v>0</v>
      </c>
      <c r="Y175">
        <f t="shared" si="8"/>
        <v>0</v>
      </c>
    </row>
    <row r="176" spans="1:25" hidden="1" x14ac:dyDescent="0.25">
      <c r="A176" s="20"/>
      <c r="B176" s="50" t="s">
        <v>24</v>
      </c>
      <c r="C176" s="51">
        <v>34608</v>
      </c>
      <c r="D176" s="51">
        <v>35371</v>
      </c>
      <c r="E176" s="51">
        <v>763</v>
      </c>
      <c r="F176" s="51">
        <v>146</v>
      </c>
      <c r="G176" s="62">
        <v>111398</v>
      </c>
      <c r="H176" s="51">
        <v>6332</v>
      </c>
      <c r="I176" s="51">
        <v>6350</v>
      </c>
      <c r="J176" s="51">
        <v>18</v>
      </c>
      <c r="K176" s="51">
        <v>360</v>
      </c>
      <c r="L176" s="62">
        <v>6480</v>
      </c>
      <c r="M176" s="62">
        <v>0</v>
      </c>
      <c r="N176" s="62"/>
      <c r="O176" s="62"/>
      <c r="P176" s="62"/>
      <c r="Q176" s="62">
        <v>15481</v>
      </c>
      <c r="R176" s="62"/>
      <c r="S176" s="62">
        <f t="shared" si="10"/>
        <v>133359</v>
      </c>
      <c r="T176" s="52">
        <f t="shared" si="11"/>
        <v>0</v>
      </c>
      <c r="U176" s="52">
        <f t="shared" si="12"/>
        <v>133359</v>
      </c>
      <c r="V176" s="46">
        <v>133359</v>
      </c>
      <c r="W176" s="52">
        <f t="shared" si="9"/>
        <v>0</v>
      </c>
      <c r="Y176">
        <f t="shared" si="8"/>
        <v>0</v>
      </c>
    </row>
    <row r="177" spans="1:25" hidden="1" x14ac:dyDescent="0.25">
      <c r="A177" s="20"/>
      <c r="B177" s="50" t="s">
        <v>25</v>
      </c>
      <c r="C177" s="51">
        <v>35371</v>
      </c>
      <c r="D177" s="51">
        <v>36063</v>
      </c>
      <c r="E177" s="51">
        <v>692</v>
      </c>
      <c r="F177" s="51">
        <v>146</v>
      </c>
      <c r="G177" s="62">
        <v>101032</v>
      </c>
      <c r="H177" s="51">
        <v>6350</v>
      </c>
      <c r="I177" s="51">
        <v>6450</v>
      </c>
      <c r="J177" s="51">
        <v>100</v>
      </c>
      <c r="K177" s="51">
        <v>360</v>
      </c>
      <c r="L177" s="62">
        <v>36000</v>
      </c>
      <c r="M177" s="62">
        <v>0</v>
      </c>
      <c r="N177" s="62"/>
      <c r="O177" s="62">
        <v>54473</v>
      </c>
      <c r="P177" s="62"/>
      <c r="Q177" s="62">
        <v>15481</v>
      </c>
      <c r="R177" s="62"/>
      <c r="S177" s="62">
        <f t="shared" si="10"/>
        <v>206986</v>
      </c>
      <c r="T177" s="52">
        <f t="shared" si="11"/>
        <v>0</v>
      </c>
      <c r="U177" s="52">
        <f t="shared" si="12"/>
        <v>206986</v>
      </c>
      <c r="V177" s="46">
        <v>206986</v>
      </c>
      <c r="W177" s="52">
        <f t="shared" si="9"/>
        <v>0</v>
      </c>
      <c r="Y177">
        <f t="shared" si="8"/>
        <v>0</v>
      </c>
    </row>
    <row r="178" spans="1:25" hidden="1" x14ac:dyDescent="0.25">
      <c r="A178" s="20"/>
      <c r="B178" s="50" t="s">
        <v>26</v>
      </c>
      <c r="C178" s="51">
        <v>36063</v>
      </c>
      <c r="D178" s="51">
        <v>36446</v>
      </c>
      <c r="E178" s="51">
        <v>383</v>
      </c>
      <c r="F178" s="51">
        <v>146</v>
      </c>
      <c r="G178" s="62">
        <v>55918</v>
      </c>
      <c r="H178" s="51">
        <v>6450</v>
      </c>
      <c r="I178" s="51">
        <v>6527</v>
      </c>
      <c r="J178" s="51">
        <v>77</v>
      </c>
      <c r="K178" s="51">
        <v>360</v>
      </c>
      <c r="L178" s="62">
        <v>27720</v>
      </c>
      <c r="M178" s="62">
        <v>0</v>
      </c>
      <c r="N178" s="62"/>
      <c r="O178" s="62">
        <v>22500</v>
      </c>
      <c r="P178" s="62"/>
      <c r="Q178" s="62">
        <v>15481</v>
      </c>
      <c r="R178" s="62"/>
      <c r="S178" s="62">
        <f t="shared" si="10"/>
        <v>121619</v>
      </c>
      <c r="T178" s="52">
        <f t="shared" si="11"/>
        <v>0</v>
      </c>
      <c r="U178" s="52">
        <f t="shared" si="12"/>
        <v>121619</v>
      </c>
      <c r="V178" s="46">
        <v>121619</v>
      </c>
      <c r="W178" s="52">
        <f t="shared" si="9"/>
        <v>0</v>
      </c>
      <c r="Y178">
        <f t="shared" si="8"/>
        <v>0</v>
      </c>
    </row>
    <row r="179" spans="1:25" hidden="1" x14ac:dyDescent="0.25">
      <c r="A179" s="20"/>
      <c r="B179" s="50" t="s">
        <v>27</v>
      </c>
      <c r="C179" s="51">
        <v>36446</v>
      </c>
      <c r="D179" s="51">
        <v>36952</v>
      </c>
      <c r="E179" s="51">
        <v>506</v>
      </c>
      <c r="F179" s="51">
        <v>146</v>
      </c>
      <c r="G179" s="62">
        <v>73876</v>
      </c>
      <c r="H179" s="51">
        <v>6527</v>
      </c>
      <c r="I179" s="51">
        <v>6529</v>
      </c>
      <c r="J179" s="51">
        <v>2</v>
      </c>
      <c r="K179" s="51">
        <v>360</v>
      </c>
      <c r="L179" s="62">
        <v>720</v>
      </c>
      <c r="M179" s="62">
        <v>0</v>
      </c>
      <c r="N179" s="62"/>
      <c r="O179" s="62"/>
      <c r="P179" s="62"/>
      <c r="Q179" s="62">
        <v>15481</v>
      </c>
      <c r="R179" s="62"/>
      <c r="S179" s="62">
        <f t="shared" si="10"/>
        <v>90077</v>
      </c>
      <c r="T179" s="52">
        <f t="shared" si="11"/>
        <v>0</v>
      </c>
      <c r="U179" s="52">
        <f t="shared" si="12"/>
        <v>90077</v>
      </c>
      <c r="V179" s="46">
        <v>90077</v>
      </c>
      <c r="W179" s="52">
        <f t="shared" si="9"/>
        <v>0</v>
      </c>
      <c r="Y179">
        <f t="shared" si="8"/>
        <v>0</v>
      </c>
    </row>
    <row r="180" spans="1:25" hidden="1" x14ac:dyDescent="0.25">
      <c r="A180" s="20"/>
      <c r="B180" s="50" t="s">
        <v>28</v>
      </c>
      <c r="C180" s="51">
        <v>36952</v>
      </c>
      <c r="D180" s="51">
        <v>37346</v>
      </c>
      <c r="E180" s="51">
        <v>394</v>
      </c>
      <c r="F180" s="51">
        <v>146</v>
      </c>
      <c r="G180" s="62">
        <v>57524</v>
      </c>
      <c r="H180" s="51">
        <v>6529</v>
      </c>
      <c r="I180" s="51">
        <v>6531</v>
      </c>
      <c r="J180" s="51">
        <v>2</v>
      </c>
      <c r="K180" s="51">
        <v>360</v>
      </c>
      <c r="L180" s="62">
        <v>720</v>
      </c>
      <c r="M180" s="62">
        <v>0</v>
      </c>
      <c r="N180" s="62"/>
      <c r="O180" s="62"/>
      <c r="P180" s="62"/>
      <c r="Q180" s="62">
        <v>15481</v>
      </c>
      <c r="R180" s="62"/>
      <c r="S180" s="62">
        <f t="shared" si="10"/>
        <v>73725</v>
      </c>
      <c r="T180" s="52">
        <f t="shared" si="11"/>
        <v>0</v>
      </c>
      <c r="U180" s="52">
        <f t="shared" si="12"/>
        <v>73725</v>
      </c>
      <c r="V180" s="46">
        <v>73725</v>
      </c>
      <c r="W180" s="52">
        <f t="shared" si="9"/>
        <v>0</v>
      </c>
      <c r="Y180">
        <f t="shared" si="8"/>
        <v>0</v>
      </c>
    </row>
    <row r="181" spans="1:25" hidden="1" x14ac:dyDescent="0.25">
      <c r="A181" s="20"/>
      <c r="B181" s="50" t="s">
        <v>29</v>
      </c>
      <c r="C181" s="51">
        <v>37346</v>
      </c>
      <c r="D181" s="51">
        <v>37717</v>
      </c>
      <c r="E181" s="51">
        <v>371</v>
      </c>
      <c r="F181" s="51">
        <v>146</v>
      </c>
      <c r="G181" s="62">
        <v>54166</v>
      </c>
      <c r="H181" s="51">
        <v>6531</v>
      </c>
      <c r="I181" s="51">
        <v>6537</v>
      </c>
      <c r="J181" s="51">
        <v>6</v>
      </c>
      <c r="K181" s="51">
        <v>360</v>
      </c>
      <c r="L181" s="62">
        <v>2160</v>
      </c>
      <c r="M181" s="62">
        <v>0</v>
      </c>
      <c r="N181" s="62"/>
      <c r="O181" s="62"/>
      <c r="P181" s="62"/>
      <c r="Q181" s="62">
        <v>15481</v>
      </c>
      <c r="R181" s="62"/>
      <c r="S181" s="62">
        <f t="shared" si="10"/>
        <v>71807</v>
      </c>
      <c r="T181" s="52">
        <f t="shared" si="11"/>
        <v>0</v>
      </c>
      <c r="U181" s="52">
        <f t="shared" si="12"/>
        <v>71807</v>
      </c>
      <c r="V181" s="46">
        <v>71807</v>
      </c>
      <c r="W181" s="52">
        <f t="shared" si="9"/>
        <v>0</v>
      </c>
      <c r="Y181">
        <f t="shared" si="8"/>
        <v>0</v>
      </c>
    </row>
    <row r="182" spans="1:25" hidden="1" x14ac:dyDescent="0.25">
      <c r="A182" s="20"/>
      <c r="B182" s="50" t="s">
        <v>30</v>
      </c>
      <c r="C182" s="51">
        <v>37717</v>
      </c>
      <c r="D182" s="51">
        <v>37976</v>
      </c>
      <c r="E182" s="51">
        <f>D182-C182</f>
        <v>259</v>
      </c>
      <c r="F182" s="51">
        <v>146</v>
      </c>
      <c r="G182" s="62">
        <f>F182*E182</f>
        <v>37814</v>
      </c>
      <c r="H182" s="51">
        <v>6537</v>
      </c>
      <c r="I182" s="51">
        <v>6559</v>
      </c>
      <c r="J182" s="51">
        <f>I182-H182</f>
        <v>22</v>
      </c>
      <c r="K182" s="51">
        <v>360</v>
      </c>
      <c r="L182" s="62">
        <f>K182*J182</f>
        <v>7920</v>
      </c>
      <c r="M182" s="62">
        <v>0</v>
      </c>
      <c r="N182" s="62"/>
      <c r="O182" s="62"/>
      <c r="P182" s="62"/>
      <c r="Q182" s="62">
        <v>15481</v>
      </c>
      <c r="R182" s="62"/>
      <c r="S182" s="62">
        <f t="shared" si="10"/>
        <v>61215</v>
      </c>
      <c r="T182" s="52">
        <f t="shared" si="11"/>
        <v>0</v>
      </c>
      <c r="U182" s="52">
        <f t="shared" si="12"/>
        <v>61215</v>
      </c>
      <c r="V182" s="46">
        <v>61215</v>
      </c>
      <c r="W182" s="52">
        <f t="shared" si="9"/>
        <v>0</v>
      </c>
      <c r="Y182">
        <f t="shared" si="8"/>
        <v>0</v>
      </c>
    </row>
    <row r="183" spans="1:25" hidden="1" x14ac:dyDescent="0.25">
      <c r="A183" s="20"/>
      <c r="B183" s="50" t="s">
        <v>31</v>
      </c>
      <c r="C183" s="51">
        <f>D182</f>
        <v>37976</v>
      </c>
      <c r="D183" s="51">
        <v>38246</v>
      </c>
      <c r="E183" s="51">
        <f t="shared" ref="E183:E186" si="13">D183-C183</f>
        <v>270</v>
      </c>
      <c r="F183" s="51">
        <v>146</v>
      </c>
      <c r="G183" s="62">
        <f t="shared" ref="G183:G186" si="14">F183*E183</f>
        <v>39420</v>
      </c>
      <c r="H183" s="51">
        <f>I182</f>
        <v>6559</v>
      </c>
      <c r="I183" s="51">
        <v>6563</v>
      </c>
      <c r="J183" s="51">
        <f t="shared" ref="J183:J186" si="15">I183-H183</f>
        <v>4</v>
      </c>
      <c r="K183" s="51">
        <v>360</v>
      </c>
      <c r="L183" s="62">
        <f t="shared" ref="L183:L186" si="16">K183*J183</f>
        <v>1440</v>
      </c>
      <c r="M183" s="62">
        <v>0</v>
      </c>
      <c r="N183" s="62"/>
      <c r="O183" s="62"/>
      <c r="P183" s="62"/>
      <c r="Q183" s="62">
        <v>15481</v>
      </c>
      <c r="R183" s="62"/>
      <c r="S183" s="62">
        <f t="shared" si="10"/>
        <v>56341</v>
      </c>
      <c r="T183" s="52">
        <f t="shared" si="11"/>
        <v>0</v>
      </c>
      <c r="U183" s="52">
        <f t="shared" si="12"/>
        <v>56341</v>
      </c>
      <c r="V183" s="62"/>
      <c r="W183" s="52">
        <f t="shared" si="9"/>
        <v>56341</v>
      </c>
    </row>
    <row r="184" spans="1:25" hidden="1" x14ac:dyDescent="0.25">
      <c r="A184" s="20"/>
      <c r="B184" s="50" t="s">
        <v>32</v>
      </c>
      <c r="C184" s="51">
        <f t="shared" ref="C184:C186" si="17">D183</f>
        <v>38246</v>
      </c>
      <c r="D184" s="51">
        <v>38606</v>
      </c>
      <c r="E184" s="51">
        <f t="shared" si="13"/>
        <v>360</v>
      </c>
      <c r="F184" s="51">
        <v>146</v>
      </c>
      <c r="G184" s="62">
        <f t="shared" si="14"/>
        <v>52560</v>
      </c>
      <c r="H184" s="51">
        <f t="shared" ref="H184:H186" si="18">I183</f>
        <v>6563</v>
      </c>
      <c r="I184" s="51">
        <v>6615</v>
      </c>
      <c r="J184" s="51">
        <f t="shared" si="15"/>
        <v>52</v>
      </c>
      <c r="K184" s="51">
        <v>360</v>
      </c>
      <c r="L184" s="62">
        <f t="shared" si="16"/>
        <v>18720</v>
      </c>
      <c r="M184" s="51">
        <v>0</v>
      </c>
      <c r="N184" s="51"/>
      <c r="O184" s="51"/>
      <c r="P184" s="51"/>
      <c r="Q184" s="62">
        <v>15481</v>
      </c>
      <c r="R184" s="51"/>
      <c r="S184" s="62">
        <f t="shared" si="10"/>
        <v>86761</v>
      </c>
      <c r="T184" s="52">
        <f t="shared" si="11"/>
        <v>56341</v>
      </c>
      <c r="U184" s="52">
        <f t="shared" si="12"/>
        <v>143102</v>
      </c>
      <c r="V184" s="62">
        <v>143102</v>
      </c>
      <c r="W184" s="52">
        <f t="shared" si="9"/>
        <v>0</v>
      </c>
    </row>
    <row r="185" spans="1:25" hidden="1" x14ac:dyDescent="0.25">
      <c r="A185" s="20"/>
      <c r="B185" s="50" t="s">
        <v>33</v>
      </c>
      <c r="C185" s="51">
        <f t="shared" si="17"/>
        <v>38606</v>
      </c>
      <c r="D185" s="51">
        <v>39136</v>
      </c>
      <c r="E185" s="51">
        <f t="shared" si="13"/>
        <v>530</v>
      </c>
      <c r="F185" s="51">
        <v>146</v>
      </c>
      <c r="G185" s="71">
        <f t="shared" si="14"/>
        <v>77380</v>
      </c>
      <c r="H185" s="51">
        <f t="shared" si="18"/>
        <v>6615</v>
      </c>
      <c r="I185" s="51">
        <v>6736</v>
      </c>
      <c r="J185" s="51">
        <f t="shared" si="15"/>
        <v>121</v>
      </c>
      <c r="K185" s="51"/>
      <c r="L185" s="71">
        <v>67819</v>
      </c>
      <c r="M185" s="71">
        <v>0</v>
      </c>
      <c r="N185" s="71"/>
      <c r="O185" s="71">
        <v>2800</v>
      </c>
      <c r="P185" s="71">
        <v>0</v>
      </c>
      <c r="Q185" s="71">
        <v>15481</v>
      </c>
      <c r="R185" s="71"/>
      <c r="S185" s="71">
        <f t="shared" si="10"/>
        <v>163480</v>
      </c>
      <c r="T185" s="73">
        <f t="shared" si="11"/>
        <v>0</v>
      </c>
      <c r="U185" s="73">
        <f t="shared" si="12"/>
        <v>163480</v>
      </c>
      <c r="V185" s="62">
        <v>163480</v>
      </c>
      <c r="W185" s="52">
        <f t="shared" si="9"/>
        <v>0</v>
      </c>
    </row>
    <row r="186" spans="1:25" ht="15.75" hidden="1" thickBot="1" x14ac:dyDescent="0.3">
      <c r="A186" s="20"/>
      <c r="B186" s="74" t="s">
        <v>34</v>
      </c>
      <c r="C186" s="75">
        <f t="shared" si="17"/>
        <v>39136</v>
      </c>
      <c r="D186" s="75">
        <v>39890</v>
      </c>
      <c r="E186" s="75">
        <f t="shared" si="13"/>
        <v>754</v>
      </c>
      <c r="F186" s="75">
        <v>146</v>
      </c>
      <c r="G186" s="76">
        <f t="shared" si="14"/>
        <v>110084</v>
      </c>
      <c r="H186" s="75">
        <f t="shared" si="18"/>
        <v>6736</v>
      </c>
      <c r="I186" s="75">
        <v>6771</v>
      </c>
      <c r="J186" s="75">
        <f t="shared" si="15"/>
        <v>35</v>
      </c>
      <c r="K186" s="75">
        <v>360</v>
      </c>
      <c r="L186" s="76">
        <f t="shared" si="16"/>
        <v>12600</v>
      </c>
      <c r="M186" s="76">
        <v>0</v>
      </c>
      <c r="N186" s="76"/>
      <c r="O186" s="76"/>
      <c r="P186" s="76">
        <v>0</v>
      </c>
      <c r="Q186" s="76">
        <v>15481</v>
      </c>
      <c r="R186" s="76"/>
      <c r="S186" s="76">
        <f>G186+L186+M186+N186+O186+P186+Q186+R186</f>
        <v>138165</v>
      </c>
      <c r="T186" s="77">
        <f>W185</f>
        <v>0</v>
      </c>
      <c r="U186" s="77">
        <f>S186+T186</f>
        <v>138165</v>
      </c>
      <c r="V186" s="23">
        <v>138165</v>
      </c>
      <c r="W186" s="24">
        <f>U186-V186</f>
        <v>0</v>
      </c>
    </row>
    <row r="187" spans="1:25" x14ac:dyDescent="0.25">
      <c r="A187">
        <v>2018</v>
      </c>
      <c r="B187" s="47" t="s">
        <v>35</v>
      </c>
      <c r="C187" s="48">
        <f t="shared" ref="C187:C198" si="19">D186</f>
        <v>39890</v>
      </c>
      <c r="D187" s="48">
        <v>40902</v>
      </c>
      <c r="E187" s="51">
        <f t="shared" ref="E187:E198" si="20">D187-C187</f>
        <v>1012</v>
      </c>
      <c r="F187" s="48">
        <v>146</v>
      </c>
      <c r="G187" s="71">
        <f t="shared" ref="G187:G198" si="21">F187*E187</f>
        <v>147752</v>
      </c>
      <c r="H187" s="48">
        <f t="shared" ref="H187:H198" si="22">I186</f>
        <v>6771</v>
      </c>
      <c r="I187" s="48">
        <v>6784</v>
      </c>
      <c r="J187" s="51">
        <f t="shared" ref="J187:J198" si="23">I187-H187</f>
        <v>13</v>
      </c>
      <c r="K187" s="48">
        <v>360</v>
      </c>
      <c r="L187" s="71">
        <f t="shared" ref="L187:L198" si="24">K187*J187</f>
        <v>4680</v>
      </c>
      <c r="M187" s="70">
        <v>0</v>
      </c>
      <c r="N187" s="70"/>
      <c r="O187" s="70">
        <v>4970</v>
      </c>
      <c r="P187" s="70">
        <v>0</v>
      </c>
      <c r="Q187" s="70">
        <v>15832</v>
      </c>
      <c r="R187" s="70"/>
      <c r="S187" s="70">
        <f t="shared" ref="S187:S192" si="25">G187+L187+M187+N187+O187+P187+Q187+R187</f>
        <v>173234</v>
      </c>
      <c r="T187" s="88">
        <f t="shared" ref="T187:T198" si="26">W186</f>
        <v>0</v>
      </c>
      <c r="U187" s="88">
        <f t="shared" ref="U187:U191" si="27">S187+T187</f>
        <v>173234</v>
      </c>
      <c r="V187" s="61">
        <v>173234</v>
      </c>
      <c r="W187" s="49">
        <f t="shared" ref="W187:W192" si="28">U187-V187</f>
        <v>0</v>
      </c>
    </row>
    <row r="188" spans="1:25" x14ac:dyDescent="0.25">
      <c r="B188" s="50" t="s">
        <v>24</v>
      </c>
      <c r="C188" s="51">
        <f t="shared" si="19"/>
        <v>40902</v>
      </c>
      <c r="D188" s="51">
        <v>41678</v>
      </c>
      <c r="E188" s="51">
        <f t="shared" si="20"/>
        <v>776</v>
      </c>
      <c r="F188" s="51">
        <v>146</v>
      </c>
      <c r="G188" s="71">
        <f t="shared" si="21"/>
        <v>113296</v>
      </c>
      <c r="H188" s="51">
        <f t="shared" si="22"/>
        <v>6784</v>
      </c>
      <c r="I188" s="51">
        <v>6802</v>
      </c>
      <c r="J188" s="51">
        <f t="shared" si="23"/>
        <v>18</v>
      </c>
      <c r="K188" s="51">
        <v>360</v>
      </c>
      <c r="L188" s="71">
        <f t="shared" si="24"/>
        <v>6480</v>
      </c>
      <c r="M188" s="71">
        <v>0</v>
      </c>
      <c r="N188" s="71"/>
      <c r="O188" s="71"/>
      <c r="P188" s="71">
        <v>0</v>
      </c>
      <c r="Q188" s="71">
        <v>15832</v>
      </c>
      <c r="R188" s="71"/>
      <c r="S188" s="71">
        <f t="shared" si="25"/>
        <v>135608</v>
      </c>
      <c r="T188" s="73">
        <f t="shared" si="26"/>
        <v>0</v>
      </c>
      <c r="U188" s="73">
        <f t="shared" si="27"/>
        <v>135608</v>
      </c>
      <c r="V188" s="62">
        <v>135608</v>
      </c>
      <c r="W188" s="52">
        <f t="shared" si="28"/>
        <v>0</v>
      </c>
    </row>
    <row r="189" spans="1:25" x14ac:dyDescent="0.25">
      <c r="B189" s="50" t="s">
        <v>25</v>
      </c>
      <c r="C189" s="51">
        <f t="shared" si="19"/>
        <v>41678</v>
      </c>
      <c r="D189" s="51">
        <v>42446</v>
      </c>
      <c r="E189" s="51">
        <f t="shared" si="20"/>
        <v>768</v>
      </c>
      <c r="F189" s="51">
        <v>146</v>
      </c>
      <c r="G189" s="71">
        <f t="shared" si="21"/>
        <v>112128</v>
      </c>
      <c r="H189" s="51">
        <f t="shared" si="22"/>
        <v>6802</v>
      </c>
      <c r="I189" s="51">
        <v>6805</v>
      </c>
      <c r="J189" s="51">
        <f t="shared" si="23"/>
        <v>3</v>
      </c>
      <c r="K189" s="51">
        <v>360</v>
      </c>
      <c r="L189" s="71">
        <f t="shared" si="24"/>
        <v>1080</v>
      </c>
      <c r="M189" s="71">
        <v>0</v>
      </c>
      <c r="N189" s="71"/>
      <c r="O189" s="71"/>
      <c r="P189" s="71">
        <v>0</v>
      </c>
      <c r="Q189" s="71">
        <v>15832</v>
      </c>
      <c r="R189" s="71"/>
      <c r="S189" s="71">
        <f t="shared" si="25"/>
        <v>129040</v>
      </c>
      <c r="T189" s="73">
        <f t="shared" si="26"/>
        <v>0</v>
      </c>
      <c r="U189" s="73">
        <f t="shared" si="27"/>
        <v>129040</v>
      </c>
      <c r="V189" s="62">
        <v>129040</v>
      </c>
      <c r="W189" s="52">
        <f t="shared" si="28"/>
        <v>0</v>
      </c>
    </row>
    <row r="190" spans="1:25" x14ac:dyDescent="0.25">
      <c r="B190" s="50" t="s">
        <v>26</v>
      </c>
      <c r="C190" s="51">
        <f t="shared" si="19"/>
        <v>42446</v>
      </c>
      <c r="D190" s="51">
        <v>43010</v>
      </c>
      <c r="E190" s="51">
        <f t="shared" si="20"/>
        <v>564</v>
      </c>
      <c r="F190" s="51">
        <v>146</v>
      </c>
      <c r="G190" s="71">
        <f t="shared" si="21"/>
        <v>82344</v>
      </c>
      <c r="H190" s="51">
        <f t="shared" si="22"/>
        <v>6805</v>
      </c>
      <c r="I190" s="51">
        <v>6808</v>
      </c>
      <c r="J190" s="51">
        <f t="shared" si="23"/>
        <v>3</v>
      </c>
      <c r="K190" s="51">
        <v>360</v>
      </c>
      <c r="L190" s="71">
        <f t="shared" si="24"/>
        <v>1080</v>
      </c>
      <c r="M190" s="71">
        <v>0</v>
      </c>
      <c r="N190" s="71"/>
      <c r="O190" s="71">
        <v>42500</v>
      </c>
      <c r="P190" s="71">
        <v>0</v>
      </c>
      <c r="Q190" s="71">
        <v>15832</v>
      </c>
      <c r="R190" s="71"/>
      <c r="S190" s="71">
        <f t="shared" si="25"/>
        <v>141756</v>
      </c>
      <c r="T190" s="73">
        <f t="shared" si="26"/>
        <v>0</v>
      </c>
      <c r="U190" s="73">
        <f t="shared" si="27"/>
        <v>141756</v>
      </c>
      <c r="V190" s="62">
        <v>141756</v>
      </c>
      <c r="W190" s="52">
        <f t="shared" si="28"/>
        <v>0</v>
      </c>
    </row>
    <row r="191" spans="1:25" x14ac:dyDescent="0.25">
      <c r="B191" s="50" t="s">
        <v>27</v>
      </c>
      <c r="C191" s="51">
        <f t="shared" si="19"/>
        <v>43010</v>
      </c>
      <c r="D191" s="51">
        <v>43649</v>
      </c>
      <c r="E191" s="51">
        <f t="shared" si="20"/>
        <v>639</v>
      </c>
      <c r="F191" s="51">
        <v>146</v>
      </c>
      <c r="G191" s="71">
        <f t="shared" si="21"/>
        <v>93294</v>
      </c>
      <c r="H191" s="51">
        <f t="shared" si="22"/>
        <v>6808</v>
      </c>
      <c r="I191" s="51">
        <v>6813</v>
      </c>
      <c r="J191" s="51">
        <f t="shared" si="23"/>
        <v>5</v>
      </c>
      <c r="K191" s="51">
        <v>360</v>
      </c>
      <c r="L191" s="71">
        <f t="shared" si="24"/>
        <v>1800</v>
      </c>
      <c r="M191" s="71">
        <v>0</v>
      </c>
      <c r="N191" s="71"/>
      <c r="O191" s="71"/>
      <c r="P191" s="71">
        <v>0</v>
      </c>
      <c r="Q191" s="71">
        <v>15832</v>
      </c>
      <c r="R191" s="71"/>
      <c r="S191" s="71">
        <f t="shared" si="25"/>
        <v>110926</v>
      </c>
      <c r="T191" s="73">
        <f t="shared" si="26"/>
        <v>0</v>
      </c>
      <c r="U191" s="73">
        <f t="shared" si="27"/>
        <v>110926</v>
      </c>
      <c r="V191" s="62"/>
      <c r="W191" s="52">
        <f t="shared" si="28"/>
        <v>110926</v>
      </c>
    </row>
    <row r="192" spans="1:25" x14ac:dyDescent="0.25">
      <c r="B192" s="50" t="s">
        <v>28</v>
      </c>
      <c r="C192" s="51">
        <f t="shared" si="19"/>
        <v>43649</v>
      </c>
      <c r="D192" s="51">
        <v>43953</v>
      </c>
      <c r="E192" s="51">
        <f t="shared" si="20"/>
        <v>304</v>
      </c>
      <c r="F192" s="51">
        <v>146</v>
      </c>
      <c r="G192" s="71">
        <f t="shared" si="21"/>
        <v>44384</v>
      </c>
      <c r="H192" s="51">
        <f t="shared" si="22"/>
        <v>6813</v>
      </c>
      <c r="I192" s="51">
        <v>6815</v>
      </c>
      <c r="J192" s="51">
        <f t="shared" si="23"/>
        <v>2</v>
      </c>
      <c r="K192" s="51">
        <v>360</v>
      </c>
      <c r="L192" s="71">
        <f t="shared" si="24"/>
        <v>720</v>
      </c>
      <c r="M192" s="71">
        <v>0</v>
      </c>
      <c r="N192" s="71"/>
      <c r="O192" s="71">
        <v>104167</v>
      </c>
      <c r="P192" s="71">
        <v>0</v>
      </c>
      <c r="Q192" s="71">
        <v>15832</v>
      </c>
      <c r="R192" s="71"/>
      <c r="S192" s="71">
        <f t="shared" si="25"/>
        <v>165103</v>
      </c>
      <c r="T192" s="73">
        <f t="shared" si="26"/>
        <v>110926</v>
      </c>
      <c r="U192" s="73">
        <f t="shared" ref="U192:U198" si="29">S192+T192</f>
        <v>276029</v>
      </c>
      <c r="V192" s="62">
        <v>276029</v>
      </c>
      <c r="W192" s="52">
        <f t="shared" si="28"/>
        <v>0</v>
      </c>
    </row>
    <row r="193" spans="1:23" x14ac:dyDescent="0.25">
      <c r="B193" s="50" t="s">
        <v>29</v>
      </c>
      <c r="C193" s="51">
        <f t="shared" si="19"/>
        <v>43953</v>
      </c>
      <c r="D193" s="51">
        <v>44187</v>
      </c>
      <c r="E193" s="51">
        <f t="shared" si="20"/>
        <v>234</v>
      </c>
      <c r="F193" s="51">
        <v>146</v>
      </c>
      <c r="G193" s="71">
        <f t="shared" si="21"/>
        <v>34164</v>
      </c>
      <c r="H193" s="51">
        <f t="shared" si="22"/>
        <v>6815</v>
      </c>
      <c r="I193" s="51">
        <v>6819</v>
      </c>
      <c r="J193" s="51">
        <f t="shared" si="23"/>
        <v>4</v>
      </c>
      <c r="K193" s="51">
        <v>360</v>
      </c>
      <c r="L193" s="71">
        <f t="shared" si="24"/>
        <v>1440</v>
      </c>
      <c r="M193" s="71">
        <v>0</v>
      </c>
      <c r="N193" s="71"/>
      <c r="O193" s="71">
        <v>33430</v>
      </c>
      <c r="P193" s="71">
        <v>0</v>
      </c>
      <c r="Q193" s="71">
        <v>15832</v>
      </c>
      <c r="R193" s="71"/>
      <c r="S193" s="71">
        <f t="shared" ref="S193:S198" si="30">G193+L193+M193+N193+O193+P193+Q193+R193</f>
        <v>84866</v>
      </c>
      <c r="T193" s="73">
        <f t="shared" si="26"/>
        <v>0</v>
      </c>
      <c r="U193" s="73">
        <f>S193+T193</f>
        <v>84866</v>
      </c>
      <c r="V193" s="62">
        <v>85000</v>
      </c>
      <c r="W193" s="52">
        <f t="shared" ref="W193:W198" si="31">U193-V193</f>
        <v>-134</v>
      </c>
    </row>
    <row r="194" spans="1:23" x14ac:dyDescent="0.25">
      <c r="B194" s="50" t="s">
        <v>30</v>
      </c>
      <c r="C194" s="51">
        <f t="shared" si="19"/>
        <v>44187</v>
      </c>
      <c r="D194" s="51">
        <v>44469</v>
      </c>
      <c r="E194" s="51">
        <f t="shared" si="20"/>
        <v>282</v>
      </c>
      <c r="F194" s="51">
        <v>146</v>
      </c>
      <c r="G194" s="71">
        <f t="shared" si="21"/>
        <v>41172</v>
      </c>
      <c r="H194" s="51">
        <f t="shared" si="22"/>
        <v>6819</v>
      </c>
      <c r="I194" s="51">
        <v>6824</v>
      </c>
      <c r="J194" s="51">
        <f t="shared" si="23"/>
        <v>5</v>
      </c>
      <c r="K194" s="51">
        <v>360</v>
      </c>
      <c r="L194" s="71">
        <f t="shared" si="24"/>
        <v>1800</v>
      </c>
      <c r="M194" s="71">
        <v>0</v>
      </c>
      <c r="N194" s="71"/>
      <c r="O194" s="71"/>
      <c r="P194" s="71">
        <v>0</v>
      </c>
      <c r="Q194" s="71">
        <v>15832</v>
      </c>
      <c r="R194" s="71"/>
      <c r="S194" s="71">
        <f t="shared" si="30"/>
        <v>58804</v>
      </c>
      <c r="T194" s="73">
        <f t="shared" si="26"/>
        <v>-134</v>
      </c>
      <c r="U194" s="73">
        <f t="shared" si="29"/>
        <v>58670</v>
      </c>
      <c r="V194" s="62">
        <v>58670</v>
      </c>
      <c r="W194" s="52">
        <f t="shared" si="31"/>
        <v>0</v>
      </c>
    </row>
    <row r="195" spans="1:23" x14ac:dyDescent="0.25">
      <c r="B195" s="50" t="s">
        <v>31</v>
      </c>
      <c r="C195" s="51">
        <f t="shared" si="19"/>
        <v>44469</v>
      </c>
      <c r="D195" s="51">
        <v>44782</v>
      </c>
      <c r="E195" s="51">
        <f t="shared" si="20"/>
        <v>313</v>
      </c>
      <c r="F195" s="51">
        <v>146</v>
      </c>
      <c r="G195" s="71">
        <f t="shared" si="21"/>
        <v>45698</v>
      </c>
      <c r="H195" s="51">
        <f t="shared" si="22"/>
        <v>6824</v>
      </c>
      <c r="I195" s="51">
        <v>6831</v>
      </c>
      <c r="J195" s="51">
        <f t="shared" si="23"/>
        <v>7</v>
      </c>
      <c r="K195" s="51">
        <v>360</v>
      </c>
      <c r="L195" s="71">
        <f t="shared" si="24"/>
        <v>2520</v>
      </c>
      <c r="M195" s="71">
        <v>0</v>
      </c>
      <c r="N195" s="71"/>
      <c r="O195" s="71"/>
      <c r="P195" s="71">
        <v>0</v>
      </c>
      <c r="Q195" s="71">
        <v>15832</v>
      </c>
      <c r="R195" s="71"/>
      <c r="S195" s="71">
        <f t="shared" si="30"/>
        <v>64050</v>
      </c>
      <c r="T195" s="73">
        <f t="shared" si="26"/>
        <v>0</v>
      </c>
      <c r="U195" s="73">
        <f t="shared" si="29"/>
        <v>64050</v>
      </c>
      <c r="V195" s="62">
        <v>64050</v>
      </c>
      <c r="W195" s="52">
        <f t="shared" si="31"/>
        <v>0</v>
      </c>
    </row>
    <row r="196" spans="1:23" x14ac:dyDescent="0.25">
      <c r="B196" s="50" t="s">
        <v>32</v>
      </c>
      <c r="C196" s="51">
        <f t="shared" si="19"/>
        <v>44782</v>
      </c>
      <c r="D196" s="51">
        <v>45313</v>
      </c>
      <c r="E196" s="51">
        <f t="shared" si="20"/>
        <v>531</v>
      </c>
      <c r="F196" s="51">
        <v>146</v>
      </c>
      <c r="G196" s="71">
        <f t="shared" si="21"/>
        <v>77526</v>
      </c>
      <c r="H196" s="51">
        <f t="shared" si="22"/>
        <v>6831</v>
      </c>
      <c r="I196" s="51">
        <v>6837</v>
      </c>
      <c r="J196" s="51">
        <f t="shared" si="23"/>
        <v>6</v>
      </c>
      <c r="K196" s="51">
        <v>1230</v>
      </c>
      <c r="L196" s="71">
        <f t="shared" si="24"/>
        <v>7380</v>
      </c>
      <c r="M196" s="71">
        <v>0</v>
      </c>
      <c r="N196" s="71"/>
      <c r="O196" s="71"/>
      <c r="P196" s="71">
        <v>0</v>
      </c>
      <c r="Q196" s="71">
        <v>15832</v>
      </c>
      <c r="R196" s="71"/>
      <c r="S196" s="71">
        <f t="shared" si="30"/>
        <v>100738</v>
      </c>
      <c r="T196" s="73">
        <f t="shared" si="26"/>
        <v>0</v>
      </c>
      <c r="U196" s="73">
        <f t="shared" si="29"/>
        <v>100738</v>
      </c>
      <c r="V196" s="62">
        <v>100738</v>
      </c>
      <c r="W196" s="52">
        <f t="shared" si="31"/>
        <v>0</v>
      </c>
    </row>
    <row r="197" spans="1:23" x14ac:dyDescent="0.25">
      <c r="B197" s="50" t="s">
        <v>33</v>
      </c>
      <c r="C197" s="51">
        <f t="shared" si="19"/>
        <v>45313</v>
      </c>
      <c r="D197" s="51">
        <v>45798</v>
      </c>
      <c r="E197" s="51">
        <f t="shared" si="20"/>
        <v>485</v>
      </c>
      <c r="F197" s="51">
        <v>146</v>
      </c>
      <c r="G197" s="71">
        <f t="shared" si="21"/>
        <v>70810</v>
      </c>
      <c r="H197" s="51">
        <f t="shared" si="22"/>
        <v>6837</v>
      </c>
      <c r="I197" s="51">
        <v>6841</v>
      </c>
      <c r="J197" s="51">
        <f t="shared" si="23"/>
        <v>4</v>
      </c>
      <c r="K197" s="51">
        <v>1230</v>
      </c>
      <c r="L197" s="71">
        <f t="shared" si="24"/>
        <v>4920</v>
      </c>
      <c r="M197" s="71">
        <v>0</v>
      </c>
      <c r="N197" s="71"/>
      <c r="O197" s="71"/>
      <c r="P197" s="71">
        <v>0</v>
      </c>
      <c r="Q197" s="71"/>
      <c r="R197" s="71"/>
      <c r="S197" s="71">
        <f t="shared" si="30"/>
        <v>75730</v>
      </c>
      <c r="T197" s="73">
        <f t="shared" si="26"/>
        <v>0</v>
      </c>
      <c r="U197" s="73">
        <f t="shared" si="29"/>
        <v>75730</v>
      </c>
      <c r="V197" s="62">
        <v>75730</v>
      </c>
      <c r="W197" s="52">
        <f t="shared" si="31"/>
        <v>0</v>
      </c>
    </row>
    <row r="198" spans="1:23" ht="15.75" thickBot="1" x14ac:dyDescent="0.3">
      <c r="B198" s="74" t="s">
        <v>34</v>
      </c>
      <c r="C198" s="75">
        <f t="shared" si="19"/>
        <v>45798</v>
      </c>
      <c r="D198" s="75">
        <v>46403</v>
      </c>
      <c r="E198" s="75">
        <f t="shared" si="20"/>
        <v>605</v>
      </c>
      <c r="F198" s="75">
        <v>146</v>
      </c>
      <c r="G198" s="76">
        <f t="shared" si="21"/>
        <v>88330</v>
      </c>
      <c r="H198" s="75">
        <f t="shared" si="22"/>
        <v>6841</v>
      </c>
      <c r="I198" s="75">
        <v>6846</v>
      </c>
      <c r="J198" s="75">
        <f t="shared" si="23"/>
        <v>5</v>
      </c>
      <c r="K198" s="75">
        <v>1230</v>
      </c>
      <c r="L198" s="76">
        <f t="shared" si="24"/>
        <v>6150</v>
      </c>
      <c r="M198" s="76">
        <v>0</v>
      </c>
      <c r="N198" s="76"/>
      <c r="O198" s="76"/>
      <c r="P198" s="76">
        <v>0</v>
      </c>
      <c r="Q198" s="76"/>
      <c r="R198" s="76"/>
      <c r="S198" s="76">
        <f t="shared" si="30"/>
        <v>94480</v>
      </c>
      <c r="T198" s="77">
        <f t="shared" si="26"/>
        <v>0</v>
      </c>
      <c r="U198" s="77">
        <f t="shared" si="29"/>
        <v>94480</v>
      </c>
      <c r="V198" s="23">
        <v>94480</v>
      </c>
      <c r="W198" s="24">
        <f t="shared" si="31"/>
        <v>0</v>
      </c>
    </row>
    <row r="199" spans="1:23" x14ac:dyDescent="0.25">
      <c r="A199">
        <v>2019</v>
      </c>
      <c r="B199" s="47" t="s">
        <v>35</v>
      </c>
      <c r="C199" s="48">
        <f t="shared" ref="C199:C210" si="32">D198</f>
        <v>46403</v>
      </c>
      <c r="D199" s="48">
        <v>47151</v>
      </c>
      <c r="E199" s="51">
        <f t="shared" ref="E199:E210" si="33">D199-C199</f>
        <v>748</v>
      </c>
      <c r="F199" s="48">
        <v>150</v>
      </c>
      <c r="G199" s="71">
        <f t="shared" ref="G199:G210" si="34">F199*E199</f>
        <v>112200</v>
      </c>
      <c r="H199" s="48">
        <f t="shared" ref="H199:H210" si="35">I198</f>
        <v>6846</v>
      </c>
      <c r="I199" s="48">
        <v>6849</v>
      </c>
      <c r="J199" s="51">
        <f t="shared" ref="J199:J210" si="36">I199-H199</f>
        <v>3</v>
      </c>
      <c r="K199" s="48">
        <v>1230</v>
      </c>
      <c r="L199" s="71">
        <f t="shared" ref="L199:L210" si="37">K199*J199</f>
        <v>3690</v>
      </c>
      <c r="M199" s="70">
        <v>0</v>
      </c>
      <c r="N199" s="70"/>
      <c r="O199" s="70"/>
      <c r="P199" s="70">
        <v>0</v>
      </c>
      <c r="Q199" s="70"/>
      <c r="R199" s="70"/>
      <c r="S199" s="70">
        <f t="shared" ref="S199:S210" si="38">G199+L199+M199+N199+O199+P199+Q199+R199</f>
        <v>115890</v>
      </c>
      <c r="T199" s="88">
        <f t="shared" ref="T199:T210" si="39">W198</f>
        <v>0</v>
      </c>
      <c r="U199" s="88">
        <f t="shared" ref="U199:U210" si="40">S199+T199</f>
        <v>115890</v>
      </c>
      <c r="V199" s="61">
        <v>115890</v>
      </c>
      <c r="W199" s="49">
        <f t="shared" ref="W199:W210" si="41">U199-V199</f>
        <v>0</v>
      </c>
    </row>
    <row r="200" spans="1:23" x14ac:dyDescent="0.25">
      <c r="B200" s="50" t="s">
        <v>24</v>
      </c>
      <c r="C200" s="51">
        <f t="shared" si="32"/>
        <v>47151</v>
      </c>
      <c r="D200" s="51">
        <v>47927</v>
      </c>
      <c r="E200" s="51">
        <f t="shared" si="33"/>
        <v>776</v>
      </c>
      <c r="F200" s="51">
        <v>150</v>
      </c>
      <c r="G200" s="71">
        <f>F200*E200</f>
        <v>116400</v>
      </c>
      <c r="H200" s="51">
        <f t="shared" si="35"/>
        <v>6849</v>
      </c>
      <c r="I200" s="51"/>
      <c r="J200" s="51"/>
      <c r="K200" s="51">
        <v>1230</v>
      </c>
      <c r="L200" s="71">
        <f t="shared" si="37"/>
        <v>0</v>
      </c>
      <c r="M200" s="71">
        <v>0</v>
      </c>
      <c r="N200" s="71"/>
      <c r="O200" s="71"/>
      <c r="P200" s="71">
        <v>0</v>
      </c>
      <c r="Q200" s="71"/>
      <c r="R200" s="71"/>
      <c r="S200" s="71">
        <f t="shared" si="38"/>
        <v>116400</v>
      </c>
      <c r="T200" s="73">
        <f t="shared" si="39"/>
        <v>0</v>
      </c>
      <c r="U200" s="73">
        <f t="shared" si="40"/>
        <v>116400</v>
      </c>
      <c r="V200" s="62">
        <v>116400</v>
      </c>
      <c r="W200" s="52">
        <f t="shared" si="41"/>
        <v>0</v>
      </c>
    </row>
    <row r="201" spans="1:23" x14ac:dyDescent="0.25">
      <c r="B201" s="150" t="s">
        <v>25</v>
      </c>
      <c r="C201" s="151">
        <f t="shared" si="32"/>
        <v>47927</v>
      </c>
      <c r="D201" s="151">
        <v>48625</v>
      </c>
      <c r="E201" s="151">
        <f t="shared" si="33"/>
        <v>698</v>
      </c>
      <c r="F201" s="151">
        <v>150</v>
      </c>
      <c r="G201" s="152">
        <f t="shared" si="34"/>
        <v>104700</v>
      </c>
      <c r="H201" s="151">
        <f t="shared" si="35"/>
        <v>0</v>
      </c>
      <c r="I201" s="151"/>
      <c r="J201" s="151">
        <f t="shared" si="36"/>
        <v>0</v>
      </c>
      <c r="K201" s="151">
        <v>1230</v>
      </c>
      <c r="L201" s="152">
        <f t="shared" si="37"/>
        <v>0</v>
      </c>
      <c r="M201" s="152">
        <v>0</v>
      </c>
      <c r="N201" s="152"/>
      <c r="O201" s="152"/>
      <c r="P201" s="152">
        <v>0</v>
      </c>
      <c r="Q201" s="152"/>
      <c r="R201" s="152"/>
      <c r="S201" s="152">
        <f t="shared" si="38"/>
        <v>104700</v>
      </c>
      <c r="T201" s="154">
        <f t="shared" si="39"/>
        <v>0</v>
      </c>
      <c r="U201" s="154">
        <f t="shared" si="40"/>
        <v>104700</v>
      </c>
      <c r="V201" s="156">
        <v>104700</v>
      </c>
      <c r="W201" s="155">
        <f t="shared" si="41"/>
        <v>0</v>
      </c>
    </row>
    <row r="202" spans="1:23" ht="15.75" thickBot="1" x14ac:dyDescent="0.3">
      <c r="B202" s="143" t="s">
        <v>26</v>
      </c>
      <c r="C202" s="144">
        <f t="shared" si="32"/>
        <v>48625</v>
      </c>
      <c r="D202" s="144">
        <v>49006</v>
      </c>
      <c r="E202" s="144">
        <f t="shared" si="33"/>
        <v>381</v>
      </c>
      <c r="F202" s="144">
        <v>150</v>
      </c>
      <c r="G202" s="145">
        <f t="shared" si="34"/>
        <v>57150</v>
      </c>
      <c r="H202" s="144">
        <f t="shared" si="35"/>
        <v>0</v>
      </c>
      <c r="I202" s="144"/>
      <c r="J202" s="144">
        <f t="shared" si="36"/>
        <v>0</v>
      </c>
      <c r="K202" s="144">
        <v>1230</v>
      </c>
      <c r="L202" s="145">
        <f t="shared" si="37"/>
        <v>0</v>
      </c>
      <c r="M202" s="145">
        <v>0</v>
      </c>
      <c r="N202" s="145"/>
      <c r="O202" s="145"/>
      <c r="P202" s="145">
        <v>0</v>
      </c>
      <c r="Q202" s="145"/>
      <c r="R202" s="145"/>
      <c r="S202" s="145">
        <f t="shared" si="38"/>
        <v>57150</v>
      </c>
      <c r="T202" s="147">
        <f t="shared" si="39"/>
        <v>0</v>
      </c>
      <c r="U202" s="147">
        <f t="shared" si="40"/>
        <v>57150</v>
      </c>
      <c r="V202" s="149">
        <v>57150</v>
      </c>
      <c r="W202" s="148">
        <f t="shared" si="41"/>
        <v>0</v>
      </c>
    </row>
    <row r="203" spans="1:23" ht="15.75" thickBot="1" x14ac:dyDescent="0.3">
      <c r="B203" s="41" t="s">
        <v>27</v>
      </c>
      <c r="C203" s="42">
        <f t="shared" si="32"/>
        <v>49006</v>
      </c>
      <c r="D203" s="42">
        <v>49541</v>
      </c>
      <c r="E203" s="44">
        <f t="shared" si="33"/>
        <v>535</v>
      </c>
      <c r="F203" s="42">
        <v>150</v>
      </c>
      <c r="G203" s="69">
        <f t="shared" si="34"/>
        <v>80250</v>
      </c>
      <c r="H203" s="42">
        <f t="shared" si="35"/>
        <v>0</v>
      </c>
      <c r="I203" s="42"/>
      <c r="J203" s="44">
        <f t="shared" si="36"/>
        <v>0</v>
      </c>
      <c r="K203" s="42">
        <v>1230</v>
      </c>
      <c r="L203" s="69">
        <f t="shared" si="37"/>
        <v>0</v>
      </c>
      <c r="M203" s="67">
        <v>0</v>
      </c>
      <c r="N203" s="67"/>
      <c r="O203" s="67"/>
      <c r="P203" s="67">
        <v>0</v>
      </c>
      <c r="Q203" s="67"/>
      <c r="R203" s="67"/>
      <c r="S203" s="67">
        <f t="shared" si="38"/>
        <v>80250</v>
      </c>
      <c r="T203" s="68">
        <f t="shared" si="39"/>
        <v>0</v>
      </c>
      <c r="U203" s="68">
        <f t="shared" si="40"/>
        <v>80250</v>
      </c>
      <c r="V203" s="63"/>
      <c r="W203" s="43">
        <f t="shared" si="41"/>
        <v>80250</v>
      </c>
    </row>
    <row r="204" spans="1:23" ht="15.75" hidden="1" thickBot="1" x14ac:dyDescent="0.3">
      <c r="B204" s="41" t="s">
        <v>28</v>
      </c>
      <c r="C204" s="42">
        <f t="shared" si="32"/>
        <v>49541</v>
      </c>
      <c r="D204" s="42"/>
      <c r="E204" s="44">
        <f t="shared" si="33"/>
        <v>-49541</v>
      </c>
      <c r="F204" s="42">
        <v>150</v>
      </c>
      <c r="G204" s="69">
        <f t="shared" si="34"/>
        <v>-7431150</v>
      </c>
      <c r="H204" s="42">
        <f t="shared" si="35"/>
        <v>0</v>
      </c>
      <c r="I204" s="42"/>
      <c r="J204" s="44">
        <f t="shared" si="36"/>
        <v>0</v>
      </c>
      <c r="K204" s="42">
        <v>1230</v>
      </c>
      <c r="L204" s="69">
        <f t="shared" si="37"/>
        <v>0</v>
      </c>
      <c r="M204" s="67">
        <v>0</v>
      </c>
      <c r="N204" s="67"/>
      <c r="O204" s="67"/>
      <c r="P204" s="67">
        <v>0</v>
      </c>
      <c r="Q204" s="67"/>
      <c r="R204" s="67"/>
      <c r="S204" s="67">
        <f t="shared" si="38"/>
        <v>-7431150</v>
      </c>
      <c r="T204" s="68">
        <f t="shared" si="39"/>
        <v>80250</v>
      </c>
      <c r="U204" s="68">
        <f t="shared" si="40"/>
        <v>-7350900</v>
      </c>
      <c r="V204" s="63"/>
      <c r="W204" s="43">
        <f t="shared" si="41"/>
        <v>-7350900</v>
      </c>
    </row>
    <row r="205" spans="1:23" ht="15.75" hidden="1" thickBot="1" x14ac:dyDescent="0.3">
      <c r="B205" s="41" t="s">
        <v>29</v>
      </c>
      <c r="C205" s="42">
        <f t="shared" si="32"/>
        <v>0</v>
      </c>
      <c r="D205" s="42"/>
      <c r="E205" s="44">
        <f t="shared" si="33"/>
        <v>0</v>
      </c>
      <c r="F205" s="42">
        <v>150</v>
      </c>
      <c r="G205" s="69">
        <f t="shared" si="34"/>
        <v>0</v>
      </c>
      <c r="H205" s="42">
        <f t="shared" si="35"/>
        <v>0</v>
      </c>
      <c r="I205" s="42"/>
      <c r="J205" s="44">
        <f t="shared" si="36"/>
        <v>0</v>
      </c>
      <c r="K205" s="42">
        <v>1230</v>
      </c>
      <c r="L205" s="69">
        <f t="shared" si="37"/>
        <v>0</v>
      </c>
      <c r="M205" s="67">
        <v>0</v>
      </c>
      <c r="N205" s="67"/>
      <c r="O205" s="67"/>
      <c r="P205" s="67">
        <v>0</v>
      </c>
      <c r="Q205" s="67"/>
      <c r="R205" s="67"/>
      <c r="S205" s="67">
        <f t="shared" si="38"/>
        <v>0</v>
      </c>
      <c r="T205" s="68">
        <f t="shared" si="39"/>
        <v>-7350900</v>
      </c>
      <c r="U205" s="68">
        <f t="shared" si="40"/>
        <v>-7350900</v>
      </c>
      <c r="V205" s="63"/>
      <c r="W205" s="43">
        <f t="shared" si="41"/>
        <v>-7350900</v>
      </c>
    </row>
    <row r="206" spans="1:23" ht="15.75" hidden="1" thickBot="1" x14ac:dyDescent="0.3">
      <c r="B206" s="41" t="s">
        <v>30</v>
      </c>
      <c r="C206" s="42">
        <f t="shared" si="32"/>
        <v>0</v>
      </c>
      <c r="D206" s="42"/>
      <c r="E206" s="44">
        <f t="shared" si="33"/>
        <v>0</v>
      </c>
      <c r="F206" s="42">
        <v>150</v>
      </c>
      <c r="G206" s="69">
        <f t="shared" si="34"/>
        <v>0</v>
      </c>
      <c r="H206" s="42">
        <f t="shared" si="35"/>
        <v>0</v>
      </c>
      <c r="I206" s="42"/>
      <c r="J206" s="44">
        <f t="shared" si="36"/>
        <v>0</v>
      </c>
      <c r="K206" s="42">
        <v>1230</v>
      </c>
      <c r="L206" s="69">
        <f t="shared" si="37"/>
        <v>0</v>
      </c>
      <c r="M206" s="67">
        <v>0</v>
      </c>
      <c r="N206" s="67"/>
      <c r="O206" s="67"/>
      <c r="P206" s="67">
        <v>0</v>
      </c>
      <c r="Q206" s="67"/>
      <c r="R206" s="67"/>
      <c r="S206" s="67">
        <f t="shared" si="38"/>
        <v>0</v>
      </c>
      <c r="T206" s="68">
        <f t="shared" si="39"/>
        <v>-7350900</v>
      </c>
      <c r="U206" s="68">
        <f t="shared" si="40"/>
        <v>-7350900</v>
      </c>
      <c r="V206" s="63"/>
      <c r="W206" s="43">
        <f t="shared" si="41"/>
        <v>-7350900</v>
      </c>
    </row>
    <row r="207" spans="1:23" ht="15.75" hidden="1" thickBot="1" x14ac:dyDescent="0.3">
      <c r="B207" s="41" t="s">
        <v>31</v>
      </c>
      <c r="C207" s="42">
        <f t="shared" si="32"/>
        <v>0</v>
      </c>
      <c r="D207" s="42"/>
      <c r="E207" s="44">
        <f t="shared" si="33"/>
        <v>0</v>
      </c>
      <c r="F207" s="42">
        <v>150</v>
      </c>
      <c r="G207" s="69">
        <f t="shared" si="34"/>
        <v>0</v>
      </c>
      <c r="H207" s="42">
        <f t="shared" si="35"/>
        <v>0</v>
      </c>
      <c r="I207" s="42"/>
      <c r="J207" s="44">
        <f t="shared" si="36"/>
        <v>0</v>
      </c>
      <c r="K207" s="42">
        <v>1230</v>
      </c>
      <c r="L207" s="69">
        <f t="shared" si="37"/>
        <v>0</v>
      </c>
      <c r="M207" s="67">
        <v>0</v>
      </c>
      <c r="N207" s="67"/>
      <c r="O207" s="67"/>
      <c r="P207" s="67">
        <v>0</v>
      </c>
      <c r="Q207" s="67"/>
      <c r="R207" s="67"/>
      <c r="S207" s="67">
        <f t="shared" si="38"/>
        <v>0</v>
      </c>
      <c r="T207" s="68">
        <f t="shared" si="39"/>
        <v>-7350900</v>
      </c>
      <c r="U207" s="68">
        <f t="shared" si="40"/>
        <v>-7350900</v>
      </c>
      <c r="V207" s="63"/>
      <c r="W207" s="43">
        <f t="shared" si="41"/>
        <v>-7350900</v>
      </c>
    </row>
    <row r="208" spans="1:23" ht="15.75" hidden="1" thickBot="1" x14ac:dyDescent="0.3">
      <c r="B208" s="41" t="s">
        <v>32</v>
      </c>
      <c r="C208" s="42">
        <f t="shared" si="32"/>
        <v>0</v>
      </c>
      <c r="D208" s="42"/>
      <c r="E208" s="44">
        <f t="shared" si="33"/>
        <v>0</v>
      </c>
      <c r="F208" s="42">
        <v>150</v>
      </c>
      <c r="G208" s="69">
        <f t="shared" si="34"/>
        <v>0</v>
      </c>
      <c r="H208" s="42">
        <f t="shared" si="35"/>
        <v>0</v>
      </c>
      <c r="I208" s="42"/>
      <c r="J208" s="44">
        <f t="shared" si="36"/>
        <v>0</v>
      </c>
      <c r="K208" s="42">
        <v>1230</v>
      </c>
      <c r="L208" s="69">
        <f t="shared" si="37"/>
        <v>0</v>
      </c>
      <c r="M208" s="67">
        <v>0</v>
      </c>
      <c r="N208" s="67"/>
      <c r="O208" s="67"/>
      <c r="P208" s="67">
        <v>0</v>
      </c>
      <c r="Q208" s="67"/>
      <c r="R208" s="67"/>
      <c r="S208" s="67">
        <f t="shared" si="38"/>
        <v>0</v>
      </c>
      <c r="T208" s="68">
        <f t="shared" si="39"/>
        <v>-7350900</v>
      </c>
      <c r="U208" s="68">
        <f t="shared" si="40"/>
        <v>-7350900</v>
      </c>
      <c r="V208" s="63"/>
      <c r="W208" s="43">
        <f t="shared" si="41"/>
        <v>-7350900</v>
      </c>
    </row>
    <row r="209" spans="2:23" ht="15.75" hidden="1" thickBot="1" x14ac:dyDescent="0.3">
      <c r="B209" s="41" t="s">
        <v>33</v>
      </c>
      <c r="C209" s="42">
        <f t="shared" si="32"/>
        <v>0</v>
      </c>
      <c r="D209" s="42"/>
      <c r="E209" s="44">
        <f t="shared" si="33"/>
        <v>0</v>
      </c>
      <c r="F209" s="42">
        <v>150</v>
      </c>
      <c r="G209" s="69">
        <f t="shared" si="34"/>
        <v>0</v>
      </c>
      <c r="H209" s="42">
        <f t="shared" si="35"/>
        <v>0</v>
      </c>
      <c r="I209" s="42"/>
      <c r="J209" s="44">
        <f t="shared" si="36"/>
        <v>0</v>
      </c>
      <c r="K209" s="42">
        <v>1230</v>
      </c>
      <c r="L209" s="69">
        <f t="shared" si="37"/>
        <v>0</v>
      </c>
      <c r="M209" s="67">
        <v>0</v>
      </c>
      <c r="N209" s="67"/>
      <c r="O209" s="67"/>
      <c r="P209" s="67">
        <v>0</v>
      </c>
      <c r="Q209" s="67"/>
      <c r="R209" s="67"/>
      <c r="S209" s="67">
        <f t="shared" si="38"/>
        <v>0</v>
      </c>
      <c r="T209" s="68">
        <f t="shared" si="39"/>
        <v>-7350900</v>
      </c>
      <c r="U209" s="68">
        <f t="shared" si="40"/>
        <v>-7350900</v>
      </c>
      <c r="V209" s="63"/>
      <c r="W209" s="43">
        <f t="shared" si="41"/>
        <v>-7350900</v>
      </c>
    </row>
    <row r="210" spans="2:23" ht="15.75" hidden="1" thickBot="1" x14ac:dyDescent="0.3">
      <c r="B210" s="41" t="s">
        <v>34</v>
      </c>
      <c r="C210" s="42">
        <f t="shared" si="32"/>
        <v>0</v>
      </c>
      <c r="D210" s="42"/>
      <c r="E210" s="44">
        <f t="shared" si="33"/>
        <v>0</v>
      </c>
      <c r="F210" s="42">
        <v>150</v>
      </c>
      <c r="G210" s="69">
        <f t="shared" si="34"/>
        <v>0</v>
      </c>
      <c r="H210" s="42">
        <f t="shared" si="35"/>
        <v>0</v>
      </c>
      <c r="I210" s="42"/>
      <c r="J210" s="44">
        <f t="shared" si="36"/>
        <v>0</v>
      </c>
      <c r="K210" s="42">
        <v>1230</v>
      </c>
      <c r="L210" s="69">
        <f t="shared" si="37"/>
        <v>0</v>
      </c>
      <c r="M210" s="67">
        <v>0</v>
      </c>
      <c r="N210" s="67"/>
      <c r="O210" s="67"/>
      <c r="P210" s="67">
        <v>0</v>
      </c>
      <c r="Q210" s="67"/>
      <c r="R210" s="67"/>
      <c r="S210" s="67">
        <f t="shared" si="38"/>
        <v>0</v>
      </c>
      <c r="T210" s="68">
        <f t="shared" si="39"/>
        <v>-7350900</v>
      </c>
      <c r="U210" s="68">
        <f t="shared" si="40"/>
        <v>-7350900</v>
      </c>
      <c r="V210" s="63"/>
      <c r="W210" s="43">
        <f t="shared" si="41"/>
        <v>-7350900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210">
    <cfRule type="cellIs" dxfId="9" priority="2" operator="greaterThan">
      <formula>100</formula>
    </cfRule>
  </conditionalFormatting>
  <conditionalFormatting sqref="V7:V192">
    <cfRule type="cellIs" dxfId="8" priority="1" operator="lessThan">
      <formula>1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Y210"/>
  <sheetViews>
    <sheetView topLeftCell="A4" zoomScaleNormal="100" workbookViewId="0">
      <selection activeCell="AC213" sqref="AC213"/>
    </sheetView>
  </sheetViews>
  <sheetFormatPr baseColWidth="10" defaultRowHeight="15" x14ac:dyDescent="0.25"/>
  <cols>
    <col min="5" max="5" width="8.140625" customWidth="1"/>
    <col min="6" max="6" width="9" customWidth="1"/>
    <col min="7" max="7" width="11.5703125" customWidth="1"/>
    <col min="8" max="8" width="10" hidden="1" customWidth="1"/>
    <col min="9" max="9" width="9.28515625" hidden="1" customWidth="1"/>
    <col min="10" max="10" width="7" hidden="1" customWidth="1"/>
    <col min="11" max="11" width="6.7109375" hidden="1" customWidth="1"/>
    <col min="12" max="12" width="9.5703125" hidden="1" customWidth="1"/>
    <col min="13" max="14" width="11.42578125" hidden="1" customWidth="1"/>
    <col min="15" max="15" width="10.140625" hidden="1" customWidth="1"/>
    <col min="16" max="16" width="14.28515625" hidden="1" customWidth="1"/>
    <col min="17" max="17" width="11" hidden="1" customWidth="1"/>
    <col min="18" max="18" width="6.85546875" hidden="1" customWidth="1"/>
    <col min="19" max="19" width="12.5703125" customWidth="1"/>
    <col min="20" max="20" width="9.85546875" customWidth="1"/>
    <col min="21" max="21" width="14.42578125" bestFit="1" customWidth="1"/>
    <col min="22" max="22" width="11.85546875" bestFit="1" customWidth="1"/>
    <col min="23" max="23" width="11.7109375" customWidth="1"/>
    <col min="25" max="25" width="0" hidden="1" customWidth="1"/>
  </cols>
  <sheetData>
    <row r="1" spans="1:25" x14ac:dyDescent="0.25">
      <c r="B1" s="169" t="s">
        <v>37</v>
      </c>
      <c r="C1" s="169"/>
      <c r="D1" s="170">
        <v>5</v>
      </c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37" t="s">
        <v>50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37" t="s">
        <v>55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/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 t="s">
        <v>10</v>
      </c>
      <c r="Q5" s="9" t="s">
        <v>61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60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f t="shared" ref="T27:T90" si="1">W26</f>
        <v>0</v>
      </c>
      <c r="U27" s="25">
        <f t="shared" ref="U27:U90" si="2">S27+T27</f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f t="shared" si="1"/>
        <v>0</v>
      </c>
      <c r="U28" s="25">
        <f t="shared" si="2"/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f t="shared" si="1"/>
        <v>0</v>
      </c>
      <c r="U29" s="25">
        <f t="shared" si="2"/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f t="shared" si="1"/>
        <v>0</v>
      </c>
      <c r="U30" s="25">
        <f t="shared" si="2"/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f t="shared" si="1"/>
        <v>0</v>
      </c>
      <c r="U31" s="25">
        <f t="shared" si="2"/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f t="shared" si="1"/>
        <v>0</v>
      </c>
      <c r="U32" s="25">
        <f t="shared" si="2"/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f t="shared" si="1"/>
        <v>0</v>
      </c>
      <c r="U33" s="25">
        <f t="shared" si="2"/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f t="shared" si="1"/>
        <v>0</v>
      </c>
      <c r="U34" s="25">
        <f t="shared" si="2"/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f t="shared" si="1"/>
        <v>0</v>
      </c>
      <c r="U35" s="25">
        <f t="shared" si="2"/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f t="shared" si="1"/>
        <v>0</v>
      </c>
      <c r="U36" s="25">
        <f t="shared" si="2"/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f t="shared" si="1"/>
        <v>0</v>
      </c>
      <c r="U37" s="25">
        <f t="shared" si="2"/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f t="shared" si="1"/>
        <v>0</v>
      </c>
      <c r="U38" s="25">
        <f t="shared" si="2"/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f t="shared" si="1"/>
        <v>0</v>
      </c>
      <c r="U39" s="25">
        <f t="shared" si="2"/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f t="shared" si="1"/>
        <v>0</v>
      </c>
      <c r="U40" s="25">
        <f t="shared" si="2"/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f t="shared" si="1"/>
        <v>0</v>
      </c>
      <c r="U41" s="25">
        <f t="shared" si="2"/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f t="shared" si="1"/>
        <v>0</v>
      </c>
      <c r="U42" s="25">
        <f t="shared" si="2"/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f t="shared" si="1"/>
        <v>0</v>
      </c>
      <c r="U43" s="25">
        <f t="shared" si="2"/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f t="shared" si="1"/>
        <v>0</v>
      </c>
      <c r="U44" s="25">
        <f t="shared" si="2"/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f t="shared" si="1"/>
        <v>0</v>
      </c>
      <c r="U45" s="25">
        <f t="shared" si="2"/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f t="shared" si="1"/>
        <v>0</v>
      </c>
      <c r="U46" s="25">
        <f t="shared" si="2"/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f t="shared" si="1"/>
        <v>0</v>
      </c>
      <c r="U47" s="25">
        <f t="shared" si="2"/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f t="shared" si="1"/>
        <v>0</v>
      </c>
      <c r="U48" s="25">
        <f t="shared" si="2"/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f t="shared" si="1"/>
        <v>0</v>
      </c>
      <c r="U49" s="25">
        <f t="shared" si="2"/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f t="shared" si="1"/>
        <v>0</v>
      </c>
      <c r="U50" s="25">
        <f t="shared" si="2"/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f t="shared" si="1"/>
        <v>0</v>
      </c>
      <c r="U51" s="25">
        <f t="shared" si="2"/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>
        <v>0</v>
      </c>
      <c r="W54" s="25"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25">
        <f t="shared" si="1"/>
        <v>0</v>
      </c>
      <c r="U64" s="25">
        <f t="shared" si="2"/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33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25">
        <f t="shared" si="1"/>
        <v>0</v>
      </c>
      <c r="U65" s="25">
        <f t="shared" si="2"/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34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25">
        <f t="shared" si="1"/>
        <v>0</v>
      </c>
      <c r="U66" s="25">
        <f t="shared" si="2"/>
        <v>0</v>
      </c>
      <c r="V66" s="36">
        <v>0</v>
      </c>
      <c r="W66" s="25">
        <v>0</v>
      </c>
      <c r="Y66">
        <f t="shared" si="0"/>
        <v>0</v>
      </c>
    </row>
    <row r="67" spans="1:25" ht="31.5" hidden="1" customHeight="1" thickBot="1" x14ac:dyDescent="0.3">
      <c r="A67" s="20">
        <v>2008</v>
      </c>
      <c r="B67" s="21" t="s">
        <v>35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25">
        <f t="shared" si="1"/>
        <v>0</v>
      </c>
      <c r="U67" s="25">
        <f t="shared" si="2"/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24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25">
        <f t="shared" si="1"/>
        <v>0</v>
      </c>
      <c r="U68" s="25">
        <f t="shared" si="2"/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25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25">
        <f t="shared" si="1"/>
        <v>0</v>
      </c>
      <c r="U69" s="25">
        <f t="shared" si="2"/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26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25">
        <f t="shared" si="1"/>
        <v>0</v>
      </c>
      <c r="U70" s="25">
        <f t="shared" si="2"/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27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25">
        <f t="shared" si="1"/>
        <v>0</v>
      </c>
      <c r="U71" s="25">
        <f t="shared" si="2"/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25">
        <f t="shared" si="1"/>
        <v>0</v>
      </c>
      <c r="U72" s="25">
        <f t="shared" si="2"/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25">
        <f t="shared" si="1"/>
        <v>0</v>
      </c>
      <c r="U73" s="25">
        <f t="shared" si="2"/>
        <v>0</v>
      </c>
      <c r="V73" s="36">
        <v>0</v>
      </c>
      <c r="W73" s="25">
        <v>0</v>
      </c>
      <c r="Y73">
        <f t="shared" ref="Y73:Y136" si="3">IF(W73&gt;1,Y72+1,)</f>
        <v>0</v>
      </c>
    </row>
    <row r="74" spans="1:25" ht="15.75" hidden="1" thickBot="1" x14ac:dyDescent="0.3">
      <c r="A74" s="20"/>
      <c r="B74" s="21" t="s">
        <v>30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25">
        <f t="shared" si="1"/>
        <v>0</v>
      </c>
      <c r="U74" s="25">
        <f t="shared" si="2"/>
        <v>0</v>
      </c>
      <c r="V74" s="36">
        <v>0</v>
      </c>
      <c r="W74" s="25">
        <v>0</v>
      </c>
      <c r="Y74">
        <f t="shared" si="3"/>
        <v>0</v>
      </c>
    </row>
    <row r="75" spans="1:25" ht="15.75" hidden="1" thickBot="1" x14ac:dyDescent="0.3">
      <c r="A75" s="20"/>
      <c r="B75" s="21" t="s">
        <v>31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25">
        <f t="shared" si="1"/>
        <v>0</v>
      </c>
      <c r="U75" s="25">
        <f t="shared" si="2"/>
        <v>0</v>
      </c>
      <c r="V75" s="36">
        <v>0</v>
      </c>
      <c r="W75" s="25">
        <v>0</v>
      </c>
      <c r="Y75">
        <f t="shared" si="3"/>
        <v>0</v>
      </c>
    </row>
    <row r="76" spans="1:25" ht="15.75" hidden="1" thickBot="1" x14ac:dyDescent="0.3">
      <c r="A76" s="20"/>
      <c r="B76" s="21" t="s">
        <v>32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10000</v>
      </c>
      <c r="T76" s="25">
        <f t="shared" si="1"/>
        <v>0</v>
      </c>
      <c r="U76" s="25">
        <f t="shared" si="2"/>
        <v>10000</v>
      </c>
      <c r="V76" s="36">
        <v>0</v>
      </c>
      <c r="W76" s="25">
        <v>10000</v>
      </c>
      <c r="Y76">
        <f t="shared" si="3"/>
        <v>1</v>
      </c>
    </row>
    <row r="77" spans="1:25" ht="15.75" hidden="1" thickBot="1" x14ac:dyDescent="0.3">
      <c r="A77" s="20"/>
      <c r="B77" s="21" t="s">
        <v>33</v>
      </c>
      <c r="C77" s="36">
        <v>0</v>
      </c>
      <c r="D77" s="36">
        <v>1</v>
      </c>
      <c r="E77" s="36">
        <v>1</v>
      </c>
      <c r="F77" s="36">
        <v>119</v>
      </c>
      <c r="G77" s="36">
        <v>119</v>
      </c>
      <c r="H77" s="36">
        <v>0</v>
      </c>
      <c r="I77" s="36">
        <v>64</v>
      </c>
      <c r="J77" s="36">
        <v>64</v>
      </c>
      <c r="K77" s="36">
        <v>360</v>
      </c>
      <c r="L77" s="36">
        <v>23040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33159</v>
      </c>
      <c r="T77" s="25">
        <f t="shared" si="1"/>
        <v>10000</v>
      </c>
      <c r="U77" s="25">
        <f t="shared" si="2"/>
        <v>43159</v>
      </c>
      <c r="V77" s="36">
        <v>10000</v>
      </c>
      <c r="W77" s="25">
        <v>33159</v>
      </c>
      <c r="Y77">
        <f t="shared" si="3"/>
        <v>2</v>
      </c>
    </row>
    <row r="78" spans="1:25" ht="15.75" hidden="1" thickBot="1" x14ac:dyDescent="0.3">
      <c r="A78" s="20"/>
      <c r="B78" s="21" t="s">
        <v>34</v>
      </c>
      <c r="C78" s="36">
        <v>1</v>
      </c>
      <c r="D78" s="36">
        <v>2</v>
      </c>
      <c r="E78" s="36">
        <v>1</v>
      </c>
      <c r="F78" s="36">
        <v>108</v>
      </c>
      <c r="G78" s="36">
        <v>108</v>
      </c>
      <c r="H78" s="36">
        <v>64</v>
      </c>
      <c r="I78" s="36">
        <v>74</v>
      </c>
      <c r="J78" s="36">
        <v>10</v>
      </c>
      <c r="K78" s="36">
        <v>360</v>
      </c>
      <c r="L78" s="36">
        <v>3600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13708</v>
      </c>
      <c r="T78" s="25">
        <f t="shared" si="1"/>
        <v>33159</v>
      </c>
      <c r="U78" s="25">
        <f t="shared" si="2"/>
        <v>46867</v>
      </c>
      <c r="V78" s="36">
        <v>33159</v>
      </c>
      <c r="W78" s="25">
        <v>13708</v>
      </c>
      <c r="Y78">
        <f t="shared" si="3"/>
        <v>3</v>
      </c>
    </row>
    <row r="79" spans="1:25" ht="15.75" hidden="1" thickBot="1" x14ac:dyDescent="0.3">
      <c r="A79" s="20">
        <v>2009</v>
      </c>
      <c r="B79" s="21" t="s">
        <v>35</v>
      </c>
      <c r="C79" s="36">
        <v>2</v>
      </c>
      <c r="D79" s="36">
        <v>2</v>
      </c>
      <c r="E79" s="36">
        <v>0</v>
      </c>
      <c r="F79" s="36">
        <v>124</v>
      </c>
      <c r="G79" s="36">
        <v>0</v>
      </c>
      <c r="H79" s="36">
        <v>74</v>
      </c>
      <c r="I79" s="36">
        <v>74</v>
      </c>
      <c r="J79" s="36">
        <v>0</v>
      </c>
      <c r="K79" s="36">
        <v>360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10000</v>
      </c>
      <c r="R79" s="36">
        <v>0</v>
      </c>
      <c r="S79" s="36">
        <v>10000</v>
      </c>
      <c r="T79" s="25">
        <f t="shared" si="1"/>
        <v>13708</v>
      </c>
      <c r="U79" s="25">
        <f t="shared" si="2"/>
        <v>23708</v>
      </c>
      <c r="V79" s="36">
        <v>13708</v>
      </c>
      <c r="W79" s="25">
        <v>10000</v>
      </c>
      <c r="Y79">
        <f t="shared" si="3"/>
        <v>4</v>
      </c>
    </row>
    <row r="80" spans="1:25" ht="15.75" hidden="1" thickBot="1" x14ac:dyDescent="0.3">
      <c r="A80" s="20"/>
      <c r="B80" s="21" t="s">
        <v>24</v>
      </c>
      <c r="C80" s="36">
        <v>2</v>
      </c>
      <c r="D80" s="36">
        <v>2</v>
      </c>
      <c r="E80" s="36">
        <v>0</v>
      </c>
      <c r="F80" s="36">
        <v>0</v>
      </c>
      <c r="G80" s="36">
        <v>0</v>
      </c>
      <c r="H80" s="36">
        <v>74</v>
      </c>
      <c r="I80" s="36">
        <v>86</v>
      </c>
      <c r="J80" s="36">
        <v>12</v>
      </c>
      <c r="K80" s="36">
        <v>360</v>
      </c>
      <c r="L80" s="36">
        <v>4320</v>
      </c>
      <c r="M80" s="36">
        <v>0</v>
      </c>
      <c r="N80" s="36">
        <v>0</v>
      </c>
      <c r="O80" s="36">
        <v>0</v>
      </c>
      <c r="P80" s="36">
        <v>0</v>
      </c>
      <c r="Q80" s="36">
        <v>10000</v>
      </c>
      <c r="R80" s="36">
        <v>0</v>
      </c>
      <c r="S80" s="36">
        <v>14320</v>
      </c>
      <c r="T80" s="25">
        <f t="shared" si="1"/>
        <v>10000</v>
      </c>
      <c r="U80" s="25">
        <f t="shared" si="2"/>
        <v>24320</v>
      </c>
      <c r="V80" s="36">
        <v>10000</v>
      </c>
      <c r="W80" s="25">
        <v>14320</v>
      </c>
      <c r="Y80">
        <f t="shared" si="3"/>
        <v>5</v>
      </c>
    </row>
    <row r="81" spans="1:25" ht="15.75" hidden="1" thickBot="1" x14ac:dyDescent="0.3">
      <c r="A81" s="20"/>
      <c r="B81" s="21" t="s">
        <v>25</v>
      </c>
      <c r="C81" s="36">
        <v>0</v>
      </c>
      <c r="D81" s="36">
        <v>0</v>
      </c>
      <c r="E81" s="36">
        <v>0</v>
      </c>
      <c r="F81" s="36">
        <v>130</v>
      </c>
      <c r="G81" s="36">
        <v>0</v>
      </c>
      <c r="H81" s="36">
        <v>0</v>
      </c>
      <c r="I81" s="36">
        <v>0</v>
      </c>
      <c r="J81" s="36">
        <v>0</v>
      </c>
      <c r="K81" s="36">
        <v>360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10000</v>
      </c>
      <c r="R81" s="36">
        <v>0</v>
      </c>
      <c r="S81" s="36">
        <v>10000</v>
      </c>
      <c r="T81" s="25">
        <f t="shared" si="1"/>
        <v>14320</v>
      </c>
      <c r="U81" s="25">
        <f t="shared" si="2"/>
        <v>24320</v>
      </c>
      <c r="V81" s="36">
        <v>0</v>
      </c>
      <c r="W81" s="25">
        <v>24320</v>
      </c>
      <c r="Y81">
        <f t="shared" si="3"/>
        <v>6</v>
      </c>
    </row>
    <row r="82" spans="1:25" ht="15.75" hidden="1" thickBot="1" x14ac:dyDescent="0.3">
      <c r="A82" s="20"/>
      <c r="B82" s="21" t="s">
        <v>26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10000</v>
      </c>
      <c r="R82" s="36">
        <v>0</v>
      </c>
      <c r="S82" s="36">
        <v>10000</v>
      </c>
      <c r="T82" s="25">
        <f t="shared" si="1"/>
        <v>24320</v>
      </c>
      <c r="U82" s="25">
        <f t="shared" si="2"/>
        <v>34320</v>
      </c>
      <c r="V82" s="36">
        <v>24320</v>
      </c>
      <c r="W82" s="25">
        <v>10000</v>
      </c>
      <c r="Y82">
        <f t="shared" si="3"/>
        <v>7</v>
      </c>
    </row>
    <row r="83" spans="1:25" ht="15.75" hidden="1" thickBot="1" x14ac:dyDescent="0.3">
      <c r="A83" s="20"/>
      <c r="B83" s="21" t="s">
        <v>27</v>
      </c>
      <c r="C83" s="36">
        <v>2</v>
      </c>
      <c r="D83" s="36">
        <v>5</v>
      </c>
      <c r="E83" s="36">
        <v>3</v>
      </c>
      <c r="F83" s="36">
        <v>143</v>
      </c>
      <c r="G83" s="36">
        <v>429</v>
      </c>
      <c r="H83" s="36">
        <v>0</v>
      </c>
      <c r="I83" s="36">
        <v>5</v>
      </c>
      <c r="J83" s="36">
        <v>5</v>
      </c>
      <c r="K83" s="36">
        <v>360</v>
      </c>
      <c r="L83" s="36">
        <v>1800</v>
      </c>
      <c r="M83" s="36">
        <v>0</v>
      </c>
      <c r="N83" s="36">
        <v>0</v>
      </c>
      <c r="O83" s="36">
        <v>0</v>
      </c>
      <c r="P83" s="36">
        <v>0</v>
      </c>
      <c r="Q83" s="36">
        <v>10000</v>
      </c>
      <c r="R83" s="36">
        <v>0</v>
      </c>
      <c r="S83" s="36">
        <v>12229</v>
      </c>
      <c r="T83" s="25">
        <f t="shared" si="1"/>
        <v>10000</v>
      </c>
      <c r="U83" s="25">
        <f t="shared" si="2"/>
        <v>22229</v>
      </c>
      <c r="V83" s="36">
        <v>0</v>
      </c>
      <c r="W83" s="25">
        <v>22229</v>
      </c>
      <c r="Y83">
        <f t="shared" si="3"/>
        <v>8</v>
      </c>
    </row>
    <row r="84" spans="1:25" ht="15.75" hidden="1" thickBot="1" x14ac:dyDescent="0.3">
      <c r="A84" s="20"/>
      <c r="B84" s="21" t="s">
        <v>28</v>
      </c>
      <c r="C84" s="36">
        <v>5</v>
      </c>
      <c r="D84" s="36">
        <v>269</v>
      </c>
      <c r="E84" s="36">
        <v>264</v>
      </c>
      <c r="F84" s="36">
        <v>146</v>
      </c>
      <c r="G84" s="36">
        <v>38544</v>
      </c>
      <c r="H84" s="36">
        <v>5</v>
      </c>
      <c r="I84" s="36">
        <v>13</v>
      </c>
      <c r="J84" s="36">
        <v>8</v>
      </c>
      <c r="K84" s="36">
        <v>360</v>
      </c>
      <c r="L84" s="36">
        <v>2880</v>
      </c>
      <c r="M84" s="36">
        <v>0</v>
      </c>
      <c r="N84" s="36">
        <v>0</v>
      </c>
      <c r="O84" s="36">
        <v>0</v>
      </c>
      <c r="P84" s="36">
        <v>0</v>
      </c>
      <c r="Q84" s="36">
        <v>10000</v>
      </c>
      <c r="R84" s="36">
        <v>0</v>
      </c>
      <c r="S84" s="36">
        <v>51424</v>
      </c>
      <c r="T84" s="25">
        <f t="shared" si="1"/>
        <v>22229</v>
      </c>
      <c r="U84" s="25">
        <f t="shared" si="2"/>
        <v>73653</v>
      </c>
      <c r="V84" s="36">
        <v>22229</v>
      </c>
      <c r="W84" s="25">
        <v>51424</v>
      </c>
      <c r="Y84">
        <f t="shared" si="3"/>
        <v>9</v>
      </c>
    </row>
    <row r="85" spans="1:25" ht="15.75" hidden="1" thickBot="1" x14ac:dyDescent="0.3">
      <c r="A85" s="20"/>
      <c r="B85" s="21" t="s">
        <v>29</v>
      </c>
      <c r="C85" s="36">
        <v>269</v>
      </c>
      <c r="D85" s="36">
        <v>724</v>
      </c>
      <c r="E85" s="36">
        <v>455</v>
      </c>
      <c r="F85" s="36">
        <v>146</v>
      </c>
      <c r="G85" s="36">
        <v>66430</v>
      </c>
      <c r="H85" s="36">
        <v>13</v>
      </c>
      <c r="I85" s="36">
        <v>18</v>
      </c>
      <c r="J85" s="36">
        <v>5</v>
      </c>
      <c r="K85" s="36">
        <v>360</v>
      </c>
      <c r="L85" s="36">
        <v>1800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88230</v>
      </c>
      <c r="T85" s="25">
        <f t="shared" si="1"/>
        <v>51424</v>
      </c>
      <c r="U85" s="25">
        <f t="shared" si="2"/>
        <v>139654</v>
      </c>
      <c r="V85" s="36">
        <v>51424</v>
      </c>
      <c r="W85" s="25">
        <v>88230</v>
      </c>
      <c r="Y85">
        <f t="shared" si="3"/>
        <v>10</v>
      </c>
    </row>
    <row r="86" spans="1:25" ht="15.75" hidden="1" thickBot="1" x14ac:dyDescent="0.3">
      <c r="A86" s="20"/>
      <c r="B86" s="21" t="s">
        <v>30</v>
      </c>
      <c r="C86" s="36">
        <v>724</v>
      </c>
      <c r="D86" s="36">
        <v>972</v>
      </c>
      <c r="E86" s="36">
        <v>248</v>
      </c>
      <c r="F86" s="36">
        <v>146</v>
      </c>
      <c r="G86" s="36">
        <v>36208</v>
      </c>
      <c r="H86" s="36">
        <v>18</v>
      </c>
      <c r="I86" s="36">
        <v>21</v>
      </c>
      <c r="J86" s="36">
        <v>3</v>
      </c>
      <c r="K86" s="36">
        <v>360</v>
      </c>
      <c r="L86" s="36">
        <v>1080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0</v>
      </c>
      <c r="S86" s="36">
        <v>47288</v>
      </c>
      <c r="T86" s="25">
        <f t="shared" si="1"/>
        <v>88230</v>
      </c>
      <c r="U86" s="25">
        <f t="shared" si="2"/>
        <v>135518</v>
      </c>
      <c r="V86" s="36">
        <v>88230</v>
      </c>
      <c r="W86" s="25">
        <v>47288</v>
      </c>
      <c r="Y86">
        <f t="shared" si="3"/>
        <v>11</v>
      </c>
    </row>
    <row r="87" spans="1:25" ht="15.75" hidden="1" thickBot="1" x14ac:dyDescent="0.3">
      <c r="A87" s="20"/>
      <c r="B87" s="21" t="s">
        <v>31</v>
      </c>
      <c r="C87" s="36">
        <v>972</v>
      </c>
      <c r="D87" s="36">
        <v>1163</v>
      </c>
      <c r="E87" s="36">
        <v>191</v>
      </c>
      <c r="F87" s="36">
        <v>146</v>
      </c>
      <c r="G87" s="36">
        <v>27886</v>
      </c>
      <c r="H87" s="36">
        <v>21</v>
      </c>
      <c r="I87" s="36">
        <v>27</v>
      </c>
      <c r="J87" s="36">
        <v>6</v>
      </c>
      <c r="K87" s="36">
        <v>360</v>
      </c>
      <c r="L87" s="36">
        <v>2160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40046</v>
      </c>
      <c r="T87" s="25">
        <f t="shared" si="1"/>
        <v>47288</v>
      </c>
      <c r="U87" s="25">
        <f t="shared" si="2"/>
        <v>87334</v>
      </c>
      <c r="V87" s="36">
        <v>87334</v>
      </c>
      <c r="W87" s="25">
        <v>0</v>
      </c>
      <c r="Y87">
        <f t="shared" si="3"/>
        <v>0</v>
      </c>
    </row>
    <row r="88" spans="1:25" ht="15.75" hidden="1" thickBot="1" x14ac:dyDescent="0.3">
      <c r="A88" s="20"/>
      <c r="B88" s="21" t="s">
        <v>32</v>
      </c>
      <c r="C88" s="36">
        <v>1163</v>
      </c>
      <c r="D88" s="36">
        <v>1235</v>
      </c>
      <c r="E88" s="36">
        <v>72</v>
      </c>
      <c r="F88" s="36">
        <v>146</v>
      </c>
      <c r="G88" s="36">
        <v>10512</v>
      </c>
      <c r="H88" s="36">
        <v>27</v>
      </c>
      <c r="I88" s="36">
        <v>33</v>
      </c>
      <c r="J88" s="36">
        <v>6</v>
      </c>
      <c r="K88" s="36">
        <v>360</v>
      </c>
      <c r="L88" s="36">
        <v>2160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0</v>
      </c>
      <c r="S88" s="36">
        <v>22672</v>
      </c>
      <c r="T88" s="25">
        <f t="shared" si="1"/>
        <v>0</v>
      </c>
      <c r="U88" s="25">
        <f t="shared" si="2"/>
        <v>22672</v>
      </c>
      <c r="V88" s="36">
        <v>0</v>
      </c>
      <c r="W88" s="25">
        <v>22672</v>
      </c>
      <c r="Y88">
        <f t="shared" si="3"/>
        <v>1</v>
      </c>
    </row>
    <row r="89" spans="1:25" ht="15.75" hidden="1" thickBot="1" x14ac:dyDescent="0.3">
      <c r="A89" s="20"/>
      <c r="B89" s="21" t="s">
        <v>33</v>
      </c>
      <c r="C89" s="36">
        <v>1235</v>
      </c>
      <c r="D89" s="36">
        <v>1238</v>
      </c>
      <c r="E89" s="36">
        <v>3</v>
      </c>
      <c r="F89" s="36">
        <v>146</v>
      </c>
      <c r="G89" s="36">
        <v>438</v>
      </c>
      <c r="H89" s="36">
        <v>33</v>
      </c>
      <c r="I89" s="36">
        <v>36</v>
      </c>
      <c r="J89" s="36">
        <v>3</v>
      </c>
      <c r="K89" s="36">
        <v>360</v>
      </c>
      <c r="L89" s="36">
        <v>1080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11518</v>
      </c>
      <c r="T89" s="25">
        <f t="shared" si="1"/>
        <v>22672</v>
      </c>
      <c r="U89" s="25">
        <f t="shared" si="2"/>
        <v>34190</v>
      </c>
      <c r="V89" s="36">
        <v>0</v>
      </c>
      <c r="W89" s="25">
        <v>34190</v>
      </c>
      <c r="Y89">
        <f t="shared" si="3"/>
        <v>2</v>
      </c>
    </row>
    <row r="90" spans="1:25" ht="15.75" hidden="1" thickBot="1" x14ac:dyDescent="0.3">
      <c r="A90" s="20"/>
      <c r="B90" s="21" t="s">
        <v>34</v>
      </c>
      <c r="C90" s="36">
        <v>1238</v>
      </c>
      <c r="D90" s="36">
        <v>1270</v>
      </c>
      <c r="E90" s="36">
        <v>32</v>
      </c>
      <c r="F90" s="36">
        <v>146</v>
      </c>
      <c r="G90" s="36">
        <v>4672</v>
      </c>
      <c r="H90" s="36">
        <v>36</v>
      </c>
      <c r="I90" s="36">
        <v>132</v>
      </c>
      <c r="J90" s="36">
        <v>96</v>
      </c>
      <c r="K90" s="36">
        <v>360</v>
      </c>
      <c r="L90" s="36">
        <v>34560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49232</v>
      </c>
      <c r="T90" s="25">
        <f t="shared" si="1"/>
        <v>34190</v>
      </c>
      <c r="U90" s="25">
        <f t="shared" si="2"/>
        <v>83422</v>
      </c>
      <c r="V90" s="36">
        <v>34190</v>
      </c>
      <c r="W90" s="25">
        <v>49232</v>
      </c>
      <c r="Y90">
        <f t="shared" si="3"/>
        <v>3</v>
      </c>
    </row>
    <row r="91" spans="1:25" ht="15.75" hidden="1" thickBot="1" x14ac:dyDescent="0.3">
      <c r="A91">
        <v>2010</v>
      </c>
      <c r="B91" s="21" t="s">
        <v>35</v>
      </c>
      <c r="C91" s="36">
        <v>1270</v>
      </c>
      <c r="D91" s="36">
        <v>1295</v>
      </c>
      <c r="E91" s="36">
        <v>25</v>
      </c>
      <c r="F91" s="36">
        <v>146</v>
      </c>
      <c r="G91" s="36">
        <v>3650</v>
      </c>
      <c r="H91" s="36">
        <v>132</v>
      </c>
      <c r="I91" s="36">
        <v>265</v>
      </c>
      <c r="J91" s="36">
        <v>133</v>
      </c>
      <c r="K91" s="36">
        <v>360</v>
      </c>
      <c r="L91" s="36">
        <v>47880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61530</v>
      </c>
      <c r="T91" s="25">
        <f t="shared" ref="T91:T97" si="4">W90</f>
        <v>49232</v>
      </c>
      <c r="U91" s="25">
        <f t="shared" ref="U91:U97" si="5">S91+T91</f>
        <v>110762</v>
      </c>
      <c r="V91" s="36">
        <v>110762</v>
      </c>
      <c r="W91" s="25">
        <v>0</v>
      </c>
      <c r="Y91">
        <f t="shared" si="3"/>
        <v>0</v>
      </c>
    </row>
    <row r="92" spans="1:25" ht="15.75" hidden="1" thickBot="1" x14ac:dyDescent="0.3">
      <c r="B92" s="21" t="s">
        <v>24</v>
      </c>
      <c r="C92" s="36">
        <v>1295</v>
      </c>
      <c r="D92" s="36">
        <v>1296</v>
      </c>
      <c r="E92" s="36">
        <v>1</v>
      </c>
      <c r="F92" s="36">
        <v>146</v>
      </c>
      <c r="G92" s="36">
        <v>146</v>
      </c>
      <c r="H92" s="36">
        <v>265</v>
      </c>
      <c r="I92" s="36">
        <v>279</v>
      </c>
      <c r="J92" s="36">
        <v>14</v>
      </c>
      <c r="K92" s="36">
        <v>360</v>
      </c>
      <c r="L92" s="36">
        <v>5040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>
        <v>0</v>
      </c>
      <c r="S92" s="36">
        <v>15186</v>
      </c>
      <c r="T92" s="25">
        <f t="shared" si="4"/>
        <v>0</v>
      </c>
      <c r="U92" s="25">
        <f t="shared" si="5"/>
        <v>15186</v>
      </c>
      <c r="V92" s="36">
        <v>15186</v>
      </c>
      <c r="W92" s="25">
        <v>0</v>
      </c>
      <c r="Y92">
        <f t="shared" si="3"/>
        <v>0</v>
      </c>
    </row>
    <row r="93" spans="1:25" ht="15.75" hidden="1" thickBot="1" x14ac:dyDescent="0.3">
      <c r="B93" s="21" t="s">
        <v>25</v>
      </c>
      <c r="C93" s="36">
        <v>1296</v>
      </c>
      <c r="D93" s="36">
        <v>1297</v>
      </c>
      <c r="E93" s="36">
        <v>1</v>
      </c>
      <c r="F93" s="36">
        <v>146</v>
      </c>
      <c r="G93" s="36">
        <v>146</v>
      </c>
      <c r="H93" s="36">
        <v>279</v>
      </c>
      <c r="I93" s="36">
        <v>298</v>
      </c>
      <c r="J93" s="36">
        <v>19</v>
      </c>
      <c r="K93" s="36">
        <v>360</v>
      </c>
      <c r="L93" s="36">
        <v>6840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16986</v>
      </c>
      <c r="T93" s="25">
        <f t="shared" si="4"/>
        <v>0</v>
      </c>
      <c r="U93" s="25">
        <f t="shared" si="5"/>
        <v>16986</v>
      </c>
      <c r="V93" s="36">
        <v>16986</v>
      </c>
      <c r="W93" s="25">
        <v>0</v>
      </c>
      <c r="Y93">
        <f t="shared" si="3"/>
        <v>0</v>
      </c>
    </row>
    <row r="94" spans="1:25" ht="15.75" hidden="1" thickBot="1" x14ac:dyDescent="0.3">
      <c r="B94" s="21" t="s">
        <v>26</v>
      </c>
      <c r="C94" s="36">
        <v>1297</v>
      </c>
      <c r="D94" s="36">
        <v>1303</v>
      </c>
      <c r="E94" s="36">
        <v>6</v>
      </c>
      <c r="F94" s="36">
        <v>146</v>
      </c>
      <c r="G94" s="36">
        <v>876</v>
      </c>
      <c r="H94" s="36">
        <v>298</v>
      </c>
      <c r="I94" s="36">
        <v>298</v>
      </c>
      <c r="J94" s="36">
        <v>0</v>
      </c>
      <c r="K94" s="36">
        <v>360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10876</v>
      </c>
      <c r="T94" s="25">
        <f t="shared" si="4"/>
        <v>0</v>
      </c>
      <c r="U94" s="25">
        <f t="shared" si="5"/>
        <v>10876</v>
      </c>
      <c r="V94" s="36">
        <v>0</v>
      </c>
      <c r="W94" s="25">
        <v>10876</v>
      </c>
      <c r="Y94">
        <f t="shared" si="3"/>
        <v>1</v>
      </c>
    </row>
    <row r="95" spans="1:25" ht="15.75" hidden="1" thickBot="1" x14ac:dyDescent="0.3">
      <c r="B95" s="21" t="s">
        <v>27</v>
      </c>
      <c r="C95" s="36">
        <v>1303</v>
      </c>
      <c r="D95" s="36">
        <v>1314</v>
      </c>
      <c r="E95" s="36">
        <v>11</v>
      </c>
      <c r="F95" s="36">
        <v>146</v>
      </c>
      <c r="G95" s="36">
        <v>1606</v>
      </c>
      <c r="H95" s="36">
        <v>317</v>
      </c>
      <c r="I95" s="36">
        <v>352</v>
      </c>
      <c r="J95" s="36">
        <v>35</v>
      </c>
      <c r="K95" s="36">
        <v>360</v>
      </c>
      <c r="L95" s="36">
        <v>12600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24206</v>
      </c>
      <c r="T95" s="25">
        <f t="shared" si="4"/>
        <v>10876</v>
      </c>
      <c r="U95" s="25">
        <f t="shared" si="5"/>
        <v>35082</v>
      </c>
      <c r="V95" s="36">
        <v>35082</v>
      </c>
      <c r="W95" s="25">
        <v>0</v>
      </c>
      <c r="Y95">
        <f t="shared" si="3"/>
        <v>0</v>
      </c>
    </row>
    <row r="96" spans="1:25" ht="15.75" hidden="1" thickBot="1" x14ac:dyDescent="0.3">
      <c r="B96" s="21" t="s">
        <v>28</v>
      </c>
      <c r="C96" s="36">
        <v>1314</v>
      </c>
      <c r="D96" s="36">
        <v>1318</v>
      </c>
      <c r="E96" s="36">
        <v>4</v>
      </c>
      <c r="F96" s="36">
        <v>146</v>
      </c>
      <c r="G96" s="36">
        <v>584</v>
      </c>
      <c r="H96" s="36">
        <v>352</v>
      </c>
      <c r="I96" s="36">
        <v>352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10584</v>
      </c>
      <c r="T96" s="25">
        <f t="shared" si="4"/>
        <v>0</v>
      </c>
      <c r="U96" s="25">
        <f t="shared" si="5"/>
        <v>10584</v>
      </c>
      <c r="V96" s="36">
        <v>0</v>
      </c>
      <c r="W96" s="25">
        <v>10584</v>
      </c>
      <c r="Y96">
        <f t="shared" si="3"/>
        <v>1</v>
      </c>
    </row>
    <row r="97" spans="1:25" ht="22.5" hidden="1" customHeight="1" thickBot="1" x14ac:dyDescent="0.3">
      <c r="A97" s="20"/>
      <c r="B97" s="21" t="s">
        <v>29</v>
      </c>
      <c r="C97" s="36">
        <v>1318</v>
      </c>
      <c r="D97" s="36">
        <v>1322</v>
      </c>
      <c r="E97" s="36">
        <v>4</v>
      </c>
      <c r="F97" s="36">
        <v>146</v>
      </c>
      <c r="G97" s="36">
        <v>584</v>
      </c>
      <c r="H97" s="36">
        <v>352</v>
      </c>
      <c r="I97" s="36">
        <v>352</v>
      </c>
      <c r="J97" s="36">
        <v>0</v>
      </c>
      <c r="K97" s="36">
        <v>360</v>
      </c>
      <c r="L97" s="36">
        <v>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6">G97+L97+M97+N97+O97+P97+Q97+R97</f>
        <v>10584</v>
      </c>
      <c r="T97" s="25">
        <f t="shared" si="4"/>
        <v>10584</v>
      </c>
      <c r="U97" s="25">
        <f t="shared" si="5"/>
        <v>21168</v>
      </c>
      <c r="V97" s="36">
        <v>21168</v>
      </c>
      <c r="W97" s="25">
        <f t="shared" ref="W97:W157" si="7">U97-V97</f>
        <v>0</v>
      </c>
      <c r="Y97">
        <f t="shared" si="3"/>
        <v>0</v>
      </c>
    </row>
    <row r="98" spans="1:25" ht="15.75" hidden="1" thickBot="1" x14ac:dyDescent="0.3">
      <c r="A98" s="20"/>
      <c r="B98" s="21" t="s">
        <v>30</v>
      </c>
      <c r="C98" s="36">
        <v>1322</v>
      </c>
      <c r="D98" s="36">
        <v>1325</v>
      </c>
      <c r="E98" s="36">
        <v>3</v>
      </c>
      <c r="F98" s="36">
        <v>146</v>
      </c>
      <c r="G98" s="36">
        <v>438</v>
      </c>
      <c r="H98" s="36">
        <v>352</v>
      </c>
      <c r="I98" s="36">
        <v>359</v>
      </c>
      <c r="J98" s="36">
        <v>7</v>
      </c>
      <c r="K98" s="36">
        <v>360</v>
      </c>
      <c r="L98" s="36">
        <v>2520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6"/>
        <v>12958</v>
      </c>
      <c r="T98" s="25">
        <f t="shared" ref="T98:T161" si="8">W97</f>
        <v>0</v>
      </c>
      <c r="U98" s="25">
        <f t="shared" ref="U98:U161" si="9">S98+T98</f>
        <v>12958</v>
      </c>
      <c r="V98" s="36">
        <v>12958</v>
      </c>
      <c r="W98" s="25">
        <f t="shared" si="7"/>
        <v>0</v>
      </c>
      <c r="Y98">
        <f t="shared" si="3"/>
        <v>0</v>
      </c>
    </row>
    <row r="99" spans="1:25" ht="15.75" hidden="1" thickBot="1" x14ac:dyDescent="0.3">
      <c r="A99" s="20"/>
      <c r="B99" s="21" t="s">
        <v>31</v>
      </c>
      <c r="C99" s="36">
        <v>1325</v>
      </c>
      <c r="D99" s="36">
        <v>1326</v>
      </c>
      <c r="E99" s="36">
        <v>1</v>
      </c>
      <c r="F99" s="36">
        <v>146</v>
      </c>
      <c r="G99" s="36">
        <v>146</v>
      </c>
      <c r="H99" s="36">
        <v>359</v>
      </c>
      <c r="I99" s="36">
        <v>367</v>
      </c>
      <c r="J99" s="36">
        <v>8</v>
      </c>
      <c r="K99" s="36">
        <v>360</v>
      </c>
      <c r="L99" s="36">
        <v>2880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6"/>
        <v>13026</v>
      </c>
      <c r="T99" s="25">
        <f t="shared" si="8"/>
        <v>0</v>
      </c>
      <c r="U99" s="25">
        <f t="shared" si="9"/>
        <v>13026</v>
      </c>
      <c r="V99" s="36">
        <v>0</v>
      </c>
      <c r="W99" s="25">
        <f t="shared" si="7"/>
        <v>13026</v>
      </c>
      <c r="Y99">
        <f t="shared" si="3"/>
        <v>1</v>
      </c>
    </row>
    <row r="100" spans="1:25" ht="15.75" hidden="1" thickBot="1" x14ac:dyDescent="0.3">
      <c r="A100" s="20"/>
      <c r="B100" s="21" t="s">
        <v>32</v>
      </c>
      <c r="C100" s="36">
        <v>1326</v>
      </c>
      <c r="D100" s="36">
        <v>1328</v>
      </c>
      <c r="E100" s="36">
        <v>2</v>
      </c>
      <c r="F100" s="36">
        <v>146</v>
      </c>
      <c r="G100" s="36">
        <v>292</v>
      </c>
      <c r="H100" s="36">
        <v>367</v>
      </c>
      <c r="I100" s="36">
        <v>391</v>
      </c>
      <c r="J100" s="36">
        <v>24</v>
      </c>
      <c r="K100" s="36">
        <v>360</v>
      </c>
      <c r="L100" s="36">
        <v>8640</v>
      </c>
      <c r="M100" s="36">
        <v>0</v>
      </c>
      <c r="N100" s="36"/>
      <c r="O100" s="36"/>
      <c r="P100" s="36">
        <v>0</v>
      </c>
      <c r="Q100" s="36">
        <v>10000</v>
      </c>
      <c r="R100" s="36"/>
      <c r="S100" s="36">
        <f t="shared" si="6"/>
        <v>18932</v>
      </c>
      <c r="T100" s="25">
        <f t="shared" si="8"/>
        <v>13026</v>
      </c>
      <c r="U100" s="25">
        <f t="shared" si="9"/>
        <v>31958</v>
      </c>
      <c r="V100" s="36">
        <v>31958</v>
      </c>
      <c r="W100" s="25">
        <f t="shared" si="7"/>
        <v>0</v>
      </c>
      <c r="Y100">
        <f t="shared" si="3"/>
        <v>0</v>
      </c>
    </row>
    <row r="101" spans="1:25" ht="15.75" hidden="1" thickBot="1" x14ac:dyDescent="0.3">
      <c r="A101" s="20"/>
      <c r="B101" s="21" t="s">
        <v>33</v>
      </c>
      <c r="C101" s="36">
        <v>1328</v>
      </c>
      <c r="D101" s="36">
        <v>1332</v>
      </c>
      <c r="E101" s="36">
        <v>4</v>
      </c>
      <c r="F101" s="36">
        <v>146</v>
      </c>
      <c r="G101" s="36">
        <v>584</v>
      </c>
      <c r="H101" s="36">
        <v>391</v>
      </c>
      <c r="I101" s="36">
        <v>408</v>
      </c>
      <c r="J101" s="36">
        <v>17</v>
      </c>
      <c r="K101" s="36">
        <v>360</v>
      </c>
      <c r="L101" s="36">
        <v>6120</v>
      </c>
      <c r="M101" s="36">
        <v>0</v>
      </c>
      <c r="N101" s="36"/>
      <c r="O101" s="36"/>
      <c r="P101" s="36">
        <v>0</v>
      </c>
      <c r="Q101" s="36">
        <v>10000</v>
      </c>
      <c r="R101" s="36"/>
      <c r="S101" s="36">
        <f t="shared" si="6"/>
        <v>16704</v>
      </c>
      <c r="T101" s="25">
        <f t="shared" si="8"/>
        <v>0</v>
      </c>
      <c r="U101" s="25">
        <f t="shared" si="9"/>
        <v>16704</v>
      </c>
      <c r="V101" s="36">
        <v>16704</v>
      </c>
      <c r="W101" s="25">
        <f t="shared" si="7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34</v>
      </c>
      <c r="C102" s="36">
        <v>1332</v>
      </c>
      <c r="D102" s="36">
        <v>1334</v>
      </c>
      <c r="E102" s="36">
        <v>2</v>
      </c>
      <c r="F102" s="36">
        <v>146</v>
      </c>
      <c r="G102" s="36">
        <v>292</v>
      </c>
      <c r="H102" s="36">
        <v>408</v>
      </c>
      <c r="I102" s="36">
        <v>413</v>
      </c>
      <c r="J102" s="36">
        <v>5</v>
      </c>
      <c r="K102" s="36">
        <v>360</v>
      </c>
      <c r="L102" s="36">
        <v>1800</v>
      </c>
      <c r="M102" s="36">
        <v>0</v>
      </c>
      <c r="N102" s="36"/>
      <c r="O102" s="36"/>
      <c r="P102" s="36">
        <v>0</v>
      </c>
      <c r="Q102" s="36">
        <v>10000</v>
      </c>
      <c r="R102" s="36"/>
      <c r="S102" s="36">
        <f t="shared" si="6"/>
        <v>12092</v>
      </c>
      <c r="T102" s="25">
        <f t="shared" si="8"/>
        <v>0</v>
      </c>
      <c r="U102" s="25">
        <f t="shared" si="9"/>
        <v>12092</v>
      </c>
      <c r="V102" s="36">
        <v>12092</v>
      </c>
      <c r="W102" s="25">
        <f t="shared" si="7"/>
        <v>0</v>
      </c>
      <c r="Y102">
        <f t="shared" si="3"/>
        <v>0</v>
      </c>
    </row>
    <row r="103" spans="1:25" ht="15.75" hidden="1" thickBot="1" x14ac:dyDescent="0.3">
      <c r="A103" s="20">
        <v>2011</v>
      </c>
      <c r="B103" s="21" t="s">
        <v>35</v>
      </c>
      <c r="C103" s="36">
        <v>1334</v>
      </c>
      <c r="D103" s="36">
        <v>1337</v>
      </c>
      <c r="E103" s="36">
        <v>3</v>
      </c>
      <c r="F103" s="36">
        <v>146</v>
      </c>
      <c r="G103" s="36">
        <v>438</v>
      </c>
      <c r="H103" s="36">
        <v>413</v>
      </c>
      <c r="I103" s="36">
        <v>439</v>
      </c>
      <c r="J103" s="36">
        <v>26</v>
      </c>
      <c r="K103" s="36">
        <v>360</v>
      </c>
      <c r="L103" s="36">
        <v>9360</v>
      </c>
      <c r="M103" s="36">
        <v>0</v>
      </c>
      <c r="N103" s="36"/>
      <c r="O103" s="36"/>
      <c r="P103" s="36">
        <v>0</v>
      </c>
      <c r="Q103" s="36">
        <v>10000</v>
      </c>
      <c r="R103" s="36"/>
      <c r="S103" s="36">
        <f t="shared" si="6"/>
        <v>19798</v>
      </c>
      <c r="T103" s="25">
        <f t="shared" si="8"/>
        <v>0</v>
      </c>
      <c r="U103" s="25">
        <f t="shared" si="9"/>
        <v>19798</v>
      </c>
      <c r="V103" s="36">
        <v>19798</v>
      </c>
      <c r="W103" s="25">
        <f t="shared" si="7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24</v>
      </c>
      <c r="C104" s="36">
        <v>1337</v>
      </c>
      <c r="D104" s="36">
        <v>1341</v>
      </c>
      <c r="E104" s="36">
        <v>4</v>
      </c>
      <c r="F104" s="36">
        <v>146</v>
      </c>
      <c r="G104" s="36">
        <v>584</v>
      </c>
      <c r="H104" s="36">
        <v>439</v>
      </c>
      <c r="I104" s="36">
        <v>472</v>
      </c>
      <c r="J104" s="36">
        <v>33</v>
      </c>
      <c r="K104" s="36">
        <v>360</v>
      </c>
      <c r="L104" s="36">
        <v>11880</v>
      </c>
      <c r="M104" s="36">
        <v>0</v>
      </c>
      <c r="N104" s="36"/>
      <c r="O104" s="36"/>
      <c r="P104" s="36">
        <v>0</v>
      </c>
      <c r="Q104" s="36">
        <v>10000</v>
      </c>
      <c r="R104" s="36"/>
      <c r="S104" s="36">
        <f t="shared" si="6"/>
        <v>22464</v>
      </c>
      <c r="T104" s="25">
        <f t="shared" si="8"/>
        <v>0</v>
      </c>
      <c r="U104" s="25">
        <f t="shared" si="9"/>
        <v>22464</v>
      </c>
      <c r="V104" s="36">
        <v>22464</v>
      </c>
      <c r="W104" s="25">
        <f t="shared" si="7"/>
        <v>0</v>
      </c>
      <c r="Y104">
        <f t="shared" si="3"/>
        <v>0</v>
      </c>
    </row>
    <row r="105" spans="1:25" ht="15.75" hidden="1" thickBot="1" x14ac:dyDescent="0.3">
      <c r="A105" s="20"/>
      <c r="B105" s="21" t="s">
        <v>25</v>
      </c>
      <c r="C105" s="36">
        <v>1341</v>
      </c>
      <c r="D105" s="36">
        <v>1350</v>
      </c>
      <c r="E105" s="36">
        <v>9</v>
      </c>
      <c r="F105" s="36">
        <v>146</v>
      </c>
      <c r="G105" s="36">
        <v>1314</v>
      </c>
      <c r="H105" s="36">
        <v>472</v>
      </c>
      <c r="I105" s="36">
        <v>513</v>
      </c>
      <c r="J105" s="36">
        <v>41</v>
      </c>
      <c r="K105" s="36">
        <v>360</v>
      </c>
      <c r="L105" s="36">
        <v>14760</v>
      </c>
      <c r="M105" s="36">
        <v>0</v>
      </c>
      <c r="N105" s="36"/>
      <c r="O105" s="36"/>
      <c r="P105" s="36">
        <v>0</v>
      </c>
      <c r="Q105" s="36">
        <v>10000</v>
      </c>
      <c r="R105" s="36"/>
      <c r="S105" s="36">
        <f t="shared" si="6"/>
        <v>26074</v>
      </c>
      <c r="T105" s="25">
        <f t="shared" si="8"/>
        <v>0</v>
      </c>
      <c r="U105" s="25">
        <f t="shared" si="9"/>
        <v>26074</v>
      </c>
      <c r="V105" s="36">
        <v>26074</v>
      </c>
      <c r="W105" s="25">
        <f t="shared" si="7"/>
        <v>0</v>
      </c>
      <c r="Y105">
        <f t="shared" si="3"/>
        <v>0</v>
      </c>
    </row>
    <row r="106" spans="1:25" ht="15.75" hidden="1" thickBot="1" x14ac:dyDescent="0.3">
      <c r="A106" s="20"/>
      <c r="B106" s="21" t="s">
        <v>26</v>
      </c>
      <c r="C106" s="36">
        <v>1350</v>
      </c>
      <c r="D106" s="36">
        <v>1359</v>
      </c>
      <c r="E106" s="36">
        <v>9</v>
      </c>
      <c r="F106" s="36">
        <v>146</v>
      </c>
      <c r="G106" s="36">
        <v>1314</v>
      </c>
      <c r="H106" s="36">
        <v>513</v>
      </c>
      <c r="I106" s="36">
        <v>541</v>
      </c>
      <c r="J106" s="36">
        <v>28</v>
      </c>
      <c r="K106" s="36">
        <v>360</v>
      </c>
      <c r="L106" s="36">
        <v>10080</v>
      </c>
      <c r="M106" s="36">
        <v>0</v>
      </c>
      <c r="N106" s="36"/>
      <c r="O106" s="36"/>
      <c r="P106" s="36">
        <v>0</v>
      </c>
      <c r="Q106" s="36">
        <v>10000</v>
      </c>
      <c r="R106" s="36"/>
      <c r="S106" s="36">
        <f t="shared" si="6"/>
        <v>21394</v>
      </c>
      <c r="T106" s="25">
        <f t="shared" si="8"/>
        <v>0</v>
      </c>
      <c r="U106" s="25">
        <f t="shared" si="9"/>
        <v>21394</v>
      </c>
      <c r="V106" s="36">
        <v>21394</v>
      </c>
      <c r="W106" s="25">
        <f t="shared" si="7"/>
        <v>0</v>
      </c>
      <c r="Y106">
        <f t="shared" si="3"/>
        <v>0</v>
      </c>
    </row>
    <row r="107" spans="1:25" ht="15.75" hidden="1" thickBot="1" x14ac:dyDescent="0.3">
      <c r="A107" s="20"/>
      <c r="B107" s="21" t="s">
        <v>27</v>
      </c>
      <c r="C107" s="36">
        <v>1359</v>
      </c>
      <c r="D107" s="36">
        <v>1362</v>
      </c>
      <c r="E107" s="36">
        <v>3</v>
      </c>
      <c r="F107" s="36">
        <v>146</v>
      </c>
      <c r="G107" s="36">
        <v>438</v>
      </c>
      <c r="H107" s="36">
        <v>541</v>
      </c>
      <c r="I107" s="36">
        <v>571</v>
      </c>
      <c r="J107" s="36">
        <v>30</v>
      </c>
      <c r="K107" s="36">
        <v>360</v>
      </c>
      <c r="L107" s="36">
        <v>10800</v>
      </c>
      <c r="M107" s="36">
        <v>0</v>
      </c>
      <c r="N107" s="36"/>
      <c r="O107" s="36"/>
      <c r="P107" s="36">
        <v>0</v>
      </c>
      <c r="Q107" s="36">
        <v>10000</v>
      </c>
      <c r="R107" s="36"/>
      <c r="S107" s="36">
        <f t="shared" si="6"/>
        <v>21238</v>
      </c>
      <c r="T107" s="25">
        <f t="shared" si="8"/>
        <v>0</v>
      </c>
      <c r="U107" s="25">
        <f t="shared" si="9"/>
        <v>21238</v>
      </c>
      <c r="V107" s="36">
        <v>21238</v>
      </c>
      <c r="W107" s="25">
        <f t="shared" si="7"/>
        <v>0</v>
      </c>
      <c r="Y107">
        <f t="shared" si="3"/>
        <v>0</v>
      </c>
    </row>
    <row r="108" spans="1:25" ht="15.75" hidden="1" thickBot="1" x14ac:dyDescent="0.3">
      <c r="A108" s="20"/>
      <c r="B108" s="21" t="s">
        <v>28</v>
      </c>
      <c r="C108" s="36">
        <v>1362</v>
      </c>
      <c r="D108" s="36">
        <v>1364</v>
      </c>
      <c r="E108" s="36">
        <v>2</v>
      </c>
      <c r="F108" s="36">
        <v>146</v>
      </c>
      <c r="G108" s="36">
        <v>292</v>
      </c>
      <c r="H108" s="36">
        <v>571</v>
      </c>
      <c r="I108" s="36">
        <v>582</v>
      </c>
      <c r="J108" s="36">
        <v>11</v>
      </c>
      <c r="K108" s="36">
        <v>360</v>
      </c>
      <c r="L108" s="36">
        <v>3960</v>
      </c>
      <c r="M108" s="36">
        <v>0</v>
      </c>
      <c r="N108" s="36"/>
      <c r="O108" s="36"/>
      <c r="P108" s="36">
        <v>0</v>
      </c>
      <c r="Q108" s="36">
        <v>10000</v>
      </c>
      <c r="R108" s="36"/>
      <c r="S108" s="36">
        <f t="shared" si="6"/>
        <v>14252</v>
      </c>
      <c r="T108" s="25">
        <f t="shared" si="8"/>
        <v>0</v>
      </c>
      <c r="U108" s="25">
        <f t="shared" si="9"/>
        <v>14252</v>
      </c>
      <c r="V108" s="36">
        <v>14252</v>
      </c>
      <c r="W108" s="25">
        <f t="shared" si="7"/>
        <v>0</v>
      </c>
      <c r="Y108">
        <f t="shared" si="3"/>
        <v>0</v>
      </c>
    </row>
    <row r="109" spans="1:25" ht="15.75" hidden="1" thickBot="1" x14ac:dyDescent="0.3">
      <c r="A109" s="20"/>
      <c r="B109" s="21" t="s">
        <v>29</v>
      </c>
      <c r="C109" s="36">
        <v>1364</v>
      </c>
      <c r="D109" s="36">
        <v>1371</v>
      </c>
      <c r="E109" s="36">
        <v>7</v>
      </c>
      <c r="F109" s="36">
        <v>146</v>
      </c>
      <c r="G109" s="36">
        <v>1022</v>
      </c>
      <c r="H109" s="36">
        <v>582</v>
      </c>
      <c r="I109" s="36">
        <v>585</v>
      </c>
      <c r="J109" s="36">
        <v>3</v>
      </c>
      <c r="K109" s="36">
        <v>360</v>
      </c>
      <c r="L109" s="36">
        <v>1080</v>
      </c>
      <c r="M109" s="36">
        <v>0</v>
      </c>
      <c r="N109" s="36"/>
      <c r="O109" s="36"/>
      <c r="P109" s="36">
        <v>0</v>
      </c>
      <c r="Q109" s="36">
        <v>10000</v>
      </c>
      <c r="R109" s="36"/>
      <c r="S109" s="36">
        <f t="shared" si="6"/>
        <v>12102</v>
      </c>
      <c r="T109" s="25">
        <f t="shared" si="8"/>
        <v>0</v>
      </c>
      <c r="U109" s="25">
        <f t="shared" si="9"/>
        <v>12102</v>
      </c>
      <c r="V109" s="36">
        <v>12102</v>
      </c>
      <c r="W109" s="25">
        <f t="shared" si="7"/>
        <v>0</v>
      </c>
      <c r="Y109">
        <f t="shared" si="3"/>
        <v>0</v>
      </c>
    </row>
    <row r="110" spans="1:25" ht="15.75" hidden="1" thickBot="1" x14ac:dyDescent="0.3">
      <c r="A110" s="20"/>
      <c r="B110" s="21" t="s">
        <v>30</v>
      </c>
      <c r="C110" s="36">
        <v>1371</v>
      </c>
      <c r="D110" s="36">
        <v>1375</v>
      </c>
      <c r="E110" s="36">
        <v>4</v>
      </c>
      <c r="F110" s="36">
        <v>146</v>
      </c>
      <c r="G110" s="36">
        <v>584</v>
      </c>
      <c r="H110" s="36">
        <v>585</v>
      </c>
      <c r="I110" s="36">
        <v>587</v>
      </c>
      <c r="J110" s="36">
        <v>2</v>
      </c>
      <c r="K110" s="36">
        <v>360</v>
      </c>
      <c r="L110" s="36">
        <v>720</v>
      </c>
      <c r="M110" s="36">
        <v>0</v>
      </c>
      <c r="N110" s="36"/>
      <c r="O110" s="36"/>
      <c r="P110" s="36">
        <v>0</v>
      </c>
      <c r="Q110" s="36">
        <v>10000</v>
      </c>
      <c r="R110" s="36"/>
      <c r="S110" s="36">
        <f t="shared" si="6"/>
        <v>11304</v>
      </c>
      <c r="T110" s="25">
        <f t="shared" si="8"/>
        <v>0</v>
      </c>
      <c r="U110" s="25">
        <f t="shared" si="9"/>
        <v>11304</v>
      </c>
      <c r="V110" s="36">
        <v>11304</v>
      </c>
      <c r="W110" s="25">
        <f t="shared" si="7"/>
        <v>0</v>
      </c>
      <c r="Y110">
        <f t="shared" si="3"/>
        <v>0</v>
      </c>
    </row>
    <row r="111" spans="1:25" ht="15.75" hidden="1" thickBot="1" x14ac:dyDescent="0.3">
      <c r="A111" s="20"/>
      <c r="B111" s="21" t="s">
        <v>31</v>
      </c>
      <c r="C111" s="36">
        <v>1375</v>
      </c>
      <c r="D111" s="36">
        <v>1383</v>
      </c>
      <c r="E111" s="36">
        <v>8</v>
      </c>
      <c r="F111" s="36">
        <v>146</v>
      </c>
      <c r="G111" s="36">
        <v>1168</v>
      </c>
      <c r="H111" s="36">
        <v>587</v>
      </c>
      <c r="I111" s="36">
        <v>654</v>
      </c>
      <c r="J111" s="36">
        <v>67</v>
      </c>
      <c r="K111" s="36">
        <v>360</v>
      </c>
      <c r="L111" s="36">
        <v>24120</v>
      </c>
      <c r="M111" s="36">
        <v>0</v>
      </c>
      <c r="N111" s="36"/>
      <c r="O111" s="36"/>
      <c r="P111" s="36">
        <v>0</v>
      </c>
      <c r="Q111" s="36">
        <v>10000</v>
      </c>
      <c r="R111" s="36"/>
      <c r="S111" s="36">
        <f t="shared" si="6"/>
        <v>35288</v>
      </c>
      <c r="T111" s="25">
        <f t="shared" si="8"/>
        <v>0</v>
      </c>
      <c r="U111" s="25">
        <f t="shared" si="9"/>
        <v>35288</v>
      </c>
      <c r="V111" s="36">
        <v>35288</v>
      </c>
      <c r="W111" s="25">
        <f t="shared" si="7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32</v>
      </c>
      <c r="C112" s="36">
        <v>1383</v>
      </c>
      <c r="D112" s="36">
        <v>1389</v>
      </c>
      <c r="E112" s="36">
        <v>6</v>
      </c>
      <c r="F112" s="36">
        <v>146</v>
      </c>
      <c r="G112" s="36">
        <v>876</v>
      </c>
      <c r="H112" s="36">
        <v>654</v>
      </c>
      <c r="I112" s="36">
        <v>706</v>
      </c>
      <c r="J112" s="36">
        <v>52</v>
      </c>
      <c r="K112" s="36">
        <v>360</v>
      </c>
      <c r="L112" s="36">
        <v>18720</v>
      </c>
      <c r="M112" s="36">
        <v>0</v>
      </c>
      <c r="N112" s="36"/>
      <c r="O112" s="36"/>
      <c r="P112" s="36">
        <v>0</v>
      </c>
      <c r="Q112" s="36">
        <v>10000</v>
      </c>
      <c r="R112" s="36"/>
      <c r="S112" s="36">
        <f t="shared" si="6"/>
        <v>29596</v>
      </c>
      <c r="T112" s="25">
        <f t="shared" si="8"/>
        <v>0</v>
      </c>
      <c r="U112" s="25">
        <f t="shared" si="9"/>
        <v>29596</v>
      </c>
      <c r="V112" s="36">
        <v>29596</v>
      </c>
      <c r="W112" s="25">
        <f t="shared" si="7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33</v>
      </c>
      <c r="C113" s="36">
        <v>1389</v>
      </c>
      <c r="D113" s="36">
        <v>1412</v>
      </c>
      <c r="E113" s="36">
        <v>23</v>
      </c>
      <c r="F113" s="36">
        <v>146</v>
      </c>
      <c r="G113" s="36">
        <v>3358</v>
      </c>
      <c r="H113" s="36">
        <v>706</v>
      </c>
      <c r="I113" s="36">
        <v>752</v>
      </c>
      <c r="J113" s="36">
        <v>46</v>
      </c>
      <c r="K113" s="36">
        <v>360</v>
      </c>
      <c r="L113" s="36">
        <v>16560</v>
      </c>
      <c r="M113" s="36">
        <v>0</v>
      </c>
      <c r="N113" s="36"/>
      <c r="O113" s="36"/>
      <c r="P113" s="36">
        <v>0</v>
      </c>
      <c r="Q113" s="36">
        <v>10000</v>
      </c>
      <c r="R113" s="36"/>
      <c r="S113" s="36">
        <f t="shared" si="6"/>
        <v>29918</v>
      </c>
      <c r="T113" s="25">
        <f t="shared" si="8"/>
        <v>0</v>
      </c>
      <c r="U113" s="25">
        <f t="shared" si="9"/>
        <v>29918</v>
      </c>
      <c r="V113" s="36">
        <v>29918</v>
      </c>
      <c r="W113" s="25">
        <f t="shared" si="7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34</v>
      </c>
      <c r="C114" s="36">
        <v>1412</v>
      </c>
      <c r="D114" s="36">
        <v>1430</v>
      </c>
      <c r="E114" s="36">
        <v>18</v>
      </c>
      <c r="F114" s="36">
        <v>146</v>
      </c>
      <c r="G114" s="36">
        <v>2628</v>
      </c>
      <c r="H114" s="36">
        <v>752</v>
      </c>
      <c r="I114" s="36">
        <v>846</v>
      </c>
      <c r="J114" s="36">
        <v>94</v>
      </c>
      <c r="K114" s="36">
        <v>360</v>
      </c>
      <c r="L114" s="36">
        <v>33840</v>
      </c>
      <c r="M114" s="36">
        <v>0</v>
      </c>
      <c r="N114" s="36"/>
      <c r="O114" s="36"/>
      <c r="P114" s="36">
        <v>0</v>
      </c>
      <c r="Q114" s="36">
        <v>10000</v>
      </c>
      <c r="R114" s="36"/>
      <c r="S114" s="36">
        <f t="shared" si="6"/>
        <v>46468</v>
      </c>
      <c r="T114" s="25">
        <f t="shared" si="8"/>
        <v>0</v>
      </c>
      <c r="U114" s="25">
        <f t="shared" si="9"/>
        <v>46468</v>
      </c>
      <c r="V114" s="36">
        <v>46468</v>
      </c>
      <c r="W114" s="25">
        <f t="shared" si="7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1430</v>
      </c>
      <c r="D115" s="36">
        <v>1711</v>
      </c>
      <c r="E115" s="36">
        <v>281</v>
      </c>
      <c r="F115" s="36">
        <v>146</v>
      </c>
      <c r="G115" s="36">
        <v>41026</v>
      </c>
      <c r="H115" s="36">
        <v>846</v>
      </c>
      <c r="I115" s="36">
        <v>913</v>
      </c>
      <c r="J115" s="36">
        <v>67</v>
      </c>
      <c r="K115" s="36">
        <v>360</v>
      </c>
      <c r="L115" s="36">
        <v>24120</v>
      </c>
      <c r="M115" s="36">
        <v>0</v>
      </c>
      <c r="N115" s="36"/>
      <c r="O115" s="36"/>
      <c r="P115" s="36">
        <v>0</v>
      </c>
      <c r="Q115" s="36">
        <v>10000</v>
      </c>
      <c r="R115" s="36"/>
      <c r="S115" s="36">
        <f t="shared" si="6"/>
        <v>75146</v>
      </c>
      <c r="T115" s="25">
        <f t="shared" si="8"/>
        <v>0</v>
      </c>
      <c r="U115" s="25">
        <f t="shared" si="9"/>
        <v>75146</v>
      </c>
      <c r="V115" s="36">
        <v>75147</v>
      </c>
      <c r="W115" s="25">
        <f t="shared" si="7"/>
        <v>-1</v>
      </c>
      <c r="Y115">
        <f t="shared" si="3"/>
        <v>0</v>
      </c>
    </row>
    <row r="116" spans="1:25" ht="15.75" hidden="1" thickBot="1" x14ac:dyDescent="0.3">
      <c r="A116" s="20"/>
      <c r="B116" s="21" t="s">
        <v>24</v>
      </c>
      <c r="C116" s="36">
        <v>1711</v>
      </c>
      <c r="D116" s="36">
        <v>1946</v>
      </c>
      <c r="E116" s="36">
        <v>235</v>
      </c>
      <c r="F116" s="36">
        <v>146</v>
      </c>
      <c r="G116" s="36">
        <v>34310</v>
      </c>
      <c r="H116" s="36">
        <v>913</v>
      </c>
      <c r="I116" s="36">
        <v>984</v>
      </c>
      <c r="J116" s="36">
        <v>71</v>
      </c>
      <c r="K116" s="36">
        <v>360</v>
      </c>
      <c r="L116" s="36">
        <v>25560</v>
      </c>
      <c r="M116" s="36">
        <v>0</v>
      </c>
      <c r="N116" s="36"/>
      <c r="O116" s="36"/>
      <c r="P116" s="36">
        <v>0</v>
      </c>
      <c r="Q116" s="36">
        <v>10000</v>
      </c>
      <c r="R116" s="36"/>
      <c r="S116" s="36">
        <f t="shared" si="6"/>
        <v>69870</v>
      </c>
      <c r="T116" s="25">
        <f t="shared" si="8"/>
        <v>-1</v>
      </c>
      <c r="U116" s="25">
        <f t="shared" si="9"/>
        <v>69869</v>
      </c>
      <c r="V116" s="36">
        <v>69869</v>
      </c>
      <c r="W116" s="25">
        <f t="shared" si="7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25</v>
      </c>
      <c r="C117" s="36">
        <v>1946</v>
      </c>
      <c r="D117" s="36">
        <v>2182</v>
      </c>
      <c r="E117" s="36">
        <v>236</v>
      </c>
      <c r="F117" s="36">
        <v>146</v>
      </c>
      <c r="G117" s="36">
        <v>34456</v>
      </c>
      <c r="H117" s="36">
        <v>984</v>
      </c>
      <c r="I117" s="36">
        <v>1067</v>
      </c>
      <c r="J117" s="36">
        <v>83</v>
      </c>
      <c r="K117" s="36">
        <v>360</v>
      </c>
      <c r="L117" s="36">
        <v>29880</v>
      </c>
      <c r="M117" s="36">
        <v>0</v>
      </c>
      <c r="N117" s="36"/>
      <c r="O117" s="36"/>
      <c r="P117" s="36">
        <v>0</v>
      </c>
      <c r="Q117" s="36">
        <v>13197</v>
      </c>
      <c r="R117" s="36"/>
      <c r="S117" s="36">
        <f t="shared" si="6"/>
        <v>77533</v>
      </c>
      <c r="T117" s="25">
        <f t="shared" si="8"/>
        <v>0</v>
      </c>
      <c r="U117" s="25">
        <f t="shared" si="9"/>
        <v>77533</v>
      </c>
      <c r="V117" s="36">
        <v>77533</v>
      </c>
      <c r="W117" s="25">
        <f t="shared" si="7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26</v>
      </c>
      <c r="C118" s="36">
        <v>2182</v>
      </c>
      <c r="D118" s="36">
        <v>2317</v>
      </c>
      <c r="E118" s="36">
        <v>135</v>
      </c>
      <c r="F118" s="36">
        <v>146</v>
      </c>
      <c r="G118" s="36">
        <v>19710</v>
      </c>
      <c r="H118" s="36">
        <v>1067</v>
      </c>
      <c r="I118" s="36">
        <v>1137</v>
      </c>
      <c r="J118" s="36">
        <v>70</v>
      </c>
      <c r="K118" s="36">
        <v>360</v>
      </c>
      <c r="L118" s="36">
        <v>25200</v>
      </c>
      <c r="M118" s="36">
        <v>0</v>
      </c>
      <c r="N118" s="36"/>
      <c r="O118" s="36"/>
      <c r="P118" s="36">
        <v>0</v>
      </c>
      <c r="Q118" s="36">
        <v>13197</v>
      </c>
      <c r="R118" s="36"/>
      <c r="S118" s="36">
        <f t="shared" si="6"/>
        <v>58107</v>
      </c>
      <c r="T118" s="25">
        <f t="shared" si="8"/>
        <v>0</v>
      </c>
      <c r="U118" s="25">
        <f t="shared" si="9"/>
        <v>58107</v>
      </c>
      <c r="V118" s="36">
        <v>58107</v>
      </c>
      <c r="W118" s="25">
        <f t="shared" si="7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27</v>
      </c>
      <c r="C119" s="36">
        <v>2317</v>
      </c>
      <c r="D119" s="36">
        <v>2496</v>
      </c>
      <c r="E119" s="36">
        <v>179</v>
      </c>
      <c r="F119" s="36">
        <v>146</v>
      </c>
      <c r="G119" s="36">
        <v>26134</v>
      </c>
      <c r="H119" s="36">
        <v>1137</v>
      </c>
      <c r="I119" s="36">
        <v>1161</v>
      </c>
      <c r="J119" s="36">
        <v>24</v>
      </c>
      <c r="K119" s="36">
        <v>360</v>
      </c>
      <c r="L119" s="36">
        <v>8640</v>
      </c>
      <c r="M119" s="36">
        <v>0</v>
      </c>
      <c r="N119" s="36"/>
      <c r="O119" s="36"/>
      <c r="P119" s="36">
        <v>0</v>
      </c>
      <c r="Q119" s="36">
        <v>13197</v>
      </c>
      <c r="R119" s="36"/>
      <c r="S119" s="36">
        <f t="shared" si="6"/>
        <v>47971</v>
      </c>
      <c r="T119" s="25">
        <f t="shared" si="8"/>
        <v>0</v>
      </c>
      <c r="U119" s="25">
        <f t="shared" si="9"/>
        <v>47971</v>
      </c>
      <c r="V119" s="36">
        <v>47971</v>
      </c>
      <c r="W119" s="25">
        <f t="shared" si="7"/>
        <v>0</v>
      </c>
      <c r="Y119">
        <f t="shared" si="3"/>
        <v>0</v>
      </c>
    </row>
    <row r="120" spans="1:25" ht="15.75" hidden="1" thickBot="1" x14ac:dyDescent="0.3">
      <c r="A120" s="20"/>
      <c r="B120" s="21" t="s">
        <v>28</v>
      </c>
      <c r="C120" s="36">
        <v>2496</v>
      </c>
      <c r="D120" s="36">
        <v>2666</v>
      </c>
      <c r="E120" s="36">
        <v>170</v>
      </c>
      <c r="F120" s="36">
        <v>146</v>
      </c>
      <c r="G120" s="36">
        <v>24820</v>
      </c>
      <c r="H120" s="36">
        <v>1161</v>
      </c>
      <c r="I120" s="36">
        <v>1162</v>
      </c>
      <c r="J120" s="36">
        <v>1</v>
      </c>
      <c r="K120" s="36">
        <v>360</v>
      </c>
      <c r="L120" s="36">
        <v>360</v>
      </c>
      <c r="M120" s="36">
        <v>0</v>
      </c>
      <c r="N120" s="36"/>
      <c r="O120" s="36"/>
      <c r="P120" s="36">
        <v>0</v>
      </c>
      <c r="Q120" s="36">
        <v>13197</v>
      </c>
      <c r="R120" s="36"/>
      <c r="S120" s="36">
        <f t="shared" si="6"/>
        <v>38377</v>
      </c>
      <c r="T120" s="25">
        <f t="shared" si="8"/>
        <v>0</v>
      </c>
      <c r="U120" s="25">
        <f t="shared" si="9"/>
        <v>38377</v>
      </c>
      <c r="V120" s="36">
        <v>38377</v>
      </c>
      <c r="W120" s="25">
        <f t="shared" si="7"/>
        <v>0</v>
      </c>
      <c r="Y120">
        <f t="shared" si="3"/>
        <v>0</v>
      </c>
    </row>
    <row r="121" spans="1:25" ht="15.75" hidden="1" thickBot="1" x14ac:dyDescent="0.3">
      <c r="A121" s="20"/>
      <c r="B121" s="21" t="s">
        <v>29</v>
      </c>
      <c r="C121" s="36">
        <v>2666</v>
      </c>
      <c r="D121" s="36">
        <v>2831</v>
      </c>
      <c r="E121" s="36">
        <v>165</v>
      </c>
      <c r="F121" s="36">
        <v>146</v>
      </c>
      <c r="G121" s="36">
        <v>24090</v>
      </c>
      <c r="H121" s="36">
        <v>1162</v>
      </c>
      <c r="I121" s="36">
        <v>1163</v>
      </c>
      <c r="J121" s="36">
        <v>1</v>
      </c>
      <c r="K121" s="36">
        <v>360</v>
      </c>
      <c r="L121" s="36">
        <v>360</v>
      </c>
      <c r="M121" s="36">
        <v>0</v>
      </c>
      <c r="N121" s="36"/>
      <c r="O121" s="36"/>
      <c r="P121" s="36">
        <v>0</v>
      </c>
      <c r="Q121" s="36">
        <v>13197</v>
      </c>
      <c r="R121" s="36"/>
      <c r="S121" s="36">
        <f t="shared" si="6"/>
        <v>37647</v>
      </c>
      <c r="T121" s="25">
        <f t="shared" si="8"/>
        <v>0</v>
      </c>
      <c r="U121" s="25">
        <f t="shared" si="9"/>
        <v>37647</v>
      </c>
      <c r="V121" s="36">
        <v>37647</v>
      </c>
      <c r="W121" s="25">
        <f t="shared" si="7"/>
        <v>0</v>
      </c>
      <c r="Y121">
        <f t="shared" si="3"/>
        <v>0</v>
      </c>
    </row>
    <row r="122" spans="1:25" ht="15.75" hidden="1" thickBot="1" x14ac:dyDescent="0.3">
      <c r="A122" s="20"/>
      <c r="B122" s="21" t="s">
        <v>30</v>
      </c>
      <c r="C122" s="36">
        <v>2831</v>
      </c>
      <c r="D122" s="36">
        <v>3008</v>
      </c>
      <c r="E122" s="36">
        <v>177</v>
      </c>
      <c r="F122" s="36">
        <v>146</v>
      </c>
      <c r="G122" s="36">
        <v>25842</v>
      </c>
      <c r="H122" s="36">
        <v>1163</v>
      </c>
      <c r="I122" s="36">
        <v>1164</v>
      </c>
      <c r="J122" s="36">
        <v>1</v>
      </c>
      <c r="K122" s="36">
        <v>360</v>
      </c>
      <c r="L122" s="36">
        <v>360</v>
      </c>
      <c r="M122" s="36">
        <v>0</v>
      </c>
      <c r="N122" s="36"/>
      <c r="O122" s="36"/>
      <c r="P122" s="36">
        <v>0</v>
      </c>
      <c r="Q122" s="36">
        <v>13197</v>
      </c>
      <c r="R122" s="36"/>
      <c r="S122" s="36">
        <f t="shared" si="6"/>
        <v>39399</v>
      </c>
      <c r="T122" s="25">
        <f t="shared" si="8"/>
        <v>0</v>
      </c>
      <c r="U122" s="25">
        <f t="shared" si="9"/>
        <v>39399</v>
      </c>
      <c r="V122" s="36">
        <v>39399</v>
      </c>
      <c r="W122" s="25">
        <f t="shared" si="7"/>
        <v>0</v>
      </c>
      <c r="Y122">
        <f t="shared" si="3"/>
        <v>0</v>
      </c>
    </row>
    <row r="123" spans="1:25" ht="15.75" hidden="1" thickBot="1" x14ac:dyDescent="0.3">
      <c r="A123" s="20"/>
      <c r="B123" s="21" t="s">
        <v>31</v>
      </c>
      <c r="C123" s="36">
        <v>3008</v>
      </c>
      <c r="D123" s="36">
        <v>3129</v>
      </c>
      <c r="E123" s="36">
        <v>121</v>
      </c>
      <c r="F123" s="36">
        <v>146</v>
      </c>
      <c r="G123" s="36">
        <v>17666</v>
      </c>
      <c r="H123" s="36">
        <v>1164</v>
      </c>
      <c r="I123" s="36">
        <v>1174</v>
      </c>
      <c r="J123" s="36">
        <v>10</v>
      </c>
      <c r="K123" s="36">
        <v>360</v>
      </c>
      <c r="L123" s="36">
        <v>3600</v>
      </c>
      <c r="M123" s="36">
        <v>0</v>
      </c>
      <c r="N123" s="36"/>
      <c r="O123" s="36"/>
      <c r="P123" s="36">
        <v>0</v>
      </c>
      <c r="Q123" s="36">
        <v>13197</v>
      </c>
      <c r="R123" s="36"/>
      <c r="S123" s="36">
        <f t="shared" si="6"/>
        <v>34463</v>
      </c>
      <c r="T123" s="25">
        <f t="shared" si="8"/>
        <v>0</v>
      </c>
      <c r="U123" s="25">
        <f t="shared" si="9"/>
        <v>34463</v>
      </c>
      <c r="V123" s="36">
        <v>34463</v>
      </c>
      <c r="W123" s="25">
        <f t="shared" si="7"/>
        <v>0</v>
      </c>
      <c r="Y123">
        <f t="shared" si="3"/>
        <v>0</v>
      </c>
    </row>
    <row r="124" spans="1:25" ht="15.75" hidden="1" thickBot="1" x14ac:dyDescent="0.3">
      <c r="A124" s="20"/>
      <c r="B124" s="21" t="s">
        <v>32</v>
      </c>
      <c r="C124" s="36">
        <v>3129</v>
      </c>
      <c r="D124" s="36">
        <v>3254</v>
      </c>
      <c r="E124" s="36">
        <v>125</v>
      </c>
      <c r="F124" s="36">
        <v>146</v>
      </c>
      <c r="G124" s="36">
        <v>18250</v>
      </c>
      <c r="H124" s="36">
        <v>1174</v>
      </c>
      <c r="I124" s="36">
        <v>1215</v>
      </c>
      <c r="J124" s="36">
        <v>41</v>
      </c>
      <c r="K124" s="36">
        <v>360</v>
      </c>
      <c r="L124" s="36">
        <v>14760</v>
      </c>
      <c r="M124" s="36">
        <v>0</v>
      </c>
      <c r="N124" s="36"/>
      <c r="O124" s="36"/>
      <c r="P124" s="36">
        <v>0</v>
      </c>
      <c r="Q124" s="36">
        <v>13197</v>
      </c>
      <c r="R124" s="36"/>
      <c r="S124" s="36">
        <f t="shared" si="6"/>
        <v>46207</v>
      </c>
      <c r="T124" s="25">
        <f t="shared" si="8"/>
        <v>0</v>
      </c>
      <c r="U124" s="25">
        <f t="shared" si="9"/>
        <v>46207</v>
      </c>
      <c r="V124" s="36">
        <v>46207</v>
      </c>
      <c r="W124" s="25">
        <f t="shared" si="7"/>
        <v>0</v>
      </c>
      <c r="Y124">
        <f t="shared" si="3"/>
        <v>0</v>
      </c>
    </row>
    <row r="125" spans="1:25" ht="15.75" hidden="1" thickBot="1" x14ac:dyDescent="0.3">
      <c r="A125" s="20"/>
      <c r="B125" s="21" t="s">
        <v>33</v>
      </c>
      <c r="C125" s="36">
        <v>3254</v>
      </c>
      <c r="D125" s="36">
        <v>3430</v>
      </c>
      <c r="E125" s="36">
        <v>176</v>
      </c>
      <c r="F125" s="36">
        <v>146</v>
      </c>
      <c r="G125" s="36">
        <v>25696</v>
      </c>
      <c r="H125" s="36">
        <v>1215</v>
      </c>
      <c r="I125" s="36">
        <v>1241</v>
      </c>
      <c r="J125" s="36">
        <v>26</v>
      </c>
      <c r="K125" s="36">
        <v>360</v>
      </c>
      <c r="L125" s="36">
        <v>9360</v>
      </c>
      <c r="M125" s="36">
        <v>0</v>
      </c>
      <c r="N125" s="36"/>
      <c r="O125" s="36"/>
      <c r="P125" s="36">
        <v>0</v>
      </c>
      <c r="Q125" s="36">
        <v>13197</v>
      </c>
      <c r="R125" s="36"/>
      <c r="S125" s="36">
        <f t="shared" si="6"/>
        <v>48253</v>
      </c>
      <c r="T125" s="25">
        <f t="shared" si="8"/>
        <v>0</v>
      </c>
      <c r="U125" s="25">
        <f t="shared" si="9"/>
        <v>48253</v>
      </c>
      <c r="V125" s="36">
        <v>48253</v>
      </c>
      <c r="W125" s="25">
        <f t="shared" si="7"/>
        <v>0</v>
      </c>
      <c r="Y125">
        <f t="shared" si="3"/>
        <v>0</v>
      </c>
    </row>
    <row r="126" spans="1:25" ht="15.75" hidden="1" thickBot="1" x14ac:dyDescent="0.3">
      <c r="A126" s="20"/>
      <c r="B126" s="21" t="s">
        <v>34</v>
      </c>
      <c r="C126" s="36">
        <v>3430</v>
      </c>
      <c r="D126" s="36">
        <v>3615</v>
      </c>
      <c r="E126" s="36">
        <v>185</v>
      </c>
      <c r="F126" s="36">
        <v>146</v>
      </c>
      <c r="G126" s="36">
        <v>27010</v>
      </c>
      <c r="H126" s="36">
        <v>1241</v>
      </c>
      <c r="I126" s="36">
        <v>1277</v>
      </c>
      <c r="J126" s="36">
        <v>36</v>
      </c>
      <c r="K126" s="36">
        <v>360</v>
      </c>
      <c r="L126" s="36">
        <v>12960</v>
      </c>
      <c r="M126" s="36">
        <v>0</v>
      </c>
      <c r="N126" s="36"/>
      <c r="O126" s="36"/>
      <c r="P126" s="36">
        <v>0</v>
      </c>
      <c r="Q126" s="36">
        <v>13197</v>
      </c>
      <c r="R126" s="36"/>
      <c r="S126" s="36">
        <f t="shared" si="6"/>
        <v>53167</v>
      </c>
      <c r="T126" s="25">
        <f t="shared" si="8"/>
        <v>0</v>
      </c>
      <c r="U126" s="25">
        <f t="shared" si="9"/>
        <v>53167</v>
      </c>
      <c r="V126" s="36">
        <v>53167</v>
      </c>
      <c r="W126" s="25">
        <f t="shared" si="7"/>
        <v>0</v>
      </c>
      <c r="Y126">
        <f t="shared" si="3"/>
        <v>0</v>
      </c>
    </row>
    <row r="127" spans="1:25" ht="15.75" hidden="1" thickBot="1" x14ac:dyDescent="0.3">
      <c r="A127" s="20">
        <v>2013</v>
      </c>
      <c r="B127" s="21" t="s">
        <v>35</v>
      </c>
      <c r="C127" s="36">
        <v>3615</v>
      </c>
      <c r="D127" s="36">
        <v>3858</v>
      </c>
      <c r="E127" s="36">
        <v>243</v>
      </c>
      <c r="F127" s="36">
        <v>146</v>
      </c>
      <c r="G127" s="36">
        <v>35478</v>
      </c>
      <c r="H127" s="36">
        <v>1277</v>
      </c>
      <c r="I127" s="36">
        <v>1334</v>
      </c>
      <c r="J127" s="36">
        <v>57</v>
      </c>
      <c r="K127" s="36">
        <v>360</v>
      </c>
      <c r="L127" s="36">
        <v>20520</v>
      </c>
      <c r="M127" s="36">
        <v>0</v>
      </c>
      <c r="N127" s="36"/>
      <c r="O127" s="36"/>
      <c r="P127" s="36">
        <v>0</v>
      </c>
      <c r="Q127" s="36">
        <v>13393</v>
      </c>
      <c r="R127" s="36"/>
      <c r="S127" s="36">
        <f t="shared" si="6"/>
        <v>69391</v>
      </c>
      <c r="T127" s="25">
        <f t="shared" si="8"/>
        <v>0</v>
      </c>
      <c r="U127" s="25">
        <f t="shared" si="9"/>
        <v>69391</v>
      </c>
      <c r="V127" s="36">
        <v>69391</v>
      </c>
      <c r="W127" s="25">
        <f t="shared" si="7"/>
        <v>0</v>
      </c>
      <c r="Y127">
        <f t="shared" si="3"/>
        <v>0</v>
      </c>
    </row>
    <row r="128" spans="1:25" ht="15.75" hidden="1" thickBot="1" x14ac:dyDescent="0.3">
      <c r="A128" s="20"/>
      <c r="B128" s="21" t="s">
        <v>24</v>
      </c>
      <c r="C128" s="36">
        <v>3858</v>
      </c>
      <c r="D128" s="36">
        <v>4108</v>
      </c>
      <c r="E128" s="36">
        <v>250</v>
      </c>
      <c r="F128" s="36">
        <v>146</v>
      </c>
      <c r="G128" s="36">
        <v>36500</v>
      </c>
      <c r="H128" s="36">
        <v>1334</v>
      </c>
      <c r="I128" s="36">
        <v>1383</v>
      </c>
      <c r="J128" s="36">
        <v>49</v>
      </c>
      <c r="K128" s="36">
        <v>360</v>
      </c>
      <c r="L128" s="36">
        <v>17640</v>
      </c>
      <c r="M128" s="36">
        <v>0</v>
      </c>
      <c r="N128" s="36"/>
      <c r="O128" s="36"/>
      <c r="P128" s="36">
        <v>0</v>
      </c>
      <c r="Q128" s="36">
        <v>13393</v>
      </c>
      <c r="R128" s="36"/>
      <c r="S128" s="36">
        <f t="shared" si="6"/>
        <v>67533</v>
      </c>
      <c r="T128" s="25">
        <f t="shared" si="8"/>
        <v>0</v>
      </c>
      <c r="U128" s="25">
        <f t="shared" si="9"/>
        <v>67533</v>
      </c>
      <c r="V128" s="36">
        <v>67533</v>
      </c>
      <c r="W128" s="25">
        <f t="shared" si="7"/>
        <v>0</v>
      </c>
      <c r="Y128">
        <f t="shared" si="3"/>
        <v>0</v>
      </c>
    </row>
    <row r="129" spans="1:25" ht="15.75" hidden="1" thickBot="1" x14ac:dyDescent="0.3">
      <c r="A129" s="20"/>
      <c r="B129" s="21" t="s">
        <v>25</v>
      </c>
      <c r="C129" s="36">
        <v>4108</v>
      </c>
      <c r="D129" s="36">
        <v>4411</v>
      </c>
      <c r="E129" s="36">
        <v>303</v>
      </c>
      <c r="F129" s="36">
        <v>146</v>
      </c>
      <c r="G129" s="36">
        <v>44238</v>
      </c>
      <c r="H129" s="36">
        <v>1383</v>
      </c>
      <c r="I129" s="36">
        <v>1400</v>
      </c>
      <c r="J129" s="36">
        <v>17</v>
      </c>
      <c r="K129" s="36">
        <v>360</v>
      </c>
      <c r="L129" s="36">
        <v>6120</v>
      </c>
      <c r="M129" s="36">
        <v>0</v>
      </c>
      <c r="N129" s="36"/>
      <c r="O129" s="36"/>
      <c r="P129" s="36">
        <v>0</v>
      </c>
      <c r="Q129" s="36">
        <v>13393</v>
      </c>
      <c r="R129" s="36"/>
      <c r="S129" s="36">
        <f t="shared" si="6"/>
        <v>63751</v>
      </c>
      <c r="T129" s="25">
        <f t="shared" si="8"/>
        <v>0</v>
      </c>
      <c r="U129" s="25">
        <f t="shared" si="9"/>
        <v>63751</v>
      </c>
      <c r="V129" s="36">
        <v>63751</v>
      </c>
      <c r="W129" s="25">
        <f t="shared" si="7"/>
        <v>0</v>
      </c>
      <c r="Y129">
        <f t="shared" si="3"/>
        <v>0</v>
      </c>
    </row>
    <row r="130" spans="1:25" ht="15.75" hidden="1" thickBot="1" x14ac:dyDescent="0.3">
      <c r="A130" s="20"/>
      <c r="B130" s="21" t="s">
        <v>26</v>
      </c>
      <c r="C130" s="36">
        <v>4411</v>
      </c>
      <c r="D130" s="36">
        <v>4746</v>
      </c>
      <c r="E130" s="36">
        <v>335</v>
      </c>
      <c r="F130" s="36">
        <v>146</v>
      </c>
      <c r="G130" s="36">
        <v>48910</v>
      </c>
      <c r="H130" s="36">
        <v>1400</v>
      </c>
      <c r="I130" s="36">
        <v>1450</v>
      </c>
      <c r="J130" s="36">
        <v>50</v>
      </c>
      <c r="K130" s="36">
        <v>360</v>
      </c>
      <c r="L130" s="36">
        <v>18000</v>
      </c>
      <c r="M130" s="36">
        <v>0</v>
      </c>
      <c r="N130" s="36"/>
      <c r="O130" s="36"/>
      <c r="P130" s="36">
        <v>0</v>
      </c>
      <c r="Q130" s="36">
        <v>13393</v>
      </c>
      <c r="R130" s="36"/>
      <c r="S130" s="36">
        <f t="shared" si="6"/>
        <v>80303</v>
      </c>
      <c r="T130" s="25">
        <f t="shared" si="8"/>
        <v>0</v>
      </c>
      <c r="U130" s="25">
        <f t="shared" si="9"/>
        <v>80303</v>
      </c>
      <c r="V130" s="36">
        <v>80303</v>
      </c>
      <c r="W130" s="25">
        <f t="shared" si="7"/>
        <v>0</v>
      </c>
      <c r="Y130">
        <f t="shared" si="3"/>
        <v>0</v>
      </c>
    </row>
    <row r="131" spans="1:25" ht="15.75" hidden="1" thickBot="1" x14ac:dyDescent="0.3">
      <c r="A131" s="20"/>
      <c r="B131" s="21" t="s">
        <v>27</v>
      </c>
      <c r="C131" s="36">
        <v>4746</v>
      </c>
      <c r="D131" s="36">
        <v>5044</v>
      </c>
      <c r="E131" s="36">
        <v>298</v>
      </c>
      <c r="F131" s="36">
        <v>146</v>
      </c>
      <c r="G131" s="36">
        <v>43508</v>
      </c>
      <c r="H131" s="36">
        <v>1450</v>
      </c>
      <c r="I131" s="36">
        <v>1453</v>
      </c>
      <c r="J131" s="36">
        <v>3</v>
      </c>
      <c r="K131" s="36">
        <v>360</v>
      </c>
      <c r="L131" s="36">
        <v>1080</v>
      </c>
      <c r="M131" s="36">
        <v>0</v>
      </c>
      <c r="N131" s="36"/>
      <c r="O131" s="36"/>
      <c r="P131" s="36">
        <v>0</v>
      </c>
      <c r="Q131" s="36">
        <v>13393</v>
      </c>
      <c r="R131" s="36"/>
      <c r="S131" s="36">
        <f t="shared" si="6"/>
        <v>57981</v>
      </c>
      <c r="T131" s="25">
        <f t="shared" si="8"/>
        <v>0</v>
      </c>
      <c r="U131" s="25">
        <f t="shared" si="9"/>
        <v>57981</v>
      </c>
      <c r="V131" s="36">
        <v>57981</v>
      </c>
      <c r="W131" s="25">
        <f t="shared" si="7"/>
        <v>0</v>
      </c>
      <c r="Y131">
        <f t="shared" si="3"/>
        <v>0</v>
      </c>
    </row>
    <row r="132" spans="1:25" ht="15.75" hidden="1" thickBot="1" x14ac:dyDescent="0.3">
      <c r="A132" s="20"/>
      <c r="B132" s="21" t="s">
        <v>28</v>
      </c>
      <c r="C132" s="36">
        <v>5044</v>
      </c>
      <c r="D132" s="36">
        <v>5343</v>
      </c>
      <c r="E132" s="36">
        <v>299</v>
      </c>
      <c r="F132" s="36">
        <v>146</v>
      </c>
      <c r="G132" s="36">
        <v>43654</v>
      </c>
      <c r="H132" s="36">
        <v>1453</v>
      </c>
      <c r="I132" s="36">
        <v>1456</v>
      </c>
      <c r="J132" s="36">
        <v>3</v>
      </c>
      <c r="K132" s="36">
        <v>360</v>
      </c>
      <c r="L132" s="36">
        <v>1080</v>
      </c>
      <c r="M132" s="36">
        <v>0</v>
      </c>
      <c r="N132" s="36"/>
      <c r="O132" s="36"/>
      <c r="P132" s="36">
        <v>0</v>
      </c>
      <c r="Q132" s="36">
        <v>13393</v>
      </c>
      <c r="R132" s="36"/>
      <c r="S132" s="36">
        <f t="shared" si="6"/>
        <v>58127</v>
      </c>
      <c r="T132" s="25">
        <f t="shared" si="8"/>
        <v>0</v>
      </c>
      <c r="U132" s="25">
        <f t="shared" si="9"/>
        <v>58127</v>
      </c>
      <c r="V132" s="36">
        <v>58127</v>
      </c>
      <c r="W132" s="25">
        <f t="shared" si="7"/>
        <v>0</v>
      </c>
      <c r="Y132">
        <f t="shared" si="3"/>
        <v>0</v>
      </c>
    </row>
    <row r="133" spans="1:25" ht="15.75" hidden="1" thickBot="1" x14ac:dyDescent="0.3">
      <c r="A133" s="20"/>
      <c r="B133" s="21" t="s">
        <v>29</v>
      </c>
      <c r="C133" s="36">
        <v>5343</v>
      </c>
      <c r="D133" s="36">
        <v>5624</v>
      </c>
      <c r="E133" s="36">
        <v>281</v>
      </c>
      <c r="F133" s="36">
        <v>146</v>
      </c>
      <c r="G133" s="36">
        <v>41026</v>
      </c>
      <c r="H133" s="36">
        <v>1456</v>
      </c>
      <c r="I133" s="36">
        <v>1460</v>
      </c>
      <c r="J133" s="36">
        <v>4</v>
      </c>
      <c r="K133" s="36">
        <v>360</v>
      </c>
      <c r="L133" s="36">
        <v>1440</v>
      </c>
      <c r="M133" s="36">
        <v>0</v>
      </c>
      <c r="N133" s="36"/>
      <c r="O133" s="36"/>
      <c r="P133" s="36">
        <v>0</v>
      </c>
      <c r="Q133" s="36">
        <v>13393</v>
      </c>
      <c r="R133" s="36"/>
      <c r="S133" s="36">
        <f t="shared" si="6"/>
        <v>55859</v>
      </c>
      <c r="T133" s="25">
        <f t="shared" si="8"/>
        <v>0</v>
      </c>
      <c r="U133" s="25">
        <f t="shared" si="9"/>
        <v>55859</v>
      </c>
      <c r="V133" s="36">
        <v>55859</v>
      </c>
      <c r="W133" s="25">
        <f t="shared" si="7"/>
        <v>0</v>
      </c>
      <c r="Y133">
        <f t="shared" si="3"/>
        <v>0</v>
      </c>
    </row>
    <row r="134" spans="1:25" ht="15.75" hidden="1" thickBot="1" x14ac:dyDescent="0.3">
      <c r="A134" s="20"/>
      <c r="B134" s="21" t="s">
        <v>30</v>
      </c>
      <c r="C134" s="36">
        <v>5624</v>
      </c>
      <c r="D134" s="36">
        <v>5902</v>
      </c>
      <c r="E134" s="36">
        <v>278</v>
      </c>
      <c r="F134" s="36">
        <v>146</v>
      </c>
      <c r="G134" s="36">
        <v>40588</v>
      </c>
      <c r="H134" s="36">
        <v>1460</v>
      </c>
      <c r="I134" s="36">
        <v>1461</v>
      </c>
      <c r="J134" s="36">
        <v>1</v>
      </c>
      <c r="K134" s="36">
        <v>360</v>
      </c>
      <c r="L134" s="36">
        <v>360</v>
      </c>
      <c r="M134" s="36">
        <v>0</v>
      </c>
      <c r="N134" s="36"/>
      <c r="O134" s="36"/>
      <c r="P134" s="36">
        <v>0</v>
      </c>
      <c r="Q134" s="36">
        <v>13393</v>
      </c>
      <c r="R134" s="36"/>
      <c r="S134" s="36">
        <f t="shared" si="6"/>
        <v>54341</v>
      </c>
      <c r="T134" s="25">
        <f t="shared" si="8"/>
        <v>0</v>
      </c>
      <c r="U134" s="25">
        <f t="shared" si="9"/>
        <v>54341</v>
      </c>
      <c r="V134" s="36">
        <v>54341</v>
      </c>
      <c r="W134" s="25">
        <f t="shared" si="7"/>
        <v>0</v>
      </c>
      <c r="Y134">
        <f t="shared" si="3"/>
        <v>0</v>
      </c>
    </row>
    <row r="135" spans="1:25" ht="15.75" hidden="1" thickBot="1" x14ac:dyDescent="0.3">
      <c r="A135" s="20"/>
      <c r="B135" s="21" t="s">
        <v>31</v>
      </c>
      <c r="C135" s="36">
        <v>5902</v>
      </c>
      <c r="D135" s="36">
        <v>6176</v>
      </c>
      <c r="E135" s="36">
        <v>274</v>
      </c>
      <c r="F135" s="36">
        <v>146</v>
      </c>
      <c r="G135" s="36">
        <v>40004</v>
      </c>
      <c r="H135" s="36">
        <v>1461</v>
      </c>
      <c r="I135" s="36">
        <v>1470</v>
      </c>
      <c r="J135" s="36">
        <v>9</v>
      </c>
      <c r="K135" s="36">
        <v>360</v>
      </c>
      <c r="L135" s="36">
        <v>3240</v>
      </c>
      <c r="M135" s="36">
        <v>0</v>
      </c>
      <c r="N135" s="36"/>
      <c r="O135" s="36"/>
      <c r="P135" s="36">
        <v>0</v>
      </c>
      <c r="Q135" s="36">
        <v>13393</v>
      </c>
      <c r="R135" s="36"/>
      <c r="S135" s="36">
        <f t="shared" si="6"/>
        <v>56637</v>
      </c>
      <c r="T135" s="25">
        <f t="shared" si="8"/>
        <v>0</v>
      </c>
      <c r="U135" s="25">
        <f t="shared" si="9"/>
        <v>56637</v>
      </c>
      <c r="V135" s="36">
        <v>56637</v>
      </c>
      <c r="W135" s="25">
        <f t="shared" si="7"/>
        <v>0</v>
      </c>
      <c r="Y135">
        <f t="shared" si="3"/>
        <v>0</v>
      </c>
    </row>
    <row r="136" spans="1:25" ht="15.75" hidden="1" thickBot="1" x14ac:dyDescent="0.3">
      <c r="A136" s="20"/>
      <c r="B136" s="21" t="s">
        <v>32</v>
      </c>
      <c r="C136" s="36">
        <v>6176</v>
      </c>
      <c r="D136" s="36">
        <v>6464</v>
      </c>
      <c r="E136" s="36">
        <v>288</v>
      </c>
      <c r="F136" s="36">
        <v>146</v>
      </c>
      <c r="G136" s="36">
        <v>42048</v>
      </c>
      <c r="H136" s="36">
        <v>1470</v>
      </c>
      <c r="I136" s="36">
        <v>1506</v>
      </c>
      <c r="J136" s="36">
        <v>36</v>
      </c>
      <c r="K136" s="36">
        <v>360</v>
      </c>
      <c r="L136" s="36">
        <v>12960</v>
      </c>
      <c r="M136" s="36">
        <v>0</v>
      </c>
      <c r="N136" s="36"/>
      <c r="O136" s="36"/>
      <c r="P136" s="36">
        <v>0</v>
      </c>
      <c r="Q136" s="36">
        <v>13393</v>
      </c>
      <c r="R136" s="36"/>
      <c r="S136" s="36">
        <f t="shared" si="6"/>
        <v>68401</v>
      </c>
      <c r="T136" s="25">
        <f t="shared" si="8"/>
        <v>0</v>
      </c>
      <c r="U136" s="25">
        <f t="shared" si="9"/>
        <v>68401</v>
      </c>
      <c r="V136" s="36">
        <v>68401</v>
      </c>
      <c r="W136" s="25">
        <f t="shared" si="7"/>
        <v>0</v>
      </c>
      <c r="Y136">
        <f t="shared" si="3"/>
        <v>0</v>
      </c>
    </row>
    <row r="137" spans="1:25" ht="15.75" hidden="1" thickBot="1" x14ac:dyDescent="0.3">
      <c r="A137" s="20"/>
      <c r="B137" s="21" t="s">
        <v>33</v>
      </c>
      <c r="C137" s="36">
        <v>6464</v>
      </c>
      <c r="D137" s="36">
        <v>6717</v>
      </c>
      <c r="E137" s="36">
        <v>253</v>
      </c>
      <c r="F137" s="36">
        <v>146</v>
      </c>
      <c r="G137" s="36">
        <v>36938</v>
      </c>
      <c r="H137" s="36">
        <v>1506</v>
      </c>
      <c r="I137" s="36">
        <v>1565</v>
      </c>
      <c r="J137" s="36">
        <v>59</v>
      </c>
      <c r="K137" s="36">
        <v>360</v>
      </c>
      <c r="L137" s="36">
        <v>21240</v>
      </c>
      <c r="M137" s="36">
        <v>0</v>
      </c>
      <c r="N137" s="36"/>
      <c r="O137" s="36"/>
      <c r="P137" s="36">
        <v>0</v>
      </c>
      <c r="Q137" s="36">
        <v>13393</v>
      </c>
      <c r="R137" s="36"/>
      <c r="S137" s="36">
        <f t="shared" si="6"/>
        <v>71571</v>
      </c>
      <c r="T137" s="25">
        <f t="shared" si="8"/>
        <v>0</v>
      </c>
      <c r="U137" s="25">
        <f t="shared" si="9"/>
        <v>71571</v>
      </c>
      <c r="V137" s="36">
        <v>71571</v>
      </c>
      <c r="W137" s="25">
        <f t="shared" si="7"/>
        <v>0</v>
      </c>
      <c r="Y137">
        <f t="shared" ref="Y137:Y182" si="10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6717</v>
      </c>
      <c r="D138" s="36">
        <v>7069</v>
      </c>
      <c r="E138" s="36">
        <v>352</v>
      </c>
      <c r="F138" s="36">
        <v>146</v>
      </c>
      <c r="G138" s="36">
        <v>51392</v>
      </c>
      <c r="H138" s="36">
        <v>1565</v>
      </c>
      <c r="I138" s="36">
        <v>1624</v>
      </c>
      <c r="J138" s="36">
        <v>59</v>
      </c>
      <c r="K138" s="36">
        <v>360</v>
      </c>
      <c r="L138" s="36">
        <v>21240</v>
      </c>
      <c r="M138" s="36">
        <v>0</v>
      </c>
      <c r="N138" s="36"/>
      <c r="O138" s="36"/>
      <c r="P138" s="36">
        <v>0</v>
      </c>
      <c r="Q138" s="36">
        <v>13393</v>
      </c>
      <c r="R138" s="36"/>
      <c r="S138" s="36">
        <f t="shared" si="6"/>
        <v>86025</v>
      </c>
      <c r="T138" s="25">
        <f t="shared" si="8"/>
        <v>0</v>
      </c>
      <c r="U138" s="25">
        <f t="shared" si="9"/>
        <v>86025</v>
      </c>
      <c r="V138" s="36">
        <v>86025</v>
      </c>
      <c r="W138" s="25">
        <f t="shared" si="7"/>
        <v>0</v>
      </c>
      <c r="Y138">
        <f t="shared" si="10"/>
        <v>0</v>
      </c>
    </row>
    <row r="139" spans="1:25" ht="15.75" hidden="1" thickBot="1" x14ac:dyDescent="0.3">
      <c r="A139" s="20">
        <v>2014</v>
      </c>
      <c r="B139" s="21" t="s">
        <v>35</v>
      </c>
      <c r="C139" s="36">
        <v>7069</v>
      </c>
      <c r="D139" s="36">
        <v>7348</v>
      </c>
      <c r="E139" s="36">
        <v>279</v>
      </c>
      <c r="F139" s="36">
        <v>146</v>
      </c>
      <c r="G139" s="36">
        <v>40734</v>
      </c>
      <c r="H139" s="36">
        <v>1624</v>
      </c>
      <c r="I139" s="36">
        <v>1677</v>
      </c>
      <c r="J139" s="36">
        <v>53</v>
      </c>
      <c r="K139" s="36">
        <v>360</v>
      </c>
      <c r="L139" s="36">
        <v>19080</v>
      </c>
      <c r="M139" s="36">
        <v>0</v>
      </c>
      <c r="N139" s="36"/>
      <c r="O139" s="36"/>
      <c r="P139" s="36">
        <v>0</v>
      </c>
      <c r="Q139" s="36">
        <v>13797</v>
      </c>
      <c r="R139" s="36"/>
      <c r="S139" s="36">
        <f t="shared" si="6"/>
        <v>73611</v>
      </c>
      <c r="T139" s="25">
        <f t="shared" si="8"/>
        <v>0</v>
      </c>
      <c r="U139" s="25">
        <f t="shared" si="9"/>
        <v>73611</v>
      </c>
      <c r="V139" s="36">
        <v>73611</v>
      </c>
      <c r="W139" s="25">
        <f t="shared" si="7"/>
        <v>0</v>
      </c>
      <c r="Y139">
        <f t="shared" si="10"/>
        <v>0</v>
      </c>
    </row>
    <row r="140" spans="1:25" ht="15.75" hidden="1" thickBot="1" x14ac:dyDescent="0.3">
      <c r="A140" s="20"/>
      <c r="B140" s="21" t="s">
        <v>24</v>
      </c>
      <c r="C140" s="36">
        <v>7348</v>
      </c>
      <c r="D140" s="36">
        <v>7546</v>
      </c>
      <c r="E140" s="36">
        <v>198</v>
      </c>
      <c r="F140" s="36">
        <v>146</v>
      </c>
      <c r="G140" s="36">
        <v>28908</v>
      </c>
      <c r="H140" s="36">
        <v>1677</v>
      </c>
      <c r="I140" s="36">
        <v>1727</v>
      </c>
      <c r="J140" s="36">
        <v>50</v>
      </c>
      <c r="K140" s="36">
        <v>360</v>
      </c>
      <c r="L140" s="36">
        <v>18000</v>
      </c>
      <c r="M140" s="36">
        <v>0</v>
      </c>
      <c r="N140" s="36"/>
      <c r="O140" s="36"/>
      <c r="P140" s="36">
        <v>0</v>
      </c>
      <c r="Q140" s="36">
        <v>13797</v>
      </c>
      <c r="R140" s="36"/>
      <c r="S140" s="36">
        <f t="shared" si="6"/>
        <v>60705</v>
      </c>
      <c r="T140" s="25">
        <f t="shared" si="8"/>
        <v>0</v>
      </c>
      <c r="U140" s="25">
        <f t="shared" si="9"/>
        <v>60705</v>
      </c>
      <c r="V140" s="36">
        <v>60705</v>
      </c>
      <c r="W140" s="25">
        <f t="shared" si="7"/>
        <v>0</v>
      </c>
      <c r="Y140">
        <f t="shared" si="10"/>
        <v>0</v>
      </c>
    </row>
    <row r="141" spans="1:25" ht="15.75" hidden="1" thickBot="1" x14ac:dyDescent="0.3">
      <c r="A141" s="20"/>
      <c r="B141" s="21" t="s">
        <v>25</v>
      </c>
      <c r="C141" s="36">
        <v>7546</v>
      </c>
      <c r="D141" s="36">
        <v>7702</v>
      </c>
      <c r="E141" s="36">
        <v>156</v>
      </c>
      <c r="F141" s="36">
        <v>146</v>
      </c>
      <c r="G141" s="36">
        <v>22776</v>
      </c>
      <c r="H141" s="36">
        <v>1727</v>
      </c>
      <c r="I141" s="36">
        <v>1781</v>
      </c>
      <c r="J141" s="36">
        <v>54</v>
      </c>
      <c r="K141" s="36">
        <v>360</v>
      </c>
      <c r="L141" s="36">
        <v>19440</v>
      </c>
      <c r="M141" s="36">
        <v>0</v>
      </c>
      <c r="N141" s="36"/>
      <c r="O141" s="36"/>
      <c r="P141" s="36">
        <v>0</v>
      </c>
      <c r="Q141" s="36">
        <v>13797</v>
      </c>
      <c r="R141" s="36"/>
      <c r="S141" s="36">
        <f t="shared" si="6"/>
        <v>56013</v>
      </c>
      <c r="T141" s="25">
        <f t="shared" si="8"/>
        <v>0</v>
      </c>
      <c r="U141" s="25">
        <f t="shared" si="9"/>
        <v>56013</v>
      </c>
      <c r="V141" s="36">
        <v>56013</v>
      </c>
      <c r="W141" s="25">
        <f t="shared" si="7"/>
        <v>0</v>
      </c>
      <c r="Y141">
        <f t="shared" si="10"/>
        <v>0</v>
      </c>
    </row>
    <row r="142" spans="1:25" ht="15.75" hidden="1" thickBot="1" x14ac:dyDescent="0.3">
      <c r="A142" s="20"/>
      <c r="B142" s="21" t="s">
        <v>26</v>
      </c>
      <c r="C142" s="36">
        <v>7702</v>
      </c>
      <c r="D142" s="36">
        <v>7883</v>
      </c>
      <c r="E142" s="36">
        <v>181</v>
      </c>
      <c r="F142" s="36">
        <v>146</v>
      </c>
      <c r="G142" s="36">
        <v>26426</v>
      </c>
      <c r="H142" s="36">
        <v>1781</v>
      </c>
      <c r="I142" s="36">
        <v>1829</v>
      </c>
      <c r="J142" s="36">
        <v>48</v>
      </c>
      <c r="K142" s="36">
        <v>360</v>
      </c>
      <c r="L142" s="36">
        <v>17280</v>
      </c>
      <c r="M142" s="36">
        <v>0</v>
      </c>
      <c r="N142" s="36"/>
      <c r="O142" s="36"/>
      <c r="P142" s="36">
        <v>0</v>
      </c>
      <c r="Q142" s="36">
        <v>13797</v>
      </c>
      <c r="R142" s="36"/>
      <c r="S142" s="36">
        <f t="shared" si="6"/>
        <v>57503</v>
      </c>
      <c r="T142" s="25">
        <f t="shared" si="8"/>
        <v>0</v>
      </c>
      <c r="U142" s="25">
        <f t="shared" si="9"/>
        <v>57503</v>
      </c>
      <c r="V142" s="36">
        <v>57503</v>
      </c>
      <c r="W142" s="25">
        <f t="shared" si="7"/>
        <v>0</v>
      </c>
      <c r="Y142">
        <f t="shared" si="10"/>
        <v>0</v>
      </c>
    </row>
    <row r="143" spans="1:25" ht="15.75" hidden="1" thickBot="1" x14ac:dyDescent="0.3">
      <c r="A143" s="20"/>
      <c r="B143" s="21" t="s">
        <v>27</v>
      </c>
      <c r="C143" s="36">
        <v>7883</v>
      </c>
      <c r="D143" s="36">
        <v>8062</v>
      </c>
      <c r="E143" s="36">
        <v>179</v>
      </c>
      <c r="F143" s="36">
        <v>146</v>
      </c>
      <c r="G143" s="36">
        <v>26134</v>
      </c>
      <c r="H143" s="36">
        <v>1829</v>
      </c>
      <c r="I143" s="36">
        <v>1839</v>
      </c>
      <c r="J143" s="36">
        <v>10</v>
      </c>
      <c r="K143" s="36">
        <v>360</v>
      </c>
      <c r="L143" s="36">
        <v>3600</v>
      </c>
      <c r="M143" s="36">
        <v>0</v>
      </c>
      <c r="N143" s="36"/>
      <c r="O143" s="36">
        <v>92016</v>
      </c>
      <c r="P143" s="36">
        <v>0</v>
      </c>
      <c r="Q143" s="36">
        <v>13797</v>
      </c>
      <c r="R143" s="36"/>
      <c r="S143" s="36">
        <f t="shared" si="6"/>
        <v>135547</v>
      </c>
      <c r="T143" s="25">
        <f t="shared" si="8"/>
        <v>0</v>
      </c>
      <c r="U143" s="25">
        <f t="shared" si="9"/>
        <v>135547</v>
      </c>
      <c r="V143" s="36">
        <v>135547</v>
      </c>
      <c r="W143" s="25">
        <f t="shared" si="7"/>
        <v>0</v>
      </c>
      <c r="Y143">
        <f t="shared" si="10"/>
        <v>0</v>
      </c>
    </row>
    <row r="144" spans="1:25" ht="15.75" hidden="1" thickBot="1" x14ac:dyDescent="0.3">
      <c r="A144" s="20"/>
      <c r="B144" s="21" t="s">
        <v>28</v>
      </c>
      <c r="C144" s="36">
        <v>8062</v>
      </c>
      <c r="D144" s="36">
        <v>8252</v>
      </c>
      <c r="E144" s="36">
        <v>190</v>
      </c>
      <c r="F144" s="36">
        <v>146</v>
      </c>
      <c r="G144" s="36">
        <v>27740</v>
      </c>
      <c r="H144" s="36">
        <v>1839</v>
      </c>
      <c r="I144" s="36">
        <v>1855</v>
      </c>
      <c r="J144" s="36">
        <v>16</v>
      </c>
      <c r="K144" s="36">
        <v>360</v>
      </c>
      <c r="L144" s="36">
        <v>5760</v>
      </c>
      <c r="M144" s="36">
        <v>0</v>
      </c>
      <c r="N144" s="36"/>
      <c r="O144" s="36"/>
      <c r="P144" s="36">
        <v>0</v>
      </c>
      <c r="Q144" s="36">
        <v>13797</v>
      </c>
      <c r="R144" s="36"/>
      <c r="S144" s="36">
        <f t="shared" si="6"/>
        <v>47297</v>
      </c>
      <c r="T144" s="25">
        <f t="shared" si="8"/>
        <v>0</v>
      </c>
      <c r="U144" s="25">
        <f t="shared" si="9"/>
        <v>47297</v>
      </c>
      <c r="V144" s="36">
        <v>47297</v>
      </c>
      <c r="W144" s="25">
        <f t="shared" si="7"/>
        <v>0</v>
      </c>
      <c r="Y144">
        <f t="shared" si="10"/>
        <v>0</v>
      </c>
    </row>
    <row r="145" spans="1:25" ht="15.75" hidden="1" thickBot="1" x14ac:dyDescent="0.3">
      <c r="A145" s="20"/>
      <c r="B145" s="21" t="s">
        <v>29</v>
      </c>
      <c r="C145" s="36">
        <v>8252</v>
      </c>
      <c r="D145" s="36">
        <v>8404</v>
      </c>
      <c r="E145" s="36">
        <v>152</v>
      </c>
      <c r="F145" s="36">
        <v>146</v>
      </c>
      <c r="G145" s="36">
        <v>22192</v>
      </c>
      <c r="H145" s="36">
        <v>1855</v>
      </c>
      <c r="I145" s="36">
        <v>1882</v>
      </c>
      <c r="J145" s="36">
        <v>27</v>
      </c>
      <c r="K145" s="36">
        <v>360</v>
      </c>
      <c r="L145" s="36">
        <v>9720</v>
      </c>
      <c r="M145" s="36">
        <v>0</v>
      </c>
      <c r="N145" s="36"/>
      <c r="O145" s="36"/>
      <c r="P145" s="36">
        <v>0</v>
      </c>
      <c r="Q145" s="36">
        <v>13797</v>
      </c>
      <c r="R145" s="36"/>
      <c r="S145" s="36">
        <f t="shared" si="6"/>
        <v>45709</v>
      </c>
      <c r="T145" s="25">
        <f t="shared" si="8"/>
        <v>0</v>
      </c>
      <c r="U145" s="25">
        <f t="shared" si="9"/>
        <v>45709</v>
      </c>
      <c r="V145" s="36">
        <v>45709</v>
      </c>
      <c r="W145" s="25">
        <f t="shared" si="7"/>
        <v>0</v>
      </c>
      <c r="Y145">
        <f t="shared" si="10"/>
        <v>0</v>
      </c>
    </row>
    <row r="146" spans="1:25" ht="15.75" hidden="1" thickBot="1" x14ac:dyDescent="0.3">
      <c r="A146" s="20"/>
      <c r="B146" s="21" t="s">
        <v>30</v>
      </c>
      <c r="C146" s="36">
        <v>8404</v>
      </c>
      <c r="D146" s="36">
        <v>8545</v>
      </c>
      <c r="E146" s="36">
        <v>141</v>
      </c>
      <c r="F146" s="36">
        <v>146</v>
      </c>
      <c r="G146" s="36">
        <v>20586</v>
      </c>
      <c r="H146" s="36">
        <v>1882</v>
      </c>
      <c r="I146" s="36">
        <v>1899</v>
      </c>
      <c r="J146" s="36">
        <v>17</v>
      </c>
      <c r="K146" s="36">
        <v>360</v>
      </c>
      <c r="L146" s="36">
        <v>6120</v>
      </c>
      <c r="M146" s="36">
        <v>0</v>
      </c>
      <c r="N146" s="36"/>
      <c r="O146" s="36"/>
      <c r="P146" s="36">
        <v>0</v>
      </c>
      <c r="Q146" s="36">
        <v>13797</v>
      </c>
      <c r="R146" s="36"/>
      <c r="S146" s="36">
        <f t="shared" si="6"/>
        <v>40503</v>
      </c>
      <c r="T146" s="25">
        <f t="shared" si="8"/>
        <v>0</v>
      </c>
      <c r="U146" s="25">
        <f t="shared" si="9"/>
        <v>40503</v>
      </c>
      <c r="V146" s="36">
        <v>40503</v>
      </c>
      <c r="W146" s="25">
        <f t="shared" si="7"/>
        <v>0</v>
      </c>
      <c r="Y146">
        <f t="shared" si="10"/>
        <v>0</v>
      </c>
    </row>
    <row r="147" spans="1:25" ht="15.75" hidden="1" thickBot="1" x14ac:dyDescent="0.3">
      <c r="A147" s="20"/>
      <c r="B147" s="21" t="s">
        <v>31</v>
      </c>
      <c r="C147" s="36">
        <v>8545</v>
      </c>
      <c r="D147" s="36">
        <v>8704</v>
      </c>
      <c r="E147" s="36">
        <v>159</v>
      </c>
      <c r="F147" s="36">
        <v>146</v>
      </c>
      <c r="G147" s="36">
        <v>23214</v>
      </c>
      <c r="H147" s="36">
        <v>1899</v>
      </c>
      <c r="I147" s="36">
        <v>1899</v>
      </c>
      <c r="J147" s="36">
        <v>0</v>
      </c>
      <c r="K147" s="36"/>
      <c r="L147" s="36">
        <v>0</v>
      </c>
      <c r="M147" s="36">
        <v>0</v>
      </c>
      <c r="N147" s="36"/>
      <c r="O147" s="36"/>
      <c r="P147" s="36">
        <v>0</v>
      </c>
      <c r="Q147" s="36">
        <v>13797</v>
      </c>
      <c r="R147" s="36"/>
      <c r="S147" s="36">
        <f t="shared" si="6"/>
        <v>37011</v>
      </c>
      <c r="T147" s="25">
        <f t="shared" si="8"/>
        <v>0</v>
      </c>
      <c r="U147" s="25">
        <f t="shared" si="9"/>
        <v>37011</v>
      </c>
      <c r="V147" s="36">
        <v>37011</v>
      </c>
      <c r="W147" s="25">
        <f t="shared" si="7"/>
        <v>0</v>
      </c>
      <c r="Y147">
        <f t="shared" si="10"/>
        <v>0</v>
      </c>
    </row>
    <row r="148" spans="1:25" ht="15.75" hidden="1" thickBot="1" x14ac:dyDescent="0.3">
      <c r="A148" s="20"/>
      <c r="B148" s="21" t="s">
        <v>32</v>
      </c>
      <c r="C148" s="36">
        <v>8704</v>
      </c>
      <c r="D148" s="36">
        <v>8842</v>
      </c>
      <c r="E148" s="36">
        <v>138</v>
      </c>
      <c r="F148" s="36">
        <v>146</v>
      </c>
      <c r="G148" s="36">
        <v>20148</v>
      </c>
      <c r="H148" s="36">
        <v>1899</v>
      </c>
      <c r="I148" s="36">
        <v>1952</v>
      </c>
      <c r="J148" s="36">
        <v>53</v>
      </c>
      <c r="K148" s="36">
        <v>360</v>
      </c>
      <c r="L148" s="36">
        <v>19080</v>
      </c>
      <c r="M148" s="36">
        <v>0</v>
      </c>
      <c r="N148" s="36"/>
      <c r="O148" s="36"/>
      <c r="P148" s="36">
        <v>0</v>
      </c>
      <c r="Q148" s="36">
        <v>13797</v>
      </c>
      <c r="R148" s="36"/>
      <c r="S148" s="36">
        <f t="shared" si="6"/>
        <v>53025</v>
      </c>
      <c r="T148" s="25">
        <f t="shared" si="8"/>
        <v>0</v>
      </c>
      <c r="U148" s="25">
        <f t="shared" si="9"/>
        <v>53025</v>
      </c>
      <c r="V148" s="36">
        <v>53025</v>
      </c>
      <c r="W148" s="25">
        <f t="shared" si="7"/>
        <v>0</v>
      </c>
      <c r="Y148">
        <f t="shared" si="10"/>
        <v>0</v>
      </c>
    </row>
    <row r="149" spans="1:25" ht="15.75" hidden="1" thickBot="1" x14ac:dyDescent="0.3">
      <c r="A149" s="20"/>
      <c r="B149" s="21" t="s">
        <v>33</v>
      </c>
      <c r="C149" s="36">
        <v>8842</v>
      </c>
      <c r="D149" s="36">
        <v>8931</v>
      </c>
      <c r="E149" s="36">
        <v>89</v>
      </c>
      <c r="F149" s="36">
        <v>146</v>
      </c>
      <c r="G149" s="36">
        <v>12994</v>
      </c>
      <c r="H149" s="36">
        <v>1952</v>
      </c>
      <c r="I149" s="36">
        <v>2000</v>
      </c>
      <c r="J149" s="36">
        <v>48</v>
      </c>
      <c r="K149" s="36">
        <v>360</v>
      </c>
      <c r="L149" s="36">
        <v>17280</v>
      </c>
      <c r="M149" s="36">
        <v>0</v>
      </c>
      <c r="N149" s="36"/>
      <c r="O149" s="36"/>
      <c r="P149" s="36">
        <v>0</v>
      </c>
      <c r="Q149" s="36">
        <v>13797</v>
      </c>
      <c r="R149" s="36"/>
      <c r="S149" s="36">
        <f t="shared" si="6"/>
        <v>44071</v>
      </c>
      <c r="T149" s="25">
        <f t="shared" si="8"/>
        <v>0</v>
      </c>
      <c r="U149" s="25">
        <f t="shared" si="9"/>
        <v>44071</v>
      </c>
      <c r="V149" s="36">
        <v>53025</v>
      </c>
      <c r="W149" s="25">
        <f t="shared" si="7"/>
        <v>-8954</v>
      </c>
      <c r="Y149">
        <f t="shared" si="10"/>
        <v>0</v>
      </c>
    </row>
    <row r="150" spans="1:25" ht="15.75" hidden="1" thickBot="1" x14ac:dyDescent="0.3">
      <c r="A150" s="20"/>
      <c r="B150" s="21" t="s">
        <v>34</v>
      </c>
      <c r="C150" s="36">
        <v>8931</v>
      </c>
      <c r="D150" s="36">
        <v>8984</v>
      </c>
      <c r="E150" s="36">
        <v>53</v>
      </c>
      <c r="F150" s="36">
        <v>146</v>
      </c>
      <c r="G150" s="36">
        <v>7738</v>
      </c>
      <c r="H150" s="36">
        <v>2000</v>
      </c>
      <c r="I150" s="36">
        <v>2027</v>
      </c>
      <c r="J150" s="36">
        <v>27</v>
      </c>
      <c r="K150" s="36">
        <v>360</v>
      </c>
      <c r="L150" s="36">
        <v>9720</v>
      </c>
      <c r="M150" s="36">
        <v>0</v>
      </c>
      <c r="N150" s="36"/>
      <c r="O150" s="36">
        <v>18189</v>
      </c>
      <c r="P150" s="36">
        <v>0</v>
      </c>
      <c r="Q150" s="36">
        <v>13797</v>
      </c>
      <c r="R150" s="36"/>
      <c r="S150" s="36">
        <f t="shared" si="6"/>
        <v>49444</v>
      </c>
      <c r="T150" s="25">
        <f t="shared" si="8"/>
        <v>-8954</v>
      </c>
      <c r="U150" s="25">
        <f t="shared" si="9"/>
        <v>40490</v>
      </c>
      <c r="V150" s="36">
        <v>40490</v>
      </c>
      <c r="W150" s="25">
        <f t="shared" si="7"/>
        <v>0</v>
      </c>
      <c r="Y150">
        <f t="shared" si="10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8984</v>
      </c>
      <c r="D151" s="36">
        <v>9240</v>
      </c>
      <c r="E151" s="36">
        <v>256</v>
      </c>
      <c r="F151" s="36">
        <v>146</v>
      </c>
      <c r="G151" s="36">
        <v>37376</v>
      </c>
      <c r="H151" s="36">
        <v>2027</v>
      </c>
      <c r="I151" s="36">
        <v>2041</v>
      </c>
      <c r="J151" s="36">
        <v>14</v>
      </c>
      <c r="K151" s="36">
        <v>360</v>
      </c>
      <c r="L151" s="36">
        <v>5040</v>
      </c>
      <c r="M151" s="36">
        <v>0</v>
      </c>
      <c r="N151" s="36"/>
      <c r="O151" s="36">
        <v>20375</v>
      </c>
      <c r="P151" s="36">
        <v>0</v>
      </c>
      <c r="Q151" s="36">
        <v>14438</v>
      </c>
      <c r="R151" s="36"/>
      <c r="S151" s="36">
        <f t="shared" si="6"/>
        <v>77229</v>
      </c>
      <c r="T151" s="25">
        <f t="shared" si="8"/>
        <v>0</v>
      </c>
      <c r="U151" s="25">
        <f t="shared" si="9"/>
        <v>77229</v>
      </c>
      <c r="V151" s="36">
        <v>77229</v>
      </c>
      <c r="W151" s="25">
        <f t="shared" si="7"/>
        <v>0</v>
      </c>
      <c r="Y151">
        <f t="shared" si="10"/>
        <v>0</v>
      </c>
    </row>
    <row r="152" spans="1:25" ht="15.75" hidden="1" thickBot="1" x14ac:dyDescent="0.3">
      <c r="A152" s="20"/>
      <c r="B152" s="21" t="s">
        <v>24</v>
      </c>
      <c r="C152" s="36">
        <v>9240</v>
      </c>
      <c r="D152" s="36">
        <v>9648</v>
      </c>
      <c r="E152" s="36">
        <v>408</v>
      </c>
      <c r="F152" s="36">
        <v>146</v>
      </c>
      <c r="G152" s="36">
        <v>59568</v>
      </c>
      <c r="H152" s="36">
        <v>2041</v>
      </c>
      <c r="I152" s="36">
        <v>2098</v>
      </c>
      <c r="J152" s="36">
        <v>57</v>
      </c>
      <c r="K152" s="36">
        <v>360</v>
      </c>
      <c r="L152" s="36">
        <v>20520</v>
      </c>
      <c r="M152" s="36">
        <v>0</v>
      </c>
      <c r="N152" s="36"/>
      <c r="O152" s="36"/>
      <c r="P152" s="36">
        <v>0</v>
      </c>
      <c r="Q152" s="36">
        <v>14438</v>
      </c>
      <c r="R152" s="36"/>
      <c r="S152" s="36">
        <f t="shared" si="6"/>
        <v>94526</v>
      </c>
      <c r="T152" s="25">
        <f t="shared" si="8"/>
        <v>0</v>
      </c>
      <c r="U152" s="25">
        <f t="shared" si="9"/>
        <v>94526</v>
      </c>
      <c r="V152" s="36">
        <v>94526</v>
      </c>
      <c r="W152" s="25">
        <f t="shared" si="7"/>
        <v>0</v>
      </c>
      <c r="Y152">
        <f t="shared" si="10"/>
        <v>0</v>
      </c>
    </row>
    <row r="153" spans="1:25" ht="15.75" hidden="1" thickBot="1" x14ac:dyDescent="0.3">
      <c r="A153" s="20"/>
      <c r="B153" s="21" t="s">
        <v>25</v>
      </c>
      <c r="C153" s="36">
        <v>9648</v>
      </c>
      <c r="D153" s="36">
        <v>10284</v>
      </c>
      <c r="E153" s="36">
        <v>636</v>
      </c>
      <c r="F153" s="36">
        <v>146</v>
      </c>
      <c r="G153" s="36">
        <v>92856</v>
      </c>
      <c r="H153" s="36">
        <v>2098</v>
      </c>
      <c r="I153" s="36">
        <v>2115</v>
      </c>
      <c r="J153" s="36">
        <v>17</v>
      </c>
      <c r="K153" s="36">
        <v>360</v>
      </c>
      <c r="L153" s="36">
        <v>6120</v>
      </c>
      <c r="M153" s="36">
        <v>0</v>
      </c>
      <c r="N153" s="36"/>
      <c r="O153" s="36">
        <v>18375</v>
      </c>
      <c r="P153" s="36">
        <v>0</v>
      </c>
      <c r="Q153" s="36">
        <v>14438</v>
      </c>
      <c r="R153" s="36"/>
      <c r="S153" s="36">
        <f t="shared" si="6"/>
        <v>131789</v>
      </c>
      <c r="T153" s="25">
        <f t="shared" si="8"/>
        <v>0</v>
      </c>
      <c r="U153" s="25">
        <f t="shared" si="9"/>
        <v>131789</v>
      </c>
      <c r="V153" s="36">
        <v>131789</v>
      </c>
      <c r="W153" s="25">
        <f t="shared" si="7"/>
        <v>0</v>
      </c>
      <c r="Y153">
        <f t="shared" si="10"/>
        <v>0</v>
      </c>
    </row>
    <row r="154" spans="1:25" ht="15.75" hidden="1" thickBot="1" x14ac:dyDescent="0.3">
      <c r="A154" s="20"/>
      <c r="B154" s="21" t="s">
        <v>26</v>
      </c>
      <c r="C154" s="36">
        <v>10284</v>
      </c>
      <c r="D154" s="36">
        <v>10657</v>
      </c>
      <c r="E154" s="36">
        <v>373</v>
      </c>
      <c r="F154" s="36">
        <v>146</v>
      </c>
      <c r="G154" s="36">
        <v>54458</v>
      </c>
      <c r="H154" s="36">
        <v>2115</v>
      </c>
      <c r="I154" s="36">
        <v>2134</v>
      </c>
      <c r="J154" s="36">
        <v>19</v>
      </c>
      <c r="K154" s="36">
        <v>360</v>
      </c>
      <c r="L154" s="36">
        <v>6840</v>
      </c>
      <c r="M154" s="36">
        <v>0</v>
      </c>
      <c r="N154" s="36"/>
      <c r="O154" s="36">
        <v>3468</v>
      </c>
      <c r="P154" s="36">
        <v>0</v>
      </c>
      <c r="Q154" s="36">
        <v>14438</v>
      </c>
      <c r="R154" s="36"/>
      <c r="S154" s="36">
        <f t="shared" si="6"/>
        <v>79204</v>
      </c>
      <c r="T154" s="25">
        <f t="shared" si="8"/>
        <v>0</v>
      </c>
      <c r="U154" s="25">
        <f t="shared" si="9"/>
        <v>79204</v>
      </c>
      <c r="V154" s="36">
        <v>79204</v>
      </c>
      <c r="W154" s="25">
        <f t="shared" si="7"/>
        <v>0</v>
      </c>
      <c r="Y154">
        <f t="shared" si="10"/>
        <v>0</v>
      </c>
    </row>
    <row r="155" spans="1:25" ht="15.75" hidden="1" thickBot="1" x14ac:dyDescent="0.3">
      <c r="A155" s="20"/>
      <c r="B155" s="21" t="s">
        <v>27</v>
      </c>
      <c r="C155" s="36">
        <v>10657</v>
      </c>
      <c r="D155" s="36">
        <v>11068</v>
      </c>
      <c r="E155" s="36">
        <v>411</v>
      </c>
      <c r="F155" s="36">
        <v>146</v>
      </c>
      <c r="G155" s="36">
        <v>60006</v>
      </c>
      <c r="H155" s="36">
        <v>2134</v>
      </c>
      <c r="I155" s="36">
        <v>2141</v>
      </c>
      <c r="J155" s="36">
        <v>7</v>
      </c>
      <c r="K155" s="36">
        <v>360</v>
      </c>
      <c r="L155" s="36">
        <v>2520</v>
      </c>
      <c r="M155" s="36">
        <v>0</v>
      </c>
      <c r="N155" s="36"/>
      <c r="O155" s="36">
        <v>3468</v>
      </c>
      <c r="P155" s="36">
        <v>0</v>
      </c>
      <c r="Q155" s="36">
        <v>14438</v>
      </c>
      <c r="R155" s="36"/>
      <c r="S155" s="36">
        <f t="shared" si="6"/>
        <v>80432</v>
      </c>
      <c r="T155" s="25">
        <f t="shared" si="8"/>
        <v>0</v>
      </c>
      <c r="U155" s="25">
        <f t="shared" si="9"/>
        <v>80432</v>
      </c>
      <c r="V155" s="36">
        <v>80432</v>
      </c>
      <c r="W155" s="25">
        <f t="shared" si="7"/>
        <v>0</v>
      </c>
      <c r="Y155">
        <f t="shared" si="10"/>
        <v>0</v>
      </c>
    </row>
    <row r="156" spans="1:25" ht="15.75" hidden="1" thickBot="1" x14ac:dyDescent="0.3">
      <c r="A156" s="20"/>
      <c r="B156" s="21" t="s">
        <v>28</v>
      </c>
      <c r="C156" s="36">
        <v>11068</v>
      </c>
      <c r="D156" s="36">
        <v>11276</v>
      </c>
      <c r="E156" s="36">
        <v>208</v>
      </c>
      <c r="F156" s="36">
        <v>146</v>
      </c>
      <c r="G156" s="36">
        <v>30368</v>
      </c>
      <c r="H156" s="36">
        <v>2141</v>
      </c>
      <c r="I156" s="36">
        <v>2145</v>
      </c>
      <c r="J156" s="36">
        <v>4</v>
      </c>
      <c r="K156" s="36">
        <v>360</v>
      </c>
      <c r="L156" s="36">
        <v>1440</v>
      </c>
      <c r="M156" s="36">
        <v>0</v>
      </c>
      <c r="N156" s="36"/>
      <c r="O156" s="36">
        <v>3468</v>
      </c>
      <c r="P156" s="36">
        <v>0</v>
      </c>
      <c r="Q156" s="36">
        <v>14438</v>
      </c>
      <c r="R156" s="36"/>
      <c r="S156" s="36">
        <f t="shared" si="6"/>
        <v>49714</v>
      </c>
      <c r="T156" s="25">
        <f t="shared" si="8"/>
        <v>0</v>
      </c>
      <c r="U156" s="25">
        <f t="shared" si="9"/>
        <v>49714</v>
      </c>
      <c r="V156" s="36">
        <v>49714</v>
      </c>
      <c r="W156" s="25">
        <f t="shared" si="7"/>
        <v>0</v>
      </c>
      <c r="Y156">
        <f t="shared" si="10"/>
        <v>0</v>
      </c>
    </row>
    <row r="157" spans="1:25" ht="15.75" hidden="1" thickBot="1" x14ac:dyDescent="0.3">
      <c r="A157" s="20"/>
      <c r="B157" s="21" t="s">
        <v>29</v>
      </c>
      <c r="C157" s="36">
        <v>11276</v>
      </c>
      <c r="D157" s="36">
        <v>11492</v>
      </c>
      <c r="E157" s="36">
        <v>216</v>
      </c>
      <c r="F157" s="36">
        <v>146</v>
      </c>
      <c r="G157" s="36">
        <v>31536</v>
      </c>
      <c r="H157" s="36">
        <v>2145</v>
      </c>
      <c r="I157" s="36">
        <v>2166</v>
      </c>
      <c r="J157" s="36">
        <v>21</v>
      </c>
      <c r="K157" s="36">
        <v>360</v>
      </c>
      <c r="L157" s="36">
        <v>7560</v>
      </c>
      <c r="M157" s="36">
        <v>0</v>
      </c>
      <c r="N157" s="36"/>
      <c r="O157" s="36">
        <v>46183</v>
      </c>
      <c r="P157" s="36">
        <v>0</v>
      </c>
      <c r="Q157" s="36">
        <v>14438</v>
      </c>
      <c r="R157" s="36"/>
      <c r="S157" s="36">
        <f t="shared" si="6"/>
        <v>99717</v>
      </c>
      <c r="T157" s="25">
        <f t="shared" si="8"/>
        <v>0</v>
      </c>
      <c r="U157" s="25">
        <f t="shared" si="9"/>
        <v>99717</v>
      </c>
      <c r="V157" s="36">
        <v>99717</v>
      </c>
      <c r="W157" s="25">
        <f t="shared" si="7"/>
        <v>0</v>
      </c>
      <c r="Y157">
        <f t="shared" si="10"/>
        <v>0</v>
      </c>
    </row>
    <row r="158" spans="1:25" ht="15.75" hidden="1" thickBot="1" x14ac:dyDescent="0.3">
      <c r="A158" s="20"/>
      <c r="B158" s="21" t="s">
        <v>30</v>
      </c>
      <c r="C158" s="36">
        <v>11492</v>
      </c>
      <c r="D158" s="36">
        <v>11645</v>
      </c>
      <c r="E158" s="36">
        <v>153</v>
      </c>
      <c r="F158" s="36">
        <v>146</v>
      </c>
      <c r="G158" s="36">
        <v>22338</v>
      </c>
      <c r="H158" s="36">
        <v>2166</v>
      </c>
      <c r="I158" s="36">
        <v>2170</v>
      </c>
      <c r="J158" s="36">
        <v>4</v>
      </c>
      <c r="K158" s="36">
        <v>360</v>
      </c>
      <c r="L158" s="36">
        <v>1440</v>
      </c>
      <c r="M158" s="36">
        <v>0</v>
      </c>
      <c r="N158" s="36"/>
      <c r="O158" s="36">
        <v>3468</v>
      </c>
      <c r="P158" s="36">
        <v>0</v>
      </c>
      <c r="Q158" s="36">
        <v>14438</v>
      </c>
      <c r="R158" s="36"/>
      <c r="S158" s="36">
        <f t="shared" si="6"/>
        <v>41684</v>
      </c>
      <c r="T158" s="25">
        <f t="shared" si="8"/>
        <v>0</v>
      </c>
      <c r="U158" s="25">
        <f t="shared" si="9"/>
        <v>41684</v>
      </c>
      <c r="V158" s="36">
        <v>41684</v>
      </c>
      <c r="W158" s="25">
        <f t="shared" ref="W158:W185" si="11">U158-V158</f>
        <v>0</v>
      </c>
      <c r="Y158">
        <f t="shared" si="10"/>
        <v>0</v>
      </c>
    </row>
    <row r="159" spans="1:25" ht="15.75" hidden="1" thickBot="1" x14ac:dyDescent="0.3">
      <c r="A159" s="20"/>
      <c r="B159" s="21" t="s">
        <v>31</v>
      </c>
      <c r="C159" s="36">
        <v>11645</v>
      </c>
      <c r="D159" s="36">
        <v>11826</v>
      </c>
      <c r="E159" s="36">
        <v>181</v>
      </c>
      <c r="F159" s="36">
        <v>146</v>
      </c>
      <c r="G159" s="36">
        <v>26426</v>
      </c>
      <c r="H159" s="36">
        <v>2170</v>
      </c>
      <c r="I159" s="36">
        <v>2173</v>
      </c>
      <c r="J159" s="36">
        <v>3</v>
      </c>
      <c r="K159" s="36">
        <v>360</v>
      </c>
      <c r="L159" s="36">
        <v>1080</v>
      </c>
      <c r="M159" s="36">
        <v>0</v>
      </c>
      <c r="N159" s="36"/>
      <c r="O159" s="36"/>
      <c r="P159" s="36">
        <v>0</v>
      </c>
      <c r="Q159" s="36">
        <v>14438</v>
      </c>
      <c r="R159" s="36"/>
      <c r="S159" s="36">
        <f t="shared" si="6"/>
        <v>41944</v>
      </c>
      <c r="T159" s="25">
        <f t="shared" si="8"/>
        <v>0</v>
      </c>
      <c r="U159" s="25">
        <f t="shared" si="9"/>
        <v>41944</v>
      </c>
      <c r="V159" s="36">
        <v>41944</v>
      </c>
      <c r="W159" s="25">
        <f t="shared" si="11"/>
        <v>0</v>
      </c>
      <c r="Y159">
        <f t="shared" si="10"/>
        <v>0</v>
      </c>
    </row>
    <row r="160" spans="1:25" ht="15.75" hidden="1" thickBot="1" x14ac:dyDescent="0.3">
      <c r="A160" s="20"/>
      <c r="B160" s="21" t="s">
        <v>32</v>
      </c>
      <c r="C160" s="36">
        <v>11826</v>
      </c>
      <c r="D160" s="36">
        <v>12100</v>
      </c>
      <c r="E160" s="36">
        <v>274</v>
      </c>
      <c r="F160" s="36">
        <v>146</v>
      </c>
      <c r="G160" s="36">
        <v>40004</v>
      </c>
      <c r="H160" s="36">
        <v>2173</v>
      </c>
      <c r="I160" s="36">
        <v>2173</v>
      </c>
      <c r="J160" s="36">
        <v>0</v>
      </c>
      <c r="K160" s="36"/>
      <c r="L160" s="36">
        <v>0</v>
      </c>
      <c r="M160" s="36">
        <v>0</v>
      </c>
      <c r="N160" s="36"/>
      <c r="O160" s="36"/>
      <c r="P160" s="36">
        <v>0</v>
      </c>
      <c r="Q160" s="36">
        <v>14438</v>
      </c>
      <c r="R160" s="36"/>
      <c r="S160" s="36">
        <f t="shared" si="6"/>
        <v>54442</v>
      </c>
      <c r="T160" s="25">
        <f t="shared" si="8"/>
        <v>0</v>
      </c>
      <c r="U160" s="25">
        <f t="shared" si="9"/>
        <v>54442</v>
      </c>
      <c r="V160" s="36">
        <v>54442</v>
      </c>
      <c r="W160" s="25">
        <f t="shared" si="11"/>
        <v>0</v>
      </c>
      <c r="Y160">
        <f t="shared" si="10"/>
        <v>0</v>
      </c>
    </row>
    <row r="161" spans="1:25" ht="15.75" hidden="1" thickBot="1" x14ac:dyDescent="0.3">
      <c r="A161" s="20"/>
      <c r="B161" s="21" t="s">
        <v>33</v>
      </c>
      <c r="C161" s="36">
        <v>12100</v>
      </c>
      <c r="D161" s="36">
        <v>12380</v>
      </c>
      <c r="E161" s="36">
        <v>280</v>
      </c>
      <c r="F161" s="36">
        <v>146</v>
      </c>
      <c r="G161" s="36">
        <v>40880</v>
      </c>
      <c r="H161" s="36">
        <v>2173</v>
      </c>
      <c r="I161" s="36">
        <v>2174</v>
      </c>
      <c r="J161" s="36">
        <v>1</v>
      </c>
      <c r="K161" s="36">
        <v>360</v>
      </c>
      <c r="L161" s="36">
        <v>360</v>
      </c>
      <c r="M161" s="36">
        <v>0</v>
      </c>
      <c r="N161" s="36"/>
      <c r="O161" s="36"/>
      <c r="P161" s="36">
        <v>0</v>
      </c>
      <c r="Q161" s="36">
        <v>14438</v>
      </c>
      <c r="R161" s="36"/>
      <c r="S161" s="36">
        <f t="shared" si="6"/>
        <v>55678</v>
      </c>
      <c r="T161" s="25">
        <f t="shared" si="8"/>
        <v>0</v>
      </c>
      <c r="U161" s="25">
        <f t="shared" si="9"/>
        <v>55678</v>
      </c>
      <c r="V161" s="36">
        <v>55678</v>
      </c>
      <c r="W161" s="25">
        <f t="shared" si="11"/>
        <v>0</v>
      </c>
      <c r="Y161">
        <f t="shared" si="10"/>
        <v>0</v>
      </c>
    </row>
    <row r="162" spans="1:25" ht="15.75" hidden="1" thickBot="1" x14ac:dyDescent="0.3">
      <c r="A162" s="20"/>
      <c r="B162" s="21" t="s">
        <v>34</v>
      </c>
      <c r="C162" s="36">
        <v>12380</v>
      </c>
      <c r="D162" s="36">
        <v>12792</v>
      </c>
      <c r="E162" s="36">
        <v>412</v>
      </c>
      <c r="F162" s="36">
        <v>146</v>
      </c>
      <c r="G162" s="36">
        <v>60152</v>
      </c>
      <c r="H162" s="36">
        <v>2174</v>
      </c>
      <c r="I162" s="36">
        <v>2186</v>
      </c>
      <c r="J162" s="36">
        <v>12</v>
      </c>
      <c r="K162" s="36">
        <v>360</v>
      </c>
      <c r="L162" s="36">
        <v>4320</v>
      </c>
      <c r="M162" s="36">
        <v>0</v>
      </c>
      <c r="N162" s="36"/>
      <c r="O162" s="36"/>
      <c r="P162" s="36">
        <v>0</v>
      </c>
      <c r="Q162" s="36">
        <v>14438</v>
      </c>
      <c r="R162" s="36"/>
      <c r="S162" s="36">
        <f t="shared" ref="S162:S185" si="12">G162+L162+M162+N162+O162+P162+Q162+R162</f>
        <v>78910</v>
      </c>
      <c r="T162" s="25">
        <f t="shared" ref="T162:T185" si="13">W161</f>
        <v>0</v>
      </c>
      <c r="U162" s="25">
        <f t="shared" ref="U162:U185" si="14">S162+T162</f>
        <v>78910</v>
      </c>
      <c r="V162" s="36">
        <v>78910</v>
      </c>
      <c r="W162" s="25">
        <f t="shared" si="11"/>
        <v>0</v>
      </c>
      <c r="Y162">
        <f t="shared" si="10"/>
        <v>0</v>
      </c>
    </row>
    <row r="163" spans="1:25" ht="15.75" hidden="1" thickBot="1" x14ac:dyDescent="0.3">
      <c r="A163" s="20">
        <v>2016</v>
      </c>
      <c r="B163" s="21" t="s">
        <v>35</v>
      </c>
      <c r="C163" s="36">
        <v>12792</v>
      </c>
      <c r="D163" s="36">
        <v>13195</v>
      </c>
      <c r="E163" s="36">
        <v>403</v>
      </c>
      <c r="F163" s="36">
        <v>146</v>
      </c>
      <c r="G163" s="36">
        <v>58838</v>
      </c>
      <c r="H163" s="36">
        <v>2186</v>
      </c>
      <c r="I163" s="36">
        <v>2188</v>
      </c>
      <c r="J163" s="36">
        <v>2</v>
      </c>
      <c r="K163" s="36">
        <v>360</v>
      </c>
      <c r="L163" s="36">
        <v>720</v>
      </c>
      <c r="M163" s="36">
        <v>0</v>
      </c>
      <c r="N163" s="36"/>
      <c r="O163" s="36"/>
      <c r="P163" s="36">
        <v>0</v>
      </c>
      <c r="Q163" s="36">
        <v>15073</v>
      </c>
      <c r="R163" s="36"/>
      <c r="S163" s="36">
        <f t="shared" si="12"/>
        <v>74631</v>
      </c>
      <c r="T163" s="25">
        <f t="shared" si="13"/>
        <v>0</v>
      </c>
      <c r="U163" s="25">
        <f t="shared" si="14"/>
        <v>74631</v>
      </c>
      <c r="V163" s="36">
        <v>74631</v>
      </c>
      <c r="W163" s="25">
        <f t="shared" si="11"/>
        <v>0</v>
      </c>
      <c r="Y163">
        <f t="shared" si="10"/>
        <v>0</v>
      </c>
    </row>
    <row r="164" spans="1:25" ht="15.75" hidden="1" thickBot="1" x14ac:dyDescent="0.3">
      <c r="A164" s="20"/>
      <c r="B164" s="21" t="s">
        <v>24</v>
      </c>
      <c r="C164" s="36">
        <v>13195</v>
      </c>
      <c r="D164" s="36">
        <v>13574</v>
      </c>
      <c r="E164" s="36">
        <v>379</v>
      </c>
      <c r="F164" s="36">
        <v>146</v>
      </c>
      <c r="G164" s="36">
        <v>55334</v>
      </c>
      <c r="H164" s="36">
        <v>2188</v>
      </c>
      <c r="I164" s="36">
        <v>2216</v>
      </c>
      <c r="J164" s="36">
        <v>28</v>
      </c>
      <c r="K164" s="36">
        <v>360</v>
      </c>
      <c r="L164" s="36">
        <v>10080</v>
      </c>
      <c r="M164" s="36">
        <v>0</v>
      </c>
      <c r="N164" s="36"/>
      <c r="O164" s="36">
        <v>39445</v>
      </c>
      <c r="P164" s="36">
        <v>0</v>
      </c>
      <c r="Q164" s="36">
        <v>15073</v>
      </c>
      <c r="R164" s="36"/>
      <c r="S164" s="36">
        <f t="shared" si="12"/>
        <v>119932</v>
      </c>
      <c r="T164" s="25">
        <f t="shared" si="13"/>
        <v>0</v>
      </c>
      <c r="U164" s="25">
        <f t="shared" si="14"/>
        <v>119932</v>
      </c>
      <c r="V164" s="36">
        <v>119932</v>
      </c>
      <c r="W164" s="25">
        <f t="shared" si="11"/>
        <v>0</v>
      </c>
      <c r="Y164">
        <f t="shared" si="10"/>
        <v>0</v>
      </c>
    </row>
    <row r="165" spans="1:25" ht="15.75" hidden="1" thickBot="1" x14ac:dyDescent="0.3">
      <c r="A165" s="20"/>
      <c r="B165" s="21" t="s">
        <v>25</v>
      </c>
      <c r="C165" s="36">
        <v>13574</v>
      </c>
      <c r="D165" s="36">
        <v>14032</v>
      </c>
      <c r="E165" s="36">
        <v>458</v>
      </c>
      <c r="F165" s="36">
        <v>146</v>
      </c>
      <c r="G165" s="36">
        <v>66868</v>
      </c>
      <c r="H165" s="36">
        <v>2216</v>
      </c>
      <c r="I165" s="36">
        <v>2233</v>
      </c>
      <c r="J165" s="36">
        <v>17</v>
      </c>
      <c r="K165" s="36">
        <v>360</v>
      </c>
      <c r="L165" s="36">
        <v>6120</v>
      </c>
      <c r="M165" s="36">
        <v>0</v>
      </c>
      <c r="N165" s="36"/>
      <c r="O165" s="36"/>
      <c r="P165" s="36">
        <v>0</v>
      </c>
      <c r="Q165" s="36">
        <v>15073</v>
      </c>
      <c r="R165" s="36"/>
      <c r="S165" s="36">
        <f t="shared" si="12"/>
        <v>88061</v>
      </c>
      <c r="T165" s="25">
        <f t="shared" si="13"/>
        <v>0</v>
      </c>
      <c r="U165" s="25">
        <f t="shared" si="14"/>
        <v>88061</v>
      </c>
      <c r="V165" s="36">
        <v>88061</v>
      </c>
      <c r="W165" s="25">
        <f t="shared" si="11"/>
        <v>0</v>
      </c>
      <c r="Y165">
        <f t="shared" si="10"/>
        <v>0</v>
      </c>
    </row>
    <row r="166" spans="1:25" ht="15.75" hidden="1" thickBot="1" x14ac:dyDescent="0.3">
      <c r="A166" s="20"/>
      <c r="B166" s="21" t="s">
        <v>26</v>
      </c>
      <c r="C166" s="36">
        <v>14032</v>
      </c>
      <c r="D166" s="36">
        <v>14352</v>
      </c>
      <c r="E166" s="36">
        <v>320</v>
      </c>
      <c r="F166" s="36">
        <v>146</v>
      </c>
      <c r="G166" s="36">
        <v>46720</v>
      </c>
      <c r="H166" s="36">
        <v>2233</v>
      </c>
      <c r="I166" s="36">
        <v>2233</v>
      </c>
      <c r="J166" s="36">
        <v>0</v>
      </c>
      <c r="K166" s="36">
        <v>360</v>
      </c>
      <c r="L166" s="36">
        <v>0</v>
      </c>
      <c r="M166" s="36">
        <v>0</v>
      </c>
      <c r="N166" s="36"/>
      <c r="O166" s="36"/>
      <c r="P166" s="36">
        <v>0</v>
      </c>
      <c r="Q166" s="36">
        <v>15073</v>
      </c>
      <c r="R166" s="36"/>
      <c r="S166" s="36">
        <f t="shared" si="12"/>
        <v>61793</v>
      </c>
      <c r="T166" s="25">
        <f t="shared" si="13"/>
        <v>0</v>
      </c>
      <c r="U166" s="25">
        <f t="shared" si="14"/>
        <v>61793</v>
      </c>
      <c r="V166" s="36">
        <v>61793</v>
      </c>
      <c r="W166" s="25">
        <f t="shared" si="11"/>
        <v>0</v>
      </c>
      <c r="Y166">
        <f t="shared" si="10"/>
        <v>0</v>
      </c>
    </row>
    <row r="167" spans="1:25" ht="15.75" hidden="1" thickBot="1" x14ac:dyDescent="0.3">
      <c r="A167" s="20"/>
      <c r="B167" s="21" t="s">
        <v>27</v>
      </c>
      <c r="C167" s="36">
        <v>14352</v>
      </c>
      <c r="D167" s="36">
        <v>14552</v>
      </c>
      <c r="E167" s="36">
        <v>200</v>
      </c>
      <c r="F167" s="36">
        <v>146</v>
      </c>
      <c r="G167" s="36">
        <v>29200</v>
      </c>
      <c r="H167" s="36">
        <v>2233</v>
      </c>
      <c r="I167" s="36">
        <v>2236</v>
      </c>
      <c r="J167" s="36">
        <v>3</v>
      </c>
      <c r="K167" s="36">
        <v>360</v>
      </c>
      <c r="L167" s="36">
        <v>1080</v>
      </c>
      <c r="M167" s="36">
        <v>0</v>
      </c>
      <c r="N167" s="36"/>
      <c r="O167" s="36"/>
      <c r="P167" s="36">
        <v>0</v>
      </c>
      <c r="Q167" s="36">
        <v>15073</v>
      </c>
      <c r="R167" s="36"/>
      <c r="S167" s="36">
        <f t="shared" si="12"/>
        <v>45353</v>
      </c>
      <c r="T167" s="25">
        <f t="shared" si="13"/>
        <v>0</v>
      </c>
      <c r="U167" s="25">
        <f t="shared" si="14"/>
        <v>45353</v>
      </c>
      <c r="V167" s="36">
        <v>45353</v>
      </c>
      <c r="W167" s="25">
        <f t="shared" si="11"/>
        <v>0</v>
      </c>
      <c r="Y167">
        <f t="shared" si="10"/>
        <v>0</v>
      </c>
    </row>
    <row r="168" spans="1:25" ht="15.75" hidden="1" thickBot="1" x14ac:dyDescent="0.3">
      <c r="A168" s="20"/>
      <c r="B168" s="21" t="s">
        <v>28</v>
      </c>
      <c r="C168" s="36">
        <v>14552</v>
      </c>
      <c r="D168" s="36">
        <v>14797</v>
      </c>
      <c r="E168" s="36">
        <v>245</v>
      </c>
      <c r="F168" s="36">
        <v>146</v>
      </c>
      <c r="G168" s="36">
        <v>35770</v>
      </c>
      <c r="H168" s="36">
        <v>2236</v>
      </c>
      <c r="I168" s="36">
        <v>2237</v>
      </c>
      <c r="J168" s="36">
        <v>1</v>
      </c>
      <c r="K168" s="36">
        <v>360</v>
      </c>
      <c r="L168" s="36">
        <v>360</v>
      </c>
      <c r="M168" s="36">
        <v>0</v>
      </c>
      <c r="N168" s="36"/>
      <c r="O168" s="36"/>
      <c r="P168" s="36">
        <v>0</v>
      </c>
      <c r="Q168" s="36">
        <v>15073</v>
      </c>
      <c r="R168" s="36"/>
      <c r="S168" s="36">
        <f t="shared" si="12"/>
        <v>51203</v>
      </c>
      <c r="T168" s="25">
        <f t="shared" si="13"/>
        <v>0</v>
      </c>
      <c r="U168" s="25">
        <f t="shared" si="14"/>
        <v>51203</v>
      </c>
      <c r="V168" s="36">
        <v>51203</v>
      </c>
      <c r="W168" s="25">
        <f t="shared" si="11"/>
        <v>0</v>
      </c>
      <c r="Y168">
        <f t="shared" si="10"/>
        <v>0</v>
      </c>
    </row>
    <row r="169" spans="1:25" ht="15.75" hidden="1" thickBot="1" x14ac:dyDescent="0.3">
      <c r="A169" s="20"/>
      <c r="B169" s="21" t="s">
        <v>29</v>
      </c>
      <c r="C169" s="36">
        <v>14797</v>
      </c>
      <c r="D169" s="36">
        <v>14966</v>
      </c>
      <c r="E169" s="36">
        <v>169</v>
      </c>
      <c r="F169" s="36">
        <v>146</v>
      </c>
      <c r="G169" s="36">
        <v>24674</v>
      </c>
      <c r="H169" s="36">
        <v>2237</v>
      </c>
      <c r="I169" s="36">
        <v>2237</v>
      </c>
      <c r="J169" s="36">
        <v>0</v>
      </c>
      <c r="K169" s="36"/>
      <c r="L169" s="36">
        <v>0</v>
      </c>
      <c r="M169" s="36">
        <v>0</v>
      </c>
      <c r="N169" s="36"/>
      <c r="O169" s="36">
        <v>5117</v>
      </c>
      <c r="P169" s="36">
        <v>0</v>
      </c>
      <c r="Q169" s="36">
        <v>15073</v>
      </c>
      <c r="R169" s="36"/>
      <c r="S169" s="36">
        <f t="shared" si="12"/>
        <v>44864</v>
      </c>
      <c r="T169" s="25">
        <f t="shared" si="13"/>
        <v>0</v>
      </c>
      <c r="U169" s="25">
        <f t="shared" si="14"/>
        <v>44864</v>
      </c>
      <c r="V169" s="36">
        <v>44864</v>
      </c>
      <c r="W169" s="25">
        <f t="shared" si="11"/>
        <v>0</v>
      </c>
      <c r="Y169">
        <f t="shared" si="10"/>
        <v>0</v>
      </c>
    </row>
    <row r="170" spans="1:25" ht="15.75" hidden="1" thickBot="1" x14ac:dyDescent="0.3">
      <c r="A170" s="20"/>
      <c r="B170" s="21" t="s">
        <v>30</v>
      </c>
      <c r="C170" s="36">
        <v>14966</v>
      </c>
      <c r="D170" s="36">
        <v>15221</v>
      </c>
      <c r="E170" s="36">
        <v>255</v>
      </c>
      <c r="F170" s="36">
        <v>146</v>
      </c>
      <c r="G170" s="36">
        <v>37230</v>
      </c>
      <c r="H170" s="36">
        <v>2237</v>
      </c>
      <c r="I170" s="36">
        <v>2238</v>
      </c>
      <c r="J170" s="36">
        <v>1</v>
      </c>
      <c r="K170" s="36">
        <v>360</v>
      </c>
      <c r="L170" s="36">
        <v>360</v>
      </c>
      <c r="M170" s="36">
        <v>0</v>
      </c>
      <c r="N170" s="36"/>
      <c r="O170" s="36">
        <v>125448</v>
      </c>
      <c r="P170" s="36">
        <v>0</v>
      </c>
      <c r="Q170" s="36">
        <v>15073</v>
      </c>
      <c r="R170" s="36"/>
      <c r="S170" s="36">
        <f t="shared" si="12"/>
        <v>178111</v>
      </c>
      <c r="T170" s="25">
        <f t="shared" si="13"/>
        <v>0</v>
      </c>
      <c r="U170" s="25">
        <f t="shared" si="14"/>
        <v>178111</v>
      </c>
      <c r="V170" s="36">
        <v>178111</v>
      </c>
      <c r="W170" s="25">
        <f t="shared" si="11"/>
        <v>0</v>
      </c>
      <c r="Y170">
        <f t="shared" si="10"/>
        <v>0</v>
      </c>
    </row>
    <row r="171" spans="1:25" ht="15.75" hidden="1" thickBot="1" x14ac:dyDescent="0.3">
      <c r="A171" s="20"/>
      <c r="B171" s="21" t="s">
        <v>31</v>
      </c>
      <c r="C171" s="36">
        <v>15221</v>
      </c>
      <c r="D171" s="36">
        <v>15511</v>
      </c>
      <c r="E171" s="36">
        <v>290</v>
      </c>
      <c r="F171" s="36">
        <v>146</v>
      </c>
      <c r="G171" s="36">
        <v>42340</v>
      </c>
      <c r="H171" s="36">
        <v>2238</v>
      </c>
      <c r="I171" s="36">
        <v>2255</v>
      </c>
      <c r="J171" s="36">
        <v>17</v>
      </c>
      <c r="K171" s="36">
        <v>360</v>
      </c>
      <c r="L171" s="36">
        <v>6120</v>
      </c>
      <c r="M171" s="36">
        <v>0</v>
      </c>
      <c r="N171" s="36"/>
      <c r="O171" s="36"/>
      <c r="P171" s="36">
        <v>0</v>
      </c>
      <c r="Q171" s="36">
        <v>15073</v>
      </c>
      <c r="R171" s="36"/>
      <c r="S171" s="36">
        <f t="shared" si="12"/>
        <v>63533</v>
      </c>
      <c r="T171" s="25">
        <f t="shared" si="13"/>
        <v>0</v>
      </c>
      <c r="U171" s="25">
        <f t="shared" si="14"/>
        <v>63533</v>
      </c>
      <c r="V171" s="36">
        <v>63533</v>
      </c>
      <c r="W171" s="25">
        <f t="shared" si="11"/>
        <v>0</v>
      </c>
      <c r="Y171">
        <f t="shared" si="10"/>
        <v>0</v>
      </c>
    </row>
    <row r="172" spans="1:25" ht="15.75" hidden="1" thickBot="1" x14ac:dyDescent="0.3">
      <c r="A172" s="20"/>
      <c r="B172" s="21" t="s">
        <v>32</v>
      </c>
      <c r="C172" s="36">
        <v>15511</v>
      </c>
      <c r="D172" s="36">
        <v>15838</v>
      </c>
      <c r="E172" s="36">
        <v>327</v>
      </c>
      <c r="F172" s="36">
        <v>146</v>
      </c>
      <c r="G172" s="36">
        <v>47742</v>
      </c>
      <c r="H172" s="36">
        <v>2255</v>
      </c>
      <c r="I172" s="36">
        <v>2256</v>
      </c>
      <c r="J172" s="36">
        <v>1</v>
      </c>
      <c r="K172" s="36">
        <v>360</v>
      </c>
      <c r="L172" s="36">
        <v>360</v>
      </c>
      <c r="M172" s="36">
        <v>0</v>
      </c>
      <c r="N172" s="36"/>
      <c r="O172" s="36"/>
      <c r="P172" s="36">
        <v>0</v>
      </c>
      <c r="Q172" s="36">
        <v>15073</v>
      </c>
      <c r="R172" s="36"/>
      <c r="S172" s="36">
        <f t="shared" si="12"/>
        <v>63175</v>
      </c>
      <c r="T172" s="25">
        <f t="shared" si="13"/>
        <v>0</v>
      </c>
      <c r="U172" s="25">
        <f t="shared" si="14"/>
        <v>63175</v>
      </c>
      <c r="V172" s="36">
        <v>63175</v>
      </c>
      <c r="W172" s="25">
        <f t="shared" si="11"/>
        <v>0</v>
      </c>
      <c r="Y172">
        <f t="shared" si="10"/>
        <v>0</v>
      </c>
    </row>
    <row r="173" spans="1:25" ht="15.75" hidden="1" thickBot="1" x14ac:dyDescent="0.3">
      <c r="A173" s="20"/>
      <c r="B173" s="21" t="s">
        <v>33</v>
      </c>
      <c r="C173" s="36">
        <v>15838</v>
      </c>
      <c r="D173" s="36">
        <v>16185</v>
      </c>
      <c r="E173" s="36">
        <v>347</v>
      </c>
      <c r="F173" s="36">
        <v>146</v>
      </c>
      <c r="G173" s="36">
        <v>50662</v>
      </c>
      <c r="H173" s="36">
        <v>2256</v>
      </c>
      <c r="I173" s="36">
        <v>2258</v>
      </c>
      <c r="J173" s="36">
        <v>2</v>
      </c>
      <c r="K173" s="36">
        <v>360</v>
      </c>
      <c r="L173" s="36">
        <v>720</v>
      </c>
      <c r="M173" s="36">
        <v>0</v>
      </c>
      <c r="N173" s="36"/>
      <c r="O173" s="36"/>
      <c r="P173" s="36">
        <v>0</v>
      </c>
      <c r="Q173" s="36">
        <v>15073</v>
      </c>
      <c r="R173" s="36"/>
      <c r="S173" s="36">
        <f t="shared" si="12"/>
        <v>66455</v>
      </c>
      <c r="T173" s="25">
        <f t="shared" si="13"/>
        <v>0</v>
      </c>
      <c r="U173" s="25">
        <f t="shared" si="14"/>
        <v>66455</v>
      </c>
      <c r="V173" s="36">
        <v>66455</v>
      </c>
      <c r="W173" s="25">
        <f t="shared" si="11"/>
        <v>0</v>
      </c>
      <c r="Y173">
        <f t="shared" si="10"/>
        <v>0</v>
      </c>
    </row>
    <row r="174" spans="1:25" ht="15.75" hidden="1" thickBot="1" x14ac:dyDescent="0.3">
      <c r="A174" s="20"/>
      <c r="B174" s="21" t="s">
        <v>34</v>
      </c>
      <c r="C174" s="36">
        <v>16185</v>
      </c>
      <c r="D174" s="36">
        <v>16664</v>
      </c>
      <c r="E174" s="36">
        <v>479</v>
      </c>
      <c r="F174" s="36">
        <v>146</v>
      </c>
      <c r="G174" s="36">
        <v>69934</v>
      </c>
      <c r="H174" s="36">
        <v>2258</v>
      </c>
      <c r="I174" s="36">
        <v>2260</v>
      </c>
      <c r="J174" s="36">
        <v>2</v>
      </c>
      <c r="K174" s="36">
        <v>360</v>
      </c>
      <c r="L174" s="36">
        <v>720</v>
      </c>
      <c r="M174" s="36">
        <v>0</v>
      </c>
      <c r="N174" s="36"/>
      <c r="O174" s="36">
        <v>64167</v>
      </c>
      <c r="P174" s="36">
        <v>0</v>
      </c>
      <c r="Q174" s="36">
        <v>15073</v>
      </c>
      <c r="R174" s="36"/>
      <c r="S174" s="36">
        <f t="shared" si="12"/>
        <v>149894</v>
      </c>
      <c r="T174" s="25">
        <f t="shared" si="13"/>
        <v>0</v>
      </c>
      <c r="U174" s="25">
        <f t="shared" si="14"/>
        <v>149894</v>
      </c>
      <c r="V174" s="36">
        <v>149894</v>
      </c>
      <c r="W174" s="25">
        <f t="shared" si="11"/>
        <v>0</v>
      </c>
      <c r="Y174">
        <f t="shared" si="10"/>
        <v>0</v>
      </c>
    </row>
    <row r="175" spans="1:25" hidden="1" x14ac:dyDescent="0.25">
      <c r="A175" s="20">
        <v>2017</v>
      </c>
      <c r="B175" s="47" t="s">
        <v>35</v>
      </c>
      <c r="C175" s="48">
        <v>16664</v>
      </c>
      <c r="D175" s="48">
        <v>17162</v>
      </c>
      <c r="E175" s="48">
        <v>498</v>
      </c>
      <c r="F175" s="48">
        <v>146</v>
      </c>
      <c r="G175" s="61">
        <v>72708</v>
      </c>
      <c r="H175" s="48">
        <v>2260</v>
      </c>
      <c r="I175" s="48">
        <v>2270</v>
      </c>
      <c r="J175" s="48">
        <v>10</v>
      </c>
      <c r="K175" s="48">
        <v>360</v>
      </c>
      <c r="L175" s="61">
        <v>3600</v>
      </c>
      <c r="M175" s="61">
        <v>0</v>
      </c>
      <c r="N175" s="61"/>
      <c r="O175" s="70"/>
      <c r="P175" s="61"/>
      <c r="Q175" s="61">
        <v>15481</v>
      </c>
      <c r="R175" s="61"/>
      <c r="S175" s="61">
        <f t="shared" si="12"/>
        <v>91789</v>
      </c>
      <c r="T175" s="49">
        <f t="shared" si="13"/>
        <v>0</v>
      </c>
      <c r="U175" s="49">
        <f t="shared" si="14"/>
        <v>91789</v>
      </c>
      <c r="V175" s="45">
        <v>91789</v>
      </c>
      <c r="W175" s="49">
        <f t="shared" si="11"/>
        <v>0</v>
      </c>
      <c r="Y175">
        <f t="shared" si="10"/>
        <v>0</v>
      </c>
    </row>
    <row r="176" spans="1:25" hidden="1" x14ac:dyDescent="0.25">
      <c r="A176" s="20"/>
      <c r="B176" s="50" t="s">
        <v>24</v>
      </c>
      <c r="C176" s="51">
        <v>17162</v>
      </c>
      <c r="D176" s="51">
        <v>17625</v>
      </c>
      <c r="E176" s="51">
        <v>463</v>
      </c>
      <c r="F176" s="51">
        <v>146</v>
      </c>
      <c r="G176" s="62">
        <v>67598</v>
      </c>
      <c r="H176" s="51">
        <v>2270</v>
      </c>
      <c r="I176" s="51">
        <v>2282</v>
      </c>
      <c r="J176" s="51">
        <v>12</v>
      </c>
      <c r="K176" s="51">
        <v>360</v>
      </c>
      <c r="L176" s="62">
        <v>4320</v>
      </c>
      <c r="M176" s="62">
        <v>0</v>
      </c>
      <c r="N176" s="62"/>
      <c r="O176" s="71"/>
      <c r="P176" s="62"/>
      <c r="Q176" s="62">
        <v>15481</v>
      </c>
      <c r="R176" s="62"/>
      <c r="S176" s="62">
        <f t="shared" si="12"/>
        <v>87399</v>
      </c>
      <c r="T176" s="52">
        <f t="shared" si="13"/>
        <v>0</v>
      </c>
      <c r="U176" s="52">
        <f t="shared" si="14"/>
        <v>87399</v>
      </c>
      <c r="V176" s="46">
        <v>87399</v>
      </c>
      <c r="W176" s="52">
        <f t="shared" si="11"/>
        <v>0</v>
      </c>
      <c r="Y176">
        <f t="shared" si="10"/>
        <v>0</v>
      </c>
    </row>
    <row r="177" spans="1:25" hidden="1" x14ac:dyDescent="0.25">
      <c r="A177" s="20"/>
      <c r="B177" s="50" t="s">
        <v>25</v>
      </c>
      <c r="C177" s="51">
        <v>17625</v>
      </c>
      <c r="D177" s="51">
        <v>18080</v>
      </c>
      <c r="E177" s="51">
        <v>455</v>
      </c>
      <c r="F177" s="51">
        <v>146</v>
      </c>
      <c r="G177" s="62">
        <v>66430</v>
      </c>
      <c r="H177" s="51">
        <v>2282</v>
      </c>
      <c r="I177" s="51">
        <v>2289</v>
      </c>
      <c r="J177" s="51">
        <v>7</v>
      </c>
      <c r="K177" s="51">
        <v>360</v>
      </c>
      <c r="L177" s="62">
        <v>2520</v>
      </c>
      <c r="M177" s="62">
        <v>0</v>
      </c>
      <c r="N177" s="62"/>
      <c r="O177" s="71">
        <v>54473</v>
      </c>
      <c r="P177" s="62"/>
      <c r="Q177" s="62">
        <v>15481</v>
      </c>
      <c r="R177" s="62"/>
      <c r="S177" s="62">
        <f t="shared" si="12"/>
        <v>138904</v>
      </c>
      <c r="T177" s="52">
        <f t="shared" si="13"/>
        <v>0</v>
      </c>
      <c r="U177" s="52">
        <f t="shared" si="14"/>
        <v>138904</v>
      </c>
      <c r="V177" s="46">
        <v>138904</v>
      </c>
      <c r="W177" s="52">
        <f t="shared" si="11"/>
        <v>0</v>
      </c>
      <c r="Y177">
        <f t="shared" si="10"/>
        <v>0</v>
      </c>
    </row>
    <row r="178" spans="1:25" hidden="1" x14ac:dyDescent="0.25">
      <c r="A178" s="20"/>
      <c r="B178" s="50" t="s">
        <v>26</v>
      </c>
      <c r="C178" s="51">
        <v>18080</v>
      </c>
      <c r="D178" s="51">
        <v>18335</v>
      </c>
      <c r="E178" s="51">
        <v>255</v>
      </c>
      <c r="F178" s="51">
        <v>146</v>
      </c>
      <c r="G178" s="62">
        <v>37230</v>
      </c>
      <c r="H178" s="51">
        <v>2289</v>
      </c>
      <c r="I178" s="51">
        <v>2289</v>
      </c>
      <c r="J178" s="51">
        <v>0</v>
      </c>
      <c r="K178" s="51">
        <v>360</v>
      </c>
      <c r="L178" s="62">
        <v>0</v>
      </c>
      <c r="M178" s="62">
        <v>0</v>
      </c>
      <c r="N178" s="62"/>
      <c r="O178" s="71">
        <v>22500</v>
      </c>
      <c r="P178" s="62"/>
      <c r="Q178" s="62">
        <v>15481</v>
      </c>
      <c r="R178" s="62"/>
      <c r="S178" s="62">
        <f t="shared" si="12"/>
        <v>75211</v>
      </c>
      <c r="T178" s="52">
        <f t="shared" si="13"/>
        <v>0</v>
      </c>
      <c r="U178" s="52">
        <f t="shared" si="14"/>
        <v>75211</v>
      </c>
      <c r="V178" s="46">
        <v>75211</v>
      </c>
      <c r="W178" s="52">
        <f t="shared" si="11"/>
        <v>0</v>
      </c>
      <c r="Y178">
        <f t="shared" si="10"/>
        <v>0</v>
      </c>
    </row>
    <row r="179" spans="1:25" hidden="1" x14ac:dyDescent="0.25">
      <c r="A179" s="20"/>
      <c r="B179" s="50" t="s">
        <v>27</v>
      </c>
      <c r="C179" s="51">
        <v>18335</v>
      </c>
      <c r="D179" s="51">
        <v>18660</v>
      </c>
      <c r="E179" s="51">
        <v>325</v>
      </c>
      <c r="F179" s="51">
        <v>146</v>
      </c>
      <c r="G179" s="62">
        <v>47450</v>
      </c>
      <c r="H179" s="51">
        <v>2289</v>
      </c>
      <c r="I179" s="51">
        <v>2290</v>
      </c>
      <c r="J179" s="51">
        <v>1</v>
      </c>
      <c r="K179" s="51">
        <v>360</v>
      </c>
      <c r="L179" s="62">
        <v>360</v>
      </c>
      <c r="M179" s="62">
        <v>0</v>
      </c>
      <c r="N179" s="62"/>
      <c r="O179" s="71"/>
      <c r="P179" s="62"/>
      <c r="Q179" s="62">
        <v>15481</v>
      </c>
      <c r="R179" s="62"/>
      <c r="S179" s="62">
        <f t="shared" si="12"/>
        <v>63291</v>
      </c>
      <c r="T179" s="52">
        <f t="shared" si="13"/>
        <v>0</v>
      </c>
      <c r="U179" s="52">
        <f t="shared" si="14"/>
        <v>63291</v>
      </c>
      <c r="V179" s="46">
        <v>63291</v>
      </c>
      <c r="W179" s="52">
        <f t="shared" si="11"/>
        <v>0</v>
      </c>
      <c r="Y179">
        <f t="shared" si="10"/>
        <v>0</v>
      </c>
    </row>
    <row r="180" spans="1:25" hidden="1" x14ac:dyDescent="0.25">
      <c r="A180" s="20"/>
      <c r="B180" s="50" t="s">
        <v>28</v>
      </c>
      <c r="C180" s="51">
        <v>18660</v>
      </c>
      <c r="D180" s="51">
        <v>18895</v>
      </c>
      <c r="E180" s="51">
        <v>235</v>
      </c>
      <c r="F180" s="51">
        <v>146</v>
      </c>
      <c r="G180" s="62">
        <v>34310</v>
      </c>
      <c r="H180" s="51">
        <v>2290</v>
      </c>
      <c r="I180" s="51">
        <v>2292</v>
      </c>
      <c r="J180" s="51">
        <v>2</v>
      </c>
      <c r="K180" s="51">
        <v>360</v>
      </c>
      <c r="L180" s="62">
        <v>720</v>
      </c>
      <c r="M180" s="62">
        <v>0</v>
      </c>
      <c r="N180" s="62"/>
      <c r="O180" s="71"/>
      <c r="P180" s="62"/>
      <c r="Q180" s="62">
        <v>15481</v>
      </c>
      <c r="R180" s="62"/>
      <c r="S180" s="62">
        <f t="shared" si="12"/>
        <v>50511</v>
      </c>
      <c r="T180" s="52">
        <f t="shared" si="13"/>
        <v>0</v>
      </c>
      <c r="U180" s="52">
        <f t="shared" si="14"/>
        <v>50511</v>
      </c>
      <c r="V180" s="46">
        <v>50511</v>
      </c>
      <c r="W180" s="52">
        <f t="shared" si="11"/>
        <v>0</v>
      </c>
      <c r="Y180">
        <f t="shared" si="10"/>
        <v>0</v>
      </c>
    </row>
    <row r="181" spans="1:25" hidden="1" x14ac:dyDescent="0.25">
      <c r="A181" s="20"/>
      <c r="B181" s="50" t="s">
        <v>29</v>
      </c>
      <c r="C181" s="51">
        <v>18895</v>
      </c>
      <c r="D181" s="51">
        <v>19095</v>
      </c>
      <c r="E181" s="51">
        <v>200</v>
      </c>
      <c r="F181" s="51">
        <v>146</v>
      </c>
      <c r="G181" s="62">
        <v>29200</v>
      </c>
      <c r="H181" s="51">
        <v>2292</v>
      </c>
      <c r="I181" s="51">
        <v>2292</v>
      </c>
      <c r="J181" s="51">
        <v>0</v>
      </c>
      <c r="K181" s="51">
        <v>360</v>
      </c>
      <c r="L181" s="62">
        <v>0</v>
      </c>
      <c r="M181" s="62">
        <v>0</v>
      </c>
      <c r="N181" s="62"/>
      <c r="O181" s="71"/>
      <c r="P181" s="62"/>
      <c r="Q181" s="62">
        <v>15481</v>
      </c>
      <c r="R181" s="62"/>
      <c r="S181" s="62">
        <f t="shared" si="12"/>
        <v>44681</v>
      </c>
      <c r="T181" s="52">
        <f t="shared" si="13"/>
        <v>0</v>
      </c>
      <c r="U181" s="52">
        <f t="shared" si="14"/>
        <v>44681</v>
      </c>
      <c r="V181" s="46">
        <v>44681</v>
      </c>
      <c r="W181" s="52">
        <f t="shared" si="11"/>
        <v>0</v>
      </c>
      <c r="Y181">
        <f t="shared" si="10"/>
        <v>0</v>
      </c>
    </row>
    <row r="182" spans="1:25" hidden="1" x14ac:dyDescent="0.25">
      <c r="A182" s="20"/>
      <c r="B182" s="50" t="s">
        <v>30</v>
      </c>
      <c r="C182" s="51">
        <v>19095</v>
      </c>
      <c r="D182" s="51">
        <v>19376</v>
      </c>
      <c r="E182" s="51">
        <f>D182-C182</f>
        <v>281</v>
      </c>
      <c r="F182" s="51">
        <v>146</v>
      </c>
      <c r="G182" s="62">
        <f>F182*E182</f>
        <v>41026</v>
      </c>
      <c r="H182" s="51">
        <v>2292</v>
      </c>
      <c r="I182" s="51">
        <v>2295</v>
      </c>
      <c r="J182" s="51">
        <f>I182-H182</f>
        <v>3</v>
      </c>
      <c r="K182" s="51">
        <v>360</v>
      </c>
      <c r="L182" s="62">
        <f>K182*J182</f>
        <v>1080</v>
      </c>
      <c r="M182" s="62">
        <v>0</v>
      </c>
      <c r="N182" s="62"/>
      <c r="O182" s="71"/>
      <c r="P182" s="62"/>
      <c r="Q182" s="62">
        <v>15481</v>
      </c>
      <c r="R182" s="62"/>
      <c r="S182" s="62">
        <f t="shared" si="12"/>
        <v>57587</v>
      </c>
      <c r="T182" s="52">
        <f t="shared" si="13"/>
        <v>0</v>
      </c>
      <c r="U182" s="52">
        <f t="shared" si="14"/>
        <v>57587</v>
      </c>
      <c r="V182" s="46">
        <v>57587</v>
      </c>
      <c r="W182" s="52">
        <f t="shared" si="11"/>
        <v>0</v>
      </c>
      <c r="Y182">
        <f t="shared" si="10"/>
        <v>0</v>
      </c>
    </row>
    <row r="183" spans="1:25" hidden="1" x14ac:dyDescent="0.25">
      <c r="A183" s="20"/>
      <c r="B183" s="50" t="s">
        <v>31</v>
      </c>
      <c r="C183" s="51">
        <f>D182</f>
        <v>19376</v>
      </c>
      <c r="D183" s="51">
        <v>19704</v>
      </c>
      <c r="E183" s="51">
        <f t="shared" ref="E183:E186" si="15">D183-C183</f>
        <v>328</v>
      </c>
      <c r="F183" s="51">
        <v>146</v>
      </c>
      <c r="G183" s="62">
        <f t="shared" ref="G183:G186" si="16">F183*E183</f>
        <v>47888</v>
      </c>
      <c r="H183" s="51">
        <f>I182</f>
        <v>2295</v>
      </c>
      <c r="I183" s="51">
        <v>2297</v>
      </c>
      <c r="J183" s="51">
        <f t="shared" ref="J183:J186" si="17">I183-H183</f>
        <v>2</v>
      </c>
      <c r="K183" s="51">
        <v>360</v>
      </c>
      <c r="L183" s="62">
        <f t="shared" ref="L183:L186" si="18">K183*J183</f>
        <v>720</v>
      </c>
      <c r="M183" s="62">
        <v>0</v>
      </c>
      <c r="N183" s="62"/>
      <c r="O183" s="71"/>
      <c r="P183" s="62"/>
      <c r="Q183" s="62">
        <v>15481</v>
      </c>
      <c r="R183" s="62"/>
      <c r="S183" s="62">
        <f t="shared" si="12"/>
        <v>64089</v>
      </c>
      <c r="T183" s="52">
        <f t="shared" si="13"/>
        <v>0</v>
      </c>
      <c r="U183" s="52">
        <f t="shared" si="14"/>
        <v>64089</v>
      </c>
      <c r="V183" s="62">
        <v>64089</v>
      </c>
      <c r="W183" s="52">
        <f t="shared" si="11"/>
        <v>0</v>
      </c>
    </row>
    <row r="184" spans="1:25" hidden="1" x14ac:dyDescent="0.25">
      <c r="A184" s="20"/>
      <c r="B184" s="50" t="s">
        <v>32</v>
      </c>
      <c r="C184" s="51">
        <f t="shared" ref="C184:C186" si="19">D183</f>
        <v>19704</v>
      </c>
      <c r="D184" s="51">
        <v>20107</v>
      </c>
      <c r="E184" s="51">
        <f t="shared" si="15"/>
        <v>403</v>
      </c>
      <c r="F184" s="51">
        <v>146</v>
      </c>
      <c r="G184" s="71">
        <f t="shared" si="16"/>
        <v>58838</v>
      </c>
      <c r="H184" s="51">
        <f t="shared" ref="H184:H186" si="20">I183</f>
        <v>2297</v>
      </c>
      <c r="I184" s="51">
        <v>2299</v>
      </c>
      <c r="J184" s="51">
        <f t="shared" si="17"/>
        <v>2</v>
      </c>
      <c r="K184" s="51">
        <v>360</v>
      </c>
      <c r="L184" s="71">
        <f t="shared" si="18"/>
        <v>720</v>
      </c>
      <c r="M184" s="51">
        <v>0</v>
      </c>
      <c r="N184" s="51"/>
      <c r="O184" s="71"/>
      <c r="P184" s="51"/>
      <c r="Q184" s="71">
        <v>15481</v>
      </c>
      <c r="R184" s="71"/>
      <c r="S184" s="71">
        <f t="shared" si="12"/>
        <v>75039</v>
      </c>
      <c r="T184" s="73">
        <f t="shared" si="13"/>
        <v>0</v>
      </c>
      <c r="U184" s="73">
        <f t="shared" si="14"/>
        <v>75039</v>
      </c>
      <c r="V184" s="71">
        <v>75039</v>
      </c>
      <c r="W184" s="73">
        <f t="shared" si="11"/>
        <v>0</v>
      </c>
    </row>
    <row r="185" spans="1:25" hidden="1" x14ac:dyDescent="0.25">
      <c r="A185" s="20"/>
      <c r="B185" s="50" t="s">
        <v>33</v>
      </c>
      <c r="C185" s="51">
        <f t="shared" si="19"/>
        <v>20107</v>
      </c>
      <c r="D185" s="51">
        <v>20533</v>
      </c>
      <c r="E185" s="51">
        <f t="shared" si="15"/>
        <v>426</v>
      </c>
      <c r="F185" s="51">
        <v>146</v>
      </c>
      <c r="G185" s="71">
        <f t="shared" si="16"/>
        <v>62196</v>
      </c>
      <c r="H185" s="51">
        <f t="shared" si="20"/>
        <v>2299</v>
      </c>
      <c r="I185" s="51">
        <v>2301</v>
      </c>
      <c r="J185" s="51">
        <f t="shared" si="17"/>
        <v>2</v>
      </c>
      <c r="K185" s="51">
        <v>360</v>
      </c>
      <c r="L185" s="71">
        <f t="shared" si="18"/>
        <v>720</v>
      </c>
      <c r="M185" s="51">
        <v>0</v>
      </c>
      <c r="N185" s="51"/>
      <c r="O185" s="71">
        <v>2800</v>
      </c>
      <c r="P185" s="51"/>
      <c r="Q185" s="71">
        <v>15481</v>
      </c>
      <c r="R185" s="71"/>
      <c r="S185" s="71">
        <f t="shared" si="12"/>
        <v>81197</v>
      </c>
      <c r="T185" s="73">
        <f t="shared" si="13"/>
        <v>0</v>
      </c>
      <c r="U185" s="73">
        <f t="shared" si="14"/>
        <v>81197</v>
      </c>
      <c r="V185" s="71">
        <v>81197</v>
      </c>
      <c r="W185" s="73">
        <f t="shared" si="11"/>
        <v>0</v>
      </c>
    </row>
    <row r="186" spans="1:25" ht="15.75" hidden="1" thickBot="1" x14ac:dyDescent="0.3">
      <c r="A186" s="20"/>
      <c r="B186" s="74" t="s">
        <v>34</v>
      </c>
      <c r="C186" s="75">
        <f t="shared" si="19"/>
        <v>20533</v>
      </c>
      <c r="D186" s="75">
        <v>21014</v>
      </c>
      <c r="E186" s="75">
        <f t="shared" si="15"/>
        <v>481</v>
      </c>
      <c r="F186" s="75">
        <v>146</v>
      </c>
      <c r="G186" s="76">
        <f t="shared" si="16"/>
        <v>70226</v>
      </c>
      <c r="H186" s="75">
        <f t="shared" si="20"/>
        <v>2301</v>
      </c>
      <c r="I186" s="75">
        <v>2306</v>
      </c>
      <c r="J186" s="75">
        <f t="shared" si="17"/>
        <v>5</v>
      </c>
      <c r="K186" s="75">
        <v>360</v>
      </c>
      <c r="L186" s="76">
        <f t="shared" si="18"/>
        <v>1800</v>
      </c>
      <c r="M186" s="75">
        <v>0</v>
      </c>
      <c r="N186" s="75"/>
      <c r="O186" s="76"/>
      <c r="P186" s="75"/>
      <c r="Q186" s="76">
        <v>15481</v>
      </c>
      <c r="R186" s="76"/>
      <c r="S186" s="76">
        <f>G186+L186+M186+N186+O186+P186+Q186+R186</f>
        <v>87507</v>
      </c>
      <c r="T186" s="77">
        <f>W185</f>
        <v>0</v>
      </c>
      <c r="U186" s="77">
        <f>S186+T186</f>
        <v>87507</v>
      </c>
      <c r="V186" s="76">
        <v>87507</v>
      </c>
      <c r="W186" s="77">
        <f>U186-V186</f>
        <v>0</v>
      </c>
    </row>
    <row r="187" spans="1:25" x14ac:dyDescent="0.25">
      <c r="A187">
        <v>2018</v>
      </c>
      <c r="B187" s="47" t="s">
        <v>35</v>
      </c>
      <c r="C187" s="48">
        <f t="shared" ref="C187:C198" si="21">D186</f>
        <v>21014</v>
      </c>
      <c r="D187" s="48">
        <v>21517</v>
      </c>
      <c r="E187" s="48">
        <f t="shared" ref="E187:E198" si="22">D187-C187</f>
        <v>503</v>
      </c>
      <c r="F187" s="48">
        <v>146</v>
      </c>
      <c r="G187" s="70">
        <f t="shared" ref="G187:G198" si="23">F187*E187</f>
        <v>73438</v>
      </c>
      <c r="H187" s="48">
        <f t="shared" ref="H187:H198" si="24">I186</f>
        <v>2306</v>
      </c>
      <c r="I187" s="48">
        <v>2309</v>
      </c>
      <c r="J187" s="48">
        <f t="shared" ref="J187:J198" si="25">I187-H187</f>
        <v>3</v>
      </c>
      <c r="K187" s="48">
        <v>360</v>
      </c>
      <c r="L187" s="70">
        <f t="shared" ref="L187:L198" si="26">K187*J187</f>
        <v>1080</v>
      </c>
      <c r="M187" s="48">
        <v>0</v>
      </c>
      <c r="N187" s="48"/>
      <c r="O187" s="70">
        <v>4970</v>
      </c>
      <c r="P187" s="48"/>
      <c r="Q187" s="70">
        <v>15832</v>
      </c>
      <c r="R187" s="70"/>
      <c r="S187" s="70">
        <f t="shared" ref="S187:S191" si="27">G187+L187+M187+N187+O187+P187+Q187+R187</f>
        <v>95320</v>
      </c>
      <c r="T187" s="88">
        <f t="shared" ref="T187:T198" si="28">W186</f>
        <v>0</v>
      </c>
      <c r="U187" s="88">
        <f t="shared" ref="U187:U192" si="29">S187+T187</f>
        <v>95320</v>
      </c>
      <c r="V187" s="70">
        <v>95320</v>
      </c>
      <c r="W187" s="88">
        <f t="shared" ref="W187:W198" si="30">U187-V187</f>
        <v>0</v>
      </c>
    </row>
    <row r="188" spans="1:25" x14ac:dyDescent="0.25">
      <c r="B188" s="50" t="s">
        <v>24</v>
      </c>
      <c r="C188" s="51">
        <f t="shared" si="21"/>
        <v>21517</v>
      </c>
      <c r="D188" s="51">
        <v>21977</v>
      </c>
      <c r="E188" s="51">
        <f t="shared" si="22"/>
        <v>460</v>
      </c>
      <c r="F188" s="51">
        <v>146</v>
      </c>
      <c r="G188" s="71">
        <f t="shared" si="23"/>
        <v>67160</v>
      </c>
      <c r="H188" s="51">
        <f t="shared" si="24"/>
        <v>2309</v>
      </c>
      <c r="I188" s="51">
        <v>2313</v>
      </c>
      <c r="J188" s="51">
        <f t="shared" si="25"/>
        <v>4</v>
      </c>
      <c r="K188" s="51">
        <v>360</v>
      </c>
      <c r="L188" s="71">
        <f t="shared" si="26"/>
        <v>1440</v>
      </c>
      <c r="M188" s="51">
        <v>0</v>
      </c>
      <c r="N188" s="51"/>
      <c r="O188" s="71"/>
      <c r="P188" s="51"/>
      <c r="Q188" s="71">
        <v>15832</v>
      </c>
      <c r="R188" s="71"/>
      <c r="S188" s="71">
        <f t="shared" si="27"/>
        <v>84432</v>
      </c>
      <c r="T188" s="73">
        <f t="shared" si="28"/>
        <v>0</v>
      </c>
      <c r="U188" s="73">
        <f t="shared" si="29"/>
        <v>84432</v>
      </c>
      <c r="V188" s="71">
        <v>84432</v>
      </c>
      <c r="W188" s="73">
        <f t="shared" si="30"/>
        <v>0</v>
      </c>
    </row>
    <row r="189" spans="1:25" x14ac:dyDescent="0.25">
      <c r="B189" s="50" t="s">
        <v>25</v>
      </c>
      <c r="C189" s="51">
        <f t="shared" si="21"/>
        <v>21977</v>
      </c>
      <c r="D189" s="51">
        <v>22448</v>
      </c>
      <c r="E189" s="51">
        <f t="shared" si="22"/>
        <v>471</v>
      </c>
      <c r="F189" s="51">
        <v>146</v>
      </c>
      <c r="G189" s="71">
        <f t="shared" si="23"/>
        <v>68766</v>
      </c>
      <c r="H189" s="51">
        <f t="shared" si="24"/>
        <v>2313</v>
      </c>
      <c r="I189" s="51">
        <v>2315</v>
      </c>
      <c r="J189" s="51">
        <f t="shared" si="25"/>
        <v>2</v>
      </c>
      <c r="K189" s="51">
        <v>360</v>
      </c>
      <c r="L189" s="71">
        <f t="shared" si="26"/>
        <v>720</v>
      </c>
      <c r="M189" s="51">
        <v>0</v>
      </c>
      <c r="N189" s="51"/>
      <c r="O189" s="71"/>
      <c r="P189" s="51"/>
      <c r="Q189" s="71">
        <v>15832</v>
      </c>
      <c r="R189" s="71"/>
      <c r="S189" s="71">
        <f t="shared" si="27"/>
        <v>85318</v>
      </c>
      <c r="T189" s="73">
        <f t="shared" si="28"/>
        <v>0</v>
      </c>
      <c r="U189" s="73">
        <f t="shared" si="29"/>
        <v>85318</v>
      </c>
      <c r="V189" s="71">
        <v>85318</v>
      </c>
      <c r="W189" s="73">
        <f t="shared" si="30"/>
        <v>0</v>
      </c>
    </row>
    <row r="190" spans="1:25" x14ac:dyDescent="0.25">
      <c r="B190" s="50" t="s">
        <v>26</v>
      </c>
      <c r="C190" s="51">
        <f t="shared" si="21"/>
        <v>22448</v>
      </c>
      <c r="D190" s="51">
        <v>22865</v>
      </c>
      <c r="E190" s="51">
        <f t="shared" si="22"/>
        <v>417</v>
      </c>
      <c r="F190" s="51">
        <v>146</v>
      </c>
      <c r="G190" s="71">
        <f t="shared" si="23"/>
        <v>60882</v>
      </c>
      <c r="H190" s="51">
        <f t="shared" si="24"/>
        <v>2315</v>
      </c>
      <c r="I190" s="51">
        <v>2316</v>
      </c>
      <c r="J190" s="51">
        <f t="shared" si="25"/>
        <v>1</v>
      </c>
      <c r="K190" s="51">
        <v>360</v>
      </c>
      <c r="L190" s="71">
        <f t="shared" si="26"/>
        <v>360</v>
      </c>
      <c r="M190" s="51">
        <v>0</v>
      </c>
      <c r="N190" s="51"/>
      <c r="O190" s="71">
        <v>42500</v>
      </c>
      <c r="P190" s="51"/>
      <c r="Q190" s="71">
        <v>15832</v>
      </c>
      <c r="R190" s="71"/>
      <c r="S190" s="71">
        <f t="shared" si="27"/>
        <v>119574</v>
      </c>
      <c r="T190" s="73">
        <f t="shared" si="28"/>
        <v>0</v>
      </c>
      <c r="U190" s="73">
        <f t="shared" si="29"/>
        <v>119574</v>
      </c>
      <c r="V190" s="71">
        <v>119574</v>
      </c>
      <c r="W190" s="73">
        <f t="shared" si="30"/>
        <v>0</v>
      </c>
    </row>
    <row r="191" spans="1:25" x14ac:dyDescent="0.25">
      <c r="B191" s="50" t="s">
        <v>27</v>
      </c>
      <c r="C191" s="51">
        <f t="shared" si="21"/>
        <v>22865</v>
      </c>
      <c r="D191" s="51">
        <v>23397</v>
      </c>
      <c r="E191" s="51">
        <f t="shared" si="22"/>
        <v>532</v>
      </c>
      <c r="F191" s="51">
        <v>146</v>
      </c>
      <c r="G191" s="71">
        <f t="shared" si="23"/>
        <v>77672</v>
      </c>
      <c r="H191" s="51">
        <f t="shared" si="24"/>
        <v>2316</v>
      </c>
      <c r="I191" s="51">
        <v>2319</v>
      </c>
      <c r="J191" s="51">
        <f t="shared" si="25"/>
        <v>3</v>
      </c>
      <c r="K191" s="51">
        <v>360</v>
      </c>
      <c r="L191" s="71">
        <f t="shared" si="26"/>
        <v>1080</v>
      </c>
      <c r="M191" s="51">
        <v>0</v>
      </c>
      <c r="N191" s="51"/>
      <c r="O191" s="71"/>
      <c r="P191" s="51"/>
      <c r="Q191" s="71">
        <v>15832</v>
      </c>
      <c r="R191" s="71"/>
      <c r="S191" s="71">
        <f t="shared" si="27"/>
        <v>94584</v>
      </c>
      <c r="T191" s="73">
        <f t="shared" si="28"/>
        <v>0</v>
      </c>
      <c r="U191" s="73">
        <f t="shared" si="29"/>
        <v>94584</v>
      </c>
      <c r="V191" s="71">
        <v>94584</v>
      </c>
      <c r="W191" s="73">
        <f t="shared" si="30"/>
        <v>0</v>
      </c>
    </row>
    <row r="192" spans="1:25" x14ac:dyDescent="0.25">
      <c r="B192" s="50" t="s">
        <v>28</v>
      </c>
      <c r="C192" s="51">
        <f t="shared" si="21"/>
        <v>23397</v>
      </c>
      <c r="D192" s="51">
        <v>23682</v>
      </c>
      <c r="E192" s="51">
        <f t="shared" si="22"/>
        <v>285</v>
      </c>
      <c r="F192" s="51">
        <v>146</v>
      </c>
      <c r="G192" s="71">
        <f t="shared" si="23"/>
        <v>41610</v>
      </c>
      <c r="H192" s="51">
        <f t="shared" si="24"/>
        <v>2319</v>
      </c>
      <c r="I192" s="51">
        <v>2320</v>
      </c>
      <c r="J192" s="51">
        <f t="shared" si="25"/>
        <v>1</v>
      </c>
      <c r="K192" s="51">
        <v>360</v>
      </c>
      <c r="L192" s="71">
        <f t="shared" si="26"/>
        <v>360</v>
      </c>
      <c r="M192" s="51">
        <v>0</v>
      </c>
      <c r="N192" s="51"/>
      <c r="O192" s="71">
        <v>104167</v>
      </c>
      <c r="P192" s="51"/>
      <c r="Q192" s="71">
        <v>15832</v>
      </c>
      <c r="R192" s="71"/>
      <c r="S192" s="71">
        <f t="shared" ref="S192:S198" si="31">G192+L192+M192+N192+O192+P192+Q192+R192</f>
        <v>161969</v>
      </c>
      <c r="T192" s="73">
        <f t="shared" si="28"/>
        <v>0</v>
      </c>
      <c r="U192" s="73">
        <f t="shared" si="29"/>
        <v>161969</v>
      </c>
      <c r="V192" s="71">
        <v>161969</v>
      </c>
      <c r="W192" s="73">
        <f t="shared" si="30"/>
        <v>0</v>
      </c>
    </row>
    <row r="193" spans="1:23" x14ac:dyDescent="0.25">
      <c r="B193" s="50" t="s">
        <v>29</v>
      </c>
      <c r="C193" s="51">
        <f t="shared" si="21"/>
        <v>23682</v>
      </c>
      <c r="D193" s="51">
        <v>23875</v>
      </c>
      <c r="E193" s="51">
        <f t="shared" si="22"/>
        <v>193</v>
      </c>
      <c r="F193" s="51">
        <v>146</v>
      </c>
      <c r="G193" s="71">
        <f t="shared" si="23"/>
        <v>28178</v>
      </c>
      <c r="H193" s="51">
        <f t="shared" si="24"/>
        <v>2320</v>
      </c>
      <c r="I193" s="51">
        <v>2321</v>
      </c>
      <c r="J193" s="51">
        <f t="shared" si="25"/>
        <v>1</v>
      </c>
      <c r="K193" s="51">
        <v>360</v>
      </c>
      <c r="L193" s="71">
        <f t="shared" si="26"/>
        <v>360</v>
      </c>
      <c r="M193" s="51">
        <v>0</v>
      </c>
      <c r="N193" s="51"/>
      <c r="O193" s="71">
        <v>33430</v>
      </c>
      <c r="P193" s="51"/>
      <c r="Q193" s="71">
        <v>15832</v>
      </c>
      <c r="R193" s="71"/>
      <c r="S193" s="71">
        <f>G193+L193+M193+N193+O193+P193+Q193+R193</f>
        <v>77800</v>
      </c>
      <c r="T193" s="73">
        <f t="shared" si="28"/>
        <v>0</v>
      </c>
      <c r="U193" s="73">
        <f t="shared" ref="U193:U198" si="32">S193+T193</f>
        <v>77800</v>
      </c>
      <c r="V193" s="71">
        <v>77800</v>
      </c>
      <c r="W193" s="73">
        <f>U193-V193</f>
        <v>0</v>
      </c>
    </row>
    <row r="194" spans="1:23" x14ac:dyDescent="0.25">
      <c r="B194" s="50" t="s">
        <v>30</v>
      </c>
      <c r="C194" s="51">
        <f t="shared" si="21"/>
        <v>23875</v>
      </c>
      <c r="D194" s="51">
        <v>24108</v>
      </c>
      <c r="E194" s="51">
        <f t="shared" si="22"/>
        <v>233</v>
      </c>
      <c r="F194" s="51">
        <v>146</v>
      </c>
      <c r="G194" s="71">
        <f t="shared" si="23"/>
        <v>34018</v>
      </c>
      <c r="H194" s="51">
        <f t="shared" si="24"/>
        <v>2321</v>
      </c>
      <c r="I194" s="51">
        <v>2322</v>
      </c>
      <c r="J194" s="51">
        <f t="shared" si="25"/>
        <v>1</v>
      </c>
      <c r="K194" s="51">
        <v>360</v>
      </c>
      <c r="L194" s="71">
        <f t="shared" si="26"/>
        <v>360</v>
      </c>
      <c r="M194" s="51">
        <v>0</v>
      </c>
      <c r="N194" s="51"/>
      <c r="O194" s="71"/>
      <c r="P194" s="51"/>
      <c r="Q194" s="71">
        <v>15832</v>
      </c>
      <c r="R194" s="71"/>
      <c r="S194" s="71">
        <f t="shared" si="31"/>
        <v>50210</v>
      </c>
      <c r="T194" s="73">
        <f t="shared" si="28"/>
        <v>0</v>
      </c>
      <c r="U194" s="73">
        <f t="shared" si="32"/>
        <v>50210</v>
      </c>
      <c r="V194" s="71">
        <v>50210</v>
      </c>
      <c r="W194" s="73">
        <f>U194-V194</f>
        <v>0</v>
      </c>
    </row>
    <row r="195" spans="1:23" x14ac:dyDescent="0.25">
      <c r="B195" s="50" t="s">
        <v>31</v>
      </c>
      <c r="C195" s="51">
        <f t="shared" si="21"/>
        <v>24108</v>
      </c>
      <c r="D195" s="51">
        <v>24316</v>
      </c>
      <c r="E195" s="51">
        <f t="shared" si="22"/>
        <v>208</v>
      </c>
      <c r="F195" s="51">
        <v>146</v>
      </c>
      <c r="G195" s="71">
        <f t="shared" si="23"/>
        <v>30368</v>
      </c>
      <c r="H195" s="51">
        <f t="shared" si="24"/>
        <v>2322</v>
      </c>
      <c r="I195" s="51">
        <v>2323</v>
      </c>
      <c r="J195" s="51">
        <f t="shared" si="25"/>
        <v>1</v>
      </c>
      <c r="K195" s="51">
        <v>360</v>
      </c>
      <c r="L195" s="71">
        <f t="shared" si="26"/>
        <v>360</v>
      </c>
      <c r="M195" s="51">
        <v>0</v>
      </c>
      <c r="N195" s="51"/>
      <c r="O195" s="71"/>
      <c r="P195" s="51"/>
      <c r="Q195" s="71">
        <v>15832</v>
      </c>
      <c r="R195" s="71"/>
      <c r="S195" s="71">
        <f t="shared" si="31"/>
        <v>46560</v>
      </c>
      <c r="T195" s="73">
        <f t="shared" si="28"/>
        <v>0</v>
      </c>
      <c r="U195" s="73">
        <f t="shared" si="32"/>
        <v>46560</v>
      </c>
      <c r="V195" s="71">
        <v>46560</v>
      </c>
      <c r="W195" s="73">
        <f>U195-V195</f>
        <v>0</v>
      </c>
    </row>
    <row r="196" spans="1:23" x14ac:dyDescent="0.25">
      <c r="B196" s="50" t="s">
        <v>32</v>
      </c>
      <c r="C196" s="51">
        <f t="shared" si="21"/>
        <v>24316</v>
      </c>
      <c r="D196" s="51">
        <v>24591</v>
      </c>
      <c r="E196" s="51">
        <f t="shared" si="22"/>
        <v>275</v>
      </c>
      <c r="F196" s="51">
        <v>146</v>
      </c>
      <c r="G196" s="71">
        <f t="shared" si="23"/>
        <v>40150</v>
      </c>
      <c r="H196" s="51">
        <f t="shared" si="24"/>
        <v>2323</v>
      </c>
      <c r="I196" s="51">
        <v>2324</v>
      </c>
      <c r="J196" s="51">
        <f t="shared" si="25"/>
        <v>1</v>
      </c>
      <c r="K196" s="51">
        <v>1230</v>
      </c>
      <c r="L196" s="71">
        <f t="shared" si="26"/>
        <v>1230</v>
      </c>
      <c r="M196" s="51">
        <v>0</v>
      </c>
      <c r="N196" s="51"/>
      <c r="O196" s="71"/>
      <c r="P196" s="51"/>
      <c r="Q196" s="71">
        <v>15832</v>
      </c>
      <c r="R196" s="71"/>
      <c r="S196" s="71">
        <f t="shared" si="31"/>
        <v>57212</v>
      </c>
      <c r="T196" s="73">
        <f t="shared" si="28"/>
        <v>0</v>
      </c>
      <c r="U196" s="73">
        <f t="shared" si="32"/>
        <v>57212</v>
      </c>
      <c r="V196" s="71">
        <v>57212</v>
      </c>
      <c r="W196" s="73">
        <f>U196-V196</f>
        <v>0</v>
      </c>
    </row>
    <row r="197" spans="1:23" x14ac:dyDescent="0.25">
      <c r="B197" s="50" t="s">
        <v>33</v>
      </c>
      <c r="C197" s="51">
        <f t="shared" si="21"/>
        <v>24591</v>
      </c>
      <c r="D197" s="51">
        <v>24826</v>
      </c>
      <c r="E197" s="51">
        <f t="shared" si="22"/>
        <v>235</v>
      </c>
      <c r="F197" s="51">
        <v>146</v>
      </c>
      <c r="G197" s="71">
        <f t="shared" si="23"/>
        <v>34310</v>
      </c>
      <c r="H197" s="51">
        <f t="shared" si="24"/>
        <v>2324</v>
      </c>
      <c r="I197" s="51">
        <v>2325</v>
      </c>
      <c r="J197" s="51">
        <f t="shared" si="25"/>
        <v>1</v>
      </c>
      <c r="K197" s="51">
        <v>1230</v>
      </c>
      <c r="L197" s="71">
        <f t="shared" si="26"/>
        <v>1230</v>
      </c>
      <c r="M197" s="51">
        <v>0</v>
      </c>
      <c r="N197" s="51"/>
      <c r="O197" s="71"/>
      <c r="P197" s="51"/>
      <c r="Q197" s="71"/>
      <c r="R197" s="71"/>
      <c r="S197" s="71">
        <f t="shared" si="31"/>
        <v>35540</v>
      </c>
      <c r="T197" s="73">
        <f t="shared" si="28"/>
        <v>0</v>
      </c>
      <c r="U197" s="73">
        <f t="shared" si="32"/>
        <v>35540</v>
      </c>
      <c r="V197" s="71">
        <v>35540</v>
      </c>
      <c r="W197" s="73">
        <f>U197-V197</f>
        <v>0</v>
      </c>
    </row>
    <row r="198" spans="1:23" ht="15.75" thickBot="1" x14ac:dyDescent="0.3">
      <c r="B198" s="74" t="s">
        <v>34</v>
      </c>
      <c r="C198" s="75">
        <f t="shared" si="21"/>
        <v>24826</v>
      </c>
      <c r="D198" s="75">
        <v>25137</v>
      </c>
      <c r="E198" s="75">
        <f t="shared" si="22"/>
        <v>311</v>
      </c>
      <c r="F198" s="75">
        <v>146</v>
      </c>
      <c r="G198" s="76">
        <f t="shared" si="23"/>
        <v>45406</v>
      </c>
      <c r="H198" s="75">
        <f t="shared" si="24"/>
        <v>2325</v>
      </c>
      <c r="I198" s="75">
        <v>2326</v>
      </c>
      <c r="J198" s="75">
        <f t="shared" si="25"/>
        <v>1</v>
      </c>
      <c r="K198" s="75">
        <v>1230</v>
      </c>
      <c r="L198" s="76">
        <f t="shared" si="26"/>
        <v>1230</v>
      </c>
      <c r="M198" s="75">
        <v>0</v>
      </c>
      <c r="N198" s="75"/>
      <c r="O198" s="76"/>
      <c r="P198" s="75"/>
      <c r="Q198" s="76"/>
      <c r="R198" s="76"/>
      <c r="S198" s="76">
        <f t="shared" si="31"/>
        <v>46636</v>
      </c>
      <c r="T198" s="77">
        <f t="shared" si="28"/>
        <v>0</v>
      </c>
      <c r="U198" s="77">
        <f t="shared" si="32"/>
        <v>46636</v>
      </c>
      <c r="V198" s="76">
        <v>46636</v>
      </c>
      <c r="W198" s="77">
        <f t="shared" si="30"/>
        <v>0</v>
      </c>
    </row>
    <row r="199" spans="1:23" x14ac:dyDescent="0.25">
      <c r="A199">
        <v>2019</v>
      </c>
      <c r="B199" s="47" t="s">
        <v>35</v>
      </c>
      <c r="C199" s="48">
        <f t="shared" ref="C199:C210" si="33">D198</f>
        <v>25137</v>
      </c>
      <c r="D199" s="48">
        <v>25512</v>
      </c>
      <c r="E199" s="48">
        <f t="shared" ref="E199:E210" si="34">D199-C199</f>
        <v>375</v>
      </c>
      <c r="F199" s="48">
        <v>150</v>
      </c>
      <c r="G199" s="70">
        <f t="shared" ref="G199:G210" si="35">F199*E199</f>
        <v>56250</v>
      </c>
      <c r="H199" s="48">
        <f t="shared" ref="H199:H210" si="36">I198</f>
        <v>2326</v>
      </c>
      <c r="I199" s="48">
        <v>2326</v>
      </c>
      <c r="J199" s="48">
        <f t="shared" ref="J199:J210" si="37">I199-H199</f>
        <v>0</v>
      </c>
      <c r="K199" s="48">
        <v>1230</v>
      </c>
      <c r="L199" s="70">
        <f t="shared" ref="L199:L210" si="38">K199*J199</f>
        <v>0</v>
      </c>
      <c r="M199" s="48">
        <v>0</v>
      </c>
      <c r="N199" s="48"/>
      <c r="O199" s="70"/>
      <c r="P199" s="48"/>
      <c r="Q199" s="70"/>
      <c r="R199" s="70"/>
      <c r="S199" s="70">
        <f t="shared" ref="S199:S210" si="39">G199+L199+M199+N199+O199+P199+Q199+R199</f>
        <v>56250</v>
      </c>
      <c r="T199" s="88">
        <f t="shared" ref="T199:T210" si="40">W198</f>
        <v>0</v>
      </c>
      <c r="U199" s="88">
        <f t="shared" ref="U199:U210" si="41">S199+T199</f>
        <v>56250</v>
      </c>
      <c r="V199" s="70">
        <v>56251</v>
      </c>
      <c r="W199" s="88">
        <f t="shared" ref="W199:W210" si="42">U199-V199</f>
        <v>-1</v>
      </c>
    </row>
    <row r="200" spans="1:23" x14ac:dyDescent="0.25">
      <c r="B200" s="50" t="s">
        <v>24</v>
      </c>
      <c r="C200" s="51">
        <f t="shared" si="33"/>
        <v>25512</v>
      </c>
      <c r="D200" s="51">
        <v>25818</v>
      </c>
      <c r="E200" s="51">
        <f t="shared" si="34"/>
        <v>306</v>
      </c>
      <c r="F200" s="51">
        <v>150</v>
      </c>
      <c r="G200" s="71">
        <f t="shared" si="35"/>
        <v>45900</v>
      </c>
      <c r="H200" s="51">
        <f t="shared" si="36"/>
        <v>2326</v>
      </c>
      <c r="I200" s="51"/>
      <c r="J200" s="51"/>
      <c r="K200" s="51">
        <v>1230</v>
      </c>
      <c r="L200" s="71">
        <f t="shared" si="38"/>
        <v>0</v>
      </c>
      <c r="M200" s="51"/>
      <c r="N200" s="51"/>
      <c r="O200" s="71"/>
      <c r="P200" s="51"/>
      <c r="Q200" s="71"/>
      <c r="R200" s="71"/>
      <c r="S200" s="71">
        <f t="shared" si="39"/>
        <v>45900</v>
      </c>
      <c r="T200" s="73">
        <f t="shared" si="40"/>
        <v>-1</v>
      </c>
      <c r="U200" s="73">
        <f t="shared" si="41"/>
        <v>45899</v>
      </c>
      <c r="V200" s="71">
        <v>45901</v>
      </c>
      <c r="W200" s="73">
        <f t="shared" si="42"/>
        <v>-2</v>
      </c>
    </row>
    <row r="201" spans="1:23" x14ac:dyDescent="0.25">
      <c r="B201" s="150" t="s">
        <v>25</v>
      </c>
      <c r="C201" s="151">
        <f t="shared" si="33"/>
        <v>25818</v>
      </c>
      <c r="D201" s="151">
        <v>26150</v>
      </c>
      <c r="E201" s="151">
        <f t="shared" si="34"/>
        <v>332</v>
      </c>
      <c r="F201" s="151">
        <v>150</v>
      </c>
      <c r="G201" s="152">
        <f t="shared" si="35"/>
        <v>49800</v>
      </c>
      <c r="H201" s="151">
        <f t="shared" si="36"/>
        <v>0</v>
      </c>
      <c r="I201" s="151"/>
      <c r="J201" s="151">
        <f t="shared" si="37"/>
        <v>0</v>
      </c>
      <c r="K201" s="151">
        <v>1230</v>
      </c>
      <c r="L201" s="152">
        <f t="shared" si="38"/>
        <v>0</v>
      </c>
      <c r="M201" s="151"/>
      <c r="N201" s="151"/>
      <c r="O201" s="152"/>
      <c r="P201" s="151"/>
      <c r="Q201" s="152"/>
      <c r="R201" s="152"/>
      <c r="S201" s="152">
        <f t="shared" si="39"/>
        <v>49800</v>
      </c>
      <c r="T201" s="154">
        <f t="shared" si="40"/>
        <v>-2</v>
      </c>
      <c r="U201" s="154">
        <f t="shared" si="41"/>
        <v>49798</v>
      </c>
      <c r="V201" s="152">
        <v>49798</v>
      </c>
      <c r="W201" s="154">
        <f t="shared" si="42"/>
        <v>0</v>
      </c>
    </row>
    <row r="202" spans="1:23" ht="15.75" thickBot="1" x14ac:dyDescent="0.3">
      <c r="B202" s="143" t="s">
        <v>26</v>
      </c>
      <c r="C202" s="144">
        <f t="shared" si="33"/>
        <v>26150</v>
      </c>
      <c r="D202" s="144">
        <v>26380</v>
      </c>
      <c r="E202" s="144">
        <f t="shared" si="34"/>
        <v>230</v>
      </c>
      <c r="F202" s="144">
        <v>150</v>
      </c>
      <c r="G202" s="145">
        <f t="shared" si="35"/>
        <v>34500</v>
      </c>
      <c r="H202" s="144">
        <f t="shared" si="36"/>
        <v>0</v>
      </c>
      <c r="I202" s="144"/>
      <c r="J202" s="144">
        <f t="shared" si="37"/>
        <v>0</v>
      </c>
      <c r="K202" s="144">
        <v>1230</v>
      </c>
      <c r="L202" s="145">
        <f t="shared" si="38"/>
        <v>0</v>
      </c>
      <c r="M202" s="144"/>
      <c r="N202" s="144"/>
      <c r="O202" s="145"/>
      <c r="P202" s="144"/>
      <c r="Q202" s="145"/>
      <c r="R202" s="145"/>
      <c r="S202" s="145">
        <f t="shared" si="39"/>
        <v>34500</v>
      </c>
      <c r="T202" s="147">
        <f t="shared" si="40"/>
        <v>0</v>
      </c>
      <c r="U202" s="147">
        <f t="shared" si="41"/>
        <v>34500</v>
      </c>
      <c r="V202" s="145">
        <v>34500</v>
      </c>
      <c r="W202" s="147">
        <f t="shared" si="42"/>
        <v>0</v>
      </c>
    </row>
    <row r="203" spans="1:23" ht="15.75" thickBot="1" x14ac:dyDescent="0.3">
      <c r="B203" s="41" t="s">
        <v>27</v>
      </c>
      <c r="C203" s="42">
        <f t="shared" si="33"/>
        <v>26380</v>
      </c>
      <c r="D203" s="42">
        <v>26670</v>
      </c>
      <c r="E203" s="42">
        <f t="shared" si="34"/>
        <v>290</v>
      </c>
      <c r="F203" s="42">
        <v>150</v>
      </c>
      <c r="G203" s="67">
        <f t="shared" si="35"/>
        <v>43500</v>
      </c>
      <c r="H203" s="42">
        <f t="shared" si="36"/>
        <v>0</v>
      </c>
      <c r="I203" s="42"/>
      <c r="J203" s="42">
        <f t="shared" si="37"/>
        <v>0</v>
      </c>
      <c r="K203" s="42">
        <v>1230</v>
      </c>
      <c r="L203" s="67">
        <f t="shared" si="38"/>
        <v>0</v>
      </c>
      <c r="M203" s="42"/>
      <c r="N203" s="42"/>
      <c r="O203" s="67"/>
      <c r="P203" s="42"/>
      <c r="Q203" s="67"/>
      <c r="R203" s="67"/>
      <c r="S203" s="67">
        <f t="shared" si="39"/>
        <v>43500</v>
      </c>
      <c r="T203" s="68">
        <f t="shared" si="40"/>
        <v>0</v>
      </c>
      <c r="U203" s="68">
        <f t="shared" si="41"/>
        <v>43500</v>
      </c>
      <c r="V203" s="67"/>
      <c r="W203" s="68">
        <f t="shared" si="42"/>
        <v>43500</v>
      </c>
    </row>
    <row r="204" spans="1:23" ht="15.75" hidden="1" thickBot="1" x14ac:dyDescent="0.3">
      <c r="B204" s="41" t="s">
        <v>28</v>
      </c>
      <c r="C204" s="42">
        <f t="shared" si="33"/>
        <v>26670</v>
      </c>
      <c r="D204" s="42"/>
      <c r="E204" s="42">
        <f t="shared" si="34"/>
        <v>-26670</v>
      </c>
      <c r="F204" s="42">
        <v>150</v>
      </c>
      <c r="G204" s="67">
        <f t="shared" si="35"/>
        <v>-4000500</v>
      </c>
      <c r="H204" s="42">
        <f t="shared" si="36"/>
        <v>0</v>
      </c>
      <c r="I204" s="42"/>
      <c r="J204" s="42">
        <f t="shared" si="37"/>
        <v>0</v>
      </c>
      <c r="K204" s="42">
        <v>1230</v>
      </c>
      <c r="L204" s="67">
        <f t="shared" si="38"/>
        <v>0</v>
      </c>
      <c r="M204" s="42"/>
      <c r="N204" s="42"/>
      <c r="O204" s="67"/>
      <c r="P204" s="42"/>
      <c r="Q204" s="67"/>
      <c r="R204" s="67"/>
      <c r="S204" s="67">
        <f t="shared" si="39"/>
        <v>-4000500</v>
      </c>
      <c r="T204" s="68">
        <f t="shared" si="40"/>
        <v>43500</v>
      </c>
      <c r="U204" s="68">
        <f t="shared" si="41"/>
        <v>-3957000</v>
      </c>
      <c r="V204" s="67"/>
      <c r="W204" s="68">
        <f t="shared" si="42"/>
        <v>-3957000</v>
      </c>
    </row>
    <row r="205" spans="1:23" ht="15.75" hidden="1" thickBot="1" x14ac:dyDescent="0.3">
      <c r="B205" s="41" t="s">
        <v>29</v>
      </c>
      <c r="C205" s="42">
        <f t="shared" si="33"/>
        <v>0</v>
      </c>
      <c r="D205" s="42"/>
      <c r="E205" s="42">
        <f t="shared" si="34"/>
        <v>0</v>
      </c>
      <c r="F205" s="42">
        <v>150</v>
      </c>
      <c r="G205" s="67">
        <f t="shared" si="35"/>
        <v>0</v>
      </c>
      <c r="H205" s="42">
        <f t="shared" si="36"/>
        <v>0</v>
      </c>
      <c r="I205" s="42"/>
      <c r="J205" s="42">
        <f t="shared" si="37"/>
        <v>0</v>
      </c>
      <c r="K205" s="42">
        <v>1230</v>
      </c>
      <c r="L205" s="67">
        <f t="shared" si="38"/>
        <v>0</v>
      </c>
      <c r="M205" s="42"/>
      <c r="N205" s="42"/>
      <c r="O205" s="67"/>
      <c r="P205" s="42"/>
      <c r="Q205" s="67"/>
      <c r="R205" s="67"/>
      <c r="S205" s="67">
        <f t="shared" si="39"/>
        <v>0</v>
      </c>
      <c r="T205" s="68">
        <f t="shared" si="40"/>
        <v>-3957000</v>
      </c>
      <c r="U205" s="68">
        <f t="shared" si="41"/>
        <v>-3957000</v>
      </c>
      <c r="V205" s="67"/>
      <c r="W205" s="68">
        <f t="shared" si="42"/>
        <v>-3957000</v>
      </c>
    </row>
    <row r="206" spans="1:23" ht="15.75" hidden="1" thickBot="1" x14ac:dyDescent="0.3">
      <c r="B206" s="41" t="s">
        <v>30</v>
      </c>
      <c r="C206" s="42">
        <f t="shared" si="33"/>
        <v>0</v>
      </c>
      <c r="D206" s="42"/>
      <c r="E206" s="42">
        <f t="shared" si="34"/>
        <v>0</v>
      </c>
      <c r="F206" s="42">
        <v>150</v>
      </c>
      <c r="G206" s="67">
        <f t="shared" si="35"/>
        <v>0</v>
      </c>
      <c r="H206" s="42">
        <f t="shared" si="36"/>
        <v>0</v>
      </c>
      <c r="I206" s="42"/>
      <c r="J206" s="42">
        <f t="shared" si="37"/>
        <v>0</v>
      </c>
      <c r="K206" s="42">
        <v>1230</v>
      </c>
      <c r="L206" s="67">
        <f t="shared" si="38"/>
        <v>0</v>
      </c>
      <c r="M206" s="42"/>
      <c r="N206" s="42"/>
      <c r="O206" s="67"/>
      <c r="P206" s="42"/>
      <c r="Q206" s="67"/>
      <c r="R206" s="67"/>
      <c r="S206" s="67">
        <f t="shared" si="39"/>
        <v>0</v>
      </c>
      <c r="T206" s="68">
        <f t="shared" si="40"/>
        <v>-3957000</v>
      </c>
      <c r="U206" s="68">
        <f t="shared" si="41"/>
        <v>-3957000</v>
      </c>
      <c r="V206" s="67"/>
      <c r="W206" s="68">
        <f t="shared" si="42"/>
        <v>-3957000</v>
      </c>
    </row>
    <row r="207" spans="1:23" ht="15.75" hidden="1" thickBot="1" x14ac:dyDescent="0.3">
      <c r="B207" s="41" t="s">
        <v>31</v>
      </c>
      <c r="C207" s="42">
        <f t="shared" si="33"/>
        <v>0</v>
      </c>
      <c r="D207" s="42"/>
      <c r="E207" s="42">
        <f t="shared" si="34"/>
        <v>0</v>
      </c>
      <c r="F207" s="42">
        <v>150</v>
      </c>
      <c r="G207" s="67">
        <f t="shared" si="35"/>
        <v>0</v>
      </c>
      <c r="H207" s="42">
        <f t="shared" si="36"/>
        <v>0</v>
      </c>
      <c r="I207" s="42"/>
      <c r="J207" s="42">
        <f t="shared" si="37"/>
        <v>0</v>
      </c>
      <c r="K207" s="42">
        <v>1230</v>
      </c>
      <c r="L207" s="67">
        <f t="shared" si="38"/>
        <v>0</v>
      </c>
      <c r="M207" s="42"/>
      <c r="N207" s="42"/>
      <c r="O207" s="67"/>
      <c r="P207" s="42"/>
      <c r="Q207" s="67"/>
      <c r="R207" s="67"/>
      <c r="S207" s="67">
        <f t="shared" si="39"/>
        <v>0</v>
      </c>
      <c r="T207" s="68">
        <f t="shared" si="40"/>
        <v>-3957000</v>
      </c>
      <c r="U207" s="68">
        <f t="shared" si="41"/>
        <v>-3957000</v>
      </c>
      <c r="V207" s="67"/>
      <c r="W207" s="68">
        <f t="shared" si="42"/>
        <v>-3957000</v>
      </c>
    </row>
    <row r="208" spans="1:23" ht="15.75" hidden="1" thickBot="1" x14ac:dyDescent="0.3">
      <c r="B208" s="41" t="s">
        <v>32</v>
      </c>
      <c r="C208" s="42">
        <f t="shared" si="33"/>
        <v>0</v>
      </c>
      <c r="D208" s="42"/>
      <c r="E208" s="42">
        <f t="shared" si="34"/>
        <v>0</v>
      </c>
      <c r="F208" s="42">
        <v>150</v>
      </c>
      <c r="G208" s="67">
        <f t="shared" si="35"/>
        <v>0</v>
      </c>
      <c r="H208" s="42">
        <f t="shared" si="36"/>
        <v>0</v>
      </c>
      <c r="I208" s="42"/>
      <c r="J208" s="42">
        <f t="shared" si="37"/>
        <v>0</v>
      </c>
      <c r="K208" s="42">
        <v>1230</v>
      </c>
      <c r="L208" s="67">
        <f t="shared" si="38"/>
        <v>0</v>
      </c>
      <c r="M208" s="42"/>
      <c r="N208" s="42"/>
      <c r="O208" s="67"/>
      <c r="P208" s="42"/>
      <c r="Q208" s="67"/>
      <c r="R208" s="67"/>
      <c r="S208" s="67">
        <f t="shared" si="39"/>
        <v>0</v>
      </c>
      <c r="T208" s="68">
        <f t="shared" si="40"/>
        <v>-3957000</v>
      </c>
      <c r="U208" s="68">
        <f t="shared" si="41"/>
        <v>-3957000</v>
      </c>
      <c r="V208" s="67"/>
      <c r="W208" s="68">
        <f t="shared" si="42"/>
        <v>-3957000</v>
      </c>
    </row>
    <row r="209" spans="2:23" ht="15.75" hidden="1" thickBot="1" x14ac:dyDescent="0.3">
      <c r="B209" s="41" t="s">
        <v>33</v>
      </c>
      <c r="C209" s="42">
        <f t="shared" si="33"/>
        <v>0</v>
      </c>
      <c r="D209" s="42"/>
      <c r="E209" s="42">
        <f t="shared" si="34"/>
        <v>0</v>
      </c>
      <c r="F209" s="42">
        <v>150</v>
      </c>
      <c r="G209" s="67">
        <f t="shared" si="35"/>
        <v>0</v>
      </c>
      <c r="H209" s="42">
        <f t="shared" si="36"/>
        <v>0</v>
      </c>
      <c r="I209" s="42"/>
      <c r="J209" s="42">
        <f t="shared" si="37"/>
        <v>0</v>
      </c>
      <c r="K209" s="42">
        <v>1230</v>
      </c>
      <c r="L209" s="67">
        <f t="shared" si="38"/>
        <v>0</v>
      </c>
      <c r="M209" s="42"/>
      <c r="N209" s="42"/>
      <c r="O209" s="67"/>
      <c r="P209" s="42"/>
      <c r="Q209" s="67"/>
      <c r="R209" s="67"/>
      <c r="S209" s="67">
        <f t="shared" si="39"/>
        <v>0</v>
      </c>
      <c r="T209" s="68">
        <f t="shared" si="40"/>
        <v>-3957000</v>
      </c>
      <c r="U209" s="68">
        <f t="shared" si="41"/>
        <v>-3957000</v>
      </c>
      <c r="V209" s="67"/>
      <c r="W209" s="68">
        <f t="shared" si="42"/>
        <v>-3957000</v>
      </c>
    </row>
    <row r="210" spans="2:23" ht="15.75" hidden="1" thickBot="1" x14ac:dyDescent="0.3">
      <c r="B210" s="41" t="s">
        <v>34</v>
      </c>
      <c r="C210" s="42">
        <f t="shared" si="33"/>
        <v>0</v>
      </c>
      <c r="D210" s="42"/>
      <c r="E210" s="42">
        <f t="shared" si="34"/>
        <v>0</v>
      </c>
      <c r="F210" s="42">
        <v>150</v>
      </c>
      <c r="G210" s="67">
        <f t="shared" si="35"/>
        <v>0</v>
      </c>
      <c r="H210" s="42">
        <f t="shared" si="36"/>
        <v>0</v>
      </c>
      <c r="I210" s="42"/>
      <c r="J210" s="42">
        <f t="shared" si="37"/>
        <v>0</v>
      </c>
      <c r="K210" s="42">
        <v>1230</v>
      </c>
      <c r="L210" s="67">
        <f t="shared" si="38"/>
        <v>0</v>
      </c>
      <c r="M210" s="42"/>
      <c r="N210" s="42"/>
      <c r="O210" s="67"/>
      <c r="P210" s="42"/>
      <c r="Q210" s="67"/>
      <c r="R210" s="67"/>
      <c r="S210" s="67">
        <f t="shared" si="39"/>
        <v>0</v>
      </c>
      <c r="T210" s="68">
        <f t="shared" si="40"/>
        <v>-3957000</v>
      </c>
      <c r="U210" s="68">
        <f t="shared" si="41"/>
        <v>-3957000</v>
      </c>
      <c r="V210" s="67"/>
      <c r="W210" s="68">
        <f t="shared" si="42"/>
        <v>-3957000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210">
    <cfRule type="cellIs" dxfId="7" priority="2" operator="greaterThan">
      <formula>100</formula>
    </cfRule>
  </conditionalFormatting>
  <conditionalFormatting sqref="V7:V192">
    <cfRule type="cellIs" dxfId="6" priority="1" operator="lessThan">
      <formula>1</formula>
    </cfRule>
  </conditionalFormatting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Y210"/>
  <sheetViews>
    <sheetView zoomScaleNormal="100" workbookViewId="0">
      <selection activeCell="AA211" sqref="AA211"/>
    </sheetView>
  </sheetViews>
  <sheetFormatPr baseColWidth="10" defaultRowHeight="15" x14ac:dyDescent="0.25"/>
  <cols>
    <col min="7" max="7" width="11.140625" customWidth="1"/>
    <col min="8" max="8" width="8.7109375" hidden="1" customWidth="1"/>
    <col min="9" max="9" width="10.42578125" hidden="1" customWidth="1"/>
    <col min="10" max="11" width="8.7109375" hidden="1" customWidth="1"/>
    <col min="12" max="12" width="12.85546875" hidden="1" customWidth="1"/>
    <col min="13" max="14" width="11.42578125" hidden="1" customWidth="1"/>
    <col min="15" max="15" width="10.7109375" hidden="1" customWidth="1"/>
    <col min="16" max="16" width="9.42578125" hidden="1" customWidth="1"/>
    <col min="17" max="17" width="12" hidden="1" customWidth="1"/>
    <col min="18" max="18" width="7.42578125" hidden="1" customWidth="1"/>
    <col min="19" max="19" width="13" bestFit="1" customWidth="1"/>
    <col min="20" max="20" width="12.85546875" bestFit="1" customWidth="1"/>
    <col min="22" max="22" width="12.85546875" bestFit="1" customWidth="1"/>
    <col min="25" max="25" width="0" hidden="1" customWidth="1"/>
  </cols>
  <sheetData>
    <row r="1" spans="1:25" x14ac:dyDescent="0.25">
      <c r="B1" s="169" t="s">
        <v>37</v>
      </c>
      <c r="C1" s="169"/>
      <c r="D1" s="170">
        <v>6</v>
      </c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37" t="s">
        <v>50</v>
      </c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37" t="s">
        <v>56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/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/>
      <c r="Q5" s="9" t="s">
        <v>11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21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f t="shared" ref="T33:T96" si="1">W32</f>
        <v>0</v>
      </c>
      <c r="U33" s="25">
        <f t="shared" ref="U33:U96" si="2">S33+T33</f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f t="shared" si="1"/>
        <v>0</v>
      </c>
      <c r="U34" s="25">
        <f t="shared" si="2"/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f t="shared" si="1"/>
        <v>0</v>
      </c>
      <c r="U35" s="25">
        <f t="shared" si="2"/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f t="shared" si="1"/>
        <v>0</v>
      </c>
      <c r="U36" s="25">
        <f t="shared" si="2"/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f t="shared" si="1"/>
        <v>0</v>
      </c>
      <c r="U37" s="25">
        <f t="shared" si="2"/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f t="shared" si="1"/>
        <v>0</v>
      </c>
      <c r="U38" s="25">
        <f t="shared" si="2"/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f t="shared" si="1"/>
        <v>0</v>
      </c>
      <c r="U39" s="25">
        <f t="shared" si="2"/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f t="shared" si="1"/>
        <v>0</v>
      </c>
      <c r="U40" s="25">
        <f t="shared" si="2"/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f t="shared" si="1"/>
        <v>0</v>
      </c>
      <c r="U41" s="25">
        <f t="shared" si="2"/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f t="shared" si="1"/>
        <v>0</v>
      </c>
      <c r="U42" s="25">
        <f t="shared" si="2"/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f t="shared" si="1"/>
        <v>0</v>
      </c>
      <c r="U43" s="25">
        <f t="shared" si="2"/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f t="shared" si="1"/>
        <v>0</v>
      </c>
      <c r="U44" s="25">
        <f t="shared" si="2"/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f t="shared" si="1"/>
        <v>0</v>
      </c>
      <c r="U45" s="25">
        <f t="shared" si="2"/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f t="shared" si="1"/>
        <v>0</v>
      </c>
      <c r="U46" s="25">
        <f t="shared" si="2"/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f t="shared" si="1"/>
        <v>0</v>
      </c>
      <c r="U47" s="25">
        <f t="shared" si="2"/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f t="shared" si="1"/>
        <v>0</v>
      </c>
      <c r="U48" s="25">
        <f t="shared" si="2"/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f t="shared" si="1"/>
        <v>0</v>
      </c>
      <c r="U49" s="25">
        <f t="shared" si="2"/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f t="shared" si="1"/>
        <v>0</v>
      </c>
      <c r="U50" s="25">
        <f t="shared" si="2"/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f t="shared" si="1"/>
        <v>0</v>
      </c>
      <c r="U51" s="25">
        <f t="shared" si="2"/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f t="shared" si="1"/>
        <v>0</v>
      </c>
      <c r="U52" s="25">
        <f t="shared" si="2"/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f t="shared" si="1"/>
        <v>0</v>
      </c>
      <c r="U53" s="25">
        <f t="shared" si="2"/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25">
        <f t="shared" si="1"/>
        <v>0</v>
      </c>
      <c r="U54" s="25">
        <f t="shared" si="2"/>
        <v>0</v>
      </c>
      <c r="V54" s="36">
        <v>0</v>
      </c>
      <c r="W54" s="25">
        <v>0</v>
      </c>
      <c r="Y54">
        <f t="shared" si="0"/>
        <v>0</v>
      </c>
    </row>
    <row r="55" spans="1:25" ht="25.5" hidden="1" customHeight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25">
        <f t="shared" si="1"/>
        <v>0</v>
      </c>
      <c r="U55" s="25">
        <f t="shared" si="2"/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25">
        <f t="shared" si="1"/>
        <v>0</v>
      </c>
      <c r="U56" s="25">
        <f t="shared" si="2"/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25">
        <f t="shared" si="1"/>
        <v>0</v>
      </c>
      <c r="U57" s="25">
        <f t="shared" si="2"/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25">
        <f t="shared" si="1"/>
        <v>0</v>
      </c>
      <c r="U58" s="25">
        <f t="shared" si="2"/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25">
        <f t="shared" si="1"/>
        <v>0</v>
      </c>
      <c r="U59" s="25">
        <f t="shared" si="2"/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25">
        <f t="shared" si="1"/>
        <v>0</v>
      </c>
      <c r="U60" s="25">
        <f t="shared" si="2"/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25">
        <f t="shared" si="1"/>
        <v>0</v>
      </c>
      <c r="U61" s="25">
        <f t="shared" si="2"/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25">
        <f t="shared" si="1"/>
        <v>0</v>
      </c>
      <c r="U62" s="25">
        <f t="shared" si="2"/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25">
        <f t="shared" si="1"/>
        <v>0</v>
      </c>
      <c r="U63" s="25">
        <f t="shared" si="2"/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10000</v>
      </c>
      <c r="T64" s="25">
        <f t="shared" si="1"/>
        <v>0</v>
      </c>
      <c r="U64" s="25">
        <f t="shared" si="2"/>
        <v>10000</v>
      </c>
      <c r="V64" s="36">
        <v>0</v>
      </c>
      <c r="W64" s="25">
        <v>10000</v>
      </c>
      <c r="Y64">
        <f t="shared" si="0"/>
        <v>1</v>
      </c>
    </row>
    <row r="65" spans="1:25" ht="15.75" hidden="1" thickBot="1" x14ac:dyDescent="0.3">
      <c r="A65" s="20"/>
      <c r="B65" s="21" t="s">
        <v>33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10000</v>
      </c>
      <c r="R65" s="36">
        <v>0</v>
      </c>
      <c r="S65" s="36">
        <v>10000</v>
      </c>
      <c r="T65" s="25">
        <f t="shared" si="1"/>
        <v>10000</v>
      </c>
      <c r="U65" s="25">
        <f t="shared" si="2"/>
        <v>20000</v>
      </c>
      <c r="V65" s="36">
        <v>0</v>
      </c>
      <c r="W65" s="25">
        <v>20000</v>
      </c>
      <c r="Y65">
        <f t="shared" si="0"/>
        <v>2</v>
      </c>
    </row>
    <row r="66" spans="1:25" ht="15.75" hidden="1" thickBot="1" x14ac:dyDescent="0.3">
      <c r="A66" s="20"/>
      <c r="B66" s="21" t="s">
        <v>34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10000</v>
      </c>
      <c r="R66" s="36">
        <v>0</v>
      </c>
      <c r="S66" s="36">
        <v>10000</v>
      </c>
      <c r="T66" s="25">
        <f t="shared" si="1"/>
        <v>20000</v>
      </c>
      <c r="U66" s="25">
        <f t="shared" si="2"/>
        <v>30000</v>
      </c>
      <c r="V66" s="36">
        <v>0</v>
      </c>
      <c r="W66" s="25">
        <v>30000</v>
      </c>
      <c r="Y66">
        <f t="shared" si="0"/>
        <v>3</v>
      </c>
    </row>
    <row r="67" spans="1:25" ht="15.75" hidden="1" thickBot="1" x14ac:dyDescent="0.3">
      <c r="A67" s="20">
        <v>2008</v>
      </c>
      <c r="B67" s="21" t="s">
        <v>35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10000</v>
      </c>
      <c r="R67" s="36">
        <v>0</v>
      </c>
      <c r="S67" s="36">
        <v>14000</v>
      </c>
      <c r="T67" s="25">
        <f t="shared" si="1"/>
        <v>30000</v>
      </c>
      <c r="U67" s="25">
        <f t="shared" si="2"/>
        <v>44000</v>
      </c>
      <c r="V67" s="36">
        <v>0</v>
      </c>
      <c r="W67" s="25">
        <v>44000</v>
      </c>
      <c r="Y67">
        <f t="shared" si="0"/>
        <v>4</v>
      </c>
    </row>
    <row r="68" spans="1:25" ht="15.75" hidden="1" thickBot="1" x14ac:dyDescent="0.3">
      <c r="A68" s="20"/>
      <c r="B68" s="21" t="s">
        <v>24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4000</v>
      </c>
      <c r="Q68" s="36">
        <v>10000</v>
      </c>
      <c r="R68" s="36">
        <v>0</v>
      </c>
      <c r="S68" s="36">
        <v>14000</v>
      </c>
      <c r="T68" s="25">
        <f t="shared" si="1"/>
        <v>44000</v>
      </c>
      <c r="U68" s="25">
        <f t="shared" si="2"/>
        <v>58000</v>
      </c>
      <c r="V68" s="36">
        <v>0</v>
      </c>
      <c r="W68" s="25">
        <v>58000</v>
      </c>
      <c r="Y68">
        <f t="shared" si="0"/>
        <v>5</v>
      </c>
    </row>
    <row r="69" spans="1:25" ht="15.75" hidden="1" thickBot="1" x14ac:dyDescent="0.3">
      <c r="A69" s="20"/>
      <c r="B69" s="21" t="s">
        <v>25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4000</v>
      </c>
      <c r="Q69" s="36">
        <v>10000</v>
      </c>
      <c r="R69" s="36">
        <v>0</v>
      </c>
      <c r="S69" s="36">
        <v>14000</v>
      </c>
      <c r="T69" s="25">
        <f t="shared" si="1"/>
        <v>58000</v>
      </c>
      <c r="U69" s="25">
        <f t="shared" si="2"/>
        <v>72000</v>
      </c>
      <c r="V69" s="36">
        <v>0</v>
      </c>
      <c r="W69" s="25">
        <v>72000</v>
      </c>
      <c r="Y69">
        <f t="shared" si="0"/>
        <v>6</v>
      </c>
    </row>
    <row r="70" spans="1:25" ht="15.75" hidden="1" thickBot="1" x14ac:dyDescent="0.3">
      <c r="A70" s="20"/>
      <c r="B70" s="21" t="s">
        <v>26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4000</v>
      </c>
      <c r="Q70" s="36">
        <v>10000</v>
      </c>
      <c r="R70" s="36">
        <v>0</v>
      </c>
      <c r="S70" s="36">
        <v>14000</v>
      </c>
      <c r="T70" s="25">
        <f t="shared" si="1"/>
        <v>72000</v>
      </c>
      <c r="U70" s="25">
        <f t="shared" si="2"/>
        <v>86000</v>
      </c>
      <c r="V70" s="36">
        <v>0</v>
      </c>
      <c r="W70" s="25">
        <v>86000</v>
      </c>
      <c r="Y70">
        <f t="shared" si="0"/>
        <v>7</v>
      </c>
    </row>
    <row r="71" spans="1:25" ht="15.75" hidden="1" thickBot="1" x14ac:dyDescent="0.3">
      <c r="A71" s="20"/>
      <c r="B71" s="21" t="s">
        <v>27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4000</v>
      </c>
      <c r="Q71" s="36">
        <v>10000</v>
      </c>
      <c r="R71" s="36">
        <v>0</v>
      </c>
      <c r="S71" s="36">
        <v>10000</v>
      </c>
      <c r="T71" s="25">
        <f t="shared" si="1"/>
        <v>86000</v>
      </c>
      <c r="U71" s="25">
        <f t="shared" si="2"/>
        <v>96000</v>
      </c>
      <c r="V71" s="36">
        <v>0</v>
      </c>
      <c r="W71" s="25">
        <v>96000</v>
      </c>
      <c r="Y71">
        <f t="shared" si="0"/>
        <v>8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10000</v>
      </c>
      <c r="R72" s="36">
        <v>0</v>
      </c>
      <c r="S72" s="36">
        <v>10000</v>
      </c>
      <c r="T72" s="25">
        <f t="shared" si="1"/>
        <v>96000</v>
      </c>
      <c r="U72" s="25">
        <f t="shared" si="2"/>
        <v>106000</v>
      </c>
      <c r="V72" s="36">
        <v>0</v>
      </c>
      <c r="W72" s="25">
        <v>106000</v>
      </c>
      <c r="Y72">
        <f t="shared" si="0"/>
        <v>9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10000</v>
      </c>
      <c r="R73" s="36">
        <v>0</v>
      </c>
      <c r="S73" s="36">
        <v>10000</v>
      </c>
      <c r="T73" s="25">
        <f t="shared" si="1"/>
        <v>106000</v>
      </c>
      <c r="U73" s="25">
        <f t="shared" si="2"/>
        <v>116000</v>
      </c>
      <c r="V73" s="36">
        <v>0</v>
      </c>
      <c r="W73" s="25">
        <v>116000</v>
      </c>
      <c r="Y73">
        <f t="shared" ref="Y73:Y136" si="3">IF(W73&gt;1,Y72+1,)</f>
        <v>10</v>
      </c>
    </row>
    <row r="74" spans="1:25" ht="15.75" hidden="1" thickBot="1" x14ac:dyDescent="0.3">
      <c r="A74" s="20"/>
      <c r="B74" s="21" t="s">
        <v>30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10000</v>
      </c>
      <c r="R74" s="36">
        <v>0</v>
      </c>
      <c r="S74" s="36">
        <v>10000</v>
      </c>
      <c r="T74" s="25">
        <f t="shared" si="1"/>
        <v>116000</v>
      </c>
      <c r="U74" s="25">
        <f t="shared" si="2"/>
        <v>126000</v>
      </c>
      <c r="V74" s="36">
        <v>0</v>
      </c>
      <c r="W74" s="25">
        <v>126000</v>
      </c>
      <c r="Y74">
        <f t="shared" si="3"/>
        <v>11</v>
      </c>
    </row>
    <row r="75" spans="1:25" ht="15.75" hidden="1" thickBot="1" x14ac:dyDescent="0.3">
      <c r="A75" s="20"/>
      <c r="B75" s="21" t="s">
        <v>31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10000</v>
      </c>
      <c r="R75" s="36"/>
      <c r="S75" s="36">
        <v>10000</v>
      </c>
      <c r="T75" s="25">
        <f t="shared" si="1"/>
        <v>126000</v>
      </c>
      <c r="U75" s="25">
        <f t="shared" si="2"/>
        <v>136000</v>
      </c>
      <c r="V75" s="36">
        <v>0</v>
      </c>
      <c r="W75" s="25">
        <v>136000</v>
      </c>
      <c r="Y75">
        <f t="shared" si="3"/>
        <v>12</v>
      </c>
    </row>
    <row r="76" spans="1:25" ht="15.75" hidden="1" thickBot="1" x14ac:dyDescent="0.3">
      <c r="A76" s="20"/>
      <c r="B76" s="21" t="s">
        <v>32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10000</v>
      </c>
      <c r="R76" s="36"/>
      <c r="S76" s="36">
        <v>10000</v>
      </c>
      <c r="T76" s="25">
        <f t="shared" si="1"/>
        <v>136000</v>
      </c>
      <c r="U76" s="25">
        <f t="shared" si="2"/>
        <v>146000</v>
      </c>
      <c r="V76" s="36">
        <v>0</v>
      </c>
      <c r="W76" s="25">
        <v>146000</v>
      </c>
      <c r="Y76">
        <f t="shared" si="3"/>
        <v>13</v>
      </c>
    </row>
    <row r="77" spans="1:25" ht="15.75" hidden="1" thickBot="1" x14ac:dyDescent="0.3">
      <c r="A77" s="20"/>
      <c r="B77" s="21" t="s">
        <v>33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10000</v>
      </c>
      <c r="R77" s="36">
        <v>0</v>
      </c>
      <c r="S77" s="36">
        <v>10000</v>
      </c>
      <c r="T77" s="25">
        <f t="shared" si="1"/>
        <v>146000</v>
      </c>
      <c r="U77" s="25">
        <f t="shared" si="2"/>
        <v>156000</v>
      </c>
      <c r="V77" s="36">
        <v>0</v>
      </c>
      <c r="W77" s="25">
        <v>156000</v>
      </c>
      <c r="Y77">
        <f t="shared" si="3"/>
        <v>14</v>
      </c>
    </row>
    <row r="78" spans="1:25" ht="15.75" hidden="1" thickBot="1" x14ac:dyDescent="0.3">
      <c r="A78" s="20"/>
      <c r="B78" s="21" t="s">
        <v>34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10000</v>
      </c>
      <c r="R78" s="36">
        <v>0</v>
      </c>
      <c r="S78" s="36">
        <v>10000</v>
      </c>
      <c r="T78" s="25">
        <f t="shared" si="1"/>
        <v>156000</v>
      </c>
      <c r="U78" s="25">
        <f t="shared" si="2"/>
        <v>166000</v>
      </c>
      <c r="V78" s="36">
        <v>156000</v>
      </c>
      <c r="W78" s="25">
        <v>10000</v>
      </c>
      <c r="Y78">
        <f t="shared" si="3"/>
        <v>15</v>
      </c>
    </row>
    <row r="79" spans="1:25" ht="15.75" hidden="1" thickBot="1" x14ac:dyDescent="0.3">
      <c r="A79" s="20">
        <v>2009</v>
      </c>
      <c r="B79" s="21" t="s">
        <v>35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10000</v>
      </c>
      <c r="R79" s="36">
        <v>0</v>
      </c>
      <c r="S79" s="36">
        <v>10000</v>
      </c>
      <c r="T79" s="25">
        <f t="shared" si="1"/>
        <v>10000</v>
      </c>
      <c r="U79" s="25">
        <f t="shared" si="2"/>
        <v>20000</v>
      </c>
      <c r="V79" s="36">
        <v>0</v>
      </c>
      <c r="W79" s="25">
        <v>20000</v>
      </c>
      <c r="Y79">
        <f t="shared" si="3"/>
        <v>16</v>
      </c>
    </row>
    <row r="80" spans="1:25" ht="15.75" hidden="1" thickBot="1" x14ac:dyDescent="0.3">
      <c r="A80" s="20"/>
      <c r="B80" s="21" t="s">
        <v>24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10000</v>
      </c>
      <c r="R80" s="36">
        <v>0</v>
      </c>
      <c r="S80" s="36">
        <v>10000</v>
      </c>
      <c r="T80" s="25">
        <f t="shared" si="1"/>
        <v>20000</v>
      </c>
      <c r="U80" s="25">
        <f t="shared" si="2"/>
        <v>30000</v>
      </c>
      <c r="V80" s="36">
        <v>0</v>
      </c>
      <c r="W80" s="25">
        <v>30000</v>
      </c>
      <c r="Y80">
        <f t="shared" si="3"/>
        <v>17</v>
      </c>
    </row>
    <row r="81" spans="1:25" ht="15.75" hidden="1" thickBot="1" x14ac:dyDescent="0.3">
      <c r="A81" s="20"/>
      <c r="B81" s="21" t="s">
        <v>25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10000</v>
      </c>
      <c r="R81" s="36">
        <v>0</v>
      </c>
      <c r="S81" s="36">
        <v>14000</v>
      </c>
      <c r="T81" s="25">
        <f t="shared" si="1"/>
        <v>30000</v>
      </c>
      <c r="U81" s="25">
        <f t="shared" si="2"/>
        <v>44000</v>
      </c>
      <c r="V81" s="36">
        <v>0</v>
      </c>
      <c r="W81" s="25">
        <v>44000</v>
      </c>
      <c r="Y81">
        <f t="shared" si="3"/>
        <v>18</v>
      </c>
    </row>
    <row r="82" spans="1:25" ht="15.75" hidden="1" thickBot="1" x14ac:dyDescent="0.3">
      <c r="A82" s="20"/>
      <c r="B82" s="21" t="s">
        <v>26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4000</v>
      </c>
      <c r="Q82" s="36">
        <v>10000</v>
      </c>
      <c r="R82" s="36">
        <v>5800</v>
      </c>
      <c r="S82" s="36">
        <v>14000</v>
      </c>
      <c r="T82" s="25">
        <f t="shared" si="1"/>
        <v>44000</v>
      </c>
      <c r="U82" s="25">
        <f t="shared" si="2"/>
        <v>58000</v>
      </c>
      <c r="V82" s="36">
        <v>0</v>
      </c>
      <c r="W82" s="25">
        <v>63800</v>
      </c>
      <c r="Y82">
        <f t="shared" si="3"/>
        <v>19</v>
      </c>
    </row>
    <row r="83" spans="1:25" ht="15.75" hidden="1" thickBot="1" x14ac:dyDescent="0.3">
      <c r="A83" s="20"/>
      <c r="B83" s="21" t="s">
        <v>27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4000</v>
      </c>
      <c r="Q83" s="36">
        <v>10000</v>
      </c>
      <c r="R83" s="36">
        <v>0</v>
      </c>
      <c r="S83" s="36">
        <v>14000</v>
      </c>
      <c r="T83" s="25">
        <f t="shared" si="1"/>
        <v>63800</v>
      </c>
      <c r="U83" s="25">
        <f t="shared" si="2"/>
        <v>77800</v>
      </c>
      <c r="V83" s="36">
        <v>0</v>
      </c>
      <c r="W83" s="25">
        <v>77800</v>
      </c>
      <c r="Y83">
        <f t="shared" si="3"/>
        <v>20</v>
      </c>
    </row>
    <row r="84" spans="1:25" ht="15.75" hidden="1" thickBot="1" x14ac:dyDescent="0.3">
      <c r="A84" s="20"/>
      <c r="B84" s="21" t="s">
        <v>28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4000</v>
      </c>
      <c r="Q84" s="36">
        <v>10000</v>
      </c>
      <c r="R84" s="36">
        <v>8780</v>
      </c>
      <c r="S84" s="36">
        <v>10000</v>
      </c>
      <c r="T84" s="25">
        <f t="shared" si="1"/>
        <v>77800</v>
      </c>
      <c r="U84" s="25">
        <f t="shared" si="2"/>
        <v>87800</v>
      </c>
      <c r="V84" s="36">
        <v>0</v>
      </c>
      <c r="W84" s="25">
        <v>96580</v>
      </c>
      <c r="Y84">
        <f t="shared" si="3"/>
        <v>21</v>
      </c>
    </row>
    <row r="85" spans="1:25" ht="15.75" hidden="1" thickBot="1" x14ac:dyDescent="0.3">
      <c r="A85" s="20"/>
      <c r="B85" s="21" t="s">
        <v>29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10000</v>
      </c>
      <c r="R85" s="36">
        <v>0</v>
      </c>
      <c r="S85" s="36">
        <v>20000</v>
      </c>
      <c r="T85" s="25">
        <f t="shared" si="1"/>
        <v>96580</v>
      </c>
      <c r="U85" s="25">
        <f t="shared" si="2"/>
        <v>116580</v>
      </c>
      <c r="V85" s="36">
        <v>0</v>
      </c>
      <c r="W85" s="25">
        <v>126580</v>
      </c>
      <c r="Y85">
        <f t="shared" si="3"/>
        <v>22</v>
      </c>
    </row>
    <row r="86" spans="1:25" ht="15.75" hidden="1" thickBot="1" x14ac:dyDescent="0.3">
      <c r="A86" s="20"/>
      <c r="B86" s="21" t="s">
        <v>30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20000</v>
      </c>
      <c r="R86" s="36">
        <v>12658</v>
      </c>
      <c r="S86" s="36">
        <v>10000</v>
      </c>
      <c r="T86" s="25">
        <f t="shared" si="1"/>
        <v>126580</v>
      </c>
      <c r="U86" s="25">
        <f t="shared" si="2"/>
        <v>136580</v>
      </c>
      <c r="V86" s="36">
        <v>0</v>
      </c>
      <c r="W86" s="25">
        <v>139238</v>
      </c>
      <c r="Y86">
        <f t="shared" si="3"/>
        <v>23</v>
      </c>
    </row>
    <row r="87" spans="1:25" ht="15.75" hidden="1" thickBot="1" x14ac:dyDescent="0.3">
      <c r="A87" s="20"/>
      <c r="B87" s="21" t="s">
        <v>31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10000</v>
      </c>
      <c r="R87" s="36">
        <v>0</v>
      </c>
      <c r="S87" s="36">
        <v>10000</v>
      </c>
      <c r="T87" s="25">
        <f t="shared" si="1"/>
        <v>139238</v>
      </c>
      <c r="U87" s="25">
        <f t="shared" si="2"/>
        <v>149238</v>
      </c>
      <c r="V87" s="36">
        <v>0</v>
      </c>
      <c r="W87" s="25">
        <v>149238</v>
      </c>
      <c r="Y87">
        <f t="shared" si="3"/>
        <v>24</v>
      </c>
    </row>
    <row r="88" spans="1:25" ht="15.75" hidden="1" thickBot="1" x14ac:dyDescent="0.3">
      <c r="A88" s="20"/>
      <c r="B88" s="21" t="s">
        <v>32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10000</v>
      </c>
      <c r="R88" s="36">
        <v>15932</v>
      </c>
      <c r="S88" s="36">
        <v>10000</v>
      </c>
      <c r="T88" s="25">
        <f t="shared" si="1"/>
        <v>149238</v>
      </c>
      <c r="U88" s="25">
        <f t="shared" si="2"/>
        <v>159238</v>
      </c>
      <c r="V88" s="36">
        <v>0</v>
      </c>
      <c r="W88" s="25">
        <v>175170</v>
      </c>
      <c r="Y88">
        <f t="shared" si="3"/>
        <v>25</v>
      </c>
    </row>
    <row r="89" spans="1:25" ht="15.75" hidden="1" thickBot="1" x14ac:dyDescent="0.3">
      <c r="A89" s="20"/>
      <c r="B89" s="21" t="s">
        <v>33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10000</v>
      </c>
      <c r="R89" s="36">
        <v>0</v>
      </c>
      <c r="S89" s="36">
        <v>10000</v>
      </c>
      <c r="T89" s="25">
        <f t="shared" si="1"/>
        <v>175170</v>
      </c>
      <c r="U89" s="25">
        <f t="shared" si="2"/>
        <v>185170</v>
      </c>
      <c r="V89" s="36">
        <v>0</v>
      </c>
      <c r="W89" s="25">
        <v>185170</v>
      </c>
      <c r="Y89">
        <f t="shared" si="3"/>
        <v>26</v>
      </c>
    </row>
    <row r="90" spans="1:25" ht="15.75" hidden="1" thickBot="1" x14ac:dyDescent="0.3">
      <c r="A90" s="20"/>
      <c r="B90" s="21" t="s">
        <v>34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10000</v>
      </c>
      <c r="R90" s="36">
        <v>0</v>
      </c>
      <c r="S90" s="36">
        <v>10000</v>
      </c>
      <c r="T90" s="25">
        <f t="shared" si="1"/>
        <v>185170</v>
      </c>
      <c r="U90" s="25">
        <f t="shared" si="2"/>
        <v>195170</v>
      </c>
      <c r="V90" s="36">
        <v>152000</v>
      </c>
      <c r="W90" s="25">
        <v>43170</v>
      </c>
      <c r="Y90">
        <f t="shared" si="3"/>
        <v>27</v>
      </c>
    </row>
    <row r="91" spans="1:25" ht="15.75" hidden="1" thickBot="1" x14ac:dyDescent="0.3">
      <c r="A91">
        <v>2010</v>
      </c>
      <c r="B91" s="21" t="s">
        <v>35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10000</v>
      </c>
      <c r="R91" s="36">
        <v>0</v>
      </c>
      <c r="S91" s="36">
        <v>10000</v>
      </c>
      <c r="T91" s="25">
        <f t="shared" si="1"/>
        <v>43170</v>
      </c>
      <c r="U91" s="25">
        <f t="shared" si="2"/>
        <v>53170</v>
      </c>
      <c r="V91" s="36">
        <v>10000</v>
      </c>
      <c r="W91" s="25">
        <v>43170</v>
      </c>
      <c r="Y91">
        <f t="shared" si="3"/>
        <v>28</v>
      </c>
    </row>
    <row r="92" spans="1:25" ht="15.75" hidden="1" thickBot="1" x14ac:dyDescent="0.3">
      <c r="B92" s="21" t="s">
        <v>24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10000</v>
      </c>
      <c r="R92" s="36"/>
      <c r="S92" s="36">
        <v>10000</v>
      </c>
      <c r="T92" s="25">
        <f t="shared" si="1"/>
        <v>43170</v>
      </c>
      <c r="U92" s="25">
        <f t="shared" si="2"/>
        <v>53170</v>
      </c>
      <c r="V92" s="36">
        <v>0</v>
      </c>
      <c r="W92" s="25">
        <v>53170</v>
      </c>
      <c r="Y92">
        <f t="shared" si="3"/>
        <v>29</v>
      </c>
    </row>
    <row r="93" spans="1:25" ht="15.75" hidden="1" thickBot="1" x14ac:dyDescent="0.3">
      <c r="B93" s="21" t="s">
        <v>25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10000</v>
      </c>
      <c r="R93" s="36">
        <v>0</v>
      </c>
      <c r="S93" s="36">
        <v>10000</v>
      </c>
      <c r="T93" s="25">
        <f t="shared" si="1"/>
        <v>53170</v>
      </c>
      <c r="U93" s="25">
        <f t="shared" si="2"/>
        <v>63170</v>
      </c>
      <c r="V93" s="36">
        <v>63170</v>
      </c>
      <c r="W93" s="25">
        <v>0</v>
      </c>
      <c r="Y93">
        <f t="shared" si="3"/>
        <v>0</v>
      </c>
    </row>
    <row r="94" spans="1:25" ht="15.75" hidden="1" thickBot="1" x14ac:dyDescent="0.3">
      <c r="B94" s="21" t="s">
        <v>26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10000</v>
      </c>
      <c r="R94" s="36">
        <v>0</v>
      </c>
      <c r="S94" s="36">
        <v>10000</v>
      </c>
      <c r="T94" s="25">
        <f t="shared" si="1"/>
        <v>0</v>
      </c>
      <c r="U94" s="25">
        <f t="shared" si="2"/>
        <v>10000</v>
      </c>
      <c r="V94" s="36">
        <v>10000</v>
      </c>
      <c r="W94" s="25">
        <v>0</v>
      </c>
      <c r="Y94">
        <f t="shared" si="3"/>
        <v>0</v>
      </c>
    </row>
    <row r="95" spans="1:25" ht="15.75" hidden="1" thickBot="1" x14ac:dyDescent="0.3">
      <c r="B95" s="21" t="s">
        <v>27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10000</v>
      </c>
      <c r="R95" s="36">
        <v>0</v>
      </c>
      <c r="S95" s="36">
        <v>10000</v>
      </c>
      <c r="T95" s="25">
        <f t="shared" si="1"/>
        <v>0</v>
      </c>
      <c r="U95" s="25">
        <f t="shared" si="2"/>
        <v>10000</v>
      </c>
      <c r="V95" s="36">
        <v>10000</v>
      </c>
      <c r="W95" s="25">
        <v>0</v>
      </c>
      <c r="Y95">
        <f t="shared" si="3"/>
        <v>0</v>
      </c>
    </row>
    <row r="96" spans="1:25" ht="15.75" hidden="1" thickBot="1" x14ac:dyDescent="0.3">
      <c r="B96" s="21" t="s">
        <v>28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10000</v>
      </c>
      <c r="R96" s="36">
        <v>0</v>
      </c>
      <c r="S96" s="36">
        <v>10000</v>
      </c>
      <c r="T96" s="25">
        <f t="shared" si="1"/>
        <v>0</v>
      </c>
      <c r="U96" s="25">
        <f t="shared" si="2"/>
        <v>10000</v>
      </c>
      <c r="V96" s="36">
        <v>0</v>
      </c>
      <c r="W96" s="25">
        <v>10000</v>
      </c>
      <c r="Y96">
        <f t="shared" si="3"/>
        <v>1</v>
      </c>
    </row>
    <row r="97" spans="1:25" ht="22.5" hidden="1" customHeight="1" thickBot="1" x14ac:dyDescent="0.3">
      <c r="A97" s="20"/>
      <c r="B97" s="21" t="s">
        <v>29</v>
      </c>
      <c r="C97" s="36">
        <v>0</v>
      </c>
      <c r="D97" s="36">
        <v>0</v>
      </c>
      <c r="E97" s="36">
        <v>0</v>
      </c>
      <c r="F97" s="36">
        <v>146</v>
      </c>
      <c r="G97" s="36">
        <v>0</v>
      </c>
      <c r="H97" s="36">
        <v>0</v>
      </c>
      <c r="I97" s="36">
        <v>0</v>
      </c>
      <c r="J97" s="36">
        <v>0</v>
      </c>
      <c r="K97" s="36">
        <v>360</v>
      </c>
      <c r="L97" s="36">
        <v>0</v>
      </c>
      <c r="M97" s="36">
        <v>0</v>
      </c>
      <c r="N97" s="36"/>
      <c r="O97" s="36"/>
      <c r="P97" s="36">
        <v>0</v>
      </c>
      <c r="Q97" s="36">
        <v>10000</v>
      </c>
      <c r="R97" s="36"/>
      <c r="S97" s="36">
        <f t="shared" ref="S97:S161" si="4">G97+L97+M97+N97+O97+P97+Q97+R97</f>
        <v>10000</v>
      </c>
      <c r="T97" s="25">
        <f t="shared" ref="T97" si="5">W96</f>
        <v>10000</v>
      </c>
      <c r="U97" s="25">
        <f t="shared" ref="U97" si="6">S97+T97</f>
        <v>20000</v>
      </c>
      <c r="V97" s="36">
        <v>20000</v>
      </c>
      <c r="W97" s="25">
        <f t="shared" ref="W97:W157" si="7">U97-V97</f>
        <v>0</v>
      </c>
      <c r="Y97">
        <f t="shared" si="3"/>
        <v>0</v>
      </c>
    </row>
    <row r="98" spans="1:25" ht="15.75" hidden="1" thickBot="1" x14ac:dyDescent="0.3">
      <c r="A98" s="20"/>
      <c r="B98" s="21" t="s">
        <v>30</v>
      </c>
      <c r="C98" s="36">
        <v>0</v>
      </c>
      <c r="D98" s="36">
        <v>0</v>
      </c>
      <c r="E98" s="36">
        <v>0</v>
      </c>
      <c r="F98" s="36">
        <v>146</v>
      </c>
      <c r="G98" s="36">
        <v>0</v>
      </c>
      <c r="H98" s="36">
        <v>0</v>
      </c>
      <c r="I98" s="36">
        <v>0</v>
      </c>
      <c r="J98" s="36">
        <v>0</v>
      </c>
      <c r="K98" s="36">
        <v>360</v>
      </c>
      <c r="L98" s="36">
        <v>0</v>
      </c>
      <c r="M98" s="36">
        <v>0</v>
      </c>
      <c r="N98" s="36"/>
      <c r="O98" s="36"/>
      <c r="P98" s="36">
        <v>0</v>
      </c>
      <c r="Q98" s="36">
        <v>10000</v>
      </c>
      <c r="R98" s="36">
        <v>0</v>
      </c>
      <c r="S98" s="36">
        <f t="shared" si="4"/>
        <v>10000</v>
      </c>
      <c r="T98" s="25">
        <f t="shared" ref="T98:T161" si="8">W97</f>
        <v>0</v>
      </c>
      <c r="U98" s="25">
        <f t="shared" ref="U98:U161" si="9">S98+T98</f>
        <v>10000</v>
      </c>
      <c r="V98" s="36">
        <v>10000</v>
      </c>
      <c r="W98" s="25">
        <f t="shared" si="7"/>
        <v>0</v>
      </c>
      <c r="Y98">
        <f t="shared" si="3"/>
        <v>0</v>
      </c>
    </row>
    <row r="99" spans="1:25" ht="15.75" hidden="1" thickBot="1" x14ac:dyDescent="0.3">
      <c r="A99" s="20"/>
      <c r="B99" s="21" t="s">
        <v>31</v>
      </c>
      <c r="C99" s="36">
        <v>0</v>
      </c>
      <c r="D99" s="36">
        <v>0</v>
      </c>
      <c r="E99" s="36">
        <v>0</v>
      </c>
      <c r="F99" s="36">
        <v>146</v>
      </c>
      <c r="G99" s="36">
        <v>0</v>
      </c>
      <c r="H99" s="36">
        <v>0</v>
      </c>
      <c r="I99" s="36">
        <v>0</v>
      </c>
      <c r="J99" s="36">
        <v>0</v>
      </c>
      <c r="K99" s="36">
        <v>360</v>
      </c>
      <c r="L99" s="36">
        <v>0</v>
      </c>
      <c r="M99" s="36">
        <v>0</v>
      </c>
      <c r="N99" s="36"/>
      <c r="O99" s="36"/>
      <c r="P99" s="36">
        <v>0</v>
      </c>
      <c r="Q99" s="36">
        <v>10000</v>
      </c>
      <c r="R99" s="36"/>
      <c r="S99" s="36">
        <f t="shared" si="4"/>
        <v>10000</v>
      </c>
      <c r="T99" s="25">
        <f t="shared" si="8"/>
        <v>0</v>
      </c>
      <c r="U99" s="25">
        <f t="shared" si="9"/>
        <v>10000</v>
      </c>
      <c r="V99" s="36">
        <v>10000</v>
      </c>
      <c r="W99" s="25">
        <f t="shared" si="7"/>
        <v>0</v>
      </c>
      <c r="Y99">
        <f t="shared" si="3"/>
        <v>0</v>
      </c>
    </row>
    <row r="100" spans="1:25" ht="15.75" hidden="1" thickBot="1" x14ac:dyDescent="0.3">
      <c r="A100" s="20"/>
      <c r="B100" s="21" t="s">
        <v>32</v>
      </c>
      <c r="C100" s="36">
        <v>0</v>
      </c>
      <c r="D100" s="36">
        <v>0</v>
      </c>
      <c r="E100" s="36">
        <v>0</v>
      </c>
      <c r="F100" s="36">
        <v>146</v>
      </c>
      <c r="G100" s="36">
        <v>0</v>
      </c>
      <c r="H100" s="36">
        <v>0</v>
      </c>
      <c r="I100" s="36">
        <v>0</v>
      </c>
      <c r="J100" s="36">
        <v>0</v>
      </c>
      <c r="K100" s="36">
        <v>360</v>
      </c>
      <c r="L100" s="36">
        <v>0</v>
      </c>
      <c r="M100" s="36">
        <v>0</v>
      </c>
      <c r="N100" s="36"/>
      <c r="O100" s="36"/>
      <c r="P100" s="36">
        <v>0</v>
      </c>
      <c r="Q100" s="36">
        <v>10000</v>
      </c>
      <c r="R100" s="36"/>
      <c r="S100" s="36">
        <f t="shared" si="4"/>
        <v>10000</v>
      </c>
      <c r="T100" s="25">
        <f t="shared" si="8"/>
        <v>0</v>
      </c>
      <c r="U100" s="25">
        <f t="shared" si="9"/>
        <v>10000</v>
      </c>
      <c r="V100" s="36">
        <v>0</v>
      </c>
      <c r="W100" s="25">
        <f t="shared" si="7"/>
        <v>10000</v>
      </c>
      <c r="Y100">
        <f t="shared" si="3"/>
        <v>1</v>
      </c>
    </row>
    <row r="101" spans="1:25" ht="15.75" hidden="1" thickBot="1" x14ac:dyDescent="0.3">
      <c r="A101" s="20"/>
      <c r="B101" s="21" t="s">
        <v>33</v>
      </c>
      <c r="C101" s="36">
        <v>0</v>
      </c>
      <c r="D101" s="36"/>
      <c r="E101" s="36">
        <v>0</v>
      </c>
      <c r="F101" s="36">
        <v>146</v>
      </c>
      <c r="G101" s="36">
        <v>0</v>
      </c>
      <c r="H101" s="36">
        <v>0</v>
      </c>
      <c r="I101" s="36"/>
      <c r="J101" s="36">
        <v>0</v>
      </c>
      <c r="K101" s="36">
        <v>360</v>
      </c>
      <c r="L101" s="36">
        <v>0</v>
      </c>
      <c r="M101" s="36">
        <v>0</v>
      </c>
      <c r="N101" s="36"/>
      <c r="O101" s="36"/>
      <c r="P101" s="36">
        <v>0</v>
      </c>
      <c r="Q101" s="36">
        <v>10000</v>
      </c>
      <c r="R101" s="36"/>
      <c r="S101" s="36">
        <f t="shared" si="4"/>
        <v>10000</v>
      </c>
      <c r="T101" s="25">
        <f t="shared" si="8"/>
        <v>10000</v>
      </c>
      <c r="U101" s="25">
        <f t="shared" si="9"/>
        <v>20000</v>
      </c>
      <c r="V101" s="36">
        <v>20000</v>
      </c>
      <c r="W101" s="25">
        <f t="shared" si="7"/>
        <v>0</v>
      </c>
      <c r="Y101">
        <f t="shared" si="3"/>
        <v>0</v>
      </c>
    </row>
    <row r="102" spans="1:25" ht="15.75" hidden="1" thickBot="1" x14ac:dyDescent="0.3">
      <c r="A102" s="20"/>
      <c r="B102" s="21" t="s">
        <v>34</v>
      </c>
      <c r="C102" s="36">
        <v>0</v>
      </c>
      <c r="D102" s="36"/>
      <c r="E102" s="36">
        <v>0</v>
      </c>
      <c r="F102" s="36">
        <v>146</v>
      </c>
      <c r="G102" s="36">
        <v>0</v>
      </c>
      <c r="H102" s="36">
        <v>0</v>
      </c>
      <c r="I102" s="36"/>
      <c r="J102" s="36">
        <v>0</v>
      </c>
      <c r="K102" s="36">
        <v>360</v>
      </c>
      <c r="L102" s="36">
        <v>0</v>
      </c>
      <c r="M102" s="36">
        <v>0</v>
      </c>
      <c r="N102" s="36"/>
      <c r="O102" s="36"/>
      <c r="P102" s="36">
        <v>0</v>
      </c>
      <c r="Q102" s="36">
        <v>10000</v>
      </c>
      <c r="R102" s="36"/>
      <c r="S102" s="36">
        <f t="shared" si="4"/>
        <v>10000</v>
      </c>
      <c r="T102" s="25">
        <f t="shared" si="8"/>
        <v>0</v>
      </c>
      <c r="U102" s="25">
        <f t="shared" si="9"/>
        <v>10000</v>
      </c>
      <c r="V102" s="36">
        <v>0</v>
      </c>
      <c r="W102" s="25">
        <f t="shared" si="7"/>
        <v>10000</v>
      </c>
      <c r="Y102">
        <f t="shared" si="3"/>
        <v>1</v>
      </c>
    </row>
    <row r="103" spans="1:25" ht="15.75" hidden="1" thickBot="1" x14ac:dyDescent="0.3">
      <c r="A103" s="20">
        <v>2011</v>
      </c>
      <c r="B103" s="21" t="s">
        <v>35</v>
      </c>
      <c r="C103" s="36">
        <v>0</v>
      </c>
      <c r="D103" s="36"/>
      <c r="E103" s="36">
        <v>0</v>
      </c>
      <c r="F103" s="36">
        <v>0</v>
      </c>
      <c r="G103" s="36">
        <v>0</v>
      </c>
      <c r="H103" s="36">
        <v>0</v>
      </c>
      <c r="I103" s="36"/>
      <c r="J103" s="36">
        <v>0</v>
      </c>
      <c r="K103" s="36">
        <v>0</v>
      </c>
      <c r="L103" s="36">
        <v>0</v>
      </c>
      <c r="M103" s="36">
        <v>0</v>
      </c>
      <c r="N103" s="36"/>
      <c r="O103" s="36"/>
      <c r="P103" s="36">
        <v>0</v>
      </c>
      <c r="Q103" s="36">
        <v>10000</v>
      </c>
      <c r="R103" s="36"/>
      <c r="S103" s="36">
        <f t="shared" si="4"/>
        <v>10000</v>
      </c>
      <c r="T103" s="25">
        <f t="shared" si="8"/>
        <v>10000</v>
      </c>
      <c r="U103" s="25">
        <f t="shared" si="9"/>
        <v>20000</v>
      </c>
      <c r="V103" s="36">
        <v>20000</v>
      </c>
      <c r="W103" s="25">
        <f t="shared" si="7"/>
        <v>0</v>
      </c>
      <c r="Y103">
        <f t="shared" si="3"/>
        <v>0</v>
      </c>
    </row>
    <row r="104" spans="1:25" ht="15.75" hidden="1" thickBot="1" x14ac:dyDescent="0.3">
      <c r="A104" s="20"/>
      <c r="B104" s="21" t="s">
        <v>24</v>
      </c>
      <c r="C104" s="36">
        <v>0</v>
      </c>
      <c r="D104" s="36"/>
      <c r="E104" s="36">
        <v>0</v>
      </c>
      <c r="F104" s="36">
        <v>0</v>
      </c>
      <c r="G104" s="36">
        <v>0</v>
      </c>
      <c r="H104" s="36">
        <v>0</v>
      </c>
      <c r="I104" s="36"/>
      <c r="J104" s="36">
        <v>0</v>
      </c>
      <c r="K104" s="36">
        <v>0</v>
      </c>
      <c r="L104" s="36">
        <v>0</v>
      </c>
      <c r="M104" s="36">
        <v>0</v>
      </c>
      <c r="N104" s="36"/>
      <c r="O104" s="36"/>
      <c r="P104" s="36">
        <v>0</v>
      </c>
      <c r="Q104" s="36">
        <v>10000</v>
      </c>
      <c r="R104" s="36"/>
      <c r="S104" s="36">
        <f t="shared" si="4"/>
        <v>10000</v>
      </c>
      <c r="T104" s="25">
        <f t="shared" si="8"/>
        <v>0</v>
      </c>
      <c r="U104" s="25">
        <f t="shared" si="9"/>
        <v>10000</v>
      </c>
      <c r="V104" s="36">
        <v>10000</v>
      </c>
      <c r="W104" s="25">
        <f t="shared" si="7"/>
        <v>0</v>
      </c>
      <c r="Y104">
        <f t="shared" si="3"/>
        <v>0</v>
      </c>
    </row>
    <row r="105" spans="1:25" ht="15.75" hidden="1" thickBot="1" x14ac:dyDescent="0.3">
      <c r="A105" s="20"/>
      <c r="B105" s="21" t="s">
        <v>25</v>
      </c>
      <c r="C105" s="36">
        <v>0</v>
      </c>
      <c r="D105" s="36"/>
      <c r="E105" s="36">
        <v>0</v>
      </c>
      <c r="F105" s="36">
        <v>0</v>
      </c>
      <c r="G105" s="36">
        <v>0</v>
      </c>
      <c r="H105" s="36">
        <v>0</v>
      </c>
      <c r="I105" s="36"/>
      <c r="J105" s="36">
        <v>0</v>
      </c>
      <c r="K105" s="36">
        <v>0</v>
      </c>
      <c r="L105" s="36">
        <v>0</v>
      </c>
      <c r="M105" s="36">
        <v>0</v>
      </c>
      <c r="N105" s="36"/>
      <c r="O105" s="36"/>
      <c r="P105" s="36">
        <v>0</v>
      </c>
      <c r="Q105" s="36">
        <v>10000</v>
      </c>
      <c r="R105" s="36"/>
      <c r="S105" s="36">
        <f t="shared" si="4"/>
        <v>10000</v>
      </c>
      <c r="T105" s="25">
        <f t="shared" si="8"/>
        <v>0</v>
      </c>
      <c r="U105" s="25">
        <f t="shared" si="9"/>
        <v>10000</v>
      </c>
      <c r="V105" s="36">
        <v>0</v>
      </c>
      <c r="W105" s="25">
        <f t="shared" si="7"/>
        <v>10000</v>
      </c>
      <c r="Y105">
        <f t="shared" si="3"/>
        <v>1</v>
      </c>
    </row>
    <row r="106" spans="1:25" ht="15.75" hidden="1" thickBot="1" x14ac:dyDescent="0.3">
      <c r="A106" s="20"/>
      <c r="B106" s="21" t="s">
        <v>26</v>
      </c>
      <c r="C106" s="36">
        <v>0</v>
      </c>
      <c r="D106" s="36"/>
      <c r="E106" s="36">
        <v>0</v>
      </c>
      <c r="F106" s="36">
        <v>0</v>
      </c>
      <c r="G106" s="36">
        <v>0</v>
      </c>
      <c r="H106" s="36">
        <v>0</v>
      </c>
      <c r="I106" s="36"/>
      <c r="J106" s="36">
        <v>0</v>
      </c>
      <c r="K106" s="36">
        <v>0</v>
      </c>
      <c r="L106" s="36">
        <v>0</v>
      </c>
      <c r="M106" s="36">
        <v>0</v>
      </c>
      <c r="N106" s="36"/>
      <c r="O106" s="36"/>
      <c r="P106" s="36">
        <v>0</v>
      </c>
      <c r="Q106" s="36">
        <v>10000</v>
      </c>
      <c r="R106" s="36"/>
      <c r="S106" s="36">
        <f t="shared" si="4"/>
        <v>10000</v>
      </c>
      <c r="T106" s="25">
        <f t="shared" si="8"/>
        <v>10000</v>
      </c>
      <c r="U106" s="25">
        <f t="shared" si="9"/>
        <v>20000</v>
      </c>
      <c r="V106" s="36">
        <v>20000</v>
      </c>
      <c r="W106" s="25">
        <f t="shared" si="7"/>
        <v>0</v>
      </c>
      <c r="Y106">
        <f t="shared" si="3"/>
        <v>0</v>
      </c>
    </row>
    <row r="107" spans="1:25" ht="15.75" hidden="1" thickBot="1" x14ac:dyDescent="0.3">
      <c r="A107" s="20"/>
      <c r="B107" s="21" t="s">
        <v>27</v>
      </c>
      <c r="C107" s="36">
        <v>0</v>
      </c>
      <c r="D107" s="36"/>
      <c r="E107" s="36">
        <v>0</v>
      </c>
      <c r="F107" s="36">
        <v>0</v>
      </c>
      <c r="G107" s="36">
        <v>0</v>
      </c>
      <c r="H107" s="36">
        <v>0</v>
      </c>
      <c r="I107" s="36"/>
      <c r="J107" s="36">
        <v>0</v>
      </c>
      <c r="K107" s="36">
        <v>0</v>
      </c>
      <c r="L107" s="36">
        <v>0</v>
      </c>
      <c r="M107" s="36">
        <v>0</v>
      </c>
      <c r="N107" s="36"/>
      <c r="O107" s="36"/>
      <c r="P107" s="36">
        <v>0</v>
      </c>
      <c r="Q107" s="36">
        <v>10000</v>
      </c>
      <c r="R107" s="36"/>
      <c r="S107" s="36">
        <f t="shared" si="4"/>
        <v>10000</v>
      </c>
      <c r="T107" s="25">
        <f t="shared" si="8"/>
        <v>0</v>
      </c>
      <c r="U107" s="25">
        <f t="shared" si="9"/>
        <v>10000</v>
      </c>
      <c r="V107" s="36">
        <v>10000</v>
      </c>
      <c r="W107" s="25">
        <f t="shared" si="7"/>
        <v>0</v>
      </c>
      <c r="Y107">
        <f t="shared" si="3"/>
        <v>0</v>
      </c>
    </row>
    <row r="108" spans="1:25" ht="15.75" hidden="1" thickBot="1" x14ac:dyDescent="0.3">
      <c r="A108" s="20"/>
      <c r="B108" s="21" t="s">
        <v>28</v>
      </c>
      <c r="C108" s="36">
        <v>0</v>
      </c>
      <c r="D108" s="36"/>
      <c r="E108" s="36">
        <v>0</v>
      </c>
      <c r="F108" s="36">
        <v>0</v>
      </c>
      <c r="G108" s="36">
        <v>0</v>
      </c>
      <c r="H108" s="36">
        <v>0</v>
      </c>
      <c r="I108" s="36"/>
      <c r="J108" s="36">
        <v>0</v>
      </c>
      <c r="K108" s="36">
        <v>0</v>
      </c>
      <c r="L108" s="36">
        <v>0</v>
      </c>
      <c r="M108" s="36">
        <v>0</v>
      </c>
      <c r="N108" s="36"/>
      <c r="O108" s="36"/>
      <c r="P108" s="36">
        <v>0</v>
      </c>
      <c r="Q108" s="36">
        <v>10000</v>
      </c>
      <c r="R108" s="36"/>
      <c r="S108" s="36">
        <f t="shared" si="4"/>
        <v>10000</v>
      </c>
      <c r="T108" s="25">
        <f t="shared" si="8"/>
        <v>0</v>
      </c>
      <c r="U108" s="25">
        <f t="shared" si="9"/>
        <v>10000</v>
      </c>
      <c r="V108" s="36">
        <v>0</v>
      </c>
      <c r="W108" s="25">
        <f t="shared" si="7"/>
        <v>10000</v>
      </c>
      <c r="Y108">
        <f t="shared" si="3"/>
        <v>1</v>
      </c>
    </row>
    <row r="109" spans="1:25" ht="15.75" hidden="1" thickBot="1" x14ac:dyDescent="0.3">
      <c r="A109" s="20"/>
      <c r="B109" s="21" t="s">
        <v>29</v>
      </c>
      <c r="C109" s="36">
        <v>0</v>
      </c>
      <c r="D109" s="36"/>
      <c r="E109" s="36">
        <v>0</v>
      </c>
      <c r="F109" s="36">
        <v>1</v>
      </c>
      <c r="G109" s="36">
        <v>0</v>
      </c>
      <c r="H109" s="36">
        <v>0</v>
      </c>
      <c r="I109" s="36"/>
      <c r="J109" s="36">
        <v>0</v>
      </c>
      <c r="K109" s="36">
        <v>0</v>
      </c>
      <c r="L109" s="36">
        <v>0</v>
      </c>
      <c r="M109" s="36">
        <v>0</v>
      </c>
      <c r="N109" s="36"/>
      <c r="O109" s="36"/>
      <c r="P109" s="36">
        <v>0</v>
      </c>
      <c r="Q109" s="36">
        <v>10000</v>
      </c>
      <c r="R109" s="36"/>
      <c r="S109" s="36">
        <f t="shared" si="4"/>
        <v>10000</v>
      </c>
      <c r="T109" s="25">
        <f t="shared" si="8"/>
        <v>10000</v>
      </c>
      <c r="U109" s="25">
        <f t="shared" si="9"/>
        <v>20000</v>
      </c>
      <c r="V109" s="36">
        <v>20000</v>
      </c>
      <c r="W109" s="25">
        <f t="shared" si="7"/>
        <v>0</v>
      </c>
      <c r="Y109">
        <f t="shared" si="3"/>
        <v>0</v>
      </c>
    </row>
    <row r="110" spans="1:25" ht="15.75" hidden="1" thickBot="1" x14ac:dyDescent="0.3">
      <c r="A110" s="20"/>
      <c r="B110" s="21" t="s">
        <v>30</v>
      </c>
      <c r="C110" s="36">
        <v>0</v>
      </c>
      <c r="D110" s="36"/>
      <c r="E110" s="36">
        <v>0</v>
      </c>
      <c r="F110" s="36">
        <v>2</v>
      </c>
      <c r="G110" s="36">
        <v>0</v>
      </c>
      <c r="H110" s="36">
        <v>0</v>
      </c>
      <c r="I110" s="36"/>
      <c r="J110" s="36">
        <v>0</v>
      </c>
      <c r="K110" s="36">
        <v>0</v>
      </c>
      <c r="L110" s="36">
        <v>0</v>
      </c>
      <c r="M110" s="36">
        <v>0</v>
      </c>
      <c r="N110" s="36"/>
      <c r="O110" s="36"/>
      <c r="P110" s="36">
        <v>0</v>
      </c>
      <c r="Q110" s="36">
        <v>10000</v>
      </c>
      <c r="R110" s="36"/>
      <c r="S110" s="36">
        <f t="shared" si="4"/>
        <v>10000</v>
      </c>
      <c r="T110" s="25">
        <f t="shared" si="8"/>
        <v>0</v>
      </c>
      <c r="U110" s="25">
        <f t="shared" si="9"/>
        <v>10000</v>
      </c>
      <c r="V110" s="36">
        <v>10000</v>
      </c>
      <c r="W110" s="25">
        <f t="shared" si="7"/>
        <v>0</v>
      </c>
      <c r="Y110">
        <f t="shared" si="3"/>
        <v>0</v>
      </c>
    </row>
    <row r="111" spans="1:25" ht="15.75" hidden="1" thickBot="1" x14ac:dyDescent="0.3">
      <c r="A111" s="20"/>
      <c r="B111" s="21" t="s">
        <v>31</v>
      </c>
      <c r="C111" s="36">
        <v>0</v>
      </c>
      <c r="D111" s="36"/>
      <c r="E111" s="36">
        <v>0</v>
      </c>
      <c r="F111" s="36">
        <v>3</v>
      </c>
      <c r="G111" s="36">
        <v>0</v>
      </c>
      <c r="H111" s="36">
        <v>0</v>
      </c>
      <c r="I111" s="36"/>
      <c r="J111" s="36">
        <v>0</v>
      </c>
      <c r="K111" s="36">
        <v>0</v>
      </c>
      <c r="L111" s="36">
        <v>0</v>
      </c>
      <c r="M111" s="36">
        <v>0</v>
      </c>
      <c r="N111" s="36"/>
      <c r="O111" s="36"/>
      <c r="P111" s="36">
        <v>0</v>
      </c>
      <c r="Q111" s="36">
        <v>10000</v>
      </c>
      <c r="R111" s="36"/>
      <c r="S111" s="36">
        <f t="shared" si="4"/>
        <v>10000</v>
      </c>
      <c r="T111" s="25">
        <f t="shared" si="8"/>
        <v>0</v>
      </c>
      <c r="U111" s="25">
        <f t="shared" si="9"/>
        <v>10000</v>
      </c>
      <c r="V111" s="36">
        <v>10000</v>
      </c>
      <c r="W111" s="25">
        <f t="shared" si="7"/>
        <v>0</v>
      </c>
      <c r="Y111">
        <f t="shared" si="3"/>
        <v>0</v>
      </c>
    </row>
    <row r="112" spans="1:25" ht="15.75" hidden="1" thickBot="1" x14ac:dyDescent="0.3">
      <c r="A112" s="20"/>
      <c r="B112" s="21" t="s">
        <v>32</v>
      </c>
      <c r="C112" s="36">
        <v>0</v>
      </c>
      <c r="D112" s="36"/>
      <c r="E112" s="36">
        <v>0</v>
      </c>
      <c r="F112" s="36">
        <v>4</v>
      </c>
      <c r="G112" s="36">
        <v>0</v>
      </c>
      <c r="H112" s="36">
        <v>0</v>
      </c>
      <c r="I112" s="36"/>
      <c r="J112" s="36">
        <v>0</v>
      </c>
      <c r="K112" s="36">
        <v>0</v>
      </c>
      <c r="L112" s="36">
        <v>0</v>
      </c>
      <c r="M112" s="36">
        <v>0</v>
      </c>
      <c r="N112" s="36"/>
      <c r="O112" s="36"/>
      <c r="P112" s="36">
        <v>0</v>
      </c>
      <c r="Q112" s="36">
        <v>10000</v>
      </c>
      <c r="R112" s="36"/>
      <c r="S112" s="36">
        <f t="shared" si="4"/>
        <v>10000</v>
      </c>
      <c r="T112" s="25">
        <f t="shared" si="8"/>
        <v>0</v>
      </c>
      <c r="U112" s="25">
        <f t="shared" si="9"/>
        <v>10000</v>
      </c>
      <c r="V112" s="36">
        <v>10000</v>
      </c>
      <c r="W112" s="25">
        <f t="shared" si="7"/>
        <v>0</v>
      </c>
      <c r="Y112">
        <f t="shared" si="3"/>
        <v>0</v>
      </c>
    </row>
    <row r="113" spans="1:25" ht="15.75" hidden="1" thickBot="1" x14ac:dyDescent="0.3">
      <c r="A113" s="20"/>
      <c r="B113" s="21" t="s">
        <v>33</v>
      </c>
      <c r="C113" s="36">
        <v>0</v>
      </c>
      <c r="D113" s="36"/>
      <c r="E113" s="36">
        <v>0</v>
      </c>
      <c r="F113" s="36">
        <v>5</v>
      </c>
      <c r="G113" s="36">
        <v>0</v>
      </c>
      <c r="H113" s="36">
        <v>0</v>
      </c>
      <c r="I113" s="36"/>
      <c r="J113" s="36">
        <v>0</v>
      </c>
      <c r="K113" s="36">
        <v>0</v>
      </c>
      <c r="L113" s="36">
        <v>0</v>
      </c>
      <c r="M113" s="36">
        <v>0</v>
      </c>
      <c r="N113" s="36"/>
      <c r="O113" s="36"/>
      <c r="P113" s="36">
        <v>0</v>
      </c>
      <c r="Q113" s="36">
        <v>10000</v>
      </c>
      <c r="R113" s="36"/>
      <c r="S113" s="36">
        <f t="shared" si="4"/>
        <v>10000</v>
      </c>
      <c r="T113" s="25">
        <f t="shared" si="8"/>
        <v>0</v>
      </c>
      <c r="U113" s="25">
        <f t="shared" si="9"/>
        <v>10000</v>
      </c>
      <c r="V113" s="36">
        <v>10000</v>
      </c>
      <c r="W113" s="25">
        <f t="shared" si="7"/>
        <v>0</v>
      </c>
      <c r="Y113">
        <f t="shared" si="3"/>
        <v>0</v>
      </c>
    </row>
    <row r="114" spans="1:25" ht="15.75" hidden="1" thickBot="1" x14ac:dyDescent="0.3">
      <c r="A114" s="20"/>
      <c r="B114" s="21" t="s">
        <v>34</v>
      </c>
      <c r="C114" s="36">
        <v>0</v>
      </c>
      <c r="D114" s="36"/>
      <c r="E114" s="36">
        <v>0</v>
      </c>
      <c r="F114" s="36">
        <v>6</v>
      </c>
      <c r="G114" s="36">
        <v>0</v>
      </c>
      <c r="H114" s="36">
        <v>0</v>
      </c>
      <c r="I114" s="36"/>
      <c r="J114" s="36">
        <v>0</v>
      </c>
      <c r="K114" s="36">
        <v>0</v>
      </c>
      <c r="L114" s="36">
        <v>0</v>
      </c>
      <c r="M114" s="36">
        <v>0</v>
      </c>
      <c r="N114" s="36"/>
      <c r="O114" s="36"/>
      <c r="P114" s="36">
        <v>0</v>
      </c>
      <c r="Q114" s="36">
        <v>10000</v>
      </c>
      <c r="R114" s="36"/>
      <c r="S114" s="36">
        <f t="shared" si="4"/>
        <v>10000</v>
      </c>
      <c r="T114" s="25">
        <f t="shared" si="8"/>
        <v>0</v>
      </c>
      <c r="U114" s="25">
        <f t="shared" si="9"/>
        <v>10000</v>
      </c>
      <c r="V114" s="36">
        <v>10000</v>
      </c>
      <c r="W114" s="25">
        <f t="shared" si="7"/>
        <v>0</v>
      </c>
      <c r="Y114">
        <f t="shared" si="3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0</v>
      </c>
      <c r="D115" s="36"/>
      <c r="E115" s="36">
        <v>0</v>
      </c>
      <c r="F115" s="36"/>
      <c r="G115" s="36">
        <v>0</v>
      </c>
      <c r="H115" s="36">
        <v>0</v>
      </c>
      <c r="I115" s="36"/>
      <c r="J115" s="36">
        <v>0</v>
      </c>
      <c r="K115" s="36"/>
      <c r="L115" s="36">
        <v>0</v>
      </c>
      <c r="M115" s="36">
        <v>0</v>
      </c>
      <c r="N115" s="36"/>
      <c r="O115" s="36"/>
      <c r="P115" s="36">
        <v>0</v>
      </c>
      <c r="Q115" s="36">
        <v>10000</v>
      </c>
      <c r="R115" s="36"/>
      <c r="S115" s="36">
        <f t="shared" si="4"/>
        <v>10000</v>
      </c>
      <c r="T115" s="25">
        <f t="shared" si="8"/>
        <v>0</v>
      </c>
      <c r="U115" s="25">
        <f t="shared" si="9"/>
        <v>10000</v>
      </c>
      <c r="V115" s="36">
        <v>10000</v>
      </c>
      <c r="W115" s="25">
        <f t="shared" si="7"/>
        <v>0</v>
      </c>
      <c r="Y115">
        <f t="shared" si="3"/>
        <v>0</v>
      </c>
    </row>
    <row r="116" spans="1:25" ht="15.75" hidden="1" thickBot="1" x14ac:dyDescent="0.3">
      <c r="A116" s="20"/>
      <c r="B116" s="21" t="s">
        <v>24</v>
      </c>
      <c r="C116" s="36">
        <v>0</v>
      </c>
      <c r="D116" s="36"/>
      <c r="E116" s="36">
        <v>0</v>
      </c>
      <c r="F116" s="36"/>
      <c r="G116" s="36">
        <v>0</v>
      </c>
      <c r="H116" s="36">
        <v>0</v>
      </c>
      <c r="I116" s="36"/>
      <c r="J116" s="36">
        <v>0</v>
      </c>
      <c r="K116" s="36"/>
      <c r="L116" s="36">
        <v>0</v>
      </c>
      <c r="M116" s="36">
        <v>0</v>
      </c>
      <c r="N116" s="36"/>
      <c r="O116" s="36"/>
      <c r="P116" s="36">
        <v>0</v>
      </c>
      <c r="Q116" s="36">
        <v>10000</v>
      </c>
      <c r="R116" s="36"/>
      <c r="S116" s="36">
        <f t="shared" si="4"/>
        <v>10000</v>
      </c>
      <c r="T116" s="25">
        <f t="shared" si="8"/>
        <v>0</v>
      </c>
      <c r="U116" s="25">
        <f t="shared" si="9"/>
        <v>10000</v>
      </c>
      <c r="V116" s="36">
        <v>10000</v>
      </c>
      <c r="W116" s="25">
        <f t="shared" si="7"/>
        <v>0</v>
      </c>
      <c r="Y116">
        <f t="shared" si="3"/>
        <v>0</v>
      </c>
    </row>
    <row r="117" spans="1:25" ht="15.75" hidden="1" thickBot="1" x14ac:dyDescent="0.3">
      <c r="A117" s="20"/>
      <c r="B117" s="21" t="s">
        <v>25</v>
      </c>
      <c r="C117" s="36">
        <v>0</v>
      </c>
      <c r="D117" s="36"/>
      <c r="E117" s="36">
        <v>0</v>
      </c>
      <c r="F117" s="36"/>
      <c r="G117" s="36">
        <v>0</v>
      </c>
      <c r="H117" s="36">
        <v>0</v>
      </c>
      <c r="I117" s="36"/>
      <c r="J117" s="36">
        <v>0</v>
      </c>
      <c r="K117" s="36"/>
      <c r="L117" s="36">
        <v>0</v>
      </c>
      <c r="M117" s="36">
        <v>0</v>
      </c>
      <c r="N117" s="36"/>
      <c r="O117" s="36"/>
      <c r="P117" s="36">
        <v>0</v>
      </c>
      <c r="Q117" s="36">
        <v>13197</v>
      </c>
      <c r="R117" s="36"/>
      <c r="S117" s="36">
        <f t="shared" si="4"/>
        <v>13197</v>
      </c>
      <c r="T117" s="25">
        <f t="shared" si="8"/>
        <v>0</v>
      </c>
      <c r="U117" s="25">
        <f t="shared" si="9"/>
        <v>13197</v>
      </c>
      <c r="V117" s="36">
        <v>13197</v>
      </c>
      <c r="W117" s="25">
        <f t="shared" si="7"/>
        <v>0</v>
      </c>
      <c r="Y117">
        <f t="shared" si="3"/>
        <v>0</v>
      </c>
    </row>
    <row r="118" spans="1:25" ht="15.75" hidden="1" thickBot="1" x14ac:dyDescent="0.3">
      <c r="A118" s="20"/>
      <c r="B118" s="21" t="s">
        <v>26</v>
      </c>
      <c r="C118" s="36">
        <v>0</v>
      </c>
      <c r="D118" s="36"/>
      <c r="E118" s="36">
        <v>0</v>
      </c>
      <c r="F118" s="36"/>
      <c r="G118" s="36">
        <v>0</v>
      </c>
      <c r="H118" s="36">
        <v>0</v>
      </c>
      <c r="I118" s="36"/>
      <c r="J118" s="36">
        <v>0</v>
      </c>
      <c r="K118" s="36"/>
      <c r="L118" s="36">
        <v>0</v>
      </c>
      <c r="M118" s="36">
        <v>0</v>
      </c>
      <c r="N118" s="36"/>
      <c r="O118" s="36"/>
      <c r="P118" s="36">
        <v>0</v>
      </c>
      <c r="Q118" s="36">
        <v>13197</v>
      </c>
      <c r="R118" s="36"/>
      <c r="S118" s="36">
        <f t="shared" si="4"/>
        <v>13197</v>
      </c>
      <c r="T118" s="25">
        <f t="shared" si="8"/>
        <v>0</v>
      </c>
      <c r="U118" s="25">
        <f t="shared" si="9"/>
        <v>13197</v>
      </c>
      <c r="V118" s="36">
        <v>13197</v>
      </c>
      <c r="W118" s="25">
        <f t="shared" si="7"/>
        <v>0</v>
      </c>
      <c r="Y118">
        <f t="shared" si="3"/>
        <v>0</v>
      </c>
    </row>
    <row r="119" spans="1:25" ht="15.75" hidden="1" thickBot="1" x14ac:dyDescent="0.3">
      <c r="A119" s="20"/>
      <c r="B119" s="21" t="s">
        <v>27</v>
      </c>
      <c r="C119" s="36">
        <v>0</v>
      </c>
      <c r="D119" s="36"/>
      <c r="E119" s="36">
        <v>0</v>
      </c>
      <c r="F119" s="36"/>
      <c r="G119" s="36">
        <v>0</v>
      </c>
      <c r="H119" s="36">
        <v>0</v>
      </c>
      <c r="I119" s="36"/>
      <c r="J119" s="36">
        <v>0</v>
      </c>
      <c r="K119" s="36"/>
      <c r="L119" s="36">
        <v>0</v>
      </c>
      <c r="M119" s="36">
        <v>0</v>
      </c>
      <c r="N119" s="36"/>
      <c r="O119" s="36"/>
      <c r="P119" s="36">
        <v>0</v>
      </c>
      <c r="Q119" s="36">
        <v>13197</v>
      </c>
      <c r="R119" s="36"/>
      <c r="S119" s="36">
        <f t="shared" si="4"/>
        <v>13197</v>
      </c>
      <c r="T119" s="25">
        <f t="shared" si="8"/>
        <v>0</v>
      </c>
      <c r="U119" s="25">
        <f t="shared" si="9"/>
        <v>13197</v>
      </c>
      <c r="V119" s="36">
        <v>0</v>
      </c>
      <c r="W119" s="25">
        <f t="shared" si="7"/>
        <v>13197</v>
      </c>
      <c r="Y119">
        <f t="shared" si="3"/>
        <v>1</v>
      </c>
    </row>
    <row r="120" spans="1:25" ht="15.75" hidden="1" thickBot="1" x14ac:dyDescent="0.3">
      <c r="A120" s="20"/>
      <c r="B120" s="21" t="s">
        <v>28</v>
      </c>
      <c r="C120" s="36">
        <v>0</v>
      </c>
      <c r="D120" s="36"/>
      <c r="E120" s="36">
        <v>0</v>
      </c>
      <c r="F120" s="36"/>
      <c r="G120" s="36">
        <v>0</v>
      </c>
      <c r="H120" s="36">
        <v>0</v>
      </c>
      <c r="I120" s="36"/>
      <c r="J120" s="36">
        <v>0</v>
      </c>
      <c r="K120" s="36"/>
      <c r="L120" s="36">
        <v>0</v>
      </c>
      <c r="M120" s="36">
        <v>0</v>
      </c>
      <c r="N120" s="36"/>
      <c r="O120" s="36"/>
      <c r="P120" s="36">
        <v>0</v>
      </c>
      <c r="Q120" s="36">
        <v>13197</v>
      </c>
      <c r="R120" s="36"/>
      <c r="S120" s="36">
        <f t="shared" si="4"/>
        <v>13197</v>
      </c>
      <c r="T120" s="25">
        <f t="shared" si="8"/>
        <v>13197</v>
      </c>
      <c r="U120" s="25">
        <f t="shared" si="9"/>
        <v>26394</v>
      </c>
      <c r="V120" s="36">
        <v>0</v>
      </c>
      <c r="W120" s="25">
        <f t="shared" si="7"/>
        <v>26394</v>
      </c>
      <c r="Y120">
        <f t="shared" si="3"/>
        <v>2</v>
      </c>
    </row>
    <row r="121" spans="1:25" ht="15.75" hidden="1" thickBot="1" x14ac:dyDescent="0.3">
      <c r="A121" s="20"/>
      <c r="B121" s="21" t="s">
        <v>29</v>
      </c>
      <c r="C121" s="36">
        <v>0</v>
      </c>
      <c r="D121" s="36"/>
      <c r="E121" s="36">
        <v>0</v>
      </c>
      <c r="F121" s="36"/>
      <c r="G121" s="36">
        <v>0</v>
      </c>
      <c r="H121" s="36">
        <v>0</v>
      </c>
      <c r="I121" s="36"/>
      <c r="J121" s="36">
        <v>0</v>
      </c>
      <c r="K121" s="36"/>
      <c r="L121" s="36">
        <v>0</v>
      </c>
      <c r="M121" s="36">
        <v>0</v>
      </c>
      <c r="N121" s="36"/>
      <c r="O121" s="36"/>
      <c r="P121" s="36">
        <v>0</v>
      </c>
      <c r="Q121" s="36">
        <v>13197</v>
      </c>
      <c r="R121" s="36"/>
      <c r="S121" s="36">
        <f t="shared" si="4"/>
        <v>13197</v>
      </c>
      <c r="T121" s="25">
        <f t="shared" si="8"/>
        <v>26394</v>
      </c>
      <c r="U121" s="25">
        <f t="shared" si="9"/>
        <v>39591</v>
      </c>
      <c r="V121" s="36">
        <v>39591</v>
      </c>
      <c r="W121" s="25">
        <f t="shared" si="7"/>
        <v>0</v>
      </c>
      <c r="Y121">
        <f t="shared" si="3"/>
        <v>0</v>
      </c>
    </row>
    <row r="122" spans="1:25" ht="15.75" hidden="1" thickBot="1" x14ac:dyDescent="0.3">
      <c r="A122" s="20"/>
      <c r="B122" s="21" t="s">
        <v>30</v>
      </c>
      <c r="C122" s="36">
        <v>0</v>
      </c>
      <c r="D122" s="36"/>
      <c r="E122" s="36">
        <v>0</v>
      </c>
      <c r="F122" s="36"/>
      <c r="G122" s="36">
        <v>0</v>
      </c>
      <c r="H122" s="36">
        <v>0</v>
      </c>
      <c r="I122" s="36"/>
      <c r="J122" s="36">
        <v>0</v>
      </c>
      <c r="K122" s="36"/>
      <c r="L122" s="36">
        <v>0</v>
      </c>
      <c r="M122" s="36">
        <v>0</v>
      </c>
      <c r="N122" s="36"/>
      <c r="O122" s="36"/>
      <c r="P122" s="36">
        <v>0</v>
      </c>
      <c r="Q122" s="36">
        <v>13197</v>
      </c>
      <c r="R122" s="36"/>
      <c r="S122" s="36">
        <f t="shared" si="4"/>
        <v>13197</v>
      </c>
      <c r="T122" s="25">
        <f t="shared" si="8"/>
        <v>0</v>
      </c>
      <c r="U122" s="25">
        <f t="shared" si="9"/>
        <v>13197</v>
      </c>
      <c r="V122" s="36">
        <v>0</v>
      </c>
      <c r="W122" s="25">
        <f t="shared" si="7"/>
        <v>13197</v>
      </c>
      <c r="Y122">
        <f t="shared" si="3"/>
        <v>1</v>
      </c>
    </row>
    <row r="123" spans="1:25" ht="15.75" hidden="1" thickBot="1" x14ac:dyDescent="0.3">
      <c r="A123" s="20"/>
      <c r="B123" s="21" t="s">
        <v>31</v>
      </c>
      <c r="C123" s="36">
        <v>0</v>
      </c>
      <c r="D123" s="36"/>
      <c r="E123" s="36">
        <v>0</v>
      </c>
      <c r="F123" s="36"/>
      <c r="G123" s="36">
        <v>0</v>
      </c>
      <c r="H123" s="36">
        <v>0</v>
      </c>
      <c r="I123" s="36"/>
      <c r="J123" s="36">
        <v>0</v>
      </c>
      <c r="K123" s="36"/>
      <c r="L123" s="36">
        <v>0</v>
      </c>
      <c r="M123" s="36">
        <v>0</v>
      </c>
      <c r="N123" s="36"/>
      <c r="O123" s="36"/>
      <c r="P123" s="36">
        <v>0</v>
      </c>
      <c r="Q123" s="36">
        <v>13197</v>
      </c>
      <c r="R123" s="36"/>
      <c r="S123" s="36">
        <f t="shared" si="4"/>
        <v>13197</v>
      </c>
      <c r="T123" s="25">
        <f t="shared" si="8"/>
        <v>13197</v>
      </c>
      <c r="U123" s="25">
        <f t="shared" si="9"/>
        <v>26394</v>
      </c>
      <c r="V123" s="36">
        <v>26394</v>
      </c>
      <c r="W123" s="25">
        <f t="shared" si="7"/>
        <v>0</v>
      </c>
      <c r="Y123">
        <f t="shared" si="3"/>
        <v>0</v>
      </c>
    </row>
    <row r="124" spans="1:25" ht="15.75" hidden="1" thickBot="1" x14ac:dyDescent="0.3">
      <c r="A124" s="20"/>
      <c r="B124" s="21" t="s">
        <v>32</v>
      </c>
      <c r="C124" s="36">
        <v>0</v>
      </c>
      <c r="D124" s="36"/>
      <c r="E124" s="36">
        <v>0</v>
      </c>
      <c r="F124" s="36"/>
      <c r="G124" s="36">
        <v>0</v>
      </c>
      <c r="H124" s="36">
        <v>0</v>
      </c>
      <c r="I124" s="36"/>
      <c r="J124" s="36">
        <v>0</v>
      </c>
      <c r="K124" s="36"/>
      <c r="L124" s="36">
        <v>0</v>
      </c>
      <c r="M124" s="36">
        <v>0</v>
      </c>
      <c r="N124" s="36"/>
      <c r="O124" s="36"/>
      <c r="P124" s="36">
        <v>0</v>
      </c>
      <c r="Q124" s="36">
        <v>13197</v>
      </c>
      <c r="R124" s="36"/>
      <c r="S124" s="36">
        <f t="shared" si="4"/>
        <v>13197</v>
      </c>
      <c r="T124" s="25">
        <f t="shared" si="8"/>
        <v>0</v>
      </c>
      <c r="U124" s="25">
        <f t="shared" si="9"/>
        <v>13197</v>
      </c>
      <c r="V124" s="36">
        <v>13197</v>
      </c>
      <c r="W124" s="25">
        <f t="shared" si="7"/>
        <v>0</v>
      </c>
      <c r="Y124">
        <f t="shared" si="3"/>
        <v>0</v>
      </c>
    </row>
    <row r="125" spans="1:25" ht="15.75" hidden="1" thickBot="1" x14ac:dyDescent="0.3">
      <c r="A125" s="20"/>
      <c r="B125" s="21" t="s">
        <v>33</v>
      </c>
      <c r="C125" s="36">
        <v>0</v>
      </c>
      <c r="D125" s="36"/>
      <c r="E125" s="36">
        <v>0</v>
      </c>
      <c r="F125" s="36"/>
      <c r="G125" s="36">
        <v>0</v>
      </c>
      <c r="H125" s="36">
        <v>0</v>
      </c>
      <c r="I125" s="36"/>
      <c r="J125" s="36">
        <v>0</v>
      </c>
      <c r="K125" s="36"/>
      <c r="L125" s="36">
        <v>0</v>
      </c>
      <c r="M125" s="36">
        <v>0</v>
      </c>
      <c r="N125" s="36"/>
      <c r="O125" s="36"/>
      <c r="P125" s="36">
        <v>10000</v>
      </c>
      <c r="Q125" s="36">
        <v>13197</v>
      </c>
      <c r="R125" s="36"/>
      <c r="S125" s="36">
        <f t="shared" si="4"/>
        <v>23197</v>
      </c>
      <c r="T125" s="25">
        <f t="shared" si="8"/>
        <v>0</v>
      </c>
      <c r="U125" s="25">
        <f t="shared" si="9"/>
        <v>23197</v>
      </c>
      <c r="V125" s="36">
        <v>23197</v>
      </c>
      <c r="W125" s="25">
        <f t="shared" si="7"/>
        <v>0</v>
      </c>
      <c r="Y125">
        <f t="shared" si="3"/>
        <v>0</v>
      </c>
    </row>
    <row r="126" spans="1:25" ht="15.75" hidden="1" thickBot="1" x14ac:dyDescent="0.3">
      <c r="A126" s="20"/>
      <c r="B126" s="21" t="s">
        <v>34</v>
      </c>
      <c r="C126" s="36">
        <v>0</v>
      </c>
      <c r="D126" s="36"/>
      <c r="E126" s="36">
        <v>0</v>
      </c>
      <c r="F126" s="36"/>
      <c r="G126" s="36">
        <v>0</v>
      </c>
      <c r="H126" s="36">
        <v>0</v>
      </c>
      <c r="I126" s="36"/>
      <c r="J126" s="36">
        <v>0</v>
      </c>
      <c r="K126" s="36"/>
      <c r="L126" s="36">
        <v>0</v>
      </c>
      <c r="M126" s="36">
        <v>0</v>
      </c>
      <c r="N126" s="36"/>
      <c r="O126" s="36"/>
      <c r="P126" s="36">
        <v>10000</v>
      </c>
      <c r="Q126" s="36">
        <v>13197</v>
      </c>
      <c r="R126" s="36"/>
      <c r="S126" s="36">
        <f t="shared" si="4"/>
        <v>23197</v>
      </c>
      <c r="T126" s="25">
        <f t="shared" si="8"/>
        <v>0</v>
      </c>
      <c r="U126" s="25">
        <f t="shared" si="9"/>
        <v>23197</v>
      </c>
      <c r="V126" s="36">
        <v>0</v>
      </c>
      <c r="W126" s="25">
        <f t="shared" si="7"/>
        <v>23197</v>
      </c>
      <c r="Y126">
        <f t="shared" si="3"/>
        <v>1</v>
      </c>
    </row>
    <row r="127" spans="1:25" ht="15.75" hidden="1" thickBot="1" x14ac:dyDescent="0.3">
      <c r="A127" s="20">
        <v>2013</v>
      </c>
      <c r="B127" s="21" t="s">
        <v>35</v>
      </c>
      <c r="C127" s="36">
        <v>0</v>
      </c>
      <c r="D127" s="36"/>
      <c r="E127" s="36">
        <v>0</v>
      </c>
      <c r="F127" s="36"/>
      <c r="G127" s="36">
        <v>0</v>
      </c>
      <c r="H127" s="36">
        <v>0</v>
      </c>
      <c r="I127" s="36"/>
      <c r="J127" s="36">
        <v>0</v>
      </c>
      <c r="K127" s="36"/>
      <c r="L127" s="36">
        <v>0</v>
      </c>
      <c r="M127" s="36">
        <v>0</v>
      </c>
      <c r="N127" s="36"/>
      <c r="O127" s="36"/>
      <c r="P127" s="36">
        <v>10000</v>
      </c>
      <c r="Q127" s="36">
        <v>13393</v>
      </c>
      <c r="R127" s="36"/>
      <c r="S127" s="36">
        <f t="shared" si="4"/>
        <v>23393</v>
      </c>
      <c r="T127" s="25">
        <f t="shared" si="8"/>
        <v>23197</v>
      </c>
      <c r="U127" s="25">
        <f t="shared" si="9"/>
        <v>46590</v>
      </c>
      <c r="V127" s="36">
        <v>46590</v>
      </c>
      <c r="W127" s="25">
        <f t="shared" si="7"/>
        <v>0</v>
      </c>
      <c r="Y127">
        <f t="shared" si="3"/>
        <v>0</v>
      </c>
    </row>
    <row r="128" spans="1:25" ht="15.75" hidden="1" thickBot="1" x14ac:dyDescent="0.3">
      <c r="A128" s="20"/>
      <c r="B128" s="21" t="s">
        <v>24</v>
      </c>
      <c r="C128" s="36">
        <v>0</v>
      </c>
      <c r="D128" s="36"/>
      <c r="E128" s="36">
        <v>0</v>
      </c>
      <c r="F128" s="36"/>
      <c r="G128" s="36">
        <v>0</v>
      </c>
      <c r="H128" s="36">
        <v>0</v>
      </c>
      <c r="I128" s="36">
        <v>22</v>
      </c>
      <c r="J128" s="36">
        <v>22</v>
      </c>
      <c r="K128" s="36">
        <v>360</v>
      </c>
      <c r="L128" s="36">
        <v>7920</v>
      </c>
      <c r="M128" s="36">
        <v>0</v>
      </c>
      <c r="N128" s="36"/>
      <c r="O128" s="36"/>
      <c r="P128" s="36">
        <v>10000</v>
      </c>
      <c r="Q128" s="36">
        <v>13393</v>
      </c>
      <c r="R128" s="36"/>
      <c r="S128" s="36">
        <f t="shared" si="4"/>
        <v>31313</v>
      </c>
      <c r="T128" s="25">
        <f t="shared" si="8"/>
        <v>0</v>
      </c>
      <c r="U128" s="25">
        <f t="shared" si="9"/>
        <v>31313</v>
      </c>
      <c r="V128" s="36">
        <v>31313</v>
      </c>
      <c r="W128" s="25">
        <f t="shared" si="7"/>
        <v>0</v>
      </c>
      <c r="Y128">
        <f t="shared" si="3"/>
        <v>0</v>
      </c>
    </row>
    <row r="129" spans="1:25" ht="15.75" hidden="1" thickBot="1" x14ac:dyDescent="0.3">
      <c r="A129" s="20"/>
      <c r="B129" s="21" t="s">
        <v>25</v>
      </c>
      <c r="C129" s="36">
        <v>0</v>
      </c>
      <c r="D129" s="36"/>
      <c r="E129" s="36">
        <v>0</v>
      </c>
      <c r="F129" s="36"/>
      <c r="G129" s="36">
        <v>0</v>
      </c>
      <c r="H129" s="36">
        <v>22</v>
      </c>
      <c r="I129" s="36">
        <v>24</v>
      </c>
      <c r="J129" s="36">
        <v>2</v>
      </c>
      <c r="K129" s="36">
        <v>360</v>
      </c>
      <c r="L129" s="36">
        <v>720</v>
      </c>
      <c r="M129" s="36">
        <v>0</v>
      </c>
      <c r="N129" s="36"/>
      <c r="O129" s="36"/>
      <c r="P129" s="36">
        <v>10000</v>
      </c>
      <c r="Q129" s="36">
        <v>13393</v>
      </c>
      <c r="R129" s="36"/>
      <c r="S129" s="36">
        <f t="shared" si="4"/>
        <v>24113</v>
      </c>
      <c r="T129" s="25">
        <f t="shared" si="8"/>
        <v>0</v>
      </c>
      <c r="U129" s="25">
        <f t="shared" si="9"/>
        <v>24113</v>
      </c>
      <c r="V129" s="36">
        <v>24113</v>
      </c>
      <c r="W129" s="25">
        <f t="shared" si="7"/>
        <v>0</v>
      </c>
      <c r="Y129">
        <f t="shared" si="3"/>
        <v>0</v>
      </c>
    </row>
    <row r="130" spans="1:25" ht="15.75" hidden="1" thickBot="1" x14ac:dyDescent="0.3">
      <c r="A130" s="20"/>
      <c r="B130" s="21" t="s">
        <v>26</v>
      </c>
      <c r="C130" s="36">
        <v>0</v>
      </c>
      <c r="D130" s="36">
        <v>3</v>
      </c>
      <c r="E130" s="36">
        <v>3</v>
      </c>
      <c r="F130" s="36">
        <v>146</v>
      </c>
      <c r="G130" s="36">
        <v>438</v>
      </c>
      <c r="H130" s="36">
        <v>24</v>
      </c>
      <c r="I130" s="36">
        <v>26</v>
      </c>
      <c r="J130" s="36">
        <v>2</v>
      </c>
      <c r="K130" s="36">
        <v>360</v>
      </c>
      <c r="L130" s="36">
        <v>720</v>
      </c>
      <c r="M130" s="36">
        <v>0</v>
      </c>
      <c r="N130" s="36"/>
      <c r="O130" s="36"/>
      <c r="P130" s="36">
        <v>10000</v>
      </c>
      <c r="Q130" s="36">
        <v>13393</v>
      </c>
      <c r="R130" s="36"/>
      <c r="S130" s="36">
        <f t="shared" si="4"/>
        <v>24551</v>
      </c>
      <c r="T130" s="25">
        <f t="shared" si="8"/>
        <v>0</v>
      </c>
      <c r="U130" s="25">
        <f t="shared" si="9"/>
        <v>24551</v>
      </c>
      <c r="V130" s="36"/>
      <c r="W130" s="25">
        <f t="shared" si="7"/>
        <v>24551</v>
      </c>
      <c r="Y130">
        <f t="shared" si="3"/>
        <v>1</v>
      </c>
    </row>
    <row r="131" spans="1:25" ht="15.75" hidden="1" thickBot="1" x14ac:dyDescent="0.3">
      <c r="A131" s="20"/>
      <c r="B131" s="21" t="s">
        <v>27</v>
      </c>
      <c r="C131" s="36">
        <v>3</v>
      </c>
      <c r="D131" s="36">
        <v>3</v>
      </c>
      <c r="E131" s="36">
        <v>0</v>
      </c>
      <c r="F131" s="36">
        <v>146</v>
      </c>
      <c r="G131" s="36">
        <v>0</v>
      </c>
      <c r="H131" s="36">
        <v>26</v>
      </c>
      <c r="I131" s="36">
        <v>27</v>
      </c>
      <c r="J131" s="36">
        <v>1</v>
      </c>
      <c r="K131" s="36">
        <v>360</v>
      </c>
      <c r="L131" s="36">
        <v>360</v>
      </c>
      <c r="M131" s="36">
        <v>0</v>
      </c>
      <c r="N131" s="36"/>
      <c r="O131" s="36"/>
      <c r="P131" s="36">
        <v>10000</v>
      </c>
      <c r="Q131" s="36">
        <v>13393</v>
      </c>
      <c r="R131" s="36"/>
      <c r="S131" s="36">
        <f t="shared" si="4"/>
        <v>23753</v>
      </c>
      <c r="T131" s="25">
        <f t="shared" si="8"/>
        <v>24551</v>
      </c>
      <c r="U131" s="25">
        <f t="shared" si="9"/>
        <v>48304</v>
      </c>
      <c r="V131" s="36">
        <v>48304</v>
      </c>
      <c r="W131" s="25">
        <f t="shared" si="7"/>
        <v>0</v>
      </c>
      <c r="Y131">
        <f t="shared" si="3"/>
        <v>0</v>
      </c>
    </row>
    <row r="132" spans="1:25" ht="15.75" hidden="1" thickBot="1" x14ac:dyDescent="0.3">
      <c r="A132" s="20"/>
      <c r="B132" s="21" t="s">
        <v>28</v>
      </c>
      <c r="C132" s="36">
        <v>3</v>
      </c>
      <c r="D132" s="36">
        <v>3</v>
      </c>
      <c r="E132" s="36">
        <v>0</v>
      </c>
      <c r="F132" s="36"/>
      <c r="G132" s="36">
        <v>0</v>
      </c>
      <c r="H132" s="36">
        <v>27</v>
      </c>
      <c r="I132" s="36">
        <v>27</v>
      </c>
      <c r="J132" s="36">
        <v>0</v>
      </c>
      <c r="K132" s="36"/>
      <c r="L132" s="36">
        <v>0</v>
      </c>
      <c r="M132" s="36">
        <v>0</v>
      </c>
      <c r="N132" s="36"/>
      <c r="O132" s="36"/>
      <c r="P132" s="36">
        <v>10000</v>
      </c>
      <c r="Q132" s="36">
        <v>13393</v>
      </c>
      <c r="R132" s="36"/>
      <c r="S132" s="36">
        <f t="shared" si="4"/>
        <v>23393</v>
      </c>
      <c r="T132" s="25">
        <f t="shared" si="8"/>
        <v>0</v>
      </c>
      <c r="U132" s="25">
        <f t="shared" si="9"/>
        <v>23393</v>
      </c>
      <c r="V132" s="36">
        <v>23393</v>
      </c>
      <c r="W132" s="25">
        <f t="shared" si="7"/>
        <v>0</v>
      </c>
      <c r="Y132">
        <f t="shared" si="3"/>
        <v>0</v>
      </c>
    </row>
    <row r="133" spans="1:25" ht="15.75" hidden="1" thickBot="1" x14ac:dyDescent="0.3">
      <c r="A133" s="20"/>
      <c r="B133" s="21" t="s">
        <v>29</v>
      </c>
      <c r="C133" s="36">
        <v>3</v>
      </c>
      <c r="D133" s="36">
        <v>3</v>
      </c>
      <c r="E133" s="36">
        <v>0</v>
      </c>
      <c r="F133" s="36"/>
      <c r="G133" s="36">
        <v>0</v>
      </c>
      <c r="H133" s="36">
        <v>27</v>
      </c>
      <c r="I133" s="36">
        <v>27</v>
      </c>
      <c r="J133" s="36">
        <v>0</v>
      </c>
      <c r="K133" s="36"/>
      <c r="L133" s="36">
        <v>0</v>
      </c>
      <c r="M133" s="36">
        <v>0</v>
      </c>
      <c r="N133" s="36"/>
      <c r="O133" s="36"/>
      <c r="P133" s="36">
        <v>10000</v>
      </c>
      <c r="Q133" s="36">
        <v>13393</v>
      </c>
      <c r="R133" s="36"/>
      <c r="S133" s="36">
        <f t="shared" si="4"/>
        <v>23393</v>
      </c>
      <c r="T133" s="25">
        <f t="shared" si="8"/>
        <v>0</v>
      </c>
      <c r="U133" s="25">
        <f t="shared" si="9"/>
        <v>23393</v>
      </c>
      <c r="V133" s="36"/>
      <c r="W133" s="25">
        <f t="shared" si="7"/>
        <v>23393</v>
      </c>
      <c r="Y133">
        <f t="shared" si="3"/>
        <v>1</v>
      </c>
    </row>
    <row r="134" spans="1:25" ht="15.75" hidden="1" thickBot="1" x14ac:dyDescent="0.3">
      <c r="A134" s="20"/>
      <c r="B134" s="21" t="s">
        <v>30</v>
      </c>
      <c r="C134" s="36">
        <v>3</v>
      </c>
      <c r="D134" s="36">
        <v>3</v>
      </c>
      <c r="E134" s="36">
        <v>0</v>
      </c>
      <c r="F134" s="36"/>
      <c r="G134" s="36">
        <v>0</v>
      </c>
      <c r="H134" s="36">
        <v>27</v>
      </c>
      <c r="I134" s="36">
        <v>27</v>
      </c>
      <c r="J134" s="36">
        <v>0</v>
      </c>
      <c r="K134" s="36"/>
      <c r="L134" s="36">
        <v>0</v>
      </c>
      <c r="M134" s="36">
        <v>0</v>
      </c>
      <c r="N134" s="36"/>
      <c r="O134" s="36"/>
      <c r="P134" s="36">
        <v>10000</v>
      </c>
      <c r="Q134" s="36">
        <v>13393</v>
      </c>
      <c r="R134" s="36"/>
      <c r="S134" s="36">
        <f t="shared" si="4"/>
        <v>23393</v>
      </c>
      <c r="T134" s="25">
        <f t="shared" si="8"/>
        <v>23393</v>
      </c>
      <c r="U134" s="25">
        <f t="shared" si="9"/>
        <v>46786</v>
      </c>
      <c r="V134" s="36">
        <v>46786</v>
      </c>
      <c r="W134" s="25">
        <f t="shared" si="7"/>
        <v>0</v>
      </c>
      <c r="Y134">
        <f t="shared" si="3"/>
        <v>0</v>
      </c>
    </row>
    <row r="135" spans="1:25" ht="15.75" hidden="1" thickBot="1" x14ac:dyDescent="0.3">
      <c r="A135" s="20"/>
      <c r="B135" s="21" t="s">
        <v>31</v>
      </c>
      <c r="C135" s="36">
        <v>3</v>
      </c>
      <c r="D135" s="36">
        <v>3</v>
      </c>
      <c r="E135" s="36">
        <v>0</v>
      </c>
      <c r="F135" s="36"/>
      <c r="G135" s="36">
        <v>0</v>
      </c>
      <c r="H135" s="36">
        <v>27</v>
      </c>
      <c r="I135" s="36">
        <v>27</v>
      </c>
      <c r="J135" s="36">
        <v>0</v>
      </c>
      <c r="K135" s="36"/>
      <c r="L135" s="36">
        <v>0</v>
      </c>
      <c r="M135" s="36">
        <v>0</v>
      </c>
      <c r="N135" s="36"/>
      <c r="O135" s="36"/>
      <c r="P135" s="36">
        <v>10000</v>
      </c>
      <c r="Q135" s="36">
        <v>13393</v>
      </c>
      <c r="R135" s="36"/>
      <c r="S135" s="36">
        <f t="shared" si="4"/>
        <v>23393</v>
      </c>
      <c r="T135" s="25">
        <f t="shared" si="8"/>
        <v>0</v>
      </c>
      <c r="U135" s="25">
        <f t="shared" si="9"/>
        <v>23393</v>
      </c>
      <c r="V135" s="36"/>
      <c r="W135" s="25">
        <f t="shared" si="7"/>
        <v>23393</v>
      </c>
      <c r="Y135">
        <f t="shared" si="3"/>
        <v>1</v>
      </c>
    </row>
    <row r="136" spans="1:25" ht="15.75" hidden="1" thickBot="1" x14ac:dyDescent="0.3">
      <c r="A136" s="20"/>
      <c r="B136" s="21" t="s">
        <v>32</v>
      </c>
      <c r="C136" s="36">
        <v>3</v>
      </c>
      <c r="D136" s="36">
        <v>3</v>
      </c>
      <c r="E136" s="36">
        <v>0</v>
      </c>
      <c r="F136" s="36"/>
      <c r="G136" s="36">
        <v>0</v>
      </c>
      <c r="H136" s="36">
        <v>27</v>
      </c>
      <c r="I136" s="36">
        <v>27</v>
      </c>
      <c r="J136" s="36">
        <v>0</v>
      </c>
      <c r="K136" s="36"/>
      <c r="L136" s="36">
        <v>0</v>
      </c>
      <c r="M136" s="36">
        <v>0</v>
      </c>
      <c r="N136" s="36"/>
      <c r="O136" s="36"/>
      <c r="P136" s="36">
        <v>10000</v>
      </c>
      <c r="Q136" s="36">
        <v>13393</v>
      </c>
      <c r="R136" s="36"/>
      <c r="S136" s="36">
        <f t="shared" si="4"/>
        <v>23393</v>
      </c>
      <c r="T136" s="25">
        <f t="shared" si="8"/>
        <v>23393</v>
      </c>
      <c r="U136" s="25">
        <f t="shared" si="9"/>
        <v>46786</v>
      </c>
      <c r="V136" s="36">
        <v>46786</v>
      </c>
      <c r="W136" s="25">
        <f t="shared" si="7"/>
        <v>0</v>
      </c>
      <c r="Y136">
        <f t="shared" si="3"/>
        <v>0</v>
      </c>
    </row>
    <row r="137" spans="1:25" ht="15.75" hidden="1" thickBot="1" x14ac:dyDescent="0.3">
      <c r="A137" s="20"/>
      <c r="B137" s="21" t="s">
        <v>33</v>
      </c>
      <c r="C137" s="36">
        <v>3</v>
      </c>
      <c r="D137" s="36">
        <v>3</v>
      </c>
      <c r="E137" s="36">
        <v>0</v>
      </c>
      <c r="F137" s="36"/>
      <c r="G137" s="36">
        <v>0</v>
      </c>
      <c r="H137" s="36">
        <v>27</v>
      </c>
      <c r="I137" s="36">
        <v>27</v>
      </c>
      <c r="J137" s="36">
        <v>0</v>
      </c>
      <c r="K137" s="36"/>
      <c r="L137" s="36">
        <v>0</v>
      </c>
      <c r="M137" s="36">
        <v>0</v>
      </c>
      <c r="N137" s="36"/>
      <c r="O137" s="36"/>
      <c r="P137" s="36">
        <v>10000</v>
      </c>
      <c r="Q137" s="36">
        <v>13393</v>
      </c>
      <c r="R137" s="36"/>
      <c r="S137" s="36">
        <f t="shared" si="4"/>
        <v>23393</v>
      </c>
      <c r="T137" s="25">
        <f t="shared" si="8"/>
        <v>0</v>
      </c>
      <c r="U137" s="25">
        <f t="shared" si="9"/>
        <v>23393</v>
      </c>
      <c r="V137" s="36">
        <v>23393</v>
      </c>
      <c r="W137" s="25">
        <f t="shared" si="7"/>
        <v>0</v>
      </c>
      <c r="Y137">
        <f t="shared" ref="Y137:Y182" si="10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3</v>
      </c>
      <c r="D138" s="36">
        <v>3</v>
      </c>
      <c r="E138" s="36">
        <v>0</v>
      </c>
      <c r="F138" s="36"/>
      <c r="G138" s="36">
        <v>0</v>
      </c>
      <c r="H138" s="36">
        <v>27</v>
      </c>
      <c r="I138" s="36">
        <v>33</v>
      </c>
      <c r="J138" s="36">
        <v>6</v>
      </c>
      <c r="K138" s="36">
        <v>360</v>
      </c>
      <c r="L138" s="36">
        <v>2160</v>
      </c>
      <c r="M138" s="36">
        <v>0</v>
      </c>
      <c r="N138" s="36"/>
      <c r="O138" s="36"/>
      <c r="P138" s="36">
        <v>10000</v>
      </c>
      <c r="Q138" s="36">
        <v>13393</v>
      </c>
      <c r="R138" s="36"/>
      <c r="S138" s="36">
        <f t="shared" si="4"/>
        <v>25553</v>
      </c>
      <c r="T138" s="25">
        <f t="shared" si="8"/>
        <v>0</v>
      </c>
      <c r="U138" s="25">
        <f t="shared" si="9"/>
        <v>25553</v>
      </c>
      <c r="V138" s="36"/>
      <c r="W138" s="25">
        <f t="shared" si="7"/>
        <v>25553</v>
      </c>
      <c r="Y138">
        <f t="shared" si="10"/>
        <v>1</v>
      </c>
    </row>
    <row r="139" spans="1:25" ht="15.75" hidden="1" thickBot="1" x14ac:dyDescent="0.3">
      <c r="A139" s="20">
        <v>2014</v>
      </c>
      <c r="B139" s="21" t="s">
        <v>35</v>
      </c>
      <c r="C139" s="36">
        <v>3</v>
      </c>
      <c r="D139" s="36">
        <v>3</v>
      </c>
      <c r="E139" s="36">
        <v>0</v>
      </c>
      <c r="F139" s="36"/>
      <c r="G139" s="36">
        <v>0</v>
      </c>
      <c r="H139" s="36">
        <v>33</v>
      </c>
      <c r="I139" s="36">
        <v>33</v>
      </c>
      <c r="J139" s="36">
        <v>0</v>
      </c>
      <c r="K139" s="36"/>
      <c r="L139" s="36">
        <v>0</v>
      </c>
      <c r="M139" s="36">
        <v>0</v>
      </c>
      <c r="N139" s="36"/>
      <c r="O139" s="36"/>
      <c r="P139" s="36">
        <v>10000</v>
      </c>
      <c r="Q139" s="36">
        <v>13797</v>
      </c>
      <c r="R139" s="36"/>
      <c r="S139" s="36">
        <f t="shared" si="4"/>
        <v>23797</v>
      </c>
      <c r="T139" s="25">
        <f t="shared" si="8"/>
        <v>25553</v>
      </c>
      <c r="U139" s="25">
        <f t="shared" si="9"/>
        <v>49350</v>
      </c>
      <c r="V139" s="36">
        <v>49350</v>
      </c>
      <c r="W139" s="25">
        <f t="shared" si="7"/>
        <v>0</v>
      </c>
      <c r="Y139">
        <f t="shared" si="10"/>
        <v>0</v>
      </c>
    </row>
    <row r="140" spans="1:25" ht="15.75" hidden="1" thickBot="1" x14ac:dyDescent="0.3">
      <c r="A140" s="20"/>
      <c r="B140" s="21" t="s">
        <v>24</v>
      </c>
      <c r="C140" s="36">
        <v>3</v>
      </c>
      <c r="D140" s="36">
        <v>3</v>
      </c>
      <c r="E140" s="36">
        <v>0</v>
      </c>
      <c r="F140" s="36"/>
      <c r="G140" s="36">
        <v>0</v>
      </c>
      <c r="H140" s="36">
        <v>33</v>
      </c>
      <c r="I140" s="36">
        <v>33</v>
      </c>
      <c r="J140" s="36">
        <v>0</v>
      </c>
      <c r="K140" s="36"/>
      <c r="L140" s="36">
        <v>0</v>
      </c>
      <c r="M140" s="36">
        <v>0</v>
      </c>
      <c r="N140" s="36"/>
      <c r="O140" s="36"/>
      <c r="P140" s="36">
        <v>10000</v>
      </c>
      <c r="Q140" s="36">
        <v>13797</v>
      </c>
      <c r="R140" s="36"/>
      <c r="S140" s="36">
        <f t="shared" si="4"/>
        <v>23797</v>
      </c>
      <c r="T140" s="25">
        <f t="shared" si="8"/>
        <v>0</v>
      </c>
      <c r="U140" s="25">
        <f t="shared" si="9"/>
        <v>23797</v>
      </c>
      <c r="V140" s="36">
        <v>23797</v>
      </c>
      <c r="W140" s="25">
        <f t="shared" si="7"/>
        <v>0</v>
      </c>
      <c r="Y140">
        <f t="shared" si="10"/>
        <v>0</v>
      </c>
    </row>
    <row r="141" spans="1:25" ht="15.75" hidden="1" thickBot="1" x14ac:dyDescent="0.3">
      <c r="A141" s="20"/>
      <c r="B141" s="21" t="s">
        <v>25</v>
      </c>
      <c r="C141" s="36">
        <v>3</v>
      </c>
      <c r="D141" s="36">
        <v>3</v>
      </c>
      <c r="E141" s="36">
        <v>0</v>
      </c>
      <c r="F141" s="36"/>
      <c r="G141" s="36">
        <v>0</v>
      </c>
      <c r="H141" s="36">
        <v>33</v>
      </c>
      <c r="I141" s="36">
        <v>33</v>
      </c>
      <c r="J141" s="36">
        <v>0</v>
      </c>
      <c r="K141" s="36"/>
      <c r="L141" s="36">
        <v>0</v>
      </c>
      <c r="M141" s="36">
        <v>0</v>
      </c>
      <c r="N141" s="36"/>
      <c r="O141" s="36"/>
      <c r="P141" s="36">
        <v>10000</v>
      </c>
      <c r="Q141" s="36">
        <v>13797</v>
      </c>
      <c r="R141" s="36"/>
      <c r="S141" s="36">
        <f t="shared" si="4"/>
        <v>23797</v>
      </c>
      <c r="T141" s="25">
        <f t="shared" si="8"/>
        <v>0</v>
      </c>
      <c r="U141" s="25">
        <f t="shared" si="9"/>
        <v>23797</v>
      </c>
      <c r="V141" s="36">
        <v>23797</v>
      </c>
      <c r="W141" s="25">
        <f t="shared" si="7"/>
        <v>0</v>
      </c>
      <c r="Y141">
        <f t="shared" si="10"/>
        <v>0</v>
      </c>
    </row>
    <row r="142" spans="1:25" ht="15.75" hidden="1" thickBot="1" x14ac:dyDescent="0.3">
      <c r="A142" s="20"/>
      <c r="B142" s="21" t="s">
        <v>26</v>
      </c>
      <c r="C142" s="36">
        <v>3</v>
      </c>
      <c r="D142" s="36">
        <v>3</v>
      </c>
      <c r="E142" s="36">
        <v>0</v>
      </c>
      <c r="F142" s="36"/>
      <c r="G142" s="36">
        <v>0</v>
      </c>
      <c r="H142" s="36">
        <v>33</v>
      </c>
      <c r="I142" s="36">
        <v>33</v>
      </c>
      <c r="J142" s="36">
        <v>0</v>
      </c>
      <c r="K142" s="36"/>
      <c r="L142" s="36">
        <v>0</v>
      </c>
      <c r="M142" s="36">
        <v>0</v>
      </c>
      <c r="N142" s="36"/>
      <c r="O142" s="36"/>
      <c r="P142" s="36">
        <v>10000</v>
      </c>
      <c r="Q142" s="36">
        <v>13797</v>
      </c>
      <c r="R142" s="36"/>
      <c r="S142" s="36">
        <f t="shared" si="4"/>
        <v>23797</v>
      </c>
      <c r="T142" s="25">
        <f t="shared" si="8"/>
        <v>0</v>
      </c>
      <c r="U142" s="25">
        <f t="shared" si="9"/>
        <v>23797</v>
      </c>
      <c r="V142" s="36">
        <v>23797</v>
      </c>
      <c r="W142" s="25">
        <f t="shared" si="7"/>
        <v>0</v>
      </c>
      <c r="Y142">
        <f t="shared" si="10"/>
        <v>0</v>
      </c>
    </row>
    <row r="143" spans="1:25" ht="15.75" hidden="1" thickBot="1" x14ac:dyDescent="0.3">
      <c r="A143" s="20"/>
      <c r="B143" s="21" t="s">
        <v>27</v>
      </c>
      <c r="C143" s="36">
        <v>3</v>
      </c>
      <c r="D143" s="36">
        <v>3</v>
      </c>
      <c r="E143" s="36">
        <v>0</v>
      </c>
      <c r="F143" s="36"/>
      <c r="G143" s="36">
        <v>0</v>
      </c>
      <c r="H143" s="36">
        <v>33</v>
      </c>
      <c r="I143" s="36">
        <v>33</v>
      </c>
      <c r="J143" s="36">
        <v>0</v>
      </c>
      <c r="K143" s="36"/>
      <c r="L143" s="36">
        <v>0</v>
      </c>
      <c r="M143" s="36">
        <v>0</v>
      </c>
      <c r="N143" s="36"/>
      <c r="O143" s="36">
        <v>92016</v>
      </c>
      <c r="P143" s="36">
        <v>10000</v>
      </c>
      <c r="Q143" s="36">
        <v>13797</v>
      </c>
      <c r="R143" s="36"/>
      <c r="S143" s="36">
        <f t="shared" si="4"/>
        <v>115813</v>
      </c>
      <c r="T143" s="25">
        <f t="shared" si="8"/>
        <v>0</v>
      </c>
      <c r="U143" s="25">
        <f t="shared" si="9"/>
        <v>115813</v>
      </c>
      <c r="V143" s="36">
        <v>115813</v>
      </c>
      <c r="W143" s="25">
        <f t="shared" si="7"/>
        <v>0</v>
      </c>
      <c r="Y143">
        <f t="shared" si="10"/>
        <v>0</v>
      </c>
    </row>
    <row r="144" spans="1:25" ht="15.75" hidden="1" thickBot="1" x14ac:dyDescent="0.3">
      <c r="A144" s="20"/>
      <c r="B144" s="21" t="s">
        <v>28</v>
      </c>
      <c r="C144" s="36">
        <v>3</v>
      </c>
      <c r="D144" s="36">
        <v>3</v>
      </c>
      <c r="E144" s="36">
        <v>0</v>
      </c>
      <c r="F144" s="36"/>
      <c r="G144" s="36">
        <v>0</v>
      </c>
      <c r="H144" s="36">
        <v>33</v>
      </c>
      <c r="I144" s="36">
        <v>33</v>
      </c>
      <c r="J144" s="36">
        <v>0</v>
      </c>
      <c r="K144" s="36"/>
      <c r="L144" s="36">
        <v>0</v>
      </c>
      <c r="M144" s="36">
        <v>0</v>
      </c>
      <c r="N144" s="36"/>
      <c r="O144" s="36"/>
      <c r="P144" s="36">
        <v>10000</v>
      </c>
      <c r="Q144" s="36">
        <v>13797</v>
      </c>
      <c r="R144" s="36"/>
      <c r="S144" s="36">
        <f t="shared" si="4"/>
        <v>23797</v>
      </c>
      <c r="T144" s="25">
        <f t="shared" si="8"/>
        <v>0</v>
      </c>
      <c r="U144" s="25">
        <f t="shared" si="9"/>
        <v>23797</v>
      </c>
      <c r="V144" s="36">
        <v>23797</v>
      </c>
      <c r="W144" s="25">
        <f t="shared" si="7"/>
        <v>0</v>
      </c>
      <c r="Y144">
        <f t="shared" si="10"/>
        <v>0</v>
      </c>
    </row>
    <row r="145" spans="1:25" ht="15.75" hidden="1" thickBot="1" x14ac:dyDescent="0.3">
      <c r="A145" s="20"/>
      <c r="B145" s="21" t="s">
        <v>29</v>
      </c>
      <c r="C145" s="36">
        <v>3</v>
      </c>
      <c r="D145" s="36">
        <v>3</v>
      </c>
      <c r="E145" s="36">
        <v>0</v>
      </c>
      <c r="F145" s="36"/>
      <c r="G145" s="36">
        <v>0</v>
      </c>
      <c r="H145" s="36">
        <v>33</v>
      </c>
      <c r="I145" s="36">
        <v>33</v>
      </c>
      <c r="J145" s="36">
        <v>0</v>
      </c>
      <c r="K145" s="36"/>
      <c r="L145" s="36">
        <v>0</v>
      </c>
      <c r="M145" s="36">
        <v>0</v>
      </c>
      <c r="N145" s="36"/>
      <c r="O145" s="36"/>
      <c r="P145" s="36">
        <v>10000</v>
      </c>
      <c r="Q145" s="36">
        <v>13797</v>
      </c>
      <c r="R145" s="36"/>
      <c r="S145" s="36">
        <f t="shared" si="4"/>
        <v>23797</v>
      </c>
      <c r="T145" s="25">
        <f t="shared" si="8"/>
        <v>0</v>
      </c>
      <c r="U145" s="25">
        <f t="shared" si="9"/>
        <v>23797</v>
      </c>
      <c r="V145" s="36">
        <v>23797</v>
      </c>
      <c r="W145" s="25">
        <f t="shared" si="7"/>
        <v>0</v>
      </c>
      <c r="Y145">
        <f t="shared" si="10"/>
        <v>0</v>
      </c>
    </row>
    <row r="146" spans="1:25" ht="15.75" hidden="1" thickBot="1" x14ac:dyDescent="0.3">
      <c r="A146" s="20"/>
      <c r="B146" s="21" t="s">
        <v>30</v>
      </c>
      <c r="C146" s="36">
        <v>3</v>
      </c>
      <c r="D146" s="36">
        <v>3</v>
      </c>
      <c r="E146" s="36">
        <v>0</v>
      </c>
      <c r="F146" s="36"/>
      <c r="G146" s="36">
        <v>0</v>
      </c>
      <c r="H146" s="36">
        <v>33</v>
      </c>
      <c r="I146" s="36">
        <v>33</v>
      </c>
      <c r="J146" s="36">
        <v>0</v>
      </c>
      <c r="K146" s="36"/>
      <c r="L146" s="36">
        <v>0</v>
      </c>
      <c r="M146" s="36">
        <v>0</v>
      </c>
      <c r="N146" s="36"/>
      <c r="O146" s="36"/>
      <c r="P146" s="36">
        <v>10000</v>
      </c>
      <c r="Q146" s="36">
        <v>13797</v>
      </c>
      <c r="R146" s="36"/>
      <c r="S146" s="36">
        <f t="shared" si="4"/>
        <v>23797</v>
      </c>
      <c r="T146" s="25">
        <f t="shared" si="8"/>
        <v>0</v>
      </c>
      <c r="U146" s="25">
        <f t="shared" si="9"/>
        <v>23797</v>
      </c>
      <c r="V146" s="36">
        <v>23797</v>
      </c>
      <c r="W146" s="25">
        <f t="shared" si="7"/>
        <v>0</v>
      </c>
      <c r="Y146">
        <f t="shared" si="10"/>
        <v>0</v>
      </c>
    </row>
    <row r="147" spans="1:25" ht="15.75" hidden="1" thickBot="1" x14ac:dyDescent="0.3">
      <c r="A147" s="20"/>
      <c r="B147" s="21" t="s">
        <v>31</v>
      </c>
      <c r="C147" s="36">
        <v>3</v>
      </c>
      <c r="D147" s="36">
        <v>3</v>
      </c>
      <c r="E147" s="36">
        <v>0</v>
      </c>
      <c r="F147" s="36"/>
      <c r="G147" s="36">
        <v>0</v>
      </c>
      <c r="H147" s="36">
        <v>33</v>
      </c>
      <c r="I147" s="36">
        <v>33</v>
      </c>
      <c r="J147" s="36">
        <v>0</v>
      </c>
      <c r="K147" s="36"/>
      <c r="L147" s="36">
        <v>0</v>
      </c>
      <c r="M147" s="36">
        <v>0</v>
      </c>
      <c r="N147" s="36"/>
      <c r="O147" s="36"/>
      <c r="P147" s="36">
        <v>10000</v>
      </c>
      <c r="Q147" s="36">
        <v>13797</v>
      </c>
      <c r="R147" s="36"/>
      <c r="S147" s="36">
        <f t="shared" si="4"/>
        <v>23797</v>
      </c>
      <c r="T147" s="25">
        <f t="shared" si="8"/>
        <v>0</v>
      </c>
      <c r="U147" s="25">
        <f t="shared" si="9"/>
        <v>23797</v>
      </c>
      <c r="V147" s="36">
        <v>23797</v>
      </c>
      <c r="W147" s="25">
        <f t="shared" si="7"/>
        <v>0</v>
      </c>
      <c r="Y147">
        <f t="shared" si="10"/>
        <v>0</v>
      </c>
    </row>
    <row r="148" spans="1:25" ht="15.75" hidden="1" thickBot="1" x14ac:dyDescent="0.3">
      <c r="A148" s="20"/>
      <c r="B148" s="21" t="s">
        <v>32</v>
      </c>
      <c r="C148" s="36">
        <v>3</v>
      </c>
      <c r="D148" s="36">
        <v>3</v>
      </c>
      <c r="E148" s="36">
        <v>0</v>
      </c>
      <c r="F148" s="36"/>
      <c r="G148" s="36">
        <v>0</v>
      </c>
      <c r="H148" s="36">
        <v>33</v>
      </c>
      <c r="I148" s="36">
        <v>33</v>
      </c>
      <c r="J148" s="36">
        <v>0</v>
      </c>
      <c r="K148" s="36"/>
      <c r="L148" s="36">
        <v>0</v>
      </c>
      <c r="M148" s="36">
        <v>0</v>
      </c>
      <c r="N148" s="36"/>
      <c r="O148" s="36"/>
      <c r="P148" s="36">
        <v>10000</v>
      </c>
      <c r="Q148" s="36">
        <v>13797</v>
      </c>
      <c r="R148" s="36"/>
      <c r="S148" s="36">
        <f t="shared" si="4"/>
        <v>23797</v>
      </c>
      <c r="T148" s="25">
        <f t="shared" si="8"/>
        <v>0</v>
      </c>
      <c r="U148" s="25">
        <f t="shared" si="9"/>
        <v>23797</v>
      </c>
      <c r="V148" s="36">
        <v>23797</v>
      </c>
      <c r="W148" s="25">
        <f t="shared" si="7"/>
        <v>0</v>
      </c>
      <c r="Y148">
        <f t="shared" si="10"/>
        <v>0</v>
      </c>
    </row>
    <row r="149" spans="1:25" ht="15.75" hidden="1" thickBot="1" x14ac:dyDescent="0.3">
      <c r="A149" s="20"/>
      <c r="B149" s="21" t="s">
        <v>33</v>
      </c>
      <c r="C149" s="36">
        <v>3</v>
      </c>
      <c r="D149" s="36">
        <v>3</v>
      </c>
      <c r="E149" s="36">
        <v>0</v>
      </c>
      <c r="F149" s="36"/>
      <c r="G149" s="36">
        <v>0</v>
      </c>
      <c r="H149" s="36">
        <v>33</v>
      </c>
      <c r="I149" s="36">
        <v>33</v>
      </c>
      <c r="J149" s="36">
        <v>0</v>
      </c>
      <c r="K149" s="36"/>
      <c r="L149" s="36">
        <v>0</v>
      </c>
      <c r="M149" s="36">
        <v>0</v>
      </c>
      <c r="N149" s="36"/>
      <c r="O149" s="36"/>
      <c r="P149" s="36">
        <v>10000</v>
      </c>
      <c r="Q149" s="36">
        <v>13797</v>
      </c>
      <c r="R149" s="36"/>
      <c r="S149" s="36">
        <f t="shared" si="4"/>
        <v>23797</v>
      </c>
      <c r="T149" s="25">
        <f t="shared" si="8"/>
        <v>0</v>
      </c>
      <c r="U149" s="25">
        <f t="shared" si="9"/>
        <v>23797</v>
      </c>
      <c r="V149" s="36">
        <v>23797</v>
      </c>
      <c r="W149" s="25">
        <f t="shared" si="7"/>
        <v>0</v>
      </c>
      <c r="Y149">
        <f t="shared" si="10"/>
        <v>0</v>
      </c>
    </row>
    <row r="150" spans="1:25" ht="15.75" hidden="1" thickBot="1" x14ac:dyDescent="0.3">
      <c r="A150" s="20"/>
      <c r="B150" s="21" t="s">
        <v>34</v>
      </c>
      <c r="C150" s="36">
        <v>3</v>
      </c>
      <c r="D150" s="36">
        <v>13</v>
      </c>
      <c r="E150" s="36">
        <v>10</v>
      </c>
      <c r="F150" s="36">
        <v>146</v>
      </c>
      <c r="G150" s="36">
        <v>1460</v>
      </c>
      <c r="H150" s="36">
        <v>33</v>
      </c>
      <c r="I150" s="36">
        <v>64</v>
      </c>
      <c r="J150" s="36">
        <v>31</v>
      </c>
      <c r="K150" s="36">
        <v>360</v>
      </c>
      <c r="L150" s="36">
        <v>11160</v>
      </c>
      <c r="M150" s="36">
        <v>0</v>
      </c>
      <c r="N150" s="36"/>
      <c r="O150" s="36">
        <v>18189</v>
      </c>
      <c r="P150" s="36">
        <v>10000</v>
      </c>
      <c r="Q150" s="36">
        <v>13797</v>
      </c>
      <c r="R150" s="36"/>
      <c r="S150" s="36">
        <f t="shared" si="4"/>
        <v>54606</v>
      </c>
      <c r="T150" s="25">
        <f t="shared" si="8"/>
        <v>0</v>
      </c>
      <c r="U150" s="25">
        <f t="shared" si="9"/>
        <v>54606</v>
      </c>
      <c r="V150" s="36">
        <v>54606</v>
      </c>
      <c r="W150" s="25">
        <f t="shared" si="7"/>
        <v>0</v>
      </c>
      <c r="Y150">
        <f t="shared" si="10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3</v>
      </c>
      <c r="D151" s="36">
        <v>22</v>
      </c>
      <c r="E151" s="36">
        <v>19</v>
      </c>
      <c r="F151" s="36">
        <v>146</v>
      </c>
      <c r="G151" s="36">
        <v>2774</v>
      </c>
      <c r="H151" s="36">
        <v>33</v>
      </c>
      <c r="I151" s="36">
        <v>80</v>
      </c>
      <c r="J151" s="36">
        <v>47</v>
      </c>
      <c r="K151" s="36">
        <v>360</v>
      </c>
      <c r="L151" s="36">
        <v>16920</v>
      </c>
      <c r="M151" s="36">
        <v>0</v>
      </c>
      <c r="N151" s="36"/>
      <c r="O151" s="36">
        <v>20375</v>
      </c>
      <c r="P151" s="36">
        <v>10000</v>
      </c>
      <c r="Q151" s="36">
        <v>14438</v>
      </c>
      <c r="R151" s="36"/>
      <c r="S151" s="36">
        <f t="shared" si="4"/>
        <v>64507</v>
      </c>
      <c r="T151" s="25">
        <f t="shared" si="8"/>
        <v>0</v>
      </c>
      <c r="U151" s="25">
        <f t="shared" si="9"/>
        <v>64507</v>
      </c>
      <c r="V151" s="36">
        <v>64507</v>
      </c>
      <c r="W151" s="25">
        <f t="shared" si="7"/>
        <v>0</v>
      </c>
      <c r="Y151">
        <f t="shared" si="10"/>
        <v>0</v>
      </c>
    </row>
    <row r="152" spans="1:25" ht="15.75" hidden="1" thickBot="1" x14ac:dyDescent="0.3">
      <c r="A152" s="20"/>
      <c r="B152" s="21" t="s">
        <v>24</v>
      </c>
      <c r="C152" s="36">
        <v>22</v>
      </c>
      <c r="D152" s="36">
        <v>37</v>
      </c>
      <c r="E152" s="36">
        <v>15</v>
      </c>
      <c r="F152" s="36">
        <v>146</v>
      </c>
      <c r="G152" s="36">
        <v>2190</v>
      </c>
      <c r="H152" s="36">
        <v>80</v>
      </c>
      <c r="I152" s="36">
        <v>104</v>
      </c>
      <c r="J152" s="36">
        <v>24</v>
      </c>
      <c r="K152" s="36">
        <v>360</v>
      </c>
      <c r="L152" s="36">
        <v>8640</v>
      </c>
      <c r="M152" s="36">
        <v>0</v>
      </c>
      <c r="N152" s="36"/>
      <c r="O152" s="36"/>
      <c r="P152" s="36">
        <v>10000</v>
      </c>
      <c r="Q152" s="36">
        <v>14438</v>
      </c>
      <c r="R152" s="36"/>
      <c r="S152" s="36">
        <f t="shared" si="4"/>
        <v>35268</v>
      </c>
      <c r="T152" s="25">
        <f t="shared" si="8"/>
        <v>0</v>
      </c>
      <c r="U152" s="25">
        <f t="shared" si="9"/>
        <v>35268</v>
      </c>
      <c r="V152" s="36"/>
      <c r="W152" s="25">
        <f t="shared" si="7"/>
        <v>35268</v>
      </c>
      <c r="Y152">
        <f t="shared" si="10"/>
        <v>1</v>
      </c>
    </row>
    <row r="153" spans="1:25" ht="15.75" hidden="1" thickBot="1" x14ac:dyDescent="0.3">
      <c r="A153" s="20"/>
      <c r="B153" s="21" t="s">
        <v>25</v>
      </c>
      <c r="C153" s="36">
        <v>37</v>
      </c>
      <c r="D153" s="36">
        <v>48</v>
      </c>
      <c r="E153" s="36">
        <v>11</v>
      </c>
      <c r="F153" s="36">
        <v>146</v>
      </c>
      <c r="G153" s="36">
        <v>1606</v>
      </c>
      <c r="H153" s="36">
        <v>104</v>
      </c>
      <c r="I153" s="36">
        <v>118</v>
      </c>
      <c r="J153" s="36">
        <v>14</v>
      </c>
      <c r="K153" s="36">
        <v>360</v>
      </c>
      <c r="L153" s="36">
        <v>5040</v>
      </c>
      <c r="M153" s="36">
        <v>0</v>
      </c>
      <c r="N153" s="36"/>
      <c r="O153" s="36">
        <v>18375</v>
      </c>
      <c r="P153" s="36">
        <v>10000</v>
      </c>
      <c r="Q153" s="36">
        <v>14438</v>
      </c>
      <c r="R153" s="36"/>
      <c r="S153" s="36">
        <f t="shared" si="4"/>
        <v>49459</v>
      </c>
      <c r="T153" s="25">
        <f t="shared" si="8"/>
        <v>35268</v>
      </c>
      <c r="U153" s="25">
        <f t="shared" si="9"/>
        <v>84727</v>
      </c>
      <c r="V153" s="36">
        <v>110287</v>
      </c>
      <c r="W153" s="25">
        <f t="shared" si="7"/>
        <v>-25560</v>
      </c>
      <c r="Y153">
        <f t="shared" si="10"/>
        <v>0</v>
      </c>
    </row>
    <row r="154" spans="1:25" ht="15.75" hidden="1" thickBot="1" x14ac:dyDescent="0.3">
      <c r="A154" s="20"/>
      <c r="B154" s="21" t="s">
        <v>26</v>
      </c>
      <c r="C154" s="36">
        <v>48</v>
      </c>
      <c r="D154" s="36">
        <v>172</v>
      </c>
      <c r="E154" s="36">
        <v>124</v>
      </c>
      <c r="F154" s="36">
        <v>146</v>
      </c>
      <c r="G154" s="36">
        <v>18104</v>
      </c>
      <c r="H154" s="36">
        <v>118</v>
      </c>
      <c r="I154" s="36">
        <v>142</v>
      </c>
      <c r="J154" s="36">
        <v>24</v>
      </c>
      <c r="K154" s="36">
        <v>360</v>
      </c>
      <c r="L154" s="36">
        <v>8640</v>
      </c>
      <c r="M154" s="36">
        <v>0</v>
      </c>
      <c r="N154" s="36"/>
      <c r="O154" s="36">
        <v>3468</v>
      </c>
      <c r="P154" s="36">
        <v>10000</v>
      </c>
      <c r="Q154" s="36">
        <v>14438</v>
      </c>
      <c r="R154" s="36"/>
      <c r="S154" s="36">
        <f t="shared" si="4"/>
        <v>54650</v>
      </c>
      <c r="T154" s="25">
        <f t="shared" si="8"/>
        <v>-25560</v>
      </c>
      <c r="U154" s="25">
        <f t="shared" si="9"/>
        <v>29090</v>
      </c>
      <c r="V154" s="36">
        <v>91820</v>
      </c>
      <c r="W154" s="25">
        <f t="shared" si="7"/>
        <v>-62730</v>
      </c>
      <c r="Y154">
        <f t="shared" si="10"/>
        <v>0</v>
      </c>
    </row>
    <row r="155" spans="1:25" ht="15.75" hidden="1" thickBot="1" x14ac:dyDescent="0.3">
      <c r="A155" s="20"/>
      <c r="B155" s="21" t="s">
        <v>27</v>
      </c>
      <c r="C155" s="36">
        <v>172</v>
      </c>
      <c r="D155" s="36">
        <v>327</v>
      </c>
      <c r="E155" s="36">
        <v>155</v>
      </c>
      <c r="F155" s="36">
        <v>146</v>
      </c>
      <c r="G155" s="36">
        <v>22630</v>
      </c>
      <c r="H155" s="36">
        <v>142</v>
      </c>
      <c r="I155" s="36">
        <v>153</v>
      </c>
      <c r="J155" s="36">
        <v>11</v>
      </c>
      <c r="K155" s="36">
        <v>360</v>
      </c>
      <c r="L155" s="36">
        <v>3960</v>
      </c>
      <c r="M155" s="36">
        <v>0</v>
      </c>
      <c r="N155" s="36"/>
      <c r="O155" s="36">
        <v>3468</v>
      </c>
      <c r="P155" s="36">
        <v>10000</v>
      </c>
      <c r="Q155" s="36">
        <v>14438</v>
      </c>
      <c r="R155" s="36"/>
      <c r="S155" s="36">
        <f t="shared" si="4"/>
        <v>54496</v>
      </c>
      <c r="T155" s="25">
        <f t="shared" si="8"/>
        <v>-62730</v>
      </c>
      <c r="U155" s="25">
        <f t="shared" si="9"/>
        <v>-8234</v>
      </c>
      <c r="V155" s="36"/>
      <c r="W155" s="25">
        <f t="shared" si="7"/>
        <v>-8234</v>
      </c>
      <c r="Y155">
        <f t="shared" si="10"/>
        <v>0</v>
      </c>
    </row>
    <row r="156" spans="1:25" ht="15.75" hidden="1" thickBot="1" x14ac:dyDescent="0.3">
      <c r="A156" s="20"/>
      <c r="B156" s="21" t="s">
        <v>28</v>
      </c>
      <c r="C156" s="36">
        <v>327</v>
      </c>
      <c r="D156" s="36">
        <v>545</v>
      </c>
      <c r="E156" s="36">
        <v>218</v>
      </c>
      <c r="F156" s="36">
        <v>146</v>
      </c>
      <c r="G156" s="36">
        <v>31828</v>
      </c>
      <c r="H156" s="36">
        <v>153</v>
      </c>
      <c r="I156" s="36">
        <v>165</v>
      </c>
      <c r="J156" s="36">
        <v>12</v>
      </c>
      <c r="K156" s="36">
        <v>360</v>
      </c>
      <c r="L156" s="36">
        <v>4320</v>
      </c>
      <c r="M156" s="36">
        <v>0</v>
      </c>
      <c r="N156" s="36"/>
      <c r="O156" s="36">
        <v>3468</v>
      </c>
      <c r="P156" s="36">
        <v>10000</v>
      </c>
      <c r="Q156" s="36">
        <v>14438</v>
      </c>
      <c r="R156" s="36"/>
      <c r="S156" s="36">
        <f t="shared" si="4"/>
        <v>64054</v>
      </c>
      <c r="T156" s="25">
        <f t="shared" si="8"/>
        <v>-8234</v>
      </c>
      <c r="U156" s="25">
        <f t="shared" si="9"/>
        <v>55820</v>
      </c>
      <c r="V156" s="36">
        <v>56000</v>
      </c>
      <c r="W156" s="25">
        <f t="shared" si="7"/>
        <v>-180</v>
      </c>
      <c r="Y156">
        <f t="shared" si="10"/>
        <v>0</v>
      </c>
    </row>
    <row r="157" spans="1:25" ht="15.75" hidden="1" thickBot="1" x14ac:dyDescent="0.3">
      <c r="A157" s="20"/>
      <c r="B157" s="21" t="s">
        <v>29</v>
      </c>
      <c r="C157" s="36">
        <v>545</v>
      </c>
      <c r="D157" s="36">
        <v>744</v>
      </c>
      <c r="E157" s="36">
        <v>199</v>
      </c>
      <c r="F157" s="36">
        <v>146</v>
      </c>
      <c r="G157" s="36">
        <v>29054</v>
      </c>
      <c r="H157" s="36">
        <v>165</v>
      </c>
      <c r="I157" s="36">
        <v>174</v>
      </c>
      <c r="J157" s="36">
        <v>9</v>
      </c>
      <c r="K157" s="36">
        <v>360</v>
      </c>
      <c r="L157" s="36">
        <v>3240</v>
      </c>
      <c r="M157" s="36">
        <v>0</v>
      </c>
      <c r="N157" s="36"/>
      <c r="O157" s="36">
        <v>46183</v>
      </c>
      <c r="P157" s="36">
        <v>10000</v>
      </c>
      <c r="Q157" s="36">
        <v>14438</v>
      </c>
      <c r="R157" s="36"/>
      <c r="S157" s="36">
        <f t="shared" si="4"/>
        <v>102915</v>
      </c>
      <c r="T157" s="25">
        <f t="shared" si="8"/>
        <v>-180</v>
      </c>
      <c r="U157" s="25">
        <f t="shared" si="9"/>
        <v>102735</v>
      </c>
      <c r="V157" s="36"/>
      <c r="W157" s="25">
        <f t="shared" si="7"/>
        <v>102735</v>
      </c>
      <c r="Y157">
        <f t="shared" si="10"/>
        <v>1</v>
      </c>
    </row>
    <row r="158" spans="1:25" ht="15.75" hidden="1" thickBot="1" x14ac:dyDescent="0.3">
      <c r="A158" s="20"/>
      <c r="B158" s="21" t="s">
        <v>30</v>
      </c>
      <c r="C158" s="36">
        <v>744</v>
      </c>
      <c r="D158" s="36">
        <v>883</v>
      </c>
      <c r="E158" s="36">
        <v>139</v>
      </c>
      <c r="F158" s="36">
        <v>146</v>
      </c>
      <c r="G158" s="36">
        <v>20294</v>
      </c>
      <c r="H158" s="36">
        <v>174</v>
      </c>
      <c r="I158" s="36">
        <v>180</v>
      </c>
      <c r="J158" s="36">
        <v>6</v>
      </c>
      <c r="K158" s="36">
        <v>360</v>
      </c>
      <c r="L158" s="36">
        <v>2160</v>
      </c>
      <c r="M158" s="36">
        <v>0</v>
      </c>
      <c r="N158" s="36"/>
      <c r="O158" s="36">
        <v>3468</v>
      </c>
      <c r="P158" s="36">
        <v>10000</v>
      </c>
      <c r="Q158" s="36">
        <v>14438</v>
      </c>
      <c r="R158" s="36"/>
      <c r="S158" s="36">
        <f t="shared" si="4"/>
        <v>50360</v>
      </c>
      <c r="T158" s="25">
        <f t="shared" si="8"/>
        <v>102735</v>
      </c>
      <c r="U158" s="25">
        <f t="shared" si="9"/>
        <v>153095</v>
      </c>
      <c r="V158" s="36">
        <v>154000</v>
      </c>
      <c r="W158" s="25">
        <f t="shared" ref="W158:W185" si="11">U158-V158</f>
        <v>-905</v>
      </c>
      <c r="Y158">
        <f t="shared" si="10"/>
        <v>0</v>
      </c>
    </row>
    <row r="159" spans="1:25" ht="15.75" hidden="1" thickBot="1" x14ac:dyDescent="0.3">
      <c r="A159" s="20"/>
      <c r="B159" s="21" t="s">
        <v>31</v>
      </c>
      <c r="C159" s="36">
        <v>883</v>
      </c>
      <c r="D159" s="36">
        <v>961</v>
      </c>
      <c r="E159" s="36">
        <v>78</v>
      </c>
      <c r="F159" s="36">
        <v>146</v>
      </c>
      <c r="G159" s="36">
        <v>11388</v>
      </c>
      <c r="H159" s="36">
        <v>180</v>
      </c>
      <c r="I159" s="36">
        <v>187</v>
      </c>
      <c r="J159" s="36">
        <v>7</v>
      </c>
      <c r="K159" s="36">
        <v>360</v>
      </c>
      <c r="L159" s="36">
        <v>2520</v>
      </c>
      <c r="M159" s="36">
        <v>0</v>
      </c>
      <c r="N159" s="36"/>
      <c r="O159" s="36"/>
      <c r="P159" s="36">
        <v>10000</v>
      </c>
      <c r="Q159" s="36">
        <v>14438</v>
      </c>
      <c r="R159" s="36"/>
      <c r="S159" s="36">
        <f t="shared" si="4"/>
        <v>38346</v>
      </c>
      <c r="T159" s="25">
        <f t="shared" si="8"/>
        <v>-905</v>
      </c>
      <c r="U159" s="25">
        <f t="shared" si="9"/>
        <v>37441</v>
      </c>
      <c r="V159" s="36">
        <v>37441</v>
      </c>
      <c r="W159" s="25">
        <f t="shared" si="11"/>
        <v>0</v>
      </c>
      <c r="Y159">
        <f t="shared" si="10"/>
        <v>0</v>
      </c>
    </row>
    <row r="160" spans="1:25" ht="15.75" hidden="1" thickBot="1" x14ac:dyDescent="0.3">
      <c r="A160" s="20"/>
      <c r="B160" s="21" t="s">
        <v>32</v>
      </c>
      <c r="C160" s="36">
        <v>961</v>
      </c>
      <c r="D160" s="36">
        <v>1102</v>
      </c>
      <c r="E160" s="36">
        <v>141</v>
      </c>
      <c r="F160" s="36">
        <v>146</v>
      </c>
      <c r="G160" s="36">
        <v>20586</v>
      </c>
      <c r="H160" s="36">
        <v>187</v>
      </c>
      <c r="I160" s="36">
        <v>192</v>
      </c>
      <c r="J160" s="36">
        <v>5</v>
      </c>
      <c r="K160" s="36">
        <v>360</v>
      </c>
      <c r="L160" s="36">
        <v>1800</v>
      </c>
      <c r="M160" s="36">
        <v>0</v>
      </c>
      <c r="N160" s="36"/>
      <c r="O160" s="36"/>
      <c r="P160" s="36">
        <v>10000</v>
      </c>
      <c r="Q160" s="36">
        <v>14438</v>
      </c>
      <c r="R160" s="36"/>
      <c r="S160" s="36">
        <f t="shared" si="4"/>
        <v>46824</v>
      </c>
      <c r="T160" s="25">
        <f t="shared" si="8"/>
        <v>0</v>
      </c>
      <c r="U160" s="25">
        <f t="shared" si="9"/>
        <v>46824</v>
      </c>
      <c r="V160" s="36">
        <v>37441</v>
      </c>
      <c r="W160" s="25">
        <f t="shared" si="11"/>
        <v>9383</v>
      </c>
      <c r="Y160">
        <f t="shared" si="10"/>
        <v>1</v>
      </c>
    </row>
    <row r="161" spans="1:25" ht="15.75" hidden="1" thickBot="1" x14ac:dyDescent="0.3">
      <c r="A161" s="20"/>
      <c r="B161" s="21" t="s">
        <v>33</v>
      </c>
      <c r="C161" s="36">
        <v>1102</v>
      </c>
      <c r="D161" s="36">
        <v>1152</v>
      </c>
      <c r="E161" s="36">
        <v>50</v>
      </c>
      <c r="F161" s="36">
        <v>146</v>
      </c>
      <c r="G161" s="36">
        <v>7300</v>
      </c>
      <c r="H161" s="36">
        <v>192</v>
      </c>
      <c r="I161" s="36">
        <v>193</v>
      </c>
      <c r="J161" s="36">
        <v>1</v>
      </c>
      <c r="K161" s="36">
        <v>360</v>
      </c>
      <c r="L161" s="36">
        <v>360</v>
      </c>
      <c r="M161" s="36">
        <v>0</v>
      </c>
      <c r="N161" s="36"/>
      <c r="O161" s="36"/>
      <c r="P161" s="36">
        <v>10000</v>
      </c>
      <c r="Q161" s="36">
        <v>14438</v>
      </c>
      <c r="R161" s="36"/>
      <c r="S161" s="36">
        <f t="shared" si="4"/>
        <v>32098</v>
      </c>
      <c r="T161" s="25">
        <f t="shared" si="8"/>
        <v>9383</v>
      </c>
      <c r="U161" s="25">
        <f t="shared" si="9"/>
        <v>41481</v>
      </c>
      <c r="V161" s="36"/>
      <c r="W161" s="25">
        <f t="shared" si="11"/>
        <v>41481</v>
      </c>
      <c r="Y161">
        <f t="shared" si="10"/>
        <v>2</v>
      </c>
    </row>
    <row r="162" spans="1:25" ht="15.75" hidden="1" thickBot="1" x14ac:dyDescent="0.3">
      <c r="A162" s="20"/>
      <c r="B162" s="21" t="s">
        <v>34</v>
      </c>
      <c r="C162" s="36">
        <v>1152</v>
      </c>
      <c r="D162" s="36">
        <v>1196</v>
      </c>
      <c r="E162" s="36">
        <v>44</v>
      </c>
      <c r="F162" s="36">
        <v>146</v>
      </c>
      <c r="G162" s="36">
        <v>6424</v>
      </c>
      <c r="H162" s="36">
        <v>193</v>
      </c>
      <c r="I162" s="36">
        <v>194</v>
      </c>
      <c r="J162" s="36">
        <v>1</v>
      </c>
      <c r="K162" s="36">
        <v>360</v>
      </c>
      <c r="L162" s="36">
        <v>360</v>
      </c>
      <c r="M162" s="36">
        <v>0</v>
      </c>
      <c r="N162" s="36"/>
      <c r="O162" s="36"/>
      <c r="P162" s="36">
        <v>10000</v>
      </c>
      <c r="Q162" s="36">
        <v>14438</v>
      </c>
      <c r="R162" s="36"/>
      <c r="S162" s="36">
        <f t="shared" ref="S162:S185" si="12">G162+L162+M162+N162+O162+P162+Q162+R162</f>
        <v>31222</v>
      </c>
      <c r="T162" s="25">
        <f t="shared" ref="T162:T185" si="13">W161</f>
        <v>41481</v>
      </c>
      <c r="U162" s="25">
        <f t="shared" ref="U162:U185" si="14">S162+T162</f>
        <v>72703</v>
      </c>
      <c r="V162" s="36"/>
      <c r="W162" s="25">
        <f t="shared" si="11"/>
        <v>72703</v>
      </c>
      <c r="Y162">
        <f t="shared" si="10"/>
        <v>3</v>
      </c>
    </row>
    <row r="163" spans="1:25" ht="15.75" hidden="1" thickBot="1" x14ac:dyDescent="0.3">
      <c r="A163" s="20">
        <v>2016</v>
      </c>
      <c r="B163" s="21" t="s">
        <v>35</v>
      </c>
      <c r="C163" s="36">
        <v>1196</v>
      </c>
      <c r="D163" s="36">
        <v>1196</v>
      </c>
      <c r="E163" s="36">
        <v>0</v>
      </c>
      <c r="F163" s="36"/>
      <c r="G163" s="36">
        <v>0</v>
      </c>
      <c r="H163" s="36">
        <v>194</v>
      </c>
      <c r="I163" s="36">
        <v>194</v>
      </c>
      <c r="J163" s="36">
        <v>0</v>
      </c>
      <c r="K163" s="36"/>
      <c r="L163" s="36">
        <v>0</v>
      </c>
      <c r="M163" s="36">
        <v>0</v>
      </c>
      <c r="N163" s="36"/>
      <c r="O163" s="36"/>
      <c r="P163" s="36">
        <v>10000</v>
      </c>
      <c r="Q163" s="36">
        <v>15073</v>
      </c>
      <c r="R163" s="36"/>
      <c r="S163" s="36">
        <f t="shared" si="12"/>
        <v>25073</v>
      </c>
      <c r="T163" s="25">
        <f t="shared" si="13"/>
        <v>72703</v>
      </c>
      <c r="U163" s="25">
        <f t="shared" si="14"/>
        <v>97776</v>
      </c>
      <c r="V163" s="36">
        <v>97812</v>
      </c>
      <c r="W163" s="25">
        <f t="shared" si="11"/>
        <v>-36</v>
      </c>
      <c r="Y163">
        <f t="shared" si="10"/>
        <v>0</v>
      </c>
    </row>
    <row r="164" spans="1:25" ht="15.75" hidden="1" thickBot="1" x14ac:dyDescent="0.3">
      <c r="A164" s="20"/>
      <c r="B164" s="21" t="s">
        <v>24</v>
      </c>
      <c r="C164" s="36">
        <v>1196</v>
      </c>
      <c r="D164" s="36">
        <v>1204</v>
      </c>
      <c r="E164" s="36">
        <v>8</v>
      </c>
      <c r="F164" s="36">
        <v>146</v>
      </c>
      <c r="G164" s="36">
        <v>1168</v>
      </c>
      <c r="H164" s="36">
        <v>194</v>
      </c>
      <c r="I164" s="36">
        <v>209</v>
      </c>
      <c r="J164" s="36">
        <v>15</v>
      </c>
      <c r="K164" s="36">
        <v>360</v>
      </c>
      <c r="L164" s="36">
        <v>5400</v>
      </c>
      <c r="M164" s="36">
        <v>0</v>
      </c>
      <c r="N164" s="36"/>
      <c r="O164" s="36">
        <v>39445</v>
      </c>
      <c r="P164" s="36">
        <v>10000</v>
      </c>
      <c r="Q164" s="36">
        <v>15073</v>
      </c>
      <c r="R164" s="36"/>
      <c r="S164" s="36">
        <f t="shared" si="12"/>
        <v>71086</v>
      </c>
      <c r="T164" s="25">
        <f t="shared" si="13"/>
        <v>-36</v>
      </c>
      <c r="U164" s="25">
        <f t="shared" si="14"/>
        <v>71050</v>
      </c>
      <c r="V164" s="36"/>
      <c r="W164" s="25">
        <f t="shared" si="11"/>
        <v>71050</v>
      </c>
      <c r="Y164">
        <f t="shared" si="10"/>
        <v>1</v>
      </c>
    </row>
    <row r="165" spans="1:25" ht="15.75" hidden="1" thickBot="1" x14ac:dyDescent="0.3">
      <c r="A165" s="20"/>
      <c r="B165" s="21" t="s">
        <v>25</v>
      </c>
      <c r="C165" s="36">
        <v>1204</v>
      </c>
      <c r="D165" s="36">
        <v>1216</v>
      </c>
      <c r="E165" s="36">
        <v>12</v>
      </c>
      <c r="F165" s="36">
        <v>146</v>
      </c>
      <c r="G165" s="36">
        <v>1752</v>
      </c>
      <c r="H165" s="36">
        <v>209</v>
      </c>
      <c r="I165" s="36">
        <v>224</v>
      </c>
      <c r="J165" s="36">
        <v>15</v>
      </c>
      <c r="K165" s="36">
        <v>360</v>
      </c>
      <c r="L165" s="36">
        <v>5400</v>
      </c>
      <c r="M165" s="36">
        <v>0</v>
      </c>
      <c r="N165" s="36"/>
      <c r="O165" s="36"/>
      <c r="P165" s="36">
        <v>10000</v>
      </c>
      <c r="Q165" s="36">
        <v>15073</v>
      </c>
      <c r="R165" s="36"/>
      <c r="S165" s="36">
        <f t="shared" si="12"/>
        <v>32225</v>
      </c>
      <c r="T165" s="25">
        <f t="shared" si="13"/>
        <v>71050</v>
      </c>
      <c r="U165" s="25">
        <f t="shared" si="14"/>
        <v>103275</v>
      </c>
      <c r="V165" s="36">
        <v>103500</v>
      </c>
      <c r="W165" s="25">
        <f t="shared" si="11"/>
        <v>-225</v>
      </c>
      <c r="Y165">
        <f t="shared" si="10"/>
        <v>0</v>
      </c>
    </row>
    <row r="166" spans="1:25" ht="15.75" hidden="1" thickBot="1" x14ac:dyDescent="0.3">
      <c r="A166" s="20"/>
      <c r="B166" s="21" t="s">
        <v>26</v>
      </c>
      <c r="C166" s="36">
        <v>1216</v>
      </c>
      <c r="D166" s="36">
        <v>1224</v>
      </c>
      <c r="E166" s="36">
        <v>8</v>
      </c>
      <c r="F166" s="36">
        <v>146</v>
      </c>
      <c r="G166" s="36">
        <v>1168</v>
      </c>
      <c r="H166" s="36">
        <v>224</v>
      </c>
      <c r="I166" s="36">
        <v>226</v>
      </c>
      <c r="J166" s="36">
        <v>2</v>
      </c>
      <c r="K166" s="36">
        <v>360</v>
      </c>
      <c r="L166" s="36">
        <v>720</v>
      </c>
      <c r="M166" s="36">
        <v>0</v>
      </c>
      <c r="N166" s="36"/>
      <c r="O166" s="36"/>
      <c r="P166" s="36">
        <v>10000</v>
      </c>
      <c r="Q166" s="36">
        <v>15073</v>
      </c>
      <c r="R166" s="36"/>
      <c r="S166" s="36">
        <f t="shared" si="12"/>
        <v>26961</v>
      </c>
      <c r="T166" s="25">
        <f t="shared" si="13"/>
        <v>-225</v>
      </c>
      <c r="U166" s="25">
        <f t="shared" si="14"/>
        <v>26736</v>
      </c>
      <c r="V166" s="36"/>
      <c r="W166" s="25">
        <f t="shared" si="11"/>
        <v>26736</v>
      </c>
      <c r="Y166">
        <f t="shared" si="10"/>
        <v>1</v>
      </c>
    </row>
    <row r="167" spans="1:25" ht="15.75" hidden="1" thickBot="1" x14ac:dyDescent="0.3">
      <c r="A167" s="20"/>
      <c r="B167" s="21" t="s">
        <v>27</v>
      </c>
      <c r="C167" s="36">
        <v>1224</v>
      </c>
      <c r="D167" s="36">
        <v>1227</v>
      </c>
      <c r="E167" s="36">
        <v>3</v>
      </c>
      <c r="F167" s="36">
        <v>146</v>
      </c>
      <c r="G167" s="36">
        <v>438</v>
      </c>
      <c r="H167" s="36">
        <v>226</v>
      </c>
      <c r="I167" s="36">
        <v>226</v>
      </c>
      <c r="J167" s="36">
        <v>0</v>
      </c>
      <c r="K167" s="36"/>
      <c r="L167" s="36">
        <v>0</v>
      </c>
      <c r="M167" s="36">
        <v>0</v>
      </c>
      <c r="N167" s="36"/>
      <c r="O167" s="36"/>
      <c r="P167" s="36">
        <v>10000</v>
      </c>
      <c r="Q167" s="36">
        <v>15073</v>
      </c>
      <c r="R167" s="36"/>
      <c r="S167" s="36">
        <f t="shared" si="12"/>
        <v>25511</v>
      </c>
      <c r="T167" s="25">
        <f t="shared" si="13"/>
        <v>26736</v>
      </c>
      <c r="U167" s="25">
        <f t="shared" si="14"/>
        <v>52247</v>
      </c>
      <c r="V167" s="36"/>
      <c r="W167" s="25">
        <f t="shared" si="11"/>
        <v>52247</v>
      </c>
      <c r="Y167">
        <f t="shared" si="10"/>
        <v>2</v>
      </c>
    </row>
    <row r="168" spans="1:25" ht="15.75" hidden="1" thickBot="1" x14ac:dyDescent="0.3">
      <c r="A168" s="20"/>
      <c r="B168" s="21" t="s">
        <v>28</v>
      </c>
      <c r="C168" s="36">
        <v>1227</v>
      </c>
      <c r="D168" s="36">
        <v>1231</v>
      </c>
      <c r="E168" s="36">
        <v>4</v>
      </c>
      <c r="F168" s="36">
        <v>146</v>
      </c>
      <c r="G168" s="36">
        <v>584</v>
      </c>
      <c r="H168" s="36">
        <v>226</v>
      </c>
      <c r="I168" s="36">
        <v>227</v>
      </c>
      <c r="J168" s="36">
        <v>1</v>
      </c>
      <c r="K168" s="36">
        <v>360</v>
      </c>
      <c r="L168" s="36">
        <v>360</v>
      </c>
      <c r="M168" s="36">
        <v>0</v>
      </c>
      <c r="N168" s="36"/>
      <c r="O168" s="36"/>
      <c r="P168" s="36">
        <v>10000</v>
      </c>
      <c r="Q168" s="36">
        <v>15073</v>
      </c>
      <c r="R168" s="36"/>
      <c r="S168" s="36">
        <f t="shared" si="12"/>
        <v>26017</v>
      </c>
      <c r="T168" s="25">
        <f t="shared" si="13"/>
        <v>52247</v>
      </c>
      <c r="U168" s="25">
        <f t="shared" si="14"/>
        <v>78264</v>
      </c>
      <c r="V168" s="36">
        <v>78264</v>
      </c>
      <c r="W168" s="25">
        <f t="shared" si="11"/>
        <v>0</v>
      </c>
      <c r="Y168">
        <f t="shared" si="10"/>
        <v>0</v>
      </c>
    </row>
    <row r="169" spans="1:25" ht="15.75" hidden="1" thickBot="1" x14ac:dyDescent="0.3">
      <c r="A169" s="20"/>
      <c r="B169" s="21" t="s">
        <v>29</v>
      </c>
      <c r="C169" s="36">
        <v>1231</v>
      </c>
      <c r="D169" s="36">
        <v>1251</v>
      </c>
      <c r="E169" s="36">
        <v>20</v>
      </c>
      <c r="F169" s="36">
        <v>146</v>
      </c>
      <c r="G169" s="36">
        <v>2920</v>
      </c>
      <c r="H169" s="36">
        <v>227</v>
      </c>
      <c r="I169" s="36">
        <v>228</v>
      </c>
      <c r="J169" s="36">
        <v>1</v>
      </c>
      <c r="K169" s="36">
        <v>360</v>
      </c>
      <c r="L169" s="36">
        <v>360</v>
      </c>
      <c r="M169" s="36">
        <v>0</v>
      </c>
      <c r="N169" s="36"/>
      <c r="O169" s="36">
        <v>5117</v>
      </c>
      <c r="P169" s="36">
        <v>10000</v>
      </c>
      <c r="Q169" s="36">
        <v>15073</v>
      </c>
      <c r="R169" s="36"/>
      <c r="S169" s="36">
        <f t="shared" si="12"/>
        <v>33470</v>
      </c>
      <c r="T169" s="25">
        <f t="shared" si="13"/>
        <v>0</v>
      </c>
      <c r="U169" s="25">
        <f t="shared" si="14"/>
        <v>33470</v>
      </c>
      <c r="V169" s="36">
        <v>33470</v>
      </c>
      <c r="W169" s="25">
        <f t="shared" si="11"/>
        <v>0</v>
      </c>
      <c r="Y169">
        <f t="shared" si="10"/>
        <v>0</v>
      </c>
    </row>
    <row r="170" spans="1:25" ht="15.75" hidden="1" thickBot="1" x14ac:dyDescent="0.3">
      <c r="A170" s="20"/>
      <c r="B170" s="21" t="s">
        <v>30</v>
      </c>
      <c r="C170" s="36">
        <v>1251</v>
      </c>
      <c r="D170" s="36">
        <v>1280</v>
      </c>
      <c r="E170" s="36">
        <v>29</v>
      </c>
      <c r="F170" s="36">
        <v>146</v>
      </c>
      <c r="G170" s="36">
        <v>4234</v>
      </c>
      <c r="H170" s="36">
        <v>228</v>
      </c>
      <c r="I170" s="36">
        <v>232</v>
      </c>
      <c r="J170" s="36">
        <v>4</v>
      </c>
      <c r="K170" s="36">
        <v>360</v>
      </c>
      <c r="L170" s="36">
        <v>1440</v>
      </c>
      <c r="M170" s="36">
        <v>0</v>
      </c>
      <c r="N170" s="36"/>
      <c r="O170" s="36">
        <v>125448</v>
      </c>
      <c r="P170" s="36">
        <v>10000</v>
      </c>
      <c r="Q170" s="36">
        <v>15073</v>
      </c>
      <c r="R170" s="36"/>
      <c r="S170" s="36">
        <f t="shared" si="12"/>
        <v>156195</v>
      </c>
      <c r="T170" s="25">
        <f t="shared" si="13"/>
        <v>0</v>
      </c>
      <c r="U170" s="25">
        <f t="shared" si="14"/>
        <v>156195</v>
      </c>
      <c r="V170" s="36">
        <v>156195</v>
      </c>
      <c r="W170" s="25">
        <f t="shared" si="11"/>
        <v>0</v>
      </c>
      <c r="Y170">
        <f t="shared" si="10"/>
        <v>0</v>
      </c>
    </row>
    <row r="171" spans="1:25" ht="15.75" hidden="1" thickBot="1" x14ac:dyDescent="0.3">
      <c r="A171" s="20"/>
      <c r="B171" s="21" t="s">
        <v>31</v>
      </c>
      <c r="C171" s="36">
        <v>1280</v>
      </c>
      <c r="D171" s="36">
        <v>1302</v>
      </c>
      <c r="E171" s="36">
        <v>22</v>
      </c>
      <c r="F171" s="36">
        <v>146</v>
      </c>
      <c r="G171" s="36">
        <v>3212</v>
      </c>
      <c r="H171" s="36">
        <v>232</v>
      </c>
      <c r="I171" s="36">
        <v>239</v>
      </c>
      <c r="J171" s="36">
        <v>7</v>
      </c>
      <c r="K171" s="36">
        <v>360</v>
      </c>
      <c r="L171" s="36">
        <v>2520</v>
      </c>
      <c r="M171" s="36">
        <v>0</v>
      </c>
      <c r="N171" s="36"/>
      <c r="O171" s="36"/>
      <c r="P171" s="36">
        <v>10000</v>
      </c>
      <c r="Q171" s="36">
        <v>15073</v>
      </c>
      <c r="R171" s="36"/>
      <c r="S171" s="36">
        <f t="shared" si="12"/>
        <v>30805</v>
      </c>
      <c r="T171" s="25">
        <f t="shared" si="13"/>
        <v>0</v>
      </c>
      <c r="U171" s="25">
        <f t="shared" si="14"/>
        <v>30805</v>
      </c>
      <c r="V171" s="36">
        <v>30805</v>
      </c>
      <c r="W171" s="25">
        <f t="shared" si="11"/>
        <v>0</v>
      </c>
      <c r="Y171">
        <f t="shared" si="10"/>
        <v>0</v>
      </c>
    </row>
    <row r="172" spans="1:25" ht="15.75" hidden="1" thickBot="1" x14ac:dyDescent="0.3">
      <c r="A172" s="20"/>
      <c r="B172" s="21" t="s">
        <v>32</v>
      </c>
      <c r="C172" s="36">
        <v>1302</v>
      </c>
      <c r="D172" s="36">
        <v>1320</v>
      </c>
      <c r="E172" s="36">
        <v>18</v>
      </c>
      <c r="F172" s="36">
        <v>146</v>
      </c>
      <c r="G172" s="36">
        <v>2628</v>
      </c>
      <c r="H172" s="36">
        <v>239</v>
      </c>
      <c r="I172" s="36">
        <v>246</v>
      </c>
      <c r="J172" s="36">
        <v>7</v>
      </c>
      <c r="K172" s="36">
        <v>360</v>
      </c>
      <c r="L172" s="36">
        <v>2520</v>
      </c>
      <c r="M172" s="36">
        <v>0</v>
      </c>
      <c r="N172" s="36"/>
      <c r="O172" s="36"/>
      <c r="P172" s="36">
        <v>10000</v>
      </c>
      <c r="Q172" s="36">
        <v>15073</v>
      </c>
      <c r="R172" s="36"/>
      <c r="S172" s="36">
        <f t="shared" si="12"/>
        <v>30221</v>
      </c>
      <c r="T172" s="25">
        <f t="shared" si="13"/>
        <v>0</v>
      </c>
      <c r="U172" s="25">
        <f t="shared" si="14"/>
        <v>30221</v>
      </c>
      <c r="V172" s="36">
        <v>30221</v>
      </c>
      <c r="W172" s="25">
        <f t="shared" si="11"/>
        <v>0</v>
      </c>
      <c r="Y172">
        <f t="shared" si="10"/>
        <v>0</v>
      </c>
    </row>
    <row r="173" spans="1:25" ht="15.75" hidden="1" thickBot="1" x14ac:dyDescent="0.3">
      <c r="A173" s="20"/>
      <c r="B173" s="21" t="s">
        <v>33</v>
      </c>
      <c r="C173" s="36">
        <v>1320</v>
      </c>
      <c r="D173" s="36">
        <v>1335</v>
      </c>
      <c r="E173" s="36">
        <v>15</v>
      </c>
      <c r="F173" s="36">
        <v>146</v>
      </c>
      <c r="G173" s="36">
        <v>2190</v>
      </c>
      <c r="H173" s="36">
        <v>246</v>
      </c>
      <c r="I173" s="36">
        <v>266</v>
      </c>
      <c r="J173" s="36">
        <v>20</v>
      </c>
      <c r="K173" s="36">
        <v>360</v>
      </c>
      <c r="L173" s="36">
        <v>7200</v>
      </c>
      <c r="M173" s="36">
        <v>0</v>
      </c>
      <c r="N173" s="36"/>
      <c r="O173" s="36"/>
      <c r="P173" s="36">
        <v>10000</v>
      </c>
      <c r="Q173" s="36">
        <v>15073</v>
      </c>
      <c r="R173" s="36"/>
      <c r="S173" s="36">
        <f t="shared" si="12"/>
        <v>34463</v>
      </c>
      <c r="T173" s="25">
        <f t="shared" si="13"/>
        <v>0</v>
      </c>
      <c r="U173" s="25">
        <f t="shared" si="14"/>
        <v>34463</v>
      </c>
      <c r="V173" s="36"/>
      <c r="W173" s="25">
        <f t="shared" si="11"/>
        <v>34463</v>
      </c>
      <c r="Y173">
        <f t="shared" si="10"/>
        <v>1</v>
      </c>
    </row>
    <row r="174" spans="1:25" ht="15.75" hidden="1" thickBot="1" x14ac:dyDescent="0.3">
      <c r="A174" s="20"/>
      <c r="B174" s="21" t="s">
        <v>34</v>
      </c>
      <c r="C174" s="36">
        <v>1335</v>
      </c>
      <c r="D174" s="36">
        <v>1347</v>
      </c>
      <c r="E174" s="36">
        <v>12</v>
      </c>
      <c r="F174" s="36">
        <v>146</v>
      </c>
      <c r="G174" s="36">
        <v>1752</v>
      </c>
      <c r="H174" s="36">
        <v>266</v>
      </c>
      <c r="I174" s="36">
        <v>291</v>
      </c>
      <c r="J174" s="36">
        <v>25</v>
      </c>
      <c r="K174" s="36">
        <v>360</v>
      </c>
      <c r="L174" s="36">
        <v>9000</v>
      </c>
      <c r="M174" s="36">
        <v>0</v>
      </c>
      <c r="N174" s="36"/>
      <c r="O174" s="36">
        <v>64167</v>
      </c>
      <c r="P174" s="36">
        <v>10000</v>
      </c>
      <c r="Q174" s="36">
        <v>15073</v>
      </c>
      <c r="R174" s="36"/>
      <c r="S174" s="36">
        <f t="shared" si="12"/>
        <v>99992</v>
      </c>
      <c r="T174" s="25">
        <f t="shared" si="13"/>
        <v>34463</v>
      </c>
      <c r="U174" s="25">
        <f t="shared" si="14"/>
        <v>134455</v>
      </c>
      <c r="V174" s="36">
        <v>134455</v>
      </c>
      <c r="W174" s="25">
        <f t="shared" si="11"/>
        <v>0</v>
      </c>
      <c r="Y174">
        <f t="shared" si="10"/>
        <v>0</v>
      </c>
    </row>
    <row r="175" spans="1:25" hidden="1" x14ac:dyDescent="0.25">
      <c r="A175" s="20">
        <v>2017</v>
      </c>
      <c r="B175" s="47" t="s">
        <v>35</v>
      </c>
      <c r="C175" s="48">
        <v>1347</v>
      </c>
      <c r="D175" s="48">
        <v>1366</v>
      </c>
      <c r="E175" s="48">
        <v>19</v>
      </c>
      <c r="F175" s="48">
        <v>146</v>
      </c>
      <c r="G175" s="61">
        <v>2774</v>
      </c>
      <c r="H175" s="48">
        <v>291</v>
      </c>
      <c r="I175" s="48">
        <v>301</v>
      </c>
      <c r="J175" s="48">
        <v>10</v>
      </c>
      <c r="K175" s="48">
        <v>360</v>
      </c>
      <c r="L175" s="61">
        <v>3600</v>
      </c>
      <c r="M175" s="61">
        <v>0</v>
      </c>
      <c r="N175" s="61"/>
      <c r="O175" s="61"/>
      <c r="P175" s="61">
        <v>10000</v>
      </c>
      <c r="Q175" s="61">
        <v>15481</v>
      </c>
      <c r="R175" s="61"/>
      <c r="S175" s="61">
        <f t="shared" si="12"/>
        <v>31855</v>
      </c>
      <c r="T175" s="49">
        <f t="shared" si="13"/>
        <v>0</v>
      </c>
      <c r="U175" s="49">
        <f t="shared" si="14"/>
        <v>31855</v>
      </c>
      <c r="V175" s="45">
        <v>31855</v>
      </c>
      <c r="W175" s="49">
        <f t="shared" si="11"/>
        <v>0</v>
      </c>
      <c r="Y175">
        <f t="shared" si="10"/>
        <v>0</v>
      </c>
    </row>
    <row r="176" spans="1:25" hidden="1" x14ac:dyDescent="0.25">
      <c r="A176" s="20"/>
      <c r="B176" s="50" t="s">
        <v>24</v>
      </c>
      <c r="C176" s="51">
        <v>1366</v>
      </c>
      <c r="D176" s="51">
        <v>1444</v>
      </c>
      <c r="E176" s="51">
        <v>78</v>
      </c>
      <c r="F176" s="51">
        <v>146</v>
      </c>
      <c r="G176" s="62">
        <v>11388</v>
      </c>
      <c r="H176" s="51">
        <v>301</v>
      </c>
      <c r="I176" s="51">
        <v>324</v>
      </c>
      <c r="J176" s="51">
        <v>23</v>
      </c>
      <c r="K176" s="51">
        <v>360</v>
      </c>
      <c r="L176" s="62">
        <v>8280</v>
      </c>
      <c r="M176" s="62">
        <v>0</v>
      </c>
      <c r="N176" s="62"/>
      <c r="O176" s="62"/>
      <c r="P176" s="62">
        <v>10000</v>
      </c>
      <c r="Q176" s="62">
        <v>15481</v>
      </c>
      <c r="R176" s="62"/>
      <c r="S176" s="62">
        <f t="shared" si="12"/>
        <v>45149</v>
      </c>
      <c r="T176" s="52">
        <f t="shared" si="13"/>
        <v>0</v>
      </c>
      <c r="U176" s="52">
        <f t="shared" si="14"/>
        <v>45149</v>
      </c>
      <c r="V176" s="46">
        <v>45149</v>
      </c>
      <c r="W176" s="52">
        <f t="shared" si="11"/>
        <v>0</v>
      </c>
      <c r="Y176">
        <f t="shared" si="10"/>
        <v>0</v>
      </c>
    </row>
    <row r="177" spans="1:25" hidden="1" x14ac:dyDescent="0.25">
      <c r="A177" s="20"/>
      <c r="B177" s="50" t="s">
        <v>25</v>
      </c>
      <c r="C177" s="51">
        <v>1444</v>
      </c>
      <c r="D177" s="51">
        <v>1513</v>
      </c>
      <c r="E177" s="51">
        <v>69</v>
      </c>
      <c r="F177" s="51">
        <v>146</v>
      </c>
      <c r="G177" s="62">
        <v>10074</v>
      </c>
      <c r="H177" s="51">
        <v>324</v>
      </c>
      <c r="I177" s="51">
        <v>349</v>
      </c>
      <c r="J177" s="51">
        <v>25</v>
      </c>
      <c r="K177" s="51">
        <v>360</v>
      </c>
      <c r="L177" s="62">
        <v>9000</v>
      </c>
      <c r="M177" s="62">
        <v>0</v>
      </c>
      <c r="N177" s="62"/>
      <c r="O177" s="62">
        <v>54473</v>
      </c>
      <c r="P177" s="62">
        <v>10000</v>
      </c>
      <c r="Q177" s="62">
        <v>15481</v>
      </c>
      <c r="R177" s="62"/>
      <c r="S177" s="62">
        <f t="shared" si="12"/>
        <v>99028</v>
      </c>
      <c r="T177" s="52">
        <f t="shared" si="13"/>
        <v>0</v>
      </c>
      <c r="U177" s="52">
        <f t="shared" si="14"/>
        <v>99028</v>
      </c>
      <c r="V177" s="46">
        <v>99028</v>
      </c>
      <c r="W177" s="52">
        <f t="shared" si="11"/>
        <v>0</v>
      </c>
      <c r="Y177">
        <f t="shared" si="10"/>
        <v>0</v>
      </c>
    </row>
    <row r="178" spans="1:25" hidden="1" x14ac:dyDescent="0.25">
      <c r="A178" s="20"/>
      <c r="B178" s="50" t="s">
        <v>26</v>
      </c>
      <c r="C178" s="51">
        <v>1513</v>
      </c>
      <c r="D178" s="51">
        <v>1602</v>
      </c>
      <c r="E178" s="51">
        <v>89</v>
      </c>
      <c r="F178" s="51">
        <v>146</v>
      </c>
      <c r="G178" s="62">
        <v>12994</v>
      </c>
      <c r="H178" s="51">
        <v>349</v>
      </c>
      <c r="I178" s="51">
        <v>359</v>
      </c>
      <c r="J178" s="51">
        <v>10</v>
      </c>
      <c r="K178" s="51">
        <v>360</v>
      </c>
      <c r="L178" s="62">
        <v>3600</v>
      </c>
      <c r="M178" s="62">
        <v>0</v>
      </c>
      <c r="N178" s="62"/>
      <c r="O178" s="62">
        <v>22500</v>
      </c>
      <c r="P178" s="62">
        <v>10000</v>
      </c>
      <c r="Q178" s="62">
        <v>15481</v>
      </c>
      <c r="R178" s="62"/>
      <c r="S178" s="62">
        <f t="shared" si="12"/>
        <v>64575</v>
      </c>
      <c r="T178" s="52">
        <f t="shared" si="13"/>
        <v>0</v>
      </c>
      <c r="U178" s="52">
        <f t="shared" si="14"/>
        <v>64575</v>
      </c>
      <c r="V178" s="46">
        <v>64575</v>
      </c>
      <c r="W178" s="52">
        <f t="shared" si="11"/>
        <v>0</v>
      </c>
      <c r="Y178">
        <f t="shared" si="10"/>
        <v>0</v>
      </c>
    </row>
    <row r="179" spans="1:25" hidden="1" x14ac:dyDescent="0.25">
      <c r="A179" s="20"/>
      <c r="B179" s="50" t="s">
        <v>27</v>
      </c>
      <c r="C179" s="51">
        <v>1602</v>
      </c>
      <c r="D179" s="51">
        <v>1677</v>
      </c>
      <c r="E179" s="51">
        <v>75</v>
      </c>
      <c r="F179" s="51">
        <v>146</v>
      </c>
      <c r="G179" s="62">
        <v>10950</v>
      </c>
      <c r="H179" s="51">
        <v>359</v>
      </c>
      <c r="I179" s="51">
        <v>365</v>
      </c>
      <c r="J179" s="51">
        <v>6</v>
      </c>
      <c r="K179" s="51">
        <v>360</v>
      </c>
      <c r="L179" s="62">
        <v>2160</v>
      </c>
      <c r="M179" s="62">
        <v>0</v>
      </c>
      <c r="N179" s="62"/>
      <c r="O179" s="62"/>
      <c r="P179" s="62">
        <v>10000</v>
      </c>
      <c r="Q179" s="62">
        <v>15481</v>
      </c>
      <c r="R179" s="62"/>
      <c r="S179" s="62">
        <f t="shared" si="12"/>
        <v>38591</v>
      </c>
      <c r="T179" s="52">
        <f t="shared" si="13"/>
        <v>0</v>
      </c>
      <c r="U179" s="52">
        <f t="shared" si="14"/>
        <v>38591</v>
      </c>
      <c r="V179" s="46">
        <v>38591</v>
      </c>
      <c r="W179" s="52">
        <f t="shared" si="11"/>
        <v>0</v>
      </c>
      <c r="Y179">
        <f t="shared" si="10"/>
        <v>0</v>
      </c>
    </row>
    <row r="180" spans="1:25" hidden="1" x14ac:dyDescent="0.25">
      <c r="A180" s="20"/>
      <c r="B180" s="50" t="s">
        <v>28</v>
      </c>
      <c r="C180" s="51">
        <v>1677</v>
      </c>
      <c r="D180" s="51">
        <v>1723</v>
      </c>
      <c r="E180" s="51">
        <v>46</v>
      </c>
      <c r="F180" s="51">
        <v>146</v>
      </c>
      <c r="G180" s="62">
        <v>6716</v>
      </c>
      <c r="H180" s="51">
        <v>365</v>
      </c>
      <c r="I180" s="51">
        <v>367</v>
      </c>
      <c r="J180" s="51">
        <v>2</v>
      </c>
      <c r="K180" s="51">
        <v>360</v>
      </c>
      <c r="L180" s="62">
        <v>720</v>
      </c>
      <c r="M180" s="62">
        <v>0</v>
      </c>
      <c r="N180" s="62"/>
      <c r="O180" s="62"/>
      <c r="P180" s="62">
        <v>10000</v>
      </c>
      <c r="Q180" s="62">
        <v>15481</v>
      </c>
      <c r="R180" s="62"/>
      <c r="S180" s="62">
        <f t="shared" si="12"/>
        <v>32917</v>
      </c>
      <c r="T180" s="52">
        <f t="shared" si="13"/>
        <v>0</v>
      </c>
      <c r="U180" s="52">
        <f t="shared" si="14"/>
        <v>32917</v>
      </c>
      <c r="V180" s="46">
        <v>32917</v>
      </c>
      <c r="W180" s="52">
        <f t="shared" si="11"/>
        <v>0</v>
      </c>
      <c r="Y180">
        <f t="shared" si="10"/>
        <v>0</v>
      </c>
    </row>
    <row r="181" spans="1:25" hidden="1" x14ac:dyDescent="0.25">
      <c r="A181" s="20"/>
      <c r="B181" s="50" t="s">
        <v>29</v>
      </c>
      <c r="C181" s="51">
        <v>1723</v>
      </c>
      <c r="D181" s="51">
        <v>1764</v>
      </c>
      <c r="E181" s="51">
        <v>41</v>
      </c>
      <c r="F181" s="51">
        <v>146</v>
      </c>
      <c r="G181" s="62">
        <v>5986</v>
      </c>
      <c r="H181" s="51">
        <v>367</v>
      </c>
      <c r="I181" s="51">
        <v>369</v>
      </c>
      <c r="J181" s="51">
        <v>2</v>
      </c>
      <c r="K181" s="51">
        <v>360</v>
      </c>
      <c r="L181" s="62">
        <v>720</v>
      </c>
      <c r="M181" s="62">
        <v>0</v>
      </c>
      <c r="N181" s="62"/>
      <c r="O181" s="62"/>
      <c r="P181" s="62">
        <v>10000</v>
      </c>
      <c r="Q181" s="62">
        <v>15481</v>
      </c>
      <c r="R181" s="62"/>
      <c r="S181" s="62">
        <f t="shared" si="12"/>
        <v>32187</v>
      </c>
      <c r="T181" s="52">
        <f t="shared" si="13"/>
        <v>0</v>
      </c>
      <c r="U181" s="52">
        <f t="shared" si="14"/>
        <v>32187</v>
      </c>
      <c r="V181" s="46">
        <v>32187</v>
      </c>
      <c r="W181" s="52">
        <f t="shared" si="11"/>
        <v>0</v>
      </c>
      <c r="Y181">
        <f t="shared" si="10"/>
        <v>0</v>
      </c>
    </row>
    <row r="182" spans="1:25" hidden="1" x14ac:dyDescent="0.25">
      <c r="A182" s="20"/>
      <c r="B182" s="50" t="s">
        <v>30</v>
      </c>
      <c r="C182" s="51">
        <v>1764</v>
      </c>
      <c r="D182" s="51">
        <v>1826</v>
      </c>
      <c r="E182" s="51">
        <f>D182-C182</f>
        <v>62</v>
      </c>
      <c r="F182" s="51">
        <v>146</v>
      </c>
      <c r="G182" s="62">
        <f>F182*E182</f>
        <v>9052</v>
      </c>
      <c r="H182" s="51">
        <v>369</v>
      </c>
      <c r="I182" s="51">
        <v>371</v>
      </c>
      <c r="J182" s="51">
        <f>I182-H182</f>
        <v>2</v>
      </c>
      <c r="K182" s="51">
        <v>360</v>
      </c>
      <c r="L182" s="62">
        <f>K182*J182</f>
        <v>720</v>
      </c>
      <c r="M182" s="62">
        <v>0</v>
      </c>
      <c r="N182" s="62"/>
      <c r="O182" s="62"/>
      <c r="P182" s="62">
        <v>10000</v>
      </c>
      <c r="Q182" s="62">
        <v>15481</v>
      </c>
      <c r="R182" s="62"/>
      <c r="S182" s="62">
        <f t="shared" si="12"/>
        <v>35253</v>
      </c>
      <c r="T182" s="52">
        <f t="shared" si="13"/>
        <v>0</v>
      </c>
      <c r="U182" s="52">
        <f t="shared" si="14"/>
        <v>35253</v>
      </c>
      <c r="V182" s="46">
        <v>35253</v>
      </c>
      <c r="W182" s="52">
        <f t="shared" si="11"/>
        <v>0</v>
      </c>
      <c r="Y182">
        <f t="shared" si="10"/>
        <v>0</v>
      </c>
    </row>
    <row r="183" spans="1:25" hidden="1" x14ac:dyDescent="0.25">
      <c r="A183" s="20"/>
      <c r="B183" s="50" t="s">
        <v>31</v>
      </c>
      <c r="C183" s="51">
        <f>D182</f>
        <v>1826</v>
      </c>
      <c r="D183" s="51">
        <v>1896</v>
      </c>
      <c r="E183" s="51">
        <f t="shared" ref="E183:E186" si="15">D183-C183</f>
        <v>70</v>
      </c>
      <c r="F183" s="51">
        <v>146</v>
      </c>
      <c r="G183" s="62">
        <f t="shared" ref="G183:G186" si="16">F183*E183</f>
        <v>10220</v>
      </c>
      <c r="H183" s="51">
        <f>I182</f>
        <v>371</v>
      </c>
      <c r="I183" s="51">
        <v>376</v>
      </c>
      <c r="J183" s="51">
        <f t="shared" ref="J183:J186" si="17">I183-H183</f>
        <v>5</v>
      </c>
      <c r="K183" s="51">
        <v>360</v>
      </c>
      <c r="L183" s="62">
        <f t="shared" ref="L183:L186" si="18">K183*J183</f>
        <v>1800</v>
      </c>
      <c r="M183" s="62">
        <v>0</v>
      </c>
      <c r="N183" s="62"/>
      <c r="O183" s="62"/>
      <c r="P183" s="62">
        <v>10000</v>
      </c>
      <c r="Q183" s="62">
        <v>15481</v>
      </c>
      <c r="R183" s="62"/>
      <c r="S183" s="62">
        <f t="shared" si="12"/>
        <v>37501</v>
      </c>
      <c r="T183" s="52">
        <f t="shared" si="13"/>
        <v>0</v>
      </c>
      <c r="U183" s="52">
        <f t="shared" si="14"/>
        <v>37501</v>
      </c>
      <c r="V183" s="62">
        <v>37501</v>
      </c>
      <c r="W183" s="52">
        <f t="shared" si="11"/>
        <v>0</v>
      </c>
    </row>
    <row r="184" spans="1:25" hidden="1" x14ac:dyDescent="0.25">
      <c r="A184" s="20"/>
      <c r="B184" s="50" t="s">
        <v>32</v>
      </c>
      <c r="C184" s="51">
        <f t="shared" ref="C184:C185" si="19">D183</f>
        <v>1896</v>
      </c>
      <c r="D184" s="51">
        <v>1990</v>
      </c>
      <c r="E184" s="51">
        <f t="shared" si="15"/>
        <v>94</v>
      </c>
      <c r="F184" s="51">
        <v>146</v>
      </c>
      <c r="G184" s="62">
        <f t="shared" si="16"/>
        <v>13724</v>
      </c>
      <c r="H184" s="51">
        <f t="shared" ref="H184:H186" si="20">I183</f>
        <v>376</v>
      </c>
      <c r="I184" s="51">
        <v>391</v>
      </c>
      <c r="J184" s="51">
        <f t="shared" si="17"/>
        <v>15</v>
      </c>
      <c r="K184" s="51">
        <v>360</v>
      </c>
      <c r="L184" s="62">
        <f t="shared" si="18"/>
        <v>5400</v>
      </c>
      <c r="M184" s="51">
        <v>0</v>
      </c>
      <c r="N184" s="51"/>
      <c r="O184" s="51"/>
      <c r="P184" s="62">
        <v>10000</v>
      </c>
      <c r="Q184" s="62">
        <v>15481</v>
      </c>
      <c r="R184" s="51"/>
      <c r="S184" s="62">
        <f t="shared" si="12"/>
        <v>44605</v>
      </c>
      <c r="T184" s="52">
        <f t="shared" si="13"/>
        <v>0</v>
      </c>
      <c r="U184" s="52">
        <f t="shared" si="14"/>
        <v>44605</v>
      </c>
      <c r="V184" s="71">
        <v>44605</v>
      </c>
      <c r="W184" s="52">
        <f t="shared" si="11"/>
        <v>0</v>
      </c>
    </row>
    <row r="185" spans="1:25" hidden="1" x14ac:dyDescent="0.25">
      <c r="A185" s="20"/>
      <c r="B185" s="50" t="s">
        <v>33</v>
      </c>
      <c r="C185" s="51">
        <f t="shared" si="19"/>
        <v>1990</v>
      </c>
      <c r="D185" s="51">
        <v>2100</v>
      </c>
      <c r="E185" s="51">
        <f t="shared" si="15"/>
        <v>110</v>
      </c>
      <c r="F185" s="51">
        <v>146</v>
      </c>
      <c r="G185" s="71">
        <f t="shared" si="16"/>
        <v>16060</v>
      </c>
      <c r="H185" s="51">
        <f t="shared" si="20"/>
        <v>391</v>
      </c>
      <c r="I185" s="51">
        <v>444</v>
      </c>
      <c r="J185" s="51">
        <f t="shared" si="17"/>
        <v>53</v>
      </c>
      <c r="K185" s="51">
        <v>360</v>
      </c>
      <c r="L185" s="71">
        <f t="shared" si="18"/>
        <v>19080</v>
      </c>
      <c r="M185" s="51">
        <v>0</v>
      </c>
      <c r="N185" s="51"/>
      <c r="O185" s="71">
        <v>2800</v>
      </c>
      <c r="P185" s="71">
        <v>10000</v>
      </c>
      <c r="Q185" s="71">
        <v>15481</v>
      </c>
      <c r="R185" s="71"/>
      <c r="S185" s="71">
        <f t="shared" si="12"/>
        <v>63421</v>
      </c>
      <c r="T185" s="73">
        <f t="shared" si="13"/>
        <v>0</v>
      </c>
      <c r="U185" s="52">
        <f t="shared" si="14"/>
        <v>63421</v>
      </c>
      <c r="V185" s="71">
        <v>63421</v>
      </c>
      <c r="W185" s="52">
        <f t="shared" si="11"/>
        <v>0</v>
      </c>
    </row>
    <row r="186" spans="1:25" ht="15.75" hidden="1" thickBot="1" x14ac:dyDescent="0.3">
      <c r="A186" s="20"/>
      <c r="B186" s="74" t="s">
        <v>34</v>
      </c>
      <c r="C186" s="75">
        <f>D185</f>
        <v>2100</v>
      </c>
      <c r="D186" s="75">
        <v>2255</v>
      </c>
      <c r="E186" s="75">
        <f t="shared" si="15"/>
        <v>155</v>
      </c>
      <c r="F186" s="75">
        <v>146</v>
      </c>
      <c r="G186" s="76">
        <f t="shared" si="16"/>
        <v>22630</v>
      </c>
      <c r="H186" s="75">
        <f t="shared" si="20"/>
        <v>444</v>
      </c>
      <c r="I186" s="75">
        <v>469</v>
      </c>
      <c r="J186" s="75">
        <f t="shared" si="17"/>
        <v>25</v>
      </c>
      <c r="K186" s="75">
        <v>360</v>
      </c>
      <c r="L186" s="76">
        <f t="shared" si="18"/>
        <v>9000</v>
      </c>
      <c r="M186" s="75">
        <v>0</v>
      </c>
      <c r="N186" s="75"/>
      <c r="O186" s="76"/>
      <c r="P186" s="76">
        <v>10000</v>
      </c>
      <c r="Q186" s="76">
        <v>15481</v>
      </c>
      <c r="R186" s="76"/>
      <c r="S186" s="76">
        <f>G186+L186+M186+N186+O186+P186+Q186+R186</f>
        <v>57111</v>
      </c>
      <c r="T186" s="77">
        <f>W185</f>
        <v>0</v>
      </c>
      <c r="U186" s="24">
        <f>S186+T186</f>
        <v>57111</v>
      </c>
      <c r="V186" s="76">
        <v>57111</v>
      </c>
      <c r="W186" s="24">
        <f>U186-V186</f>
        <v>0</v>
      </c>
    </row>
    <row r="187" spans="1:25" x14ac:dyDescent="0.25">
      <c r="A187">
        <v>2018</v>
      </c>
      <c r="B187" s="47" t="s">
        <v>35</v>
      </c>
      <c r="C187" s="48">
        <f t="shared" ref="C187:C198" si="21">D186</f>
        <v>2255</v>
      </c>
      <c r="D187" s="48">
        <v>2418</v>
      </c>
      <c r="E187" s="48">
        <f t="shared" ref="E187:E198" si="22">D187-C187</f>
        <v>163</v>
      </c>
      <c r="F187" s="48">
        <v>146</v>
      </c>
      <c r="G187" s="70">
        <f t="shared" ref="G187:G198" si="23">F187*E187</f>
        <v>23798</v>
      </c>
      <c r="H187" s="48">
        <f t="shared" ref="H187:H198" si="24">I186</f>
        <v>469</v>
      </c>
      <c r="I187" s="48">
        <v>479</v>
      </c>
      <c r="J187" s="48">
        <f t="shared" ref="J187:J198" si="25">I187-H187</f>
        <v>10</v>
      </c>
      <c r="K187" s="48">
        <v>360</v>
      </c>
      <c r="L187" s="70">
        <f t="shared" ref="L187:L198" si="26">K187*J187</f>
        <v>3600</v>
      </c>
      <c r="M187" s="48">
        <v>0</v>
      </c>
      <c r="N187" s="48"/>
      <c r="O187" s="70">
        <v>4970</v>
      </c>
      <c r="P187" s="70"/>
      <c r="Q187" s="70">
        <v>15832</v>
      </c>
      <c r="R187" s="70"/>
      <c r="S187" s="70">
        <f t="shared" ref="S187:S192" si="27">G187+L187+M187+N187+O187+P187+Q187+R187</f>
        <v>48200</v>
      </c>
      <c r="T187" s="88">
        <f t="shared" ref="T187:T190" si="28">W186</f>
        <v>0</v>
      </c>
      <c r="U187" s="49">
        <f t="shared" ref="U187:U189" si="29">S187+T187</f>
        <v>48200</v>
      </c>
      <c r="V187" s="70"/>
      <c r="W187" s="49">
        <f t="shared" ref="W187:W189" si="30">U187-V187</f>
        <v>48200</v>
      </c>
    </row>
    <row r="188" spans="1:25" x14ac:dyDescent="0.25">
      <c r="B188" s="50" t="s">
        <v>24</v>
      </c>
      <c r="C188" s="51">
        <f t="shared" si="21"/>
        <v>2418</v>
      </c>
      <c r="D188" s="51">
        <v>2532</v>
      </c>
      <c r="E188" s="51">
        <f t="shared" si="22"/>
        <v>114</v>
      </c>
      <c r="F188" s="51">
        <v>146</v>
      </c>
      <c r="G188" s="71">
        <f t="shared" si="23"/>
        <v>16644</v>
      </c>
      <c r="H188" s="51">
        <f t="shared" si="24"/>
        <v>479</v>
      </c>
      <c r="I188" s="51">
        <v>526</v>
      </c>
      <c r="J188" s="51">
        <f t="shared" si="25"/>
        <v>47</v>
      </c>
      <c r="K188" s="51">
        <v>360</v>
      </c>
      <c r="L188" s="71">
        <f t="shared" si="26"/>
        <v>16920</v>
      </c>
      <c r="M188" s="51">
        <v>0</v>
      </c>
      <c r="N188" s="51"/>
      <c r="O188" s="71"/>
      <c r="P188" s="71"/>
      <c r="Q188" s="71">
        <v>15832</v>
      </c>
      <c r="R188" s="71"/>
      <c r="S188" s="71">
        <f t="shared" si="27"/>
        <v>49396</v>
      </c>
      <c r="T188" s="73">
        <f t="shared" si="28"/>
        <v>48200</v>
      </c>
      <c r="U188" s="52">
        <f t="shared" si="29"/>
        <v>97596</v>
      </c>
      <c r="V188" s="71">
        <v>97596</v>
      </c>
      <c r="W188" s="52">
        <f t="shared" si="30"/>
        <v>0</v>
      </c>
    </row>
    <row r="189" spans="1:25" x14ac:dyDescent="0.25">
      <c r="B189" s="50" t="s">
        <v>25</v>
      </c>
      <c r="C189" s="51">
        <f t="shared" si="21"/>
        <v>2532</v>
      </c>
      <c r="D189" s="51">
        <v>2600</v>
      </c>
      <c r="E189" s="51">
        <f t="shared" si="22"/>
        <v>68</v>
      </c>
      <c r="F189" s="51">
        <v>146</v>
      </c>
      <c r="G189" s="71">
        <f t="shared" si="23"/>
        <v>9928</v>
      </c>
      <c r="H189" s="51">
        <f t="shared" si="24"/>
        <v>526</v>
      </c>
      <c r="I189" s="51">
        <v>557</v>
      </c>
      <c r="J189" s="51">
        <f t="shared" si="25"/>
        <v>31</v>
      </c>
      <c r="K189" s="51">
        <v>360</v>
      </c>
      <c r="L189" s="71">
        <f t="shared" si="26"/>
        <v>11160</v>
      </c>
      <c r="M189" s="51">
        <v>0</v>
      </c>
      <c r="N189" s="51"/>
      <c r="O189" s="71"/>
      <c r="P189" s="71"/>
      <c r="Q189" s="71">
        <v>15832</v>
      </c>
      <c r="R189" s="71"/>
      <c r="S189" s="71">
        <f t="shared" si="27"/>
        <v>36920</v>
      </c>
      <c r="T189" s="73">
        <f t="shared" si="28"/>
        <v>0</v>
      </c>
      <c r="U189" s="52">
        <f t="shared" si="29"/>
        <v>36920</v>
      </c>
      <c r="V189" s="71">
        <v>36920</v>
      </c>
      <c r="W189" s="52">
        <f t="shared" si="30"/>
        <v>0</v>
      </c>
    </row>
    <row r="190" spans="1:25" x14ac:dyDescent="0.25">
      <c r="B190" s="50" t="s">
        <v>26</v>
      </c>
      <c r="C190" s="51">
        <f t="shared" si="21"/>
        <v>2600</v>
      </c>
      <c r="D190" s="51">
        <v>2641</v>
      </c>
      <c r="E190" s="51">
        <f t="shared" si="22"/>
        <v>41</v>
      </c>
      <c r="F190" s="51">
        <v>146</v>
      </c>
      <c r="G190" s="71">
        <f t="shared" si="23"/>
        <v>5986</v>
      </c>
      <c r="H190" s="51">
        <f t="shared" si="24"/>
        <v>557</v>
      </c>
      <c r="I190" s="51">
        <v>575</v>
      </c>
      <c r="J190" s="51">
        <f t="shared" si="25"/>
        <v>18</v>
      </c>
      <c r="K190" s="51">
        <v>360</v>
      </c>
      <c r="L190" s="71">
        <f t="shared" si="26"/>
        <v>6480</v>
      </c>
      <c r="M190" s="51">
        <v>0</v>
      </c>
      <c r="N190" s="51"/>
      <c r="O190" s="71">
        <v>42500</v>
      </c>
      <c r="P190" s="71"/>
      <c r="Q190" s="71">
        <v>15832</v>
      </c>
      <c r="R190" s="71"/>
      <c r="S190" s="71">
        <f>G190+L190+M190+N190+O190+P190+Q190+R190</f>
        <v>70798</v>
      </c>
      <c r="T190" s="73">
        <f t="shared" si="28"/>
        <v>0</v>
      </c>
      <c r="U190" s="52">
        <f t="shared" ref="U190:U198" si="31">S190+T190</f>
        <v>70798</v>
      </c>
      <c r="V190" s="71"/>
      <c r="W190" s="52">
        <f t="shared" ref="W190:W198" si="32">U190-V190</f>
        <v>70798</v>
      </c>
    </row>
    <row r="191" spans="1:25" x14ac:dyDescent="0.25">
      <c r="B191" s="50" t="s">
        <v>27</v>
      </c>
      <c r="C191" s="51">
        <f t="shared" si="21"/>
        <v>2641</v>
      </c>
      <c r="D191" s="51">
        <v>2840</v>
      </c>
      <c r="E191" s="51">
        <f t="shared" si="22"/>
        <v>199</v>
      </c>
      <c r="F191" s="51">
        <v>146</v>
      </c>
      <c r="G191" s="71">
        <f t="shared" si="23"/>
        <v>29054</v>
      </c>
      <c r="H191" s="51">
        <f t="shared" si="24"/>
        <v>575</v>
      </c>
      <c r="I191" s="51">
        <v>606</v>
      </c>
      <c r="J191" s="51">
        <f t="shared" si="25"/>
        <v>31</v>
      </c>
      <c r="K191" s="51">
        <v>360</v>
      </c>
      <c r="L191" s="71">
        <f t="shared" si="26"/>
        <v>11160</v>
      </c>
      <c r="M191" s="51">
        <v>0</v>
      </c>
      <c r="N191" s="51"/>
      <c r="O191" s="71"/>
      <c r="P191" s="71"/>
      <c r="Q191" s="71">
        <v>15832</v>
      </c>
      <c r="R191" s="71"/>
      <c r="S191" s="71">
        <f>G191+L191+M191+N191+O191+P191+Q191+R191</f>
        <v>56046</v>
      </c>
      <c r="T191" s="73">
        <f t="shared" ref="T191:T198" si="33">W190</f>
        <v>70798</v>
      </c>
      <c r="U191" s="52">
        <f t="shared" si="31"/>
        <v>126844</v>
      </c>
      <c r="V191" s="71"/>
      <c r="W191" s="52">
        <f t="shared" si="32"/>
        <v>126844</v>
      </c>
    </row>
    <row r="192" spans="1:25" x14ac:dyDescent="0.25">
      <c r="B192" s="50" t="s">
        <v>28</v>
      </c>
      <c r="C192" s="51">
        <f t="shared" si="21"/>
        <v>2840</v>
      </c>
      <c r="D192" s="51">
        <v>2953</v>
      </c>
      <c r="E192" s="51">
        <f t="shared" si="22"/>
        <v>113</v>
      </c>
      <c r="F192" s="51">
        <v>146</v>
      </c>
      <c r="G192" s="71">
        <f t="shared" si="23"/>
        <v>16498</v>
      </c>
      <c r="H192" s="51">
        <f t="shared" si="24"/>
        <v>606</v>
      </c>
      <c r="I192" s="51">
        <v>608</v>
      </c>
      <c r="J192" s="51">
        <f t="shared" si="25"/>
        <v>2</v>
      </c>
      <c r="K192" s="51">
        <v>360</v>
      </c>
      <c r="L192" s="71">
        <f t="shared" si="26"/>
        <v>720</v>
      </c>
      <c r="M192" s="51">
        <v>0</v>
      </c>
      <c r="N192" s="51"/>
      <c r="O192" s="71">
        <v>104167</v>
      </c>
      <c r="P192" s="71"/>
      <c r="Q192" s="71">
        <v>15832</v>
      </c>
      <c r="R192" s="71"/>
      <c r="S192" s="71">
        <f t="shared" si="27"/>
        <v>137217</v>
      </c>
      <c r="T192" s="73">
        <f t="shared" si="33"/>
        <v>126844</v>
      </c>
      <c r="U192" s="52">
        <f t="shared" si="31"/>
        <v>264061</v>
      </c>
      <c r="V192" s="71">
        <v>265000</v>
      </c>
      <c r="W192" s="52">
        <f>U192-V192</f>
        <v>-939</v>
      </c>
    </row>
    <row r="193" spans="1:23" x14ac:dyDescent="0.25">
      <c r="B193" s="50" t="s">
        <v>29</v>
      </c>
      <c r="C193" s="51">
        <f t="shared" si="21"/>
        <v>2953</v>
      </c>
      <c r="D193" s="51">
        <v>3010</v>
      </c>
      <c r="E193" s="51">
        <f t="shared" si="22"/>
        <v>57</v>
      </c>
      <c r="F193" s="51">
        <v>146</v>
      </c>
      <c r="G193" s="71">
        <f t="shared" si="23"/>
        <v>8322</v>
      </c>
      <c r="H193" s="51">
        <f t="shared" si="24"/>
        <v>608</v>
      </c>
      <c r="I193" s="51">
        <v>609</v>
      </c>
      <c r="J193" s="51">
        <f t="shared" si="25"/>
        <v>1</v>
      </c>
      <c r="K193" s="51">
        <v>360</v>
      </c>
      <c r="L193" s="71">
        <f t="shared" si="26"/>
        <v>360</v>
      </c>
      <c r="M193" s="51">
        <v>0</v>
      </c>
      <c r="N193" s="51"/>
      <c r="O193" s="71">
        <v>33430</v>
      </c>
      <c r="P193" s="71">
        <v>22222</v>
      </c>
      <c r="Q193" s="71">
        <v>15832</v>
      </c>
      <c r="R193" s="71"/>
      <c r="S193" s="71">
        <f>G193+L193+M193+N193+O193+P193+Q193+R193</f>
        <v>80166</v>
      </c>
      <c r="T193" s="73">
        <f>W192</f>
        <v>-939</v>
      </c>
      <c r="U193" s="52">
        <f>S193+T193</f>
        <v>79227</v>
      </c>
      <c r="V193" s="71">
        <v>79227</v>
      </c>
      <c r="W193" s="52">
        <f>U193-V193</f>
        <v>0</v>
      </c>
    </row>
    <row r="194" spans="1:23" x14ac:dyDescent="0.25">
      <c r="B194" s="50" t="s">
        <v>30</v>
      </c>
      <c r="C194" s="51">
        <f t="shared" si="21"/>
        <v>3010</v>
      </c>
      <c r="D194" s="51">
        <v>3087</v>
      </c>
      <c r="E194" s="51">
        <f t="shared" si="22"/>
        <v>77</v>
      </c>
      <c r="F194" s="51">
        <v>146</v>
      </c>
      <c r="G194" s="71">
        <f t="shared" si="23"/>
        <v>11242</v>
      </c>
      <c r="H194" s="51">
        <f t="shared" si="24"/>
        <v>609</v>
      </c>
      <c r="I194" s="51">
        <v>613</v>
      </c>
      <c r="J194" s="51">
        <f t="shared" si="25"/>
        <v>4</v>
      </c>
      <c r="K194" s="51">
        <v>360</v>
      </c>
      <c r="L194" s="71">
        <f t="shared" si="26"/>
        <v>1440</v>
      </c>
      <c r="M194" s="51">
        <v>0</v>
      </c>
      <c r="N194" s="51"/>
      <c r="O194" s="71"/>
      <c r="P194" s="71"/>
      <c r="Q194" s="71">
        <v>15832</v>
      </c>
      <c r="R194" s="71"/>
      <c r="S194" s="71">
        <f t="shared" ref="S194:S198" si="34">G194+L194+M194+N194+O194+P194+Q194+R194</f>
        <v>28514</v>
      </c>
      <c r="T194" s="73">
        <f t="shared" si="33"/>
        <v>0</v>
      </c>
      <c r="U194" s="52">
        <f t="shared" si="31"/>
        <v>28514</v>
      </c>
      <c r="V194" s="71">
        <v>28600</v>
      </c>
      <c r="W194" s="52">
        <f t="shared" si="32"/>
        <v>-86</v>
      </c>
    </row>
    <row r="195" spans="1:23" x14ac:dyDescent="0.25">
      <c r="B195" s="50" t="s">
        <v>31</v>
      </c>
      <c r="C195" s="51">
        <f t="shared" si="21"/>
        <v>3087</v>
      </c>
      <c r="D195" s="51">
        <v>3248</v>
      </c>
      <c r="E195" s="51">
        <f t="shared" si="22"/>
        <v>161</v>
      </c>
      <c r="F195" s="51">
        <v>146</v>
      </c>
      <c r="G195" s="71">
        <f t="shared" si="23"/>
        <v>23506</v>
      </c>
      <c r="H195" s="51">
        <f t="shared" si="24"/>
        <v>613</v>
      </c>
      <c r="I195" s="51">
        <v>634</v>
      </c>
      <c r="J195" s="51">
        <f t="shared" si="25"/>
        <v>21</v>
      </c>
      <c r="K195" s="51">
        <v>360</v>
      </c>
      <c r="L195" s="71">
        <f t="shared" si="26"/>
        <v>7560</v>
      </c>
      <c r="M195" s="51">
        <v>0</v>
      </c>
      <c r="N195" s="51"/>
      <c r="O195" s="71"/>
      <c r="P195" s="71"/>
      <c r="Q195" s="71">
        <v>15832</v>
      </c>
      <c r="R195" s="71"/>
      <c r="S195" s="71">
        <f t="shared" si="34"/>
        <v>46898</v>
      </c>
      <c r="T195" s="73">
        <f t="shared" si="33"/>
        <v>-86</v>
      </c>
      <c r="U195" s="52">
        <f t="shared" si="31"/>
        <v>46812</v>
      </c>
      <c r="V195" s="71">
        <v>46812</v>
      </c>
      <c r="W195" s="52">
        <f t="shared" si="32"/>
        <v>0</v>
      </c>
    </row>
    <row r="196" spans="1:23" x14ac:dyDescent="0.25">
      <c r="B196" s="50" t="s">
        <v>32</v>
      </c>
      <c r="C196" s="51">
        <f t="shared" si="21"/>
        <v>3248</v>
      </c>
      <c r="D196" s="51">
        <v>3457</v>
      </c>
      <c r="E196" s="51">
        <f t="shared" si="22"/>
        <v>209</v>
      </c>
      <c r="F196" s="51">
        <v>146</v>
      </c>
      <c r="G196" s="71">
        <f t="shared" si="23"/>
        <v>30514</v>
      </c>
      <c r="H196" s="51">
        <f t="shared" si="24"/>
        <v>634</v>
      </c>
      <c r="I196" s="51">
        <v>666</v>
      </c>
      <c r="J196" s="51">
        <f t="shared" si="25"/>
        <v>32</v>
      </c>
      <c r="K196" s="51">
        <v>1230</v>
      </c>
      <c r="L196" s="71">
        <f t="shared" si="26"/>
        <v>39360</v>
      </c>
      <c r="M196" s="51">
        <v>0</v>
      </c>
      <c r="N196" s="51"/>
      <c r="O196" s="71"/>
      <c r="P196" s="71"/>
      <c r="Q196" s="71">
        <v>15832</v>
      </c>
      <c r="R196" s="71"/>
      <c r="S196" s="71">
        <f t="shared" si="34"/>
        <v>85706</v>
      </c>
      <c r="T196" s="73">
        <f t="shared" si="33"/>
        <v>0</v>
      </c>
      <c r="U196" s="52">
        <f t="shared" si="31"/>
        <v>85706</v>
      </c>
      <c r="V196" s="71">
        <v>86000</v>
      </c>
      <c r="W196" s="52">
        <f t="shared" si="32"/>
        <v>-294</v>
      </c>
    </row>
    <row r="197" spans="1:23" x14ac:dyDescent="0.25">
      <c r="B197" s="50" t="s">
        <v>33</v>
      </c>
      <c r="C197" s="51">
        <f t="shared" si="21"/>
        <v>3457</v>
      </c>
      <c r="D197" s="51">
        <v>3599</v>
      </c>
      <c r="E197" s="51">
        <f t="shared" si="22"/>
        <v>142</v>
      </c>
      <c r="F197" s="51">
        <v>146</v>
      </c>
      <c r="G197" s="71">
        <f t="shared" si="23"/>
        <v>20732</v>
      </c>
      <c r="H197" s="51">
        <f t="shared" si="24"/>
        <v>666</v>
      </c>
      <c r="I197" s="51">
        <v>710</v>
      </c>
      <c r="J197" s="51">
        <f t="shared" si="25"/>
        <v>44</v>
      </c>
      <c r="K197" s="51">
        <v>1230</v>
      </c>
      <c r="L197" s="71">
        <f t="shared" si="26"/>
        <v>54120</v>
      </c>
      <c r="M197" s="51">
        <v>0</v>
      </c>
      <c r="N197" s="51"/>
      <c r="O197" s="71"/>
      <c r="P197" s="71"/>
      <c r="Q197" s="71"/>
      <c r="R197" s="71"/>
      <c r="S197" s="71">
        <f t="shared" si="34"/>
        <v>74852</v>
      </c>
      <c r="T197" s="73">
        <f t="shared" si="33"/>
        <v>-294</v>
      </c>
      <c r="U197" s="52">
        <f t="shared" si="31"/>
        <v>74558</v>
      </c>
      <c r="V197" s="71">
        <v>74558</v>
      </c>
      <c r="W197" s="52">
        <f t="shared" si="32"/>
        <v>0</v>
      </c>
    </row>
    <row r="198" spans="1:23" ht="15.75" thickBot="1" x14ac:dyDescent="0.3">
      <c r="B198" s="74" t="s">
        <v>34</v>
      </c>
      <c r="C198" s="75">
        <f t="shared" si="21"/>
        <v>3599</v>
      </c>
      <c r="D198" s="75">
        <v>3716</v>
      </c>
      <c r="E198" s="75">
        <f t="shared" si="22"/>
        <v>117</v>
      </c>
      <c r="F198" s="75">
        <v>146</v>
      </c>
      <c r="G198" s="76">
        <f t="shared" si="23"/>
        <v>17082</v>
      </c>
      <c r="H198" s="75">
        <f t="shared" si="24"/>
        <v>710</v>
      </c>
      <c r="I198" s="75">
        <v>810</v>
      </c>
      <c r="J198" s="75">
        <f t="shared" si="25"/>
        <v>100</v>
      </c>
      <c r="K198" s="75">
        <v>1230</v>
      </c>
      <c r="L198" s="76">
        <f t="shared" si="26"/>
        <v>123000</v>
      </c>
      <c r="M198" s="75">
        <v>0</v>
      </c>
      <c r="N198" s="75"/>
      <c r="O198" s="76"/>
      <c r="P198" s="76"/>
      <c r="Q198" s="76"/>
      <c r="R198" s="76"/>
      <c r="S198" s="76">
        <f t="shared" si="34"/>
        <v>140082</v>
      </c>
      <c r="T198" s="77">
        <f t="shared" si="33"/>
        <v>0</v>
      </c>
      <c r="U198" s="24">
        <f t="shared" si="31"/>
        <v>140082</v>
      </c>
      <c r="V198" s="76">
        <v>140085</v>
      </c>
      <c r="W198" s="24">
        <f t="shared" si="32"/>
        <v>-3</v>
      </c>
    </row>
    <row r="199" spans="1:23" x14ac:dyDescent="0.25">
      <c r="A199">
        <v>2019</v>
      </c>
      <c r="B199" s="47" t="s">
        <v>35</v>
      </c>
      <c r="C199" s="48">
        <f t="shared" ref="C199:C210" si="35">D198</f>
        <v>3716</v>
      </c>
      <c r="D199" s="48">
        <v>3794</v>
      </c>
      <c r="E199" s="48">
        <f t="shared" ref="E199:E210" si="36">D199-C199</f>
        <v>78</v>
      </c>
      <c r="F199" s="48">
        <v>150</v>
      </c>
      <c r="G199" s="70">
        <f t="shared" ref="G199:G210" si="37">F199*E199</f>
        <v>11700</v>
      </c>
      <c r="H199" s="48">
        <f t="shared" ref="H199:H210" si="38">I198</f>
        <v>810</v>
      </c>
      <c r="I199" s="48">
        <v>879</v>
      </c>
      <c r="J199" s="48">
        <f t="shared" ref="J199:J210" si="39">I199-H199</f>
        <v>69</v>
      </c>
      <c r="K199" s="48">
        <v>1230</v>
      </c>
      <c r="L199" s="70">
        <f t="shared" ref="L199:L210" si="40">K199*J199</f>
        <v>84870</v>
      </c>
      <c r="M199" s="48">
        <v>1</v>
      </c>
      <c r="N199" s="48"/>
      <c r="O199" s="70"/>
      <c r="P199" s="70"/>
      <c r="Q199" s="70"/>
      <c r="R199" s="70"/>
      <c r="S199" s="70">
        <f t="shared" ref="S199:S210" si="41">G199+L199+M199+N199+O199+P199+Q199+R199</f>
        <v>96571</v>
      </c>
      <c r="T199" s="88">
        <f t="shared" ref="T199:T210" si="42">W198</f>
        <v>-3</v>
      </c>
      <c r="U199" s="49">
        <f t="shared" ref="U199:U210" si="43">S199+T199</f>
        <v>96568</v>
      </c>
      <c r="V199" s="70">
        <v>96568</v>
      </c>
      <c r="W199" s="49">
        <f t="shared" ref="W199:W210" si="44">U199-V199</f>
        <v>0</v>
      </c>
    </row>
    <row r="200" spans="1:23" x14ac:dyDescent="0.25">
      <c r="B200" s="50" t="s">
        <v>24</v>
      </c>
      <c r="C200" s="51">
        <f t="shared" si="35"/>
        <v>3794</v>
      </c>
      <c r="D200" s="51">
        <v>3810</v>
      </c>
      <c r="E200" s="51">
        <f t="shared" si="36"/>
        <v>16</v>
      </c>
      <c r="F200" s="51">
        <v>150</v>
      </c>
      <c r="G200" s="71">
        <f t="shared" si="37"/>
        <v>2400</v>
      </c>
      <c r="H200" s="51">
        <f t="shared" si="38"/>
        <v>879</v>
      </c>
      <c r="I200" s="51"/>
      <c r="J200" s="51"/>
      <c r="K200" s="51">
        <v>1230</v>
      </c>
      <c r="L200" s="71">
        <f t="shared" si="40"/>
        <v>0</v>
      </c>
      <c r="M200" s="51"/>
      <c r="N200" s="51"/>
      <c r="O200" s="71"/>
      <c r="P200" s="71"/>
      <c r="Q200" s="71"/>
      <c r="R200" s="71"/>
      <c r="S200" s="71">
        <f t="shared" si="41"/>
        <v>2400</v>
      </c>
      <c r="T200" s="73">
        <f t="shared" si="42"/>
        <v>0</v>
      </c>
      <c r="U200" s="52">
        <f t="shared" si="43"/>
        <v>2400</v>
      </c>
      <c r="V200" s="71">
        <v>2402</v>
      </c>
      <c r="W200" s="52">
        <f t="shared" si="44"/>
        <v>-2</v>
      </c>
    </row>
    <row r="201" spans="1:23" x14ac:dyDescent="0.25">
      <c r="B201" s="150" t="s">
        <v>25</v>
      </c>
      <c r="C201" s="151">
        <f t="shared" si="35"/>
        <v>3810</v>
      </c>
      <c r="D201" s="151">
        <v>3831</v>
      </c>
      <c r="E201" s="151">
        <f t="shared" si="36"/>
        <v>21</v>
      </c>
      <c r="F201" s="151">
        <v>150</v>
      </c>
      <c r="G201" s="152">
        <f t="shared" si="37"/>
        <v>3150</v>
      </c>
      <c r="H201" s="151">
        <f t="shared" si="38"/>
        <v>0</v>
      </c>
      <c r="I201" s="151"/>
      <c r="J201" s="151">
        <f t="shared" si="39"/>
        <v>0</v>
      </c>
      <c r="K201" s="151">
        <v>1230</v>
      </c>
      <c r="L201" s="152">
        <f t="shared" si="40"/>
        <v>0</v>
      </c>
      <c r="M201" s="151"/>
      <c r="N201" s="151"/>
      <c r="O201" s="152"/>
      <c r="P201" s="152"/>
      <c r="Q201" s="152"/>
      <c r="R201" s="152"/>
      <c r="S201" s="152">
        <f t="shared" si="41"/>
        <v>3150</v>
      </c>
      <c r="T201" s="154">
        <f t="shared" si="42"/>
        <v>-2</v>
      </c>
      <c r="U201" s="155">
        <f t="shared" si="43"/>
        <v>3148</v>
      </c>
      <c r="V201" s="152">
        <v>3148</v>
      </c>
      <c r="W201" s="155">
        <f t="shared" si="44"/>
        <v>0</v>
      </c>
    </row>
    <row r="202" spans="1:23" ht="15.75" thickBot="1" x14ac:dyDescent="0.3">
      <c r="B202" s="143" t="s">
        <v>26</v>
      </c>
      <c r="C202" s="144">
        <f t="shared" si="35"/>
        <v>3831</v>
      </c>
      <c r="D202" s="144">
        <v>3885</v>
      </c>
      <c r="E202" s="144">
        <f t="shared" si="36"/>
        <v>54</v>
      </c>
      <c r="F202" s="144">
        <v>150</v>
      </c>
      <c r="G202" s="145">
        <f t="shared" si="37"/>
        <v>8100</v>
      </c>
      <c r="H202" s="144">
        <f t="shared" si="38"/>
        <v>0</v>
      </c>
      <c r="I202" s="144"/>
      <c r="J202" s="144">
        <f t="shared" si="39"/>
        <v>0</v>
      </c>
      <c r="K202" s="144">
        <v>1230</v>
      </c>
      <c r="L202" s="145">
        <f t="shared" si="40"/>
        <v>0</v>
      </c>
      <c r="M202" s="144"/>
      <c r="N202" s="144"/>
      <c r="O202" s="145"/>
      <c r="P202" s="145"/>
      <c r="Q202" s="145"/>
      <c r="R202" s="145"/>
      <c r="S202" s="145">
        <f t="shared" si="41"/>
        <v>8100</v>
      </c>
      <c r="T202" s="147">
        <f t="shared" si="42"/>
        <v>0</v>
      </c>
      <c r="U202" s="148">
        <f t="shared" si="43"/>
        <v>8100</v>
      </c>
      <c r="V202" s="145">
        <v>8100</v>
      </c>
      <c r="W202" s="148">
        <f t="shared" si="44"/>
        <v>0</v>
      </c>
    </row>
    <row r="203" spans="1:23" ht="15.75" thickBot="1" x14ac:dyDescent="0.3">
      <c r="B203" s="41" t="s">
        <v>27</v>
      </c>
      <c r="C203" s="42">
        <f t="shared" si="35"/>
        <v>3885</v>
      </c>
      <c r="D203" s="42">
        <v>3907</v>
      </c>
      <c r="E203" s="42">
        <f t="shared" si="36"/>
        <v>22</v>
      </c>
      <c r="F203" s="42">
        <v>150</v>
      </c>
      <c r="G203" s="67">
        <f t="shared" si="37"/>
        <v>3300</v>
      </c>
      <c r="H203" s="42">
        <f t="shared" si="38"/>
        <v>0</v>
      </c>
      <c r="I203" s="42"/>
      <c r="J203" s="42">
        <f t="shared" si="39"/>
        <v>0</v>
      </c>
      <c r="K203" s="42">
        <v>1230</v>
      </c>
      <c r="L203" s="67">
        <f t="shared" si="40"/>
        <v>0</v>
      </c>
      <c r="M203" s="42"/>
      <c r="N203" s="42"/>
      <c r="O203" s="67"/>
      <c r="P203" s="67"/>
      <c r="Q203" s="67"/>
      <c r="R203" s="67"/>
      <c r="S203" s="67">
        <f t="shared" si="41"/>
        <v>3300</v>
      </c>
      <c r="T203" s="68">
        <f t="shared" si="42"/>
        <v>0</v>
      </c>
      <c r="U203" s="43">
        <f t="shared" si="43"/>
        <v>3300</v>
      </c>
      <c r="V203" s="67"/>
      <c r="W203" s="43">
        <f t="shared" si="44"/>
        <v>3300</v>
      </c>
    </row>
    <row r="204" spans="1:23" ht="15.75" hidden="1" thickBot="1" x14ac:dyDescent="0.3">
      <c r="B204" s="41" t="s">
        <v>28</v>
      </c>
      <c r="C204" s="42">
        <f t="shared" si="35"/>
        <v>3907</v>
      </c>
      <c r="D204" s="42"/>
      <c r="E204" s="42">
        <f t="shared" si="36"/>
        <v>-3907</v>
      </c>
      <c r="F204" s="42">
        <v>150</v>
      </c>
      <c r="G204" s="67">
        <f t="shared" si="37"/>
        <v>-586050</v>
      </c>
      <c r="H204" s="42">
        <f t="shared" si="38"/>
        <v>0</v>
      </c>
      <c r="I204" s="42"/>
      <c r="J204" s="42">
        <f t="shared" si="39"/>
        <v>0</v>
      </c>
      <c r="K204" s="42">
        <v>1230</v>
      </c>
      <c r="L204" s="67">
        <f t="shared" si="40"/>
        <v>0</v>
      </c>
      <c r="M204" s="42"/>
      <c r="N204" s="42"/>
      <c r="O204" s="67"/>
      <c r="P204" s="67"/>
      <c r="Q204" s="67"/>
      <c r="R204" s="67"/>
      <c r="S204" s="67">
        <f t="shared" si="41"/>
        <v>-586050</v>
      </c>
      <c r="T204" s="68">
        <f t="shared" si="42"/>
        <v>3300</v>
      </c>
      <c r="U204" s="43">
        <f t="shared" si="43"/>
        <v>-582750</v>
      </c>
      <c r="V204" s="67"/>
      <c r="W204" s="43">
        <f t="shared" si="44"/>
        <v>-582750</v>
      </c>
    </row>
    <row r="205" spans="1:23" ht="15.75" hidden="1" thickBot="1" x14ac:dyDescent="0.3">
      <c r="B205" s="41" t="s">
        <v>29</v>
      </c>
      <c r="C205" s="42">
        <f t="shared" si="35"/>
        <v>0</v>
      </c>
      <c r="D205" s="42"/>
      <c r="E205" s="42">
        <f t="shared" si="36"/>
        <v>0</v>
      </c>
      <c r="F205" s="42">
        <v>150</v>
      </c>
      <c r="G205" s="67">
        <f t="shared" si="37"/>
        <v>0</v>
      </c>
      <c r="H205" s="42">
        <f t="shared" si="38"/>
        <v>0</v>
      </c>
      <c r="I205" s="42"/>
      <c r="J205" s="42">
        <f t="shared" si="39"/>
        <v>0</v>
      </c>
      <c r="K205" s="42">
        <v>1230</v>
      </c>
      <c r="L205" s="67">
        <f t="shared" si="40"/>
        <v>0</v>
      </c>
      <c r="M205" s="42"/>
      <c r="N205" s="42"/>
      <c r="O205" s="67"/>
      <c r="P205" s="67"/>
      <c r="Q205" s="67"/>
      <c r="R205" s="67"/>
      <c r="S205" s="67">
        <f t="shared" si="41"/>
        <v>0</v>
      </c>
      <c r="T205" s="68">
        <f t="shared" si="42"/>
        <v>-582750</v>
      </c>
      <c r="U205" s="43">
        <f t="shared" si="43"/>
        <v>-582750</v>
      </c>
      <c r="V205" s="67"/>
      <c r="W205" s="43">
        <f t="shared" si="44"/>
        <v>-582750</v>
      </c>
    </row>
    <row r="206" spans="1:23" ht="15.75" hidden="1" thickBot="1" x14ac:dyDescent="0.3">
      <c r="B206" s="41" t="s">
        <v>30</v>
      </c>
      <c r="C206" s="42">
        <f t="shared" si="35"/>
        <v>0</v>
      </c>
      <c r="D206" s="42"/>
      <c r="E206" s="42">
        <f t="shared" si="36"/>
        <v>0</v>
      </c>
      <c r="F206" s="42">
        <v>150</v>
      </c>
      <c r="G206" s="67">
        <f t="shared" si="37"/>
        <v>0</v>
      </c>
      <c r="H206" s="42">
        <f t="shared" si="38"/>
        <v>0</v>
      </c>
      <c r="I206" s="42"/>
      <c r="J206" s="42">
        <f t="shared" si="39"/>
        <v>0</v>
      </c>
      <c r="K206" s="42">
        <v>1230</v>
      </c>
      <c r="L206" s="67">
        <f t="shared" si="40"/>
        <v>0</v>
      </c>
      <c r="M206" s="42"/>
      <c r="N206" s="42"/>
      <c r="O206" s="67"/>
      <c r="P206" s="67"/>
      <c r="Q206" s="67"/>
      <c r="R206" s="67"/>
      <c r="S206" s="67">
        <f t="shared" si="41"/>
        <v>0</v>
      </c>
      <c r="T206" s="68">
        <f t="shared" si="42"/>
        <v>-582750</v>
      </c>
      <c r="U206" s="43">
        <f t="shared" si="43"/>
        <v>-582750</v>
      </c>
      <c r="V206" s="67"/>
      <c r="W206" s="43">
        <f t="shared" si="44"/>
        <v>-582750</v>
      </c>
    </row>
    <row r="207" spans="1:23" ht="15.75" hidden="1" thickBot="1" x14ac:dyDescent="0.3">
      <c r="B207" s="41" t="s">
        <v>31</v>
      </c>
      <c r="C207" s="42">
        <f t="shared" si="35"/>
        <v>0</v>
      </c>
      <c r="D207" s="42"/>
      <c r="E207" s="42">
        <f t="shared" si="36"/>
        <v>0</v>
      </c>
      <c r="F207" s="42">
        <v>150</v>
      </c>
      <c r="G207" s="67">
        <f t="shared" si="37"/>
        <v>0</v>
      </c>
      <c r="H207" s="42">
        <f t="shared" si="38"/>
        <v>0</v>
      </c>
      <c r="I207" s="42"/>
      <c r="J207" s="42">
        <f t="shared" si="39"/>
        <v>0</v>
      </c>
      <c r="K207" s="42">
        <v>1230</v>
      </c>
      <c r="L207" s="67">
        <f t="shared" si="40"/>
        <v>0</v>
      </c>
      <c r="M207" s="42"/>
      <c r="N207" s="42"/>
      <c r="O207" s="67"/>
      <c r="P207" s="67"/>
      <c r="Q207" s="67"/>
      <c r="R207" s="67"/>
      <c r="S207" s="67">
        <f t="shared" si="41"/>
        <v>0</v>
      </c>
      <c r="T207" s="68">
        <f t="shared" si="42"/>
        <v>-582750</v>
      </c>
      <c r="U207" s="43">
        <f t="shared" si="43"/>
        <v>-582750</v>
      </c>
      <c r="V207" s="67"/>
      <c r="W207" s="43">
        <f t="shared" si="44"/>
        <v>-582750</v>
      </c>
    </row>
    <row r="208" spans="1:23" ht="15.75" hidden="1" thickBot="1" x14ac:dyDescent="0.3">
      <c r="B208" s="41" t="s">
        <v>32</v>
      </c>
      <c r="C208" s="42">
        <f t="shared" si="35"/>
        <v>0</v>
      </c>
      <c r="D208" s="42"/>
      <c r="E208" s="42">
        <f t="shared" si="36"/>
        <v>0</v>
      </c>
      <c r="F208" s="42">
        <v>150</v>
      </c>
      <c r="G208" s="67">
        <f t="shared" si="37"/>
        <v>0</v>
      </c>
      <c r="H208" s="42">
        <f t="shared" si="38"/>
        <v>0</v>
      </c>
      <c r="I208" s="42"/>
      <c r="J208" s="42">
        <f t="shared" si="39"/>
        <v>0</v>
      </c>
      <c r="K208" s="42">
        <v>1230</v>
      </c>
      <c r="L208" s="67">
        <f t="shared" si="40"/>
        <v>0</v>
      </c>
      <c r="M208" s="42"/>
      <c r="N208" s="42"/>
      <c r="O208" s="67"/>
      <c r="P208" s="67"/>
      <c r="Q208" s="67"/>
      <c r="R208" s="67"/>
      <c r="S208" s="67">
        <f t="shared" si="41"/>
        <v>0</v>
      </c>
      <c r="T208" s="68">
        <f t="shared" si="42"/>
        <v>-582750</v>
      </c>
      <c r="U208" s="43">
        <f t="shared" si="43"/>
        <v>-582750</v>
      </c>
      <c r="V208" s="67"/>
      <c r="W208" s="43">
        <f t="shared" si="44"/>
        <v>-582750</v>
      </c>
    </row>
    <row r="209" spans="2:23" ht="15.75" hidden="1" thickBot="1" x14ac:dyDescent="0.3">
      <c r="B209" s="41" t="s">
        <v>33</v>
      </c>
      <c r="C209" s="42">
        <f t="shared" si="35"/>
        <v>0</v>
      </c>
      <c r="D209" s="42"/>
      <c r="E209" s="42">
        <f t="shared" si="36"/>
        <v>0</v>
      </c>
      <c r="F209" s="42">
        <v>150</v>
      </c>
      <c r="G209" s="67">
        <f t="shared" si="37"/>
        <v>0</v>
      </c>
      <c r="H209" s="42">
        <f t="shared" si="38"/>
        <v>0</v>
      </c>
      <c r="I209" s="42"/>
      <c r="J209" s="42">
        <f t="shared" si="39"/>
        <v>0</v>
      </c>
      <c r="K209" s="42">
        <v>1230</v>
      </c>
      <c r="L209" s="67">
        <f t="shared" si="40"/>
        <v>0</v>
      </c>
      <c r="M209" s="42"/>
      <c r="N209" s="42"/>
      <c r="O209" s="67"/>
      <c r="P209" s="67"/>
      <c r="Q209" s="67"/>
      <c r="R209" s="67"/>
      <c r="S209" s="67">
        <f t="shared" si="41"/>
        <v>0</v>
      </c>
      <c r="T209" s="68">
        <f t="shared" si="42"/>
        <v>-582750</v>
      </c>
      <c r="U209" s="43">
        <f t="shared" si="43"/>
        <v>-582750</v>
      </c>
      <c r="V209" s="67"/>
      <c r="W209" s="43">
        <f t="shared" si="44"/>
        <v>-582750</v>
      </c>
    </row>
    <row r="210" spans="2:23" ht="15.75" hidden="1" thickBot="1" x14ac:dyDescent="0.3">
      <c r="B210" s="41" t="s">
        <v>34</v>
      </c>
      <c r="C210" s="42">
        <f t="shared" si="35"/>
        <v>0</v>
      </c>
      <c r="D210" s="42"/>
      <c r="E210" s="42">
        <f t="shared" si="36"/>
        <v>0</v>
      </c>
      <c r="F210" s="42">
        <v>150</v>
      </c>
      <c r="G210" s="67">
        <f t="shared" si="37"/>
        <v>0</v>
      </c>
      <c r="H210" s="42">
        <f t="shared" si="38"/>
        <v>0</v>
      </c>
      <c r="I210" s="42"/>
      <c r="J210" s="42">
        <f t="shared" si="39"/>
        <v>0</v>
      </c>
      <c r="K210" s="42">
        <v>1230</v>
      </c>
      <c r="L210" s="67">
        <f t="shared" si="40"/>
        <v>0</v>
      </c>
      <c r="M210" s="42"/>
      <c r="N210" s="42"/>
      <c r="O210" s="67"/>
      <c r="P210" s="67"/>
      <c r="Q210" s="67"/>
      <c r="R210" s="67"/>
      <c r="S210" s="67">
        <f t="shared" si="41"/>
        <v>0</v>
      </c>
      <c r="T210" s="68">
        <f t="shared" si="42"/>
        <v>-582750</v>
      </c>
      <c r="U210" s="43">
        <f t="shared" si="43"/>
        <v>-582750</v>
      </c>
      <c r="V210" s="67"/>
      <c r="W210" s="43">
        <f t="shared" si="44"/>
        <v>-582750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210">
    <cfRule type="cellIs" dxfId="5" priority="2" operator="greaterThan">
      <formula>100</formula>
    </cfRule>
  </conditionalFormatting>
  <conditionalFormatting sqref="V7:V192">
    <cfRule type="cellIs" dxfId="4" priority="1" operator="lessThan">
      <formula>1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Y210"/>
  <sheetViews>
    <sheetView topLeftCell="A4" zoomScaleNormal="100" workbookViewId="0">
      <selection activeCell="W212" sqref="W212"/>
    </sheetView>
  </sheetViews>
  <sheetFormatPr baseColWidth="10" defaultRowHeight="15" x14ac:dyDescent="0.25"/>
  <cols>
    <col min="1" max="1" width="8.140625" customWidth="1"/>
    <col min="6" max="6" width="9" customWidth="1"/>
    <col min="7" max="7" width="11.28515625" customWidth="1"/>
    <col min="8" max="14" width="11.42578125" hidden="1" customWidth="1"/>
    <col min="15" max="15" width="11.28515625" hidden="1" customWidth="1"/>
    <col min="16" max="16" width="11.42578125" hidden="1" customWidth="1"/>
    <col min="17" max="17" width="11.140625" hidden="1" customWidth="1"/>
    <col min="18" max="18" width="11.42578125" hidden="1" customWidth="1"/>
    <col min="19" max="19" width="14.42578125" bestFit="1" customWidth="1"/>
    <col min="20" max="20" width="12.7109375" customWidth="1"/>
    <col min="21" max="21" width="16.140625" customWidth="1"/>
    <col min="22" max="22" width="12.85546875" bestFit="1" customWidth="1"/>
    <col min="23" max="24" width="12.85546875" customWidth="1"/>
    <col min="25" max="25" width="0" hidden="1" customWidth="1"/>
  </cols>
  <sheetData>
    <row r="1" spans="1:25" x14ac:dyDescent="0.25">
      <c r="B1" s="169" t="s">
        <v>37</v>
      </c>
      <c r="C1" s="169"/>
      <c r="D1" s="170"/>
      <c r="E1" s="170"/>
      <c r="F1" s="170"/>
      <c r="G1" s="2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x14ac:dyDescent="0.25">
      <c r="B2" s="169" t="s">
        <v>38</v>
      </c>
      <c r="C2" s="169"/>
      <c r="D2" s="28"/>
      <c r="G2" s="2"/>
      <c r="H2" s="3"/>
      <c r="I2" s="3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 ht="15.75" thickBot="1" x14ac:dyDescent="0.3">
      <c r="B3" s="171" t="s">
        <v>39</v>
      </c>
      <c r="C3" s="171"/>
      <c r="D3" s="29" t="s">
        <v>73</v>
      </c>
      <c r="E3" s="30"/>
      <c r="F3" s="30"/>
      <c r="G3" s="2"/>
      <c r="H3" s="3"/>
      <c r="I3" s="3"/>
      <c r="J3" s="3"/>
      <c r="K3" s="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5" ht="15.75" thickBot="1" x14ac:dyDescent="0.3">
      <c r="B4" s="5"/>
      <c r="C4" s="31"/>
      <c r="D4" s="31" t="s">
        <v>0</v>
      </c>
      <c r="E4" s="32"/>
      <c r="F4" s="33"/>
      <c r="G4" s="34"/>
      <c r="H4" s="6"/>
      <c r="I4" s="34" t="s">
        <v>41</v>
      </c>
      <c r="J4" s="5"/>
      <c r="K4" s="6"/>
      <c r="L4" s="35"/>
      <c r="M4" s="34"/>
      <c r="N4" s="161" t="s">
        <v>2</v>
      </c>
      <c r="O4" s="161"/>
      <c r="P4" s="168"/>
      <c r="Q4" s="168"/>
      <c r="R4" s="168"/>
      <c r="S4" s="168" t="s">
        <v>3</v>
      </c>
      <c r="T4" s="168"/>
      <c r="U4" s="168"/>
      <c r="V4" s="168"/>
      <c r="W4" s="168"/>
    </row>
    <row r="5" spans="1:25" x14ac:dyDescent="0.25">
      <c r="B5" s="8" t="s">
        <v>4</v>
      </c>
      <c r="C5" s="8" t="s">
        <v>42</v>
      </c>
      <c r="D5" s="8" t="s">
        <v>42</v>
      </c>
      <c r="E5" s="8" t="s">
        <v>5</v>
      </c>
      <c r="F5" s="8" t="s">
        <v>43</v>
      </c>
      <c r="G5" s="8" t="s">
        <v>6</v>
      </c>
      <c r="H5" s="8" t="s">
        <v>42</v>
      </c>
      <c r="I5" s="8" t="s">
        <v>42</v>
      </c>
      <c r="J5" s="8" t="s">
        <v>5</v>
      </c>
      <c r="K5" s="8" t="s">
        <v>43</v>
      </c>
      <c r="L5" s="8" t="s">
        <v>6</v>
      </c>
      <c r="M5" s="9" t="s">
        <v>7</v>
      </c>
      <c r="N5" s="8" t="s">
        <v>8</v>
      </c>
      <c r="O5" s="8" t="s">
        <v>9</v>
      </c>
      <c r="P5" s="9" t="s">
        <v>10</v>
      </c>
      <c r="Q5" s="9" t="s">
        <v>11</v>
      </c>
      <c r="R5" s="12" t="s">
        <v>12</v>
      </c>
      <c r="S5" s="9" t="s">
        <v>6</v>
      </c>
      <c r="T5" s="9" t="s">
        <v>44</v>
      </c>
      <c r="U5" s="9" t="s">
        <v>45</v>
      </c>
      <c r="V5" s="9"/>
      <c r="W5" s="9" t="s">
        <v>13</v>
      </c>
      <c r="Y5" s="166" t="s">
        <v>72</v>
      </c>
    </row>
    <row r="6" spans="1:25" ht="15.75" thickBot="1" x14ac:dyDescent="0.3">
      <c r="B6" s="14" t="s">
        <v>14</v>
      </c>
      <c r="C6" s="14" t="s">
        <v>46</v>
      </c>
      <c r="D6" s="14" t="s">
        <v>47</v>
      </c>
      <c r="E6" s="14" t="s">
        <v>15</v>
      </c>
      <c r="F6" s="14" t="s">
        <v>48</v>
      </c>
      <c r="G6" s="14" t="s">
        <v>16</v>
      </c>
      <c r="H6" s="14" t="s">
        <v>46</v>
      </c>
      <c r="I6" s="14" t="s">
        <v>47</v>
      </c>
      <c r="J6" s="14" t="s">
        <v>17</v>
      </c>
      <c r="K6" s="14" t="s">
        <v>48</v>
      </c>
      <c r="L6" s="14" t="s">
        <v>18</v>
      </c>
      <c r="M6" s="15" t="s">
        <v>19</v>
      </c>
      <c r="N6" s="14" t="s">
        <v>20</v>
      </c>
      <c r="O6" s="14"/>
      <c r="P6" s="14"/>
      <c r="Q6" s="17" t="s">
        <v>21</v>
      </c>
      <c r="R6" s="18"/>
      <c r="S6" s="15" t="s">
        <v>22</v>
      </c>
      <c r="T6" s="17" t="s">
        <v>46</v>
      </c>
      <c r="U6" s="15" t="s">
        <v>49</v>
      </c>
      <c r="V6" s="17" t="s">
        <v>23</v>
      </c>
      <c r="W6" s="17" t="s">
        <v>22</v>
      </c>
      <c r="Y6" s="167"/>
    </row>
    <row r="7" spans="1:25" ht="15.75" hidden="1" thickBot="1" x14ac:dyDescent="0.3">
      <c r="A7" s="20">
        <v>2003</v>
      </c>
      <c r="B7" s="21" t="s">
        <v>35</v>
      </c>
      <c r="C7" s="36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25">
        <v>0</v>
      </c>
      <c r="U7" s="25">
        <v>0</v>
      </c>
      <c r="V7" s="36">
        <v>0</v>
      </c>
      <c r="W7" s="25">
        <v>0</v>
      </c>
    </row>
    <row r="8" spans="1:25" ht="15.75" hidden="1" thickBot="1" x14ac:dyDescent="0.3">
      <c r="A8" s="20"/>
      <c r="B8" s="21" t="s">
        <v>24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25">
        <v>0</v>
      </c>
      <c r="U8" s="25">
        <v>0</v>
      </c>
      <c r="V8" s="36">
        <v>0</v>
      </c>
      <c r="W8" s="25">
        <v>0</v>
      </c>
      <c r="Y8">
        <f>IF(W8&gt;1,Y7+1,)</f>
        <v>0</v>
      </c>
    </row>
    <row r="9" spans="1:25" ht="15.75" hidden="1" thickBot="1" x14ac:dyDescent="0.3">
      <c r="A9" s="20"/>
      <c r="B9" s="21" t="s">
        <v>25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25">
        <v>0</v>
      </c>
      <c r="U9" s="25">
        <v>0</v>
      </c>
      <c r="V9" s="36">
        <v>0</v>
      </c>
      <c r="W9" s="25">
        <v>0</v>
      </c>
      <c r="Y9">
        <f t="shared" ref="Y9:Y72" si="0">IF(W9&gt;1,Y8+1,)</f>
        <v>0</v>
      </c>
    </row>
    <row r="10" spans="1:25" ht="15.75" hidden="1" thickBot="1" x14ac:dyDescent="0.3">
      <c r="A10" s="20"/>
      <c r="B10" s="21" t="s">
        <v>26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25">
        <v>0</v>
      </c>
      <c r="U10" s="25">
        <v>0</v>
      </c>
      <c r="V10" s="36">
        <v>0</v>
      </c>
      <c r="W10" s="25">
        <v>0</v>
      </c>
      <c r="Y10">
        <f t="shared" si="0"/>
        <v>0</v>
      </c>
    </row>
    <row r="11" spans="1:25" ht="15.75" hidden="1" thickBot="1" x14ac:dyDescent="0.3">
      <c r="A11" s="20"/>
      <c r="B11" s="21" t="s">
        <v>27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25">
        <v>0</v>
      </c>
      <c r="U11" s="25">
        <v>0</v>
      </c>
      <c r="V11" s="36">
        <v>0</v>
      </c>
      <c r="W11" s="25">
        <v>0</v>
      </c>
      <c r="Y11">
        <f t="shared" si="0"/>
        <v>0</v>
      </c>
    </row>
    <row r="12" spans="1:25" ht="15.75" hidden="1" thickBot="1" x14ac:dyDescent="0.3">
      <c r="A12" s="20"/>
      <c r="B12" s="21" t="s">
        <v>28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25">
        <v>0</v>
      </c>
      <c r="U12" s="25">
        <v>0</v>
      </c>
      <c r="V12" s="36">
        <v>0</v>
      </c>
      <c r="W12" s="25">
        <v>0</v>
      </c>
      <c r="Y12">
        <f t="shared" si="0"/>
        <v>0</v>
      </c>
    </row>
    <row r="13" spans="1:25" ht="15.75" hidden="1" thickBot="1" x14ac:dyDescent="0.3">
      <c r="A13" s="20"/>
      <c r="B13" s="21" t="s">
        <v>29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25">
        <v>0</v>
      </c>
      <c r="U13" s="25">
        <v>0</v>
      </c>
      <c r="V13" s="36">
        <v>0</v>
      </c>
      <c r="W13" s="25">
        <v>0</v>
      </c>
      <c r="Y13">
        <f t="shared" si="0"/>
        <v>0</v>
      </c>
    </row>
    <row r="14" spans="1:25" ht="15.75" hidden="1" thickBot="1" x14ac:dyDescent="0.3">
      <c r="A14" s="20"/>
      <c r="B14" s="21" t="s">
        <v>30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25">
        <v>0</v>
      </c>
      <c r="U14" s="25">
        <v>0</v>
      </c>
      <c r="V14" s="36">
        <v>0</v>
      </c>
      <c r="W14" s="25">
        <v>0</v>
      </c>
      <c r="Y14">
        <f t="shared" si="0"/>
        <v>0</v>
      </c>
    </row>
    <row r="15" spans="1:25" ht="15.75" hidden="1" thickBot="1" x14ac:dyDescent="0.3">
      <c r="A15" s="20"/>
      <c r="B15" s="21" t="s">
        <v>31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25">
        <v>0</v>
      </c>
      <c r="U15" s="25">
        <v>0</v>
      </c>
      <c r="V15" s="36">
        <v>0</v>
      </c>
      <c r="W15" s="25">
        <v>0</v>
      </c>
      <c r="Y15">
        <f t="shared" si="0"/>
        <v>0</v>
      </c>
    </row>
    <row r="16" spans="1:25" ht="15.75" hidden="1" thickBot="1" x14ac:dyDescent="0.3">
      <c r="A16" s="20"/>
      <c r="B16" s="21" t="s">
        <v>32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25">
        <v>0</v>
      </c>
      <c r="U16" s="25">
        <v>0</v>
      </c>
      <c r="V16" s="36">
        <v>0</v>
      </c>
      <c r="W16" s="25">
        <v>0</v>
      </c>
      <c r="Y16">
        <f t="shared" si="0"/>
        <v>0</v>
      </c>
    </row>
    <row r="17" spans="1:25" ht="15.75" hidden="1" thickBot="1" x14ac:dyDescent="0.3">
      <c r="A17" s="20"/>
      <c r="B17" s="21" t="s">
        <v>33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25">
        <v>0</v>
      </c>
      <c r="U17" s="25">
        <v>0</v>
      </c>
      <c r="V17" s="36">
        <v>0</v>
      </c>
      <c r="W17" s="25">
        <v>0</v>
      </c>
      <c r="Y17">
        <f t="shared" si="0"/>
        <v>0</v>
      </c>
    </row>
    <row r="18" spans="1:25" ht="15.75" hidden="1" thickBot="1" x14ac:dyDescent="0.3">
      <c r="A18" s="20"/>
      <c r="B18" s="21" t="s">
        <v>34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25">
        <v>0</v>
      </c>
      <c r="U18" s="25">
        <v>0</v>
      </c>
      <c r="V18" s="36">
        <v>0</v>
      </c>
      <c r="W18" s="25">
        <v>0</v>
      </c>
      <c r="Y18">
        <f t="shared" si="0"/>
        <v>0</v>
      </c>
    </row>
    <row r="19" spans="1:25" ht="15.75" hidden="1" thickBot="1" x14ac:dyDescent="0.3">
      <c r="A19" s="20">
        <v>2004</v>
      </c>
      <c r="B19" s="21" t="s">
        <v>35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/>
      <c r="P19" s="36">
        <v>0</v>
      </c>
      <c r="Q19" s="36">
        <v>0</v>
      </c>
      <c r="R19" s="36">
        <v>0</v>
      </c>
      <c r="S19" s="36">
        <v>0</v>
      </c>
      <c r="T19" s="25">
        <v>0</v>
      </c>
      <c r="U19" s="25">
        <v>0</v>
      </c>
      <c r="V19" s="36">
        <v>0</v>
      </c>
      <c r="W19" s="25">
        <v>0</v>
      </c>
      <c r="Y19">
        <f t="shared" si="0"/>
        <v>0</v>
      </c>
    </row>
    <row r="20" spans="1:25" ht="15.75" hidden="1" thickBot="1" x14ac:dyDescent="0.3">
      <c r="A20" s="20"/>
      <c r="B20" s="21" t="s">
        <v>24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25">
        <v>0</v>
      </c>
      <c r="U20" s="25">
        <v>0</v>
      </c>
      <c r="V20" s="36">
        <v>0</v>
      </c>
      <c r="W20" s="25">
        <v>0</v>
      </c>
      <c r="Y20">
        <f t="shared" si="0"/>
        <v>0</v>
      </c>
    </row>
    <row r="21" spans="1:25" ht="15.75" hidden="1" thickBot="1" x14ac:dyDescent="0.3">
      <c r="A21" s="20"/>
      <c r="B21" s="21" t="s">
        <v>25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25">
        <v>0</v>
      </c>
      <c r="U21" s="25">
        <v>0</v>
      </c>
      <c r="V21" s="36">
        <v>0</v>
      </c>
      <c r="W21" s="25">
        <v>0</v>
      </c>
      <c r="Y21">
        <f t="shared" si="0"/>
        <v>0</v>
      </c>
    </row>
    <row r="22" spans="1:25" ht="15.75" hidden="1" thickBot="1" x14ac:dyDescent="0.3">
      <c r="A22" s="20"/>
      <c r="B22" s="21" t="s">
        <v>26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25">
        <v>0</v>
      </c>
      <c r="U22" s="25">
        <v>0</v>
      </c>
      <c r="V22" s="36">
        <v>0</v>
      </c>
      <c r="W22" s="25">
        <v>0</v>
      </c>
      <c r="Y22">
        <f t="shared" si="0"/>
        <v>0</v>
      </c>
    </row>
    <row r="23" spans="1:25" ht="15.75" hidden="1" thickBot="1" x14ac:dyDescent="0.3">
      <c r="A23" s="20"/>
      <c r="B23" s="21" t="s">
        <v>27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25">
        <v>0</v>
      </c>
      <c r="U23" s="25">
        <v>0</v>
      </c>
      <c r="V23" s="36">
        <v>0</v>
      </c>
      <c r="W23" s="25">
        <v>0</v>
      </c>
      <c r="Y23">
        <f t="shared" si="0"/>
        <v>0</v>
      </c>
    </row>
    <row r="24" spans="1:25" ht="15.75" hidden="1" thickBot="1" x14ac:dyDescent="0.3">
      <c r="A24" s="20"/>
      <c r="B24" s="21" t="s">
        <v>28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25">
        <v>0</v>
      </c>
      <c r="U24" s="25">
        <v>0</v>
      </c>
      <c r="V24" s="36">
        <v>0</v>
      </c>
      <c r="W24" s="25">
        <v>0</v>
      </c>
      <c r="Y24">
        <f t="shared" si="0"/>
        <v>0</v>
      </c>
    </row>
    <row r="25" spans="1:25" ht="15.75" hidden="1" thickBot="1" x14ac:dyDescent="0.3">
      <c r="A25" s="20"/>
      <c r="B25" s="21" t="s">
        <v>29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25">
        <v>0</v>
      </c>
      <c r="U25" s="25">
        <v>0</v>
      </c>
      <c r="V25" s="36">
        <v>0</v>
      </c>
      <c r="W25" s="25">
        <v>0</v>
      </c>
      <c r="Y25">
        <f t="shared" si="0"/>
        <v>0</v>
      </c>
    </row>
    <row r="26" spans="1:25" ht="15.75" hidden="1" thickBot="1" x14ac:dyDescent="0.3">
      <c r="A26" s="20"/>
      <c r="B26" s="21" t="s">
        <v>30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25">
        <v>0</v>
      </c>
      <c r="U26" s="25">
        <v>0</v>
      </c>
      <c r="V26" s="36">
        <v>0</v>
      </c>
      <c r="W26" s="25">
        <v>0</v>
      </c>
      <c r="Y26">
        <f t="shared" si="0"/>
        <v>0</v>
      </c>
    </row>
    <row r="27" spans="1:25" ht="15.75" hidden="1" thickBot="1" x14ac:dyDescent="0.3">
      <c r="A27" s="20"/>
      <c r="B27" s="21" t="s">
        <v>31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25">
        <v>0</v>
      </c>
      <c r="U27" s="25">
        <v>0</v>
      </c>
      <c r="V27" s="36">
        <v>0</v>
      </c>
      <c r="W27" s="25">
        <v>0</v>
      </c>
      <c r="Y27">
        <f t="shared" si="0"/>
        <v>0</v>
      </c>
    </row>
    <row r="28" spans="1:25" ht="15.75" hidden="1" thickBot="1" x14ac:dyDescent="0.3">
      <c r="A28" s="20"/>
      <c r="B28" s="21" t="s">
        <v>32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25">
        <v>0</v>
      </c>
      <c r="U28" s="25">
        <v>0</v>
      </c>
      <c r="V28" s="36">
        <v>0</v>
      </c>
      <c r="W28" s="25">
        <v>0</v>
      </c>
      <c r="Y28">
        <f t="shared" si="0"/>
        <v>0</v>
      </c>
    </row>
    <row r="29" spans="1:25" ht="15.75" hidden="1" thickBot="1" x14ac:dyDescent="0.3">
      <c r="A29" s="20"/>
      <c r="B29" s="21" t="s">
        <v>33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25">
        <v>0</v>
      </c>
      <c r="U29" s="25">
        <v>0</v>
      </c>
      <c r="V29" s="36">
        <v>0</v>
      </c>
      <c r="W29" s="25">
        <v>0</v>
      </c>
      <c r="Y29">
        <f t="shared" si="0"/>
        <v>0</v>
      </c>
    </row>
    <row r="30" spans="1:25" ht="15.75" hidden="1" thickBot="1" x14ac:dyDescent="0.3">
      <c r="A30" s="20"/>
      <c r="B30" s="21" t="s">
        <v>34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25">
        <v>0</v>
      </c>
      <c r="U30" s="25">
        <v>0</v>
      </c>
      <c r="V30" s="36">
        <v>0</v>
      </c>
      <c r="W30" s="25">
        <v>0</v>
      </c>
      <c r="Y30">
        <f t="shared" si="0"/>
        <v>0</v>
      </c>
    </row>
    <row r="31" spans="1:25" ht="15.75" hidden="1" thickBot="1" x14ac:dyDescent="0.3">
      <c r="A31" s="20">
        <v>2005</v>
      </c>
      <c r="B31" s="21" t="s">
        <v>35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25">
        <v>0</v>
      </c>
      <c r="U31" s="25">
        <v>0</v>
      </c>
      <c r="V31" s="36">
        <v>0</v>
      </c>
      <c r="W31" s="25">
        <v>0</v>
      </c>
      <c r="Y31">
        <f t="shared" si="0"/>
        <v>0</v>
      </c>
    </row>
    <row r="32" spans="1:25" ht="15.75" hidden="1" thickBot="1" x14ac:dyDescent="0.3">
      <c r="A32" s="20"/>
      <c r="B32" s="21" t="s">
        <v>24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25">
        <v>0</v>
      </c>
      <c r="U32" s="25">
        <v>0</v>
      </c>
      <c r="V32" s="36">
        <v>0</v>
      </c>
      <c r="W32" s="25">
        <v>0</v>
      </c>
      <c r="Y32">
        <f t="shared" si="0"/>
        <v>0</v>
      </c>
    </row>
    <row r="33" spans="1:25" ht="15.75" hidden="1" thickBot="1" x14ac:dyDescent="0.3">
      <c r="A33" s="20"/>
      <c r="B33" s="21" t="s">
        <v>25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25">
        <v>0</v>
      </c>
      <c r="U33" s="25">
        <v>0</v>
      </c>
      <c r="V33" s="36">
        <v>0</v>
      </c>
      <c r="W33" s="25">
        <v>0</v>
      </c>
      <c r="Y33">
        <f t="shared" si="0"/>
        <v>0</v>
      </c>
    </row>
    <row r="34" spans="1:25" ht="15.75" hidden="1" thickBot="1" x14ac:dyDescent="0.3">
      <c r="A34" s="20"/>
      <c r="B34" s="21" t="s">
        <v>26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25">
        <v>0</v>
      </c>
      <c r="U34" s="25">
        <v>0</v>
      </c>
      <c r="V34" s="36">
        <v>0</v>
      </c>
      <c r="W34" s="25">
        <v>0</v>
      </c>
      <c r="Y34">
        <f t="shared" si="0"/>
        <v>0</v>
      </c>
    </row>
    <row r="35" spans="1:25" ht="15.75" hidden="1" thickBot="1" x14ac:dyDescent="0.3">
      <c r="A35" s="20"/>
      <c r="B35" s="21" t="s">
        <v>27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25">
        <v>0</v>
      </c>
      <c r="U35" s="25">
        <v>0</v>
      </c>
      <c r="V35" s="36">
        <v>0</v>
      </c>
      <c r="W35" s="25">
        <v>0</v>
      </c>
      <c r="Y35">
        <f t="shared" si="0"/>
        <v>0</v>
      </c>
    </row>
    <row r="36" spans="1:25" ht="15.75" hidden="1" thickBot="1" x14ac:dyDescent="0.3">
      <c r="A36" s="20"/>
      <c r="B36" s="21" t="s">
        <v>28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25">
        <v>0</v>
      </c>
      <c r="U36" s="25">
        <v>0</v>
      </c>
      <c r="V36" s="36">
        <v>0</v>
      </c>
      <c r="W36" s="25">
        <v>0</v>
      </c>
      <c r="Y36">
        <f t="shared" si="0"/>
        <v>0</v>
      </c>
    </row>
    <row r="37" spans="1:25" ht="15.75" hidden="1" thickBot="1" x14ac:dyDescent="0.3">
      <c r="A37" s="20"/>
      <c r="B37" s="21" t="s">
        <v>29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25">
        <v>0</v>
      </c>
      <c r="U37" s="25">
        <v>0</v>
      </c>
      <c r="V37" s="36">
        <v>0</v>
      </c>
      <c r="W37" s="25">
        <v>0</v>
      </c>
      <c r="Y37">
        <f t="shared" si="0"/>
        <v>0</v>
      </c>
    </row>
    <row r="38" spans="1:25" ht="15.75" hidden="1" thickBot="1" x14ac:dyDescent="0.3">
      <c r="A38" s="20"/>
      <c r="B38" s="21" t="s">
        <v>30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25">
        <v>0</v>
      </c>
      <c r="U38" s="25">
        <v>0</v>
      </c>
      <c r="V38" s="36">
        <v>0</v>
      </c>
      <c r="W38" s="25">
        <v>0</v>
      </c>
      <c r="Y38">
        <f t="shared" si="0"/>
        <v>0</v>
      </c>
    </row>
    <row r="39" spans="1:25" ht="15.75" hidden="1" thickBot="1" x14ac:dyDescent="0.3">
      <c r="A39" s="20"/>
      <c r="B39" s="21" t="s">
        <v>31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25">
        <v>0</v>
      </c>
      <c r="U39" s="25">
        <v>0</v>
      </c>
      <c r="V39" s="36">
        <v>0</v>
      </c>
      <c r="W39" s="25">
        <v>0</v>
      </c>
      <c r="Y39">
        <f t="shared" si="0"/>
        <v>0</v>
      </c>
    </row>
    <row r="40" spans="1:25" ht="15.75" hidden="1" thickBot="1" x14ac:dyDescent="0.3">
      <c r="A40" s="20"/>
      <c r="B40" s="21" t="s">
        <v>32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25">
        <v>0</v>
      </c>
      <c r="U40" s="25">
        <v>0</v>
      </c>
      <c r="V40" s="36">
        <v>0</v>
      </c>
      <c r="W40" s="25">
        <v>0</v>
      </c>
      <c r="Y40">
        <f t="shared" si="0"/>
        <v>0</v>
      </c>
    </row>
    <row r="41" spans="1:25" ht="15.75" hidden="1" thickBot="1" x14ac:dyDescent="0.3">
      <c r="A41" s="20"/>
      <c r="B41" s="21" t="s">
        <v>33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25">
        <v>0</v>
      </c>
      <c r="U41" s="25">
        <v>0</v>
      </c>
      <c r="V41" s="36">
        <v>0</v>
      </c>
      <c r="W41" s="25">
        <v>0</v>
      </c>
      <c r="Y41">
        <f t="shared" si="0"/>
        <v>0</v>
      </c>
    </row>
    <row r="42" spans="1:25" ht="15.75" hidden="1" thickBot="1" x14ac:dyDescent="0.3">
      <c r="A42" s="20"/>
      <c r="B42" s="21" t="s">
        <v>34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25">
        <v>0</v>
      </c>
      <c r="U42" s="25">
        <v>0</v>
      </c>
      <c r="V42" s="36">
        <v>0</v>
      </c>
      <c r="W42" s="25">
        <v>0</v>
      </c>
      <c r="Y42">
        <f t="shared" si="0"/>
        <v>0</v>
      </c>
    </row>
    <row r="43" spans="1:25" ht="15.75" hidden="1" thickBot="1" x14ac:dyDescent="0.3">
      <c r="A43" s="20">
        <v>2006</v>
      </c>
      <c r="B43" s="21" t="s">
        <v>35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25">
        <v>0</v>
      </c>
      <c r="U43" s="25">
        <v>0</v>
      </c>
      <c r="V43" s="36">
        <v>0</v>
      </c>
      <c r="W43" s="25">
        <v>0</v>
      </c>
      <c r="Y43">
        <f t="shared" si="0"/>
        <v>0</v>
      </c>
    </row>
    <row r="44" spans="1:25" ht="15.75" hidden="1" thickBot="1" x14ac:dyDescent="0.3">
      <c r="A44" s="20"/>
      <c r="B44" s="21" t="s">
        <v>24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25">
        <v>0</v>
      </c>
      <c r="U44" s="25">
        <v>0</v>
      </c>
      <c r="V44" s="36">
        <v>0</v>
      </c>
      <c r="W44" s="25">
        <v>0</v>
      </c>
      <c r="Y44">
        <f t="shared" si="0"/>
        <v>0</v>
      </c>
    </row>
    <row r="45" spans="1:25" ht="15.75" hidden="1" thickBot="1" x14ac:dyDescent="0.3">
      <c r="A45" s="20"/>
      <c r="B45" s="21" t="s">
        <v>25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25">
        <v>0</v>
      </c>
      <c r="U45" s="25">
        <v>0</v>
      </c>
      <c r="V45" s="36">
        <v>0</v>
      </c>
      <c r="W45" s="25">
        <v>0</v>
      </c>
      <c r="Y45">
        <f t="shared" si="0"/>
        <v>0</v>
      </c>
    </row>
    <row r="46" spans="1:25" ht="15.75" hidden="1" thickBot="1" x14ac:dyDescent="0.3">
      <c r="A46" s="20"/>
      <c r="B46" s="21" t="s">
        <v>26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25">
        <v>0</v>
      </c>
      <c r="U46" s="25">
        <v>0</v>
      </c>
      <c r="V46" s="36">
        <v>0</v>
      </c>
      <c r="W46" s="25">
        <v>0</v>
      </c>
      <c r="Y46">
        <f t="shared" si="0"/>
        <v>0</v>
      </c>
    </row>
    <row r="47" spans="1:25" ht="15.75" hidden="1" thickBot="1" x14ac:dyDescent="0.3">
      <c r="A47" s="20"/>
      <c r="B47" s="21" t="s">
        <v>27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25">
        <v>0</v>
      </c>
      <c r="U47" s="25">
        <v>0</v>
      </c>
      <c r="V47" s="36">
        <v>0</v>
      </c>
      <c r="W47" s="25">
        <v>0</v>
      </c>
      <c r="Y47">
        <f t="shared" si="0"/>
        <v>0</v>
      </c>
    </row>
    <row r="48" spans="1:25" ht="15.75" hidden="1" thickBot="1" x14ac:dyDescent="0.3">
      <c r="A48" s="20"/>
      <c r="B48" s="21" t="s">
        <v>28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25">
        <v>0</v>
      </c>
      <c r="U48" s="25">
        <v>0</v>
      </c>
      <c r="V48" s="36">
        <v>0</v>
      </c>
      <c r="W48" s="25">
        <v>0</v>
      </c>
      <c r="Y48">
        <f t="shared" si="0"/>
        <v>0</v>
      </c>
    </row>
    <row r="49" spans="1:25" ht="15.75" hidden="1" thickBot="1" x14ac:dyDescent="0.3">
      <c r="A49" s="20"/>
      <c r="B49" s="21" t="s">
        <v>29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25">
        <v>0</v>
      </c>
      <c r="U49" s="25">
        <v>0</v>
      </c>
      <c r="V49" s="36">
        <v>0</v>
      </c>
      <c r="W49" s="25">
        <v>0</v>
      </c>
      <c r="Y49">
        <f t="shared" si="0"/>
        <v>0</v>
      </c>
    </row>
    <row r="50" spans="1:25" ht="15.75" hidden="1" thickBot="1" x14ac:dyDescent="0.3">
      <c r="A50" s="20"/>
      <c r="B50" s="21" t="s">
        <v>30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25">
        <v>0</v>
      </c>
      <c r="U50" s="25">
        <v>0</v>
      </c>
      <c r="V50" s="36">
        <v>0</v>
      </c>
      <c r="W50" s="25">
        <v>0</v>
      </c>
      <c r="Y50">
        <f t="shared" si="0"/>
        <v>0</v>
      </c>
    </row>
    <row r="51" spans="1:25" ht="15.75" hidden="1" thickBot="1" x14ac:dyDescent="0.3">
      <c r="A51" s="20"/>
      <c r="B51" s="21" t="s">
        <v>31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25">
        <v>0</v>
      </c>
      <c r="U51" s="25">
        <v>0</v>
      </c>
      <c r="V51" s="36">
        <v>0</v>
      </c>
      <c r="W51" s="25">
        <v>0</v>
      </c>
      <c r="Y51">
        <f t="shared" si="0"/>
        <v>0</v>
      </c>
    </row>
    <row r="52" spans="1:25" ht="15.75" hidden="1" thickBot="1" x14ac:dyDescent="0.3">
      <c r="A52" s="20"/>
      <c r="B52" s="21" t="s">
        <v>32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25">
        <v>0</v>
      </c>
      <c r="U52" s="25">
        <v>0</v>
      </c>
      <c r="V52" s="36">
        <v>0</v>
      </c>
      <c r="W52" s="25">
        <v>0</v>
      </c>
      <c r="Y52">
        <f t="shared" si="0"/>
        <v>0</v>
      </c>
    </row>
    <row r="53" spans="1:25" ht="15.75" hidden="1" thickBot="1" x14ac:dyDescent="0.3">
      <c r="A53" s="20"/>
      <c r="B53" s="21" t="s">
        <v>33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25">
        <v>0</v>
      </c>
      <c r="U53" s="25">
        <v>0</v>
      </c>
      <c r="V53" s="36">
        <v>0</v>
      </c>
      <c r="W53" s="25">
        <v>0</v>
      </c>
      <c r="Y53">
        <f t="shared" si="0"/>
        <v>0</v>
      </c>
    </row>
    <row r="54" spans="1:25" ht="15.75" hidden="1" thickBot="1" x14ac:dyDescent="0.3">
      <c r="A54" s="20"/>
      <c r="B54" s="21" t="s">
        <v>34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f t="shared" ref="S54:S117" si="1">G54+O54</f>
        <v>0</v>
      </c>
      <c r="T54" s="25">
        <v>0</v>
      </c>
      <c r="U54" s="25">
        <v>0</v>
      </c>
      <c r="V54" s="36">
        <v>0</v>
      </c>
      <c r="W54" s="25">
        <v>0</v>
      </c>
      <c r="Y54">
        <f t="shared" si="0"/>
        <v>0</v>
      </c>
    </row>
    <row r="55" spans="1:25" ht="15.75" hidden="1" thickBot="1" x14ac:dyDescent="0.3">
      <c r="A55" s="20">
        <v>2007</v>
      </c>
      <c r="B55" s="21" t="s">
        <v>35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f t="shared" si="1"/>
        <v>0</v>
      </c>
      <c r="T55" s="25">
        <v>0</v>
      </c>
      <c r="U55" s="25">
        <v>0</v>
      </c>
      <c r="V55" s="36">
        <v>0</v>
      </c>
      <c r="W55" s="25">
        <v>0</v>
      </c>
      <c r="Y55">
        <f t="shared" si="0"/>
        <v>0</v>
      </c>
    </row>
    <row r="56" spans="1:25" ht="15.75" hidden="1" thickBot="1" x14ac:dyDescent="0.3">
      <c r="A56" s="20"/>
      <c r="B56" s="21" t="s">
        <v>24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f t="shared" si="1"/>
        <v>0</v>
      </c>
      <c r="T56" s="25">
        <v>0</v>
      </c>
      <c r="U56" s="25">
        <v>0</v>
      </c>
      <c r="V56" s="36">
        <v>0</v>
      </c>
      <c r="W56" s="25">
        <v>0</v>
      </c>
      <c r="Y56">
        <f t="shared" si="0"/>
        <v>0</v>
      </c>
    </row>
    <row r="57" spans="1:25" ht="15.75" hidden="1" thickBot="1" x14ac:dyDescent="0.3">
      <c r="A57" s="20"/>
      <c r="B57" s="21" t="s">
        <v>25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f t="shared" si="1"/>
        <v>0</v>
      </c>
      <c r="T57" s="25">
        <v>0</v>
      </c>
      <c r="U57" s="25">
        <v>0</v>
      </c>
      <c r="V57" s="36">
        <v>0</v>
      </c>
      <c r="W57" s="25">
        <v>0</v>
      </c>
      <c r="Y57">
        <f t="shared" si="0"/>
        <v>0</v>
      </c>
    </row>
    <row r="58" spans="1:25" ht="15.75" hidden="1" thickBot="1" x14ac:dyDescent="0.3">
      <c r="A58" s="20"/>
      <c r="B58" s="21" t="s">
        <v>26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f t="shared" si="1"/>
        <v>0</v>
      </c>
      <c r="T58" s="25">
        <v>0</v>
      </c>
      <c r="U58" s="25">
        <v>0</v>
      </c>
      <c r="V58" s="36">
        <v>0</v>
      </c>
      <c r="W58" s="25">
        <v>0</v>
      </c>
      <c r="Y58">
        <f t="shared" si="0"/>
        <v>0</v>
      </c>
    </row>
    <row r="59" spans="1:25" ht="15.75" hidden="1" thickBot="1" x14ac:dyDescent="0.3">
      <c r="A59" s="20"/>
      <c r="B59" s="21" t="s">
        <v>27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f t="shared" si="1"/>
        <v>0</v>
      </c>
      <c r="T59" s="25">
        <v>0</v>
      </c>
      <c r="U59" s="25">
        <v>0</v>
      </c>
      <c r="V59" s="36">
        <v>0</v>
      </c>
      <c r="W59" s="25">
        <v>0</v>
      </c>
      <c r="Y59">
        <f t="shared" si="0"/>
        <v>0</v>
      </c>
    </row>
    <row r="60" spans="1:25" ht="15.75" hidden="1" thickBot="1" x14ac:dyDescent="0.3">
      <c r="A60" s="20"/>
      <c r="B60" s="21" t="s">
        <v>28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f t="shared" si="1"/>
        <v>0</v>
      </c>
      <c r="T60" s="25">
        <v>0</v>
      </c>
      <c r="U60" s="25">
        <v>0</v>
      </c>
      <c r="V60" s="36">
        <v>0</v>
      </c>
      <c r="W60" s="25">
        <v>0</v>
      </c>
      <c r="Y60">
        <f t="shared" si="0"/>
        <v>0</v>
      </c>
    </row>
    <row r="61" spans="1:25" ht="15.75" hidden="1" thickBot="1" x14ac:dyDescent="0.3">
      <c r="A61" s="20"/>
      <c r="B61" s="21" t="s">
        <v>29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f t="shared" si="1"/>
        <v>0</v>
      </c>
      <c r="T61" s="25">
        <v>0</v>
      </c>
      <c r="U61" s="25">
        <v>0</v>
      </c>
      <c r="V61" s="36">
        <v>0</v>
      </c>
      <c r="W61" s="25">
        <v>0</v>
      </c>
      <c r="Y61">
        <f t="shared" si="0"/>
        <v>0</v>
      </c>
    </row>
    <row r="62" spans="1:25" ht="15.75" hidden="1" thickBot="1" x14ac:dyDescent="0.3">
      <c r="A62" s="20"/>
      <c r="B62" s="21" t="s">
        <v>30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f t="shared" si="1"/>
        <v>0</v>
      </c>
      <c r="T62" s="25">
        <v>0</v>
      </c>
      <c r="U62" s="25">
        <v>0</v>
      </c>
      <c r="V62" s="36">
        <v>0</v>
      </c>
      <c r="W62" s="25">
        <v>0</v>
      </c>
      <c r="Y62">
        <f t="shared" si="0"/>
        <v>0</v>
      </c>
    </row>
    <row r="63" spans="1:25" ht="15.75" hidden="1" thickBot="1" x14ac:dyDescent="0.3">
      <c r="A63" s="20"/>
      <c r="B63" s="21" t="s">
        <v>31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f t="shared" si="1"/>
        <v>0</v>
      </c>
      <c r="T63" s="25">
        <v>0</v>
      </c>
      <c r="U63" s="25">
        <v>0</v>
      </c>
      <c r="V63" s="36">
        <v>0</v>
      </c>
      <c r="W63" s="25">
        <v>0</v>
      </c>
      <c r="Y63">
        <f t="shared" si="0"/>
        <v>0</v>
      </c>
    </row>
    <row r="64" spans="1:25" ht="15.75" hidden="1" thickBot="1" x14ac:dyDescent="0.3">
      <c r="A64" s="20"/>
      <c r="B64" s="21" t="s">
        <v>32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f t="shared" si="1"/>
        <v>0</v>
      </c>
      <c r="T64" s="25">
        <v>0</v>
      </c>
      <c r="U64" s="25">
        <v>0</v>
      </c>
      <c r="V64" s="36">
        <v>0</v>
      </c>
      <c r="W64" s="25">
        <v>0</v>
      </c>
      <c r="Y64">
        <f t="shared" si="0"/>
        <v>0</v>
      </c>
    </row>
    <row r="65" spans="1:25" ht="15.75" hidden="1" thickBot="1" x14ac:dyDescent="0.3">
      <c r="A65" s="20"/>
      <c r="B65" s="21" t="s">
        <v>33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f t="shared" si="1"/>
        <v>0</v>
      </c>
      <c r="T65" s="25">
        <v>0</v>
      </c>
      <c r="U65" s="25">
        <v>0</v>
      </c>
      <c r="V65" s="36">
        <v>0</v>
      </c>
      <c r="W65" s="25">
        <v>0</v>
      </c>
      <c r="Y65">
        <f t="shared" si="0"/>
        <v>0</v>
      </c>
    </row>
    <row r="66" spans="1:25" ht="15.75" hidden="1" thickBot="1" x14ac:dyDescent="0.3">
      <c r="A66" s="20"/>
      <c r="B66" s="21" t="s">
        <v>34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f t="shared" si="1"/>
        <v>0</v>
      </c>
      <c r="T66" s="25">
        <v>0</v>
      </c>
      <c r="U66" s="25">
        <v>0</v>
      </c>
      <c r="V66" s="36">
        <v>0</v>
      </c>
      <c r="W66" s="25">
        <v>0</v>
      </c>
      <c r="Y66">
        <f t="shared" si="0"/>
        <v>0</v>
      </c>
    </row>
    <row r="67" spans="1:25" ht="15.75" hidden="1" thickBot="1" x14ac:dyDescent="0.3">
      <c r="A67" s="20">
        <v>2008</v>
      </c>
      <c r="B67" s="21" t="s">
        <v>35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f t="shared" si="1"/>
        <v>0</v>
      </c>
      <c r="T67" s="25">
        <v>0</v>
      </c>
      <c r="U67" s="25">
        <v>0</v>
      </c>
      <c r="V67" s="36">
        <v>0</v>
      </c>
      <c r="W67" s="25">
        <v>0</v>
      </c>
      <c r="Y67">
        <f t="shared" si="0"/>
        <v>0</v>
      </c>
    </row>
    <row r="68" spans="1:25" ht="15.75" hidden="1" thickBot="1" x14ac:dyDescent="0.3">
      <c r="A68" s="20"/>
      <c r="B68" s="21" t="s">
        <v>24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f t="shared" si="1"/>
        <v>0</v>
      </c>
      <c r="T68" s="25">
        <v>0</v>
      </c>
      <c r="U68" s="25">
        <v>0</v>
      </c>
      <c r="V68" s="36">
        <v>0</v>
      </c>
      <c r="W68" s="25">
        <v>0</v>
      </c>
      <c r="Y68">
        <f t="shared" si="0"/>
        <v>0</v>
      </c>
    </row>
    <row r="69" spans="1:25" ht="15.75" hidden="1" thickBot="1" x14ac:dyDescent="0.3">
      <c r="A69" s="20"/>
      <c r="B69" s="21" t="s">
        <v>25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f t="shared" si="1"/>
        <v>0</v>
      </c>
      <c r="T69" s="25">
        <v>0</v>
      </c>
      <c r="U69" s="25">
        <v>0</v>
      </c>
      <c r="V69" s="36">
        <v>0</v>
      </c>
      <c r="W69" s="25">
        <v>0</v>
      </c>
      <c r="Y69">
        <f t="shared" si="0"/>
        <v>0</v>
      </c>
    </row>
    <row r="70" spans="1:25" ht="15.75" hidden="1" thickBot="1" x14ac:dyDescent="0.3">
      <c r="A70" s="20"/>
      <c r="B70" s="21" t="s">
        <v>26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f t="shared" si="1"/>
        <v>0</v>
      </c>
      <c r="T70" s="25">
        <v>0</v>
      </c>
      <c r="U70" s="25">
        <v>0</v>
      </c>
      <c r="V70" s="36">
        <v>0</v>
      </c>
      <c r="W70" s="25">
        <v>0</v>
      </c>
      <c r="Y70">
        <f t="shared" si="0"/>
        <v>0</v>
      </c>
    </row>
    <row r="71" spans="1:25" ht="15.75" hidden="1" thickBot="1" x14ac:dyDescent="0.3">
      <c r="A71" s="20"/>
      <c r="B71" s="21" t="s">
        <v>27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f t="shared" si="1"/>
        <v>0</v>
      </c>
      <c r="T71" s="25">
        <v>0</v>
      </c>
      <c r="U71" s="25">
        <v>0</v>
      </c>
      <c r="V71" s="36">
        <v>0</v>
      </c>
      <c r="W71" s="25">
        <v>0</v>
      </c>
      <c r="Y71">
        <f t="shared" si="0"/>
        <v>0</v>
      </c>
    </row>
    <row r="72" spans="1:25" ht="15.75" hidden="1" thickBot="1" x14ac:dyDescent="0.3">
      <c r="A72" s="20"/>
      <c r="B72" s="21" t="s">
        <v>28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f t="shared" si="1"/>
        <v>0</v>
      </c>
      <c r="T72" s="25">
        <v>0</v>
      </c>
      <c r="U72" s="25">
        <v>0</v>
      </c>
      <c r="V72" s="36">
        <v>0</v>
      </c>
      <c r="W72" s="25">
        <v>0</v>
      </c>
      <c r="Y72">
        <f t="shared" si="0"/>
        <v>0</v>
      </c>
    </row>
    <row r="73" spans="1:25" ht="15.75" hidden="1" thickBot="1" x14ac:dyDescent="0.3">
      <c r="A73" s="20"/>
      <c r="B73" s="21" t="s">
        <v>29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f t="shared" si="1"/>
        <v>0</v>
      </c>
      <c r="T73" s="25">
        <v>0</v>
      </c>
      <c r="U73" s="25">
        <v>0</v>
      </c>
      <c r="V73" s="36">
        <v>0</v>
      </c>
      <c r="W73" s="25">
        <v>0</v>
      </c>
      <c r="Y73">
        <f t="shared" ref="Y73:Y136" si="2">IF(W73&gt;1,Y72+1,)</f>
        <v>0</v>
      </c>
    </row>
    <row r="74" spans="1:25" ht="15.75" hidden="1" thickBot="1" x14ac:dyDescent="0.3">
      <c r="A74" s="20"/>
      <c r="B74" s="21" t="s">
        <v>30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f t="shared" si="1"/>
        <v>0</v>
      </c>
      <c r="T74" s="25">
        <v>0</v>
      </c>
      <c r="U74" s="25">
        <v>0</v>
      </c>
      <c r="V74" s="36">
        <v>0</v>
      </c>
      <c r="W74" s="25">
        <v>0</v>
      </c>
      <c r="Y74">
        <f t="shared" si="2"/>
        <v>0</v>
      </c>
    </row>
    <row r="75" spans="1:25" ht="15.75" hidden="1" thickBot="1" x14ac:dyDescent="0.3">
      <c r="A75" s="20"/>
      <c r="B75" s="21" t="s">
        <v>31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f t="shared" si="1"/>
        <v>0</v>
      </c>
      <c r="T75" s="25">
        <v>0</v>
      </c>
      <c r="U75" s="25">
        <v>0</v>
      </c>
      <c r="V75" s="36">
        <v>0</v>
      </c>
      <c r="W75" s="25">
        <f t="shared" ref="W75:W138" si="3">U75-V75</f>
        <v>0</v>
      </c>
      <c r="Y75">
        <f t="shared" si="2"/>
        <v>0</v>
      </c>
    </row>
    <row r="76" spans="1:25" ht="15.75" hidden="1" thickBot="1" x14ac:dyDescent="0.3">
      <c r="A76" s="20"/>
      <c r="B76" s="21" t="s">
        <v>32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f t="shared" si="1"/>
        <v>0</v>
      </c>
      <c r="T76" s="25">
        <v>0</v>
      </c>
      <c r="U76" s="25">
        <v>0</v>
      </c>
      <c r="V76" s="36">
        <v>0</v>
      </c>
      <c r="W76" s="25">
        <f t="shared" si="3"/>
        <v>0</v>
      </c>
      <c r="Y76">
        <f t="shared" si="2"/>
        <v>0</v>
      </c>
    </row>
    <row r="77" spans="1:25" ht="15.75" hidden="1" thickBot="1" x14ac:dyDescent="0.3">
      <c r="A77" s="20"/>
      <c r="B77" s="21" t="s">
        <v>33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f t="shared" si="1"/>
        <v>0</v>
      </c>
      <c r="T77" s="25">
        <v>0</v>
      </c>
      <c r="U77" s="25">
        <v>0</v>
      </c>
      <c r="V77" s="36">
        <v>0</v>
      </c>
      <c r="W77" s="25">
        <f t="shared" si="3"/>
        <v>0</v>
      </c>
      <c r="Y77">
        <f t="shared" si="2"/>
        <v>0</v>
      </c>
    </row>
    <row r="78" spans="1:25" ht="15.75" hidden="1" thickBot="1" x14ac:dyDescent="0.3">
      <c r="A78" s="20"/>
      <c r="B78" s="21" t="s">
        <v>34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f t="shared" si="1"/>
        <v>0</v>
      </c>
      <c r="T78" s="25">
        <v>0</v>
      </c>
      <c r="U78" s="25">
        <v>0</v>
      </c>
      <c r="V78" s="36">
        <v>0</v>
      </c>
      <c r="W78" s="25">
        <f t="shared" si="3"/>
        <v>0</v>
      </c>
      <c r="Y78">
        <f t="shared" si="2"/>
        <v>0</v>
      </c>
    </row>
    <row r="79" spans="1:25" ht="15.75" hidden="1" thickBot="1" x14ac:dyDescent="0.3">
      <c r="A79" s="20">
        <v>2009</v>
      </c>
      <c r="B79" s="21" t="s">
        <v>35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f t="shared" si="1"/>
        <v>0</v>
      </c>
      <c r="T79" s="25">
        <v>0</v>
      </c>
      <c r="U79" s="25">
        <v>0</v>
      </c>
      <c r="V79" s="36">
        <v>0</v>
      </c>
      <c r="W79" s="25">
        <f t="shared" si="3"/>
        <v>0</v>
      </c>
      <c r="Y79">
        <f t="shared" si="2"/>
        <v>0</v>
      </c>
    </row>
    <row r="80" spans="1:25" ht="15.75" hidden="1" thickBot="1" x14ac:dyDescent="0.3">
      <c r="A80" s="20"/>
      <c r="B80" s="21" t="s">
        <v>24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f t="shared" si="1"/>
        <v>0</v>
      </c>
      <c r="T80" s="25">
        <v>0</v>
      </c>
      <c r="U80" s="25">
        <v>0</v>
      </c>
      <c r="V80" s="36">
        <v>0</v>
      </c>
      <c r="W80" s="25">
        <f t="shared" si="3"/>
        <v>0</v>
      </c>
      <c r="Y80">
        <f t="shared" si="2"/>
        <v>0</v>
      </c>
    </row>
    <row r="81" spans="1:25" ht="15.75" hidden="1" thickBot="1" x14ac:dyDescent="0.3">
      <c r="A81" s="20"/>
      <c r="B81" s="21" t="s">
        <v>25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f t="shared" si="1"/>
        <v>0</v>
      </c>
      <c r="T81" s="25">
        <v>0</v>
      </c>
      <c r="U81" s="25">
        <v>0</v>
      </c>
      <c r="V81" s="36">
        <v>0</v>
      </c>
      <c r="W81" s="25">
        <f t="shared" si="3"/>
        <v>0</v>
      </c>
      <c r="Y81">
        <f t="shared" si="2"/>
        <v>0</v>
      </c>
    </row>
    <row r="82" spans="1:25" ht="15.75" hidden="1" thickBot="1" x14ac:dyDescent="0.3">
      <c r="A82" s="20"/>
      <c r="B82" s="21" t="s">
        <v>26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f t="shared" si="1"/>
        <v>0</v>
      </c>
      <c r="T82" s="25">
        <v>0</v>
      </c>
      <c r="U82" s="25">
        <v>0</v>
      </c>
      <c r="V82" s="36">
        <v>0</v>
      </c>
      <c r="W82" s="25">
        <f t="shared" si="3"/>
        <v>0</v>
      </c>
      <c r="Y82">
        <f t="shared" si="2"/>
        <v>0</v>
      </c>
    </row>
    <row r="83" spans="1:25" ht="15.75" hidden="1" thickBot="1" x14ac:dyDescent="0.3">
      <c r="A83" s="20"/>
      <c r="B83" s="21" t="s">
        <v>27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f t="shared" si="1"/>
        <v>0</v>
      </c>
      <c r="T83" s="25">
        <v>0</v>
      </c>
      <c r="U83" s="25">
        <v>0</v>
      </c>
      <c r="V83" s="36">
        <v>0</v>
      </c>
      <c r="W83" s="25">
        <f t="shared" si="3"/>
        <v>0</v>
      </c>
      <c r="Y83">
        <f t="shared" si="2"/>
        <v>0</v>
      </c>
    </row>
    <row r="84" spans="1:25" ht="15.75" hidden="1" thickBot="1" x14ac:dyDescent="0.3">
      <c r="A84" s="20"/>
      <c r="B84" s="21" t="s">
        <v>28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f t="shared" si="1"/>
        <v>0</v>
      </c>
      <c r="T84" s="25">
        <v>0</v>
      </c>
      <c r="U84" s="25">
        <v>0</v>
      </c>
      <c r="V84" s="36">
        <v>0</v>
      </c>
      <c r="W84" s="25">
        <f t="shared" si="3"/>
        <v>0</v>
      </c>
      <c r="Y84">
        <f t="shared" si="2"/>
        <v>0</v>
      </c>
    </row>
    <row r="85" spans="1:25" ht="15.75" hidden="1" thickBot="1" x14ac:dyDescent="0.3">
      <c r="A85" s="20"/>
      <c r="B85" s="21" t="s">
        <v>29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f t="shared" si="1"/>
        <v>0</v>
      </c>
      <c r="T85" s="25">
        <v>0</v>
      </c>
      <c r="U85" s="25">
        <v>0</v>
      </c>
      <c r="V85" s="36">
        <v>0</v>
      </c>
      <c r="W85" s="25">
        <f t="shared" si="3"/>
        <v>0</v>
      </c>
      <c r="Y85">
        <f t="shared" si="2"/>
        <v>0</v>
      </c>
    </row>
    <row r="86" spans="1:25" ht="15.75" hidden="1" thickBot="1" x14ac:dyDescent="0.3">
      <c r="A86" s="20"/>
      <c r="B86" s="21" t="s">
        <v>30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f t="shared" si="1"/>
        <v>0</v>
      </c>
      <c r="T86" s="25">
        <v>0</v>
      </c>
      <c r="U86" s="25">
        <v>0</v>
      </c>
      <c r="V86" s="36">
        <v>0</v>
      </c>
      <c r="W86" s="25">
        <f t="shared" si="3"/>
        <v>0</v>
      </c>
      <c r="Y86">
        <f t="shared" si="2"/>
        <v>0</v>
      </c>
    </row>
    <row r="87" spans="1:25" ht="15.75" hidden="1" thickBot="1" x14ac:dyDescent="0.3">
      <c r="A87" s="20"/>
      <c r="B87" s="21" t="s">
        <v>31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f t="shared" si="1"/>
        <v>0</v>
      </c>
      <c r="T87" s="25">
        <v>0</v>
      </c>
      <c r="U87" s="25">
        <v>0</v>
      </c>
      <c r="V87" s="36">
        <v>0</v>
      </c>
      <c r="W87" s="25">
        <f t="shared" si="3"/>
        <v>0</v>
      </c>
      <c r="Y87">
        <f t="shared" si="2"/>
        <v>0</v>
      </c>
    </row>
    <row r="88" spans="1:25" ht="15.75" hidden="1" thickBot="1" x14ac:dyDescent="0.3">
      <c r="A88" s="20"/>
      <c r="B88" s="21" t="s">
        <v>32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f t="shared" si="1"/>
        <v>0</v>
      </c>
      <c r="T88" s="25">
        <v>0</v>
      </c>
      <c r="U88" s="25">
        <v>0</v>
      </c>
      <c r="V88" s="36">
        <v>0</v>
      </c>
      <c r="W88" s="25">
        <f t="shared" si="3"/>
        <v>0</v>
      </c>
      <c r="Y88">
        <f t="shared" si="2"/>
        <v>0</v>
      </c>
    </row>
    <row r="89" spans="1:25" ht="15.75" hidden="1" thickBot="1" x14ac:dyDescent="0.3">
      <c r="A89" s="20"/>
      <c r="B89" s="21" t="s">
        <v>33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f t="shared" si="1"/>
        <v>0</v>
      </c>
      <c r="T89" s="25">
        <v>0</v>
      </c>
      <c r="U89" s="25">
        <v>0</v>
      </c>
      <c r="V89" s="36">
        <v>0</v>
      </c>
      <c r="W89" s="25">
        <f t="shared" si="3"/>
        <v>0</v>
      </c>
      <c r="Y89">
        <f t="shared" si="2"/>
        <v>0</v>
      </c>
    </row>
    <row r="90" spans="1:25" ht="15.75" hidden="1" thickBot="1" x14ac:dyDescent="0.3">
      <c r="A90" s="20"/>
      <c r="B90" s="21" t="s">
        <v>34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f t="shared" si="1"/>
        <v>0</v>
      </c>
      <c r="T90" s="25">
        <v>0</v>
      </c>
      <c r="U90" s="25">
        <v>0</v>
      </c>
      <c r="V90" s="36">
        <v>0</v>
      </c>
      <c r="W90" s="25">
        <f t="shared" si="3"/>
        <v>0</v>
      </c>
      <c r="Y90">
        <f t="shared" si="2"/>
        <v>0</v>
      </c>
    </row>
    <row r="91" spans="1:25" ht="15.75" hidden="1" thickBot="1" x14ac:dyDescent="0.3">
      <c r="A91">
        <v>2010</v>
      </c>
      <c r="B91" s="21" t="s">
        <v>35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f t="shared" si="1"/>
        <v>0</v>
      </c>
      <c r="T91" s="25">
        <v>0</v>
      </c>
      <c r="U91" s="25">
        <v>0</v>
      </c>
      <c r="V91" s="36">
        <v>0</v>
      </c>
      <c r="W91" s="25">
        <f t="shared" si="3"/>
        <v>0</v>
      </c>
      <c r="Y91">
        <f t="shared" si="2"/>
        <v>0</v>
      </c>
    </row>
    <row r="92" spans="1:25" ht="15.75" hidden="1" thickBot="1" x14ac:dyDescent="0.3">
      <c r="B92" s="21" t="s">
        <v>24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f t="shared" si="1"/>
        <v>0</v>
      </c>
      <c r="T92" s="25">
        <v>0</v>
      </c>
      <c r="U92" s="25">
        <v>0</v>
      </c>
      <c r="V92" s="36">
        <v>0</v>
      </c>
      <c r="W92" s="25">
        <f t="shared" si="3"/>
        <v>0</v>
      </c>
      <c r="Y92">
        <f t="shared" si="2"/>
        <v>0</v>
      </c>
    </row>
    <row r="93" spans="1:25" ht="15.75" hidden="1" thickBot="1" x14ac:dyDescent="0.3">
      <c r="B93" s="21" t="s">
        <v>25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f t="shared" si="1"/>
        <v>0</v>
      </c>
      <c r="T93" s="25">
        <v>0</v>
      </c>
      <c r="U93" s="25">
        <v>0</v>
      </c>
      <c r="V93" s="36">
        <v>0</v>
      </c>
      <c r="W93" s="25">
        <f t="shared" si="3"/>
        <v>0</v>
      </c>
      <c r="Y93">
        <f t="shared" si="2"/>
        <v>0</v>
      </c>
    </row>
    <row r="94" spans="1:25" ht="15.75" hidden="1" thickBot="1" x14ac:dyDescent="0.3">
      <c r="B94" s="21" t="s">
        <v>26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f t="shared" si="1"/>
        <v>0</v>
      </c>
      <c r="T94" s="25">
        <v>0</v>
      </c>
      <c r="U94" s="25">
        <v>0</v>
      </c>
      <c r="V94" s="36">
        <v>0</v>
      </c>
      <c r="W94" s="25">
        <f t="shared" si="3"/>
        <v>0</v>
      </c>
      <c r="Y94">
        <f t="shared" si="2"/>
        <v>0</v>
      </c>
    </row>
    <row r="95" spans="1:25" ht="15.75" hidden="1" thickBot="1" x14ac:dyDescent="0.3">
      <c r="B95" s="21" t="s">
        <v>27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f t="shared" si="1"/>
        <v>0</v>
      </c>
      <c r="T95" s="25">
        <v>0</v>
      </c>
      <c r="U95" s="25">
        <v>0</v>
      </c>
      <c r="V95" s="36">
        <v>0</v>
      </c>
      <c r="W95" s="25">
        <f t="shared" si="3"/>
        <v>0</v>
      </c>
      <c r="Y95">
        <f t="shared" si="2"/>
        <v>0</v>
      </c>
    </row>
    <row r="96" spans="1:25" ht="15.75" hidden="1" thickBot="1" x14ac:dyDescent="0.3">
      <c r="B96" s="21" t="s">
        <v>28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f t="shared" si="1"/>
        <v>0</v>
      </c>
      <c r="T96" s="25">
        <v>0</v>
      </c>
      <c r="U96" s="25">
        <v>0</v>
      </c>
      <c r="V96" s="36">
        <v>0</v>
      </c>
      <c r="W96" s="25">
        <f t="shared" si="3"/>
        <v>0</v>
      </c>
      <c r="Y96">
        <f t="shared" si="2"/>
        <v>0</v>
      </c>
    </row>
    <row r="97" spans="1:25" ht="15.75" hidden="1" thickBot="1" x14ac:dyDescent="0.3">
      <c r="A97" s="20"/>
      <c r="B97" s="21" t="s">
        <v>29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f t="shared" si="1"/>
        <v>0</v>
      </c>
      <c r="T97" s="25">
        <v>0</v>
      </c>
      <c r="U97" s="25">
        <v>0</v>
      </c>
      <c r="V97" s="36">
        <v>0</v>
      </c>
      <c r="W97" s="25">
        <f t="shared" si="3"/>
        <v>0</v>
      </c>
      <c r="Y97">
        <f t="shared" si="2"/>
        <v>0</v>
      </c>
    </row>
    <row r="98" spans="1:25" ht="15.75" hidden="1" thickBot="1" x14ac:dyDescent="0.3">
      <c r="A98" s="20"/>
      <c r="B98" s="21" t="s">
        <v>30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f t="shared" si="1"/>
        <v>0</v>
      </c>
      <c r="T98" s="25">
        <v>0</v>
      </c>
      <c r="U98" s="25">
        <v>0</v>
      </c>
      <c r="V98" s="36">
        <v>0</v>
      </c>
      <c r="W98" s="25">
        <f t="shared" si="3"/>
        <v>0</v>
      </c>
      <c r="Y98">
        <f t="shared" si="2"/>
        <v>0</v>
      </c>
    </row>
    <row r="99" spans="1:25" ht="15.75" hidden="1" thickBot="1" x14ac:dyDescent="0.3">
      <c r="A99" s="20"/>
      <c r="B99" s="21" t="s">
        <v>31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f t="shared" si="1"/>
        <v>0</v>
      </c>
      <c r="T99" s="25">
        <f t="shared" ref="T99:T162" si="4">W98</f>
        <v>0</v>
      </c>
      <c r="U99" s="25">
        <f t="shared" ref="U99:U162" si="5">S99+T99</f>
        <v>0</v>
      </c>
      <c r="V99" s="36">
        <v>0</v>
      </c>
      <c r="W99" s="25">
        <f t="shared" si="3"/>
        <v>0</v>
      </c>
      <c r="Y99">
        <f t="shared" si="2"/>
        <v>0</v>
      </c>
    </row>
    <row r="100" spans="1:25" ht="15.75" hidden="1" thickBot="1" x14ac:dyDescent="0.3">
      <c r="A100" s="20"/>
      <c r="B100" s="21" t="s">
        <v>32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f t="shared" si="1"/>
        <v>0</v>
      </c>
      <c r="T100" s="25">
        <f t="shared" si="4"/>
        <v>0</v>
      </c>
      <c r="U100" s="25">
        <f t="shared" si="5"/>
        <v>0</v>
      </c>
      <c r="V100" s="36">
        <v>0</v>
      </c>
      <c r="W100" s="25">
        <f t="shared" si="3"/>
        <v>0</v>
      </c>
      <c r="Y100">
        <f t="shared" si="2"/>
        <v>0</v>
      </c>
    </row>
    <row r="101" spans="1:25" ht="15.75" hidden="1" thickBot="1" x14ac:dyDescent="0.3">
      <c r="A101" s="20"/>
      <c r="B101" s="21" t="s">
        <v>33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f t="shared" si="1"/>
        <v>0</v>
      </c>
      <c r="T101" s="25">
        <f t="shared" si="4"/>
        <v>0</v>
      </c>
      <c r="U101" s="25">
        <f t="shared" si="5"/>
        <v>0</v>
      </c>
      <c r="V101" s="36">
        <v>0</v>
      </c>
      <c r="W101" s="25">
        <f t="shared" si="3"/>
        <v>0</v>
      </c>
      <c r="Y101">
        <f t="shared" si="2"/>
        <v>0</v>
      </c>
    </row>
    <row r="102" spans="1:25" ht="15.75" hidden="1" thickBot="1" x14ac:dyDescent="0.3">
      <c r="A102" s="20"/>
      <c r="B102" s="21" t="s">
        <v>34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f t="shared" si="1"/>
        <v>0</v>
      </c>
      <c r="T102" s="25">
        <f t="shared" si="4"/>
        <v>0</v>
      </c>
      <c r="U102" s="25">
        <f t="shared" si="5"/>
        <v>0</v>
      </c>
      <c r="V102" s="36">
        <v>0</v>
      </c>
      <c r="W102" s="25">
        <f t="shared" si="3"/>
        <v>0</v>
      </c>
      <c r="Y102">
        <f t="shared" si="2"/>
        <v>0</v>
      </c>
    </row>
    <row r="103" spans="1:25" ht="15.75" hidden="1" thickBot="1" x14ac:dyDescent="0.3">
      <c r="A103" s="20">
        <v>2011</v>
      </c>
      <c r="B103" s="21" t="s">
        <v>35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f t="shared" si="1"/>
        <v>0</v>
      </c>
      <c r="T103" s="25">
        <f t="shared" si="4"/>
        <v>0</v>
      </c>
      <c r="U103" s="25">
        <f t="shared" si="5"/>
        <v>0</v>
      </c>
      <c r="V103" s="36">
        <v>0</v>
      </c>
      <c r="W103" s="25">
        <f t="shared" si="3"/>
        <v>0</v>
      </c>
      <c r="Y103">
        <f t="shared" si="2"/>
        <v>0</v>
      </c>
    </row>
    <row r="104" spans="1:25" ht="15.75" hidden="1" thickBot="1" x14ac:dyDescent="0.3">
      <c r="A104" s="20"/>
      <c r="B104" s="21" t="s">
        <v>24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f t="shared" si="1"/>
        <v>0</v>
      </c>
      <c r="T104" s="25">
        <f t="shared" si="4"/>
        <v>0</v>
      </c>
      <c r="U104" s="25">
        <f t="shared" si="5"/>
        <v>0</v>
      </c>
      <c r="V104" s="36">
        <v>0</v>
      </c>
      <c r="W104" s="25">
        <f t="shared" si="3"/>
        <v>0</v>
      </c>
      <c r="Y104">
        <f t="shared" si="2"/>
        <v>0</v>
      </c>
    </row>
    <row r="105" spans="1:25" ht="15.75" hidden="1" thickBot="1" x14ac:dyDescent="0.3">
      <c r="A105" s="20"/>
      <c r="B105" s="21" t="s">
        <v>25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0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f t="shared" si="1"/>
        <v>0</v>
      </c>
      <c r="T105" s="25">
        <f t="shared" si="4"/>
        <v>0</v>
      </c>
      <c r="U105" s="25">
        <f t="shared" si="5"/>
        <v>0</v>
      </c>
      <c r="V105" s="36">
        <v>0</v>
      </c>
      <c r="W105" s="25">
        <f t="shared" si="3"/>
        <v>0</v>
      </c>
      <c r="Y105">
        <f t="shared" si="2"/>
        <v>0</v>
      </c>
    </row>
    <row r="106" spans="1:25" ht="15.75" hidden="1" thickBot="1" x14ac:dyDescent="0.3">
      <c r="A106" s="20"/>
      <c r="B106" s="21" t="s">
        <v>26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f t="shared" si="1"/>
        <v>0</v>
      </c>
      <c r="T106" s="25">
        <f t="shared" si="4"/>
        <v>0</v>
      </c>
      <c r="U106" s="25">
        <f t="shared" si="5"/>
        <v>0</v>
      </c>
      <c r="V106" s="36">
        <v>0</v>
      </c>
      <c r="W106" s="25">
        <f t="shared" si="3"/>
        <v>0</v>
      </c>
      <c r="Y106">
        <f t="shared" si="2"/>
        <v>0</v>
      </c>
    </row>
    <row r="107" spans="1:25" ht="15.75" hidden="1" thickBot="1" x14ac:dyDescent="0.3">
      <c r="A107" s="20"/>
      <c r="B107" s="21" t="s">
        <v>27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f t="shared" si="1"/>
        <v>0</v>
      </c>
      <c r="T107" s="25">
        <f t="shared" si="4"/>
        <v>0</v>
      </c>
      <c r="U107" s="25">
        <f t="shared" si="5"/>
        <v>0</v>
      </c>
      <c r="V107" s="36">
        <v>0</v>
      </c>
      <c r="W107" s="25">
        <f t="shared" si="3"/>
        <v>0</v>
      </c>
      <c r="Y107">
        <f t="shared" si="2"/>
        <v>0</v>
      </c>
    </row>
    <row r="108" spans="1:25" ht="15.75" hidden="1" thickBot="1" x14ac:dyDescent="0.3">
      <c r="A108" s="20"/>
      <c r="B108" s="21" t="s">
        <v>28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f t="shared" si="1"/>
        <v>0</v>
      </c>
      <c r="T108" s="25">
        <f t="shared" si="4"/>
        <v>0</v>
      </c>
      <c r="U108" s="25">
        <f t="shared" si="5"/>
        <v>0</v>
      </c>
      <c r="V108" s="36">
        <v>0</v>
      </c>
      <c r="W108" s="25">
        <f t="shared" si="3"/>
        <v>0</v>
      </c>
      <c r="Y108">
        <f t="shared" si="2"/>
        <v>0</v>
      </c>
    </row>
    <row r="109" spans="1:25" ht="15.75" hidden="1" thickBot="1" x14ac:dyDescent="0.3">
      <c r="A109" s="20"/>
      <c r="B109" s="21" t="s">
        <v>29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f t="shared" si="1"/>
        <v>0</v>
      </c>
      <c r="T109" s="25">
        <f t="shared" si="4"/>
        <v>0</v>
      </c>
      <c r="U109" s="25">
        <f t="shared" si="5"/>
        <v>0</v>
      </c>
      <c r="V109" s="36">
        <v>0</v>
      </c>
      <c r="W109" s="25">
        <f t="shared" si="3"/>
        <v>0</v>
      </c>
      <c r="Y109">
        <f t="shared" si="2"/>
        <v>0</v>
      </c>
    </row>
    <row r="110" spans="1:25" ht="15.75" hidden="1" thickBot="1" x14ac:dyDescent="0.3">
      <c r="A110" s="20"/>
      <c r="B110" s="21" t="s">
        <v>30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f t="shared" si="1"/>
        <v>0</v>
      </c>
      <c r="T110" s="25">
        <f t="shared" si="4"/>
        <v>0</v>
      </c>
      <c r="U110" s="25">
        <f t="shared" si="5"/>
        <v>0</v>
      </c>
      <c r="V110" s="36">
        <v>0</v>
      </c>
      <c r="W110" s="25">
        <f t="shared" si="3"/>
        <v>0</v>
      </c>
      <c r="Y110">
        <f t="shared" si="2"/>
        <v>0</v>
      </c>
    </row>
    <row r="111" spans="1:25" ht="15.75" hidden="1" thickBot="1" x14ac:dyDescent="0.3">
      <c r="A111" s="20"/>
      <c r="B111" s="21" t="s">
        <v>31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f t="shared" si="1"/>
        <v>0</v>
      </c>
      <c r="T111" s="25">
        <f t="shared" si="4"/>
        <v>0</v>
      </c>
      <c r="U111" s="25">
        <f t="shared" si="5"/>
        <v>0</v>
      </c>
      <c r="V111" s="36">
        <v>0</v>
      </c>
      <c r="W111" s="25">
        <f t="shared" si="3"/>
        <v>0</v>
      </c>
      <c r="Y111">
        <f t="shared" si="2"/>
        <v>0</v>
      </c>
    </row>
    <row r="112" spans="1:25" ht="15.75" hidden="1" thickBot="1" x14ac:dyDescent="0.3">
      <c r="A112" s="20"/>
      <c r="B112" s="21" t="s">
        <v>32</v>
      </c>
      <c r="C112" s="36">
        <v>0</v>
      </c>
      <c r="D112" s="36">
        <v>0</v>
      </c>
      <c r="E112" s="36">
        <v>0</v>
      </c>
      <c r="F112" s="36">
        <v>0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f t="shared" si="1"/>
        <v>0</v>
      </c>
      <c r="T112" s="25">
        <f t="shared" si="4"/>
        <v>0</v>
      </c>
      <c r="U112" s="25">
        <f t="shared" si="5"/>
        <v>0</v>
      </c>
      <c r="V112" s="36">
        <v>0</v>
      </c>
      <c r="W112" s="25">
        <f t="shared" si="3"/>
        <v>0</v>
      </c>
      <c r="Y112">
        <f t="shared" si="2"/>
        <v>0</v>
      </c>
    </row>
    <row r="113" spans="1:25" ht="15.75" hidden="1" thickBot="1" x14ac:dyDescent="0.3">
      <c r="A113" s="20"/>
      <c r="B113" s="21" t="s">
        <v>33</v>
      </c>
      <c r="C113" s="36">
        <v>0</v>
      </c>
      <c r="D113" s="36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f t="shared" si="1"/>
        <v>0</v>
      </c>
      <c r="T113" s="25">
        <f t="shared" si="4"/>
        <v>0</v>
      </c>
      <c r="U113" s="25">
        <f t="shared" si="5"/>
        <v>0</v>
      </c>
      <c r="V113" s="36">
        <v>0</v>
      </c>
      <c r="W113" s="25">
        <f t="shared" si="3"/>
        <v>0</v>
      </c>
      <c r="Y113">
        <f t="shared" si="2"/>
        <v>0</v>
      </c>
    </row>
    <row r="114" spans="1:25" ht="15.75" hidden="1" thickBot="1" x14ac:dyDescent="0.3">
      <c r="A114" s="20"/>
      <c r="B114" s="21" t="s">
        <v>34</v>
      </c>
      <c r="C114" s="36">
        <v>0</v>
      </c>
      <c r="D114" s="36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f t="shared" si="1"/>
        <v>0</v>
      </c>
      <c r="T114" s="25">
        <f t="shared" si="4"/>
        <v>0</v>
      </c>
      <c r="U114" s="25">
        <f t="shared" si="5"/>
        <v>0</v>
      </c>
      <c r="V114" s="36">
        <v>0</v>
      </c>
      <c r="W114" s="25">
        <f t="shared" si="3"/>
        <v>0</v>
      </c>
      <c r="Y114">
        <f t="shared" si="2"/>
        <v>0</v>
      </c>
    </row>
    <row r="115" spans="1:25" ht="15.75" hidden="1" thickBot="1" x14ac:dyDescent="0.3">
      <c r="A115" s="20">
        <v>2012</v>
      </c>
      <c r="B115" s="21" t="s">
        <v>35</v>
      </c>
      <c r="C115" s="36">
        <v>0</v>
      </c>
      <c r="D115" s="36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f t="shared" si="1"/>
        <v>0</v>
      </c>
      <c r="T115" s="25">
        <f t="shared" si="4"/>
        <v>0</v>
      </c>
      <c r="U115" s="25">
        <f t="shared" si="5"/>
        <v>0</v>
      </c>
      <c r="V115" s="36">
        <v>0</v>
      </c>
      <c r="W115" s="25">
        <f t="shared" si="3"/>
        <v>0</v>
      </c>
      <c r="Y115">
        <f t="shared" si="2"/>
        <v>0</v>
      </c>
    </row>
    <row r="116" spans="1:25" ht="15.75" hidden="1" thickBot="1" x14ac:dyDescent="0.3">
      <c r="A116" s="20"/>
      <c r="B116" s="21" t="s">
        <v>24</v>
      </c>
      <c r="C116" s="36">
        <v>0</v>
      </c>
      <c r="D116" s="36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f t="shared" si="1"/>
        <v>0</v>
      </c>
      <c r="T116" s="25">
        <f t="shared" si="4"/>
        <v>0</v>
      </c>
      <c r="U116" s="25">
        <f t="shared" si="5"/>
        <v>0</v>
      </c>
      <c r="V116" s="36">
        <v>0</v>
      </c>
      <c r="W116" s="25">
        <f t="shared" si="3"/>
        <v>0</v>
      </c>
      <c r="Y116">
        <f t="shared" si="2"/>
        <v>0</v>
      </c>
    </row>
    <row r="117" spans="1:25" ht="15.75" hidden="1" thickBot="1" x14ac:dyDescent="0.3">
      <c r="A117" s="20"/>
      <c r="B117" s="21" t="s">
        <v>25</v>
      </c>
      <c r="C117" s="36">
        <v>0</v>
      </c>
      <c r="D117" s="36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f t="shared" si="1"/>
        <v>0</v>
      </c>
      <c r="T117" s="25">
        <f t="shared" si="4"/>
        <v>0</v>
      </c>
      <c r="U117" s="25">
        <f t="shared" si="5"/>
        <v>0</v>
      </c>
      <c r="V117" s="36">
        <v>0</v>
      </c>
      <c r="W117" s="25">
        <f t="shared" si="3"/>
        <v>0</v>
      </c>
      <c r="Y117">
        <f t="shared" si="2"/>
        <v>0</v>
      </c>
    </row>
    <row r="118" spans="1:25" ht="15.75" hidden="1" thickBot="1" x14ac:dyDescent="0.3">
      <c r="A118" s="20"/>
      <c r="B118" s="21" t="s">
        <v>26</v>
      </c>
      <c r="C118" s="36">
        <v>0</v>
      </c>
      <c r="D118" s="36">
        <v>0</v>
      </c>
      <c r="E118" s="36">
        <v>0</v>
      </c>
      <c r="F118" s="36">
        <v>0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f t="shared" ref="S118:S119" si="6">G118+O118</f>
        <v>0</v>
      </c>
      <c r="T118" s="25">
        <f t="shared" si="4"/>
        <v>0</v>
      </c>
      <c r="U118" s="25">
        <f t="shared" si="5"/>
        <v>0</v>
      </c>
      <c r="V118" s="36">
        <v>0</v>
      </c>
      <c r="W118" s="25">
        <f t="shared" si="3"/>
        <v>0</v>
      </c>
      <c r="Y118">
        <f t="shared" si="2"/>
        <v>0</v>
      </c>
    </row>
    <row r="119" spans="1:25" ht="15.75" hidden="1" thickBot="1" x14ac:dyDescent="0.3">
      <c r="A119" s="20"/>
      <c r="B119" s="21" t="s">
        <v>27</v>
      </c>
      <c r="C119" s="36">
        <v>0</v>
      </c>
      <c r="D119" s="36">
        <v>0</v>
      </c>
      <c r="E119" s="36">
        <v>0</v>
      </c>
      <c r="F119" s="36">
        <v>0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f t="shared" si="6"/>
        <v>0</v>
      </c>
      <c r="T119" s="25">
        <f t="shared" si="4"/>
        <v>0</v>
      </c>
      <c r="U119" s="25">
        <f t="shared" si="5"/>
        <v>0</v>
      </c>
      <c r="V119" s="36">
        <v>0</v>
      </c>
      <c r="W119" s="25">
        <f t="shared" si="3"/>
        <v>0</v>
      </c>
      <c r="Y119">
        <f t="shared" si="2"/>
        <v>0</v>
      </c>
    </row>
    <row r="120" spans="1:25" ht="15.75" hidden="1" thickBot="1" x14ac:dyDescent="0.3">
      <c r="A120" s="20"/>
      <c r="B120" s="21" t="s">
        <v>28</v>
      </c>
      <c r="C120" s="36">
        <v>0</v>
      </c>
      <c r="D120" s="36">
        <v>0</v>
      </c>
      <c r="E120" s="36">
        <v>0</v>
      </c>
      <c r="F120" s="36">
        <v>0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  <c r="O120" s="36">
        <v>0</v>
      </c>
      <c r="P120" s="36">
        <v>0</v>
      </c>
      <c r="Q120" s="36">
        <v>0</v>
      </c>
      <c r="R120" s="36">
        <v>0</v>
      </c>
      <c r="S120" s="36">
        <f t="shared" ref="S120:S183" si="7">G120</f>
        <v>0</v>
      </c>
      <c r="T120" s="25">
        <f t="shared" si="4"/>
        <v>0</v>
      </c>
      <c r="U120" s="25">
        <f t="shared" si="5"/>
        <v>0</v>
      </c>
      <c r="V120" s="36">
        <v>0</v>
      </c>
      <c r="W120" s="25">
        <f t="shared" si="3"/>
        <v>0</v>
      </c>
      <c r="Y120">
        <f t="shared" si="2"/>
        <v>0</v>
      </c>
    </row>
    <row r="121" spans="1:25" ht="15.75" hidden="1" thickBot="1" x14ac:dyDescent="0.3">
      <c r="A121" s="20"/>
      <c r="B121" s="21" t="s">
        <v>29</v>
      </c>
      <c r="C121" s="36">
        <v>0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f t="shared" si="7"/>
        <v>0</v>
      </c>
      <c r="T121" s="25">
        <f t="shared" si="4"/>
        <v>0</v>
      </c>
      <c r="U121" s="25">
        <f t="shared" si="5"/>
        <v>0</v>
      </c>
      <c r="V121" s="36">
        <v>0</v>
      </c>
      <c r="W121" s="25">
        <f t="shared" si="3"/>
        <v>0</v>
      </c>
      <c r="Y121">
        <f t="shared" si="2"/>
        <v>0</v>
      </c>
    </row>
    <row r="122" spans="1:25" ht="15.75" hidden="1" thickBot="1" x14ac:dyDescent="0.3">
      <c r="A122" s="20"/>
      <c r="B122" s="21" t="s">
        <v>30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f t="shared" si="7"/>
        <v>0</v>
      </c>
      <c r="T122" s="25">
        <f t="shared" si="4"/>
        <v>0</v>
      </c>
      <c r="U122" s="25">
        <f t="shared" si="5"/>
        <v>0</v>
      </c>
      <c r="V122" s="36">
        <v>0</v>
      </c>
      <c r="W122" s="25">
        <f t="shared" si="3"/>
        <v>0</v>
      </c>
      <c r="Y122">
        <f t="shared" si="2"/>
        <v>0</v>
      </c>
    </row>
    <row r="123" spans="1:25" ht="15.75" hidden="1" thickBot="1" x14ac:dyDescent="0.3">
      <c r="A123" s="20"/>
      <c r="B123" s="21" t="s">
        <v>31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f t="shared" si="7"/>
        <v>0</v>
      </c>
      <c r="T123" s="25">
        <f t="shared" si="4"/>
        <v>0</v>
      </c>
      <c r="U123" s="25">
        <f t="shared" si="5"/>
        <v>0</v>
      </c>
      <c r="V123" s="36">
        <v>0</v>
      </c>
      <c r="W123" s="25">
        <f t="shared" si="3"/>
        <v>0</v>
      </c>
      <c r="Y123">
        <f t="shared" si="2"/>
        <v>0</v>
      </c>
    </row>
    <row r="124" spans="1:25" ht="15.75" hidden="1" thickBot="1" x14ac:dyDescent="0.3">
      <c r="A124" s="20"/>
      <c r="B124" s="21" t="s">
        <v>32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f t="shared" si="7"/>
        <v>0</v>
      </c>
      <c r="T124" s="25">
        <f t="shared" si="4"/>
        <v>0</v>
      </c>
      <c r="U124" s="25">
        <f t="shared" si="5"/>
        <v>0</v>
      </c>
      <c r="V124" s="36">
        <v>0</v>
      </c>
      <c r="W124" s="25">
        <f t="shared" si="3"/>
        <v>0</v>
      </c>
      <c r="Y124">
        <f t="shared" si="2"/>
        <v>0</v>
      </c>
    </row>
    <row r="125" spans="1:25" ht="15.75" hidden="1" thickBot="1" x14ac:dyDescent="0.3">
      <c r="A125" s="20"/>
      <c r="B125" s="21" t="s">
        <v>33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f t="shared" si="7"/>
        <v>0</v>
      </c>
      <c r="T125" s="25">
        <f t="shared" si="4"/>
        <v>0</v>
      </c>
      <c r="U125" s="25">
        <f t="shared" si="5"/>
        <v>0</v>
      </c>
      <c r="V125" s="36">
        <v>0</v>
      </c>
      <c r="W125" s="25">
        <f t="shared" si="3"/>
        <v>0</v>
      </c>
      <c r="Y125">
        <f t="shared" si="2"/>
        <v>0</v>
      </c>
    </row>
    <row r="126" spans="1:25" ht="15.75" hidden="1" thickBot="1" x14ac:dyDescent="0.3">
      <c r="A126" s="20"/>
      <c r="B126" s="21" t="s">
        <v>34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f t="shared" si="7"/>
        <v>0</v>
      </c>
      <c r="T126" s="25">
        <f t="shared" si="4"/>
        <v>0</v>
      </c>
      <c r="U126" s="25">
        <f t="shared" si="5"/>
        <v>0</v>
      </c>
      <c r="V126" s="36">
        <v>0</v>
      </c>
      <c r="W126" s="25">
        <f t="shared" si="3"/>
        <v>0</v>
      </c>
      <c r="Y126">
        <f t="shared" si="2"/>
        <v>0</v>
      </c>
    </row>
    <row r="127" spans="1:25" ht="15.75" hidden="1" thickBot="1" x14ac:dyDescent="0.3">
      <c r="A127" s="20">
        <v>2013</v>
      </c>
      <c r="B127" s="21" t="s">
        <v>35</v>
      </c>
      <c r="C127" s="36"/>
      <c r="D127" s="36"/>
      <c r="E127" s="36">
        <v>0</v>
      </c>
      <c r="F127" s="36"/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/>
      <c r="P127" s="36">
        <v>0</v>
      </c>
      <c r="Q127" s="36">
        <v>0</v>
      </c>
      <c r="R127" s="36">
        <v>0</v>
      </c>
      <c r="S127" s="36">
        <f t="shared" si="7"/>
        <v>0</v>
      </c>
      <c r="T127" s="25">
        <f t="shared" si="4"/>
        <v>0</v>
      </c>
      <c r="U127" s="25">
        <f t="shared" si="5"/>
        <v>0</v>
      </c>
      <c r="V127" s="36"/>
      <c r="W127" s="25">
        <f t="shared" si="3"/>
        <v>0</v>
      </c>
      <c r="Y127">
        <f t="shared" si="2"/>
        <v>0</v>
      </c>
    </row>
    <row r="128" spans="1:25" ht="15.75" hidden="1" thickBot="1" x14ac:dyDescent="0.3">
      <c r="A128" s="20"/>
      <c r="B128" s="21" t="s">
        <v>24</v>
      </c>
      <c r="C128" s="36"/>
      <c r="D128" s="36"/>
      <c r="E128" s="36">
        <v>0</v>
      </c>
      <c r="F128" s="36"/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/>
      <c r="P128" s="36">
        <v>0</v>
      </c>
      <c r="Q128" s="36">
        <v>0</v>
      </c>
      <c r="R128" s="36">
        <v>0</v>
      </c>
      <c r="S128" s="36">
        <f t="shared" si="7"/>
        <v>0</v>
      </c>
      <c r="T128" s="25">
        <f t="shared" si="4"/>
        <v>0</v>
      </c>
      <c r="U128" s="25">
        <f t="shared" si="5"/>
        <v>0</v>
      </c>
      <c r="V128" s="36"/>
      <c r="W128" s="25">
        <f t="shared" si="3"/>
        <v>0</v>
      </c>
      <c r="Y128">
        <f t="shared" si="2"/>
        <v>0</v>
      </c>
    </row>
    <row r="129" spans="1:25" ht="15.75" hidden="1" thickBot="1" x14ac:dyDescent="0.3">
      <c r="A129" s="20"/>
      <c r="B129" s="21" t="s">
        <v>25</v>
      </c>
      <c r="C129" s="36"/>
      <c r="D129" s="36"/>
      <c r="E129" s="36">
        <v>0</v>
      </c>
      <c r="F129" s="36"/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/>
      <c r="P129" s="36">
        <v>0</v>
      </c>
      <c r="Q129" s="36">
        <v>0</v>
      </c>
      <c r="R129" s="36">
        <v>0</v>
      </c>
      <c r="S129" s="36">
        <f t="shared" si="7"/>
        <v>0</v>
      </c>
      <c r="T129" s="25">
        <f t="shared" si="4"/>
        <v>0</v>
      </c>
      <c r="U129" s="25">
        <f t="shared" si="5"/>
        <v>0</v>
      </c>
      <c r="V129" s="36"/>
      <c r="W129" s="25">
        <f t="shared" si="3"/>
        <v>0</v>
      </c>
      <c r="Y129">
        <f t="shared" si="2"/>
        <v>0</v>
      </c>
    </row>
    <row r="130" spans="1:25" ht="15.75" hidden="1" thickBot="1" x14ac:dyDescent="0.3">
      <c r="A130" s="20"/>
      <c r="B130" s="21" t="s">
        <v>26</v>
      </c>
      <c r="C130" s="36"/>
      <c r="D130" s="36"/>
      <c r="E130" s="36">
        <v>0</v>
      </c>
      <c r="F130" s="36"/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/>
      <c r="P130" s="36">
        <v>0</v>
      </c>
      <c r="Q130" s="36">
        <v>0</v>
      </c>
      <c r="R130" s="36">
        <v>0</v>
      </c>
      <c r="S130" s="36">
        <f t="shared" si="7"/>
        <v>0</v>
      </c>
      <c r="T130" s="25">
        <f t="shared" si="4"/>
        <v>0</v>
      </c>
      <c r="U130" s="25">
        <f t="shared" si="5"/>
        <v>0</v>
      </c>
      <c r="V130" s="36"/>
      <c r="W130" s="25">
        <f t="shared" si="3"/>
        <v>0</v>
      </c>
      <c r="Y130">
        <f t="shared" si="2"/>
        <v>0</v>
      </c>
    </row>
    <row r="131" spans="1:25" ht="15.75" hidden="1" thickBot="1" x14ac:dyDescent="0.3">
      <c r="A131" s="20"/>
      <c r="B131" s="21" t="s">
        <v>27</v>
      </c>
      <c r="C131" s="36"/>
      <c r="D131" s="36"/>
      <c r="E131" s="36">
        <v>0</v>
      </c>
      <c r="F131" s="36"/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/>
      <c r="P131" s="36">
        <v>0</v>
      </c>
      <c r="Q131" s="36">
        <v>0</v>
      </c>
      <c r="R131" s="36">
        <v>0</v>
      </c>
      <c r="S131" s="36">
        <f t="shared" si="7"/>
        <v>0</v>
      </c>
      <c r="T131" s="25">
        <f t="shared" si="4"/>
        <v>0</v>
      </c>
      <c r="U131" s="25">
        <f t="shared" si="5"/>
        <v>0</v>
      </c>
      <c r="V131" s="36"/>
      <c r="W131" s="25">
        <f t="shared" si="3"/>
        <v>0</v>
      </c>
      <c r="Y131">
        <f t="shared" si="2"/>
        <v>0</v>
      </c>
    </row>
    <row r="132" spans="1:25" ht="15.75" hidden="1" thickBot="1" x14ac:dyDescent="0.3">
      <c r="A132" s="20"/>
      <c r="B132" s="21" t="s">
        <v>28</v>
      </c>
      <c r="C132" s="36"/>
      <c r="D132" s="36"/>
      <c r="E132" s="36">
        <v>0</v>
      </c>
      <c r="F132" s="36"/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/>
      <c r="P132" s="36">
        <v>0</v>
      </c>
      <c r="Q132" s="36">
        <v>0</v>
      </c>
      <c r="R132" s="36">
        <v>0</v>
      </c>
      <c r="S132" s="36">
        <f t="shared" si="7"/>
        <v>0</v>
      </c>
      <c r="T132" s="25">
        <f t="shared" si="4"/>
        <v>0</v>
      </c>
      <c r="U132" s="25">
        <f t="shared" si="5"/>
        <v>0</v>
      </c>
      <c r="V132" s="36"/>
      <c r="W132" s="25">
        <f t="shared" si="3"/>
        <v>0</v>
      </c>
      <c r="Y132">
        <f t="shared" si="2"/>
        <v>0</v>
      </c>
    </row>
    <row r="133" spans="1:25" ht="15.75" hidden="1" thickBot="1" x14ac:dyDescent="0.3">
      <c r="A133" s="20"/>
      <c r="B133" s="21" t="s">
        <v>29</v>
      </c>
      <c r="C133" s="36"/>
      <c r="D133" s="36"/>
      <c r="E133" s="36">
        <v>0</v>
      </c>
      <c r="F133" s="36"/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/>
      <c r="P133" s="36">
        <v>0</v>
      </c>
      <c r="Q133" s="36">
        <v>0</v>
      </c>
      <c r="R133" s="36">
        <v>0</v>
      </c>
      <c r="S133" s="36">
        <f t="shared" si="7"/>
        <v>0</v>
      </c>
      <c r="T133" s="25">
        <f t="shared" si="4"/>
        <v>0</v>
      </c>
      <c r="U133" s="25">
        <f t="shared" si="5"/>
        <v>0</v>
      </c>
      <c r="V133" s="36"/>
      <c r="W133" s="25">
        <f t="shared" si="3"/>
        <v>0</v>
      </c>
      <c r="Y133">
        <f t="shared" si="2"/>
        <v>0</v>
      </c>
    </row>
    <row r="134" spans="1:25" ht="15.75" hidden="1" thickBot="1" x14ac:dyDescent="0.3">
      <c r="A134" s="20"/>
      <c r="B134" s="21" t="s">
        <v>30</v>
      </c>
      <c r="C134" s="36"/>
      <c r="D134" s="36"/>
      <c r="E134" s="36">
        <v>0</v>
      </c>
      <c r="F134" s="36"/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/>
      <c r="P134" s="36">
        <v>0</v>
      </c>
      <c r="Q134" s="36">
        <v>0</v>
      </c>
      <c r="R134" s="36">
        <v>0</v>
      </c>
      <c r="S134" s="36">
        <f t="shared" si="7"/>
        <v>0</v>
      </c>
      <c r="T134" s="25">
        <f t="shared" si="4"/>
        <v>0</v>
      </c>
      <c r="U134" s="25">
        <f t="shared" si="5"/>
        <v>0</v>
      </c>
      <c r="V134" s="36"/>
      <c r="W134" s="25">
        <f t="shared" si="3"/>
        <v>0</v>
      </c>
      <c r="Y134">
        <f t="shared" si="2"/>
        <v>0</v>
      </c>
    </row>
    <row r="135" spans="1:25" ht="15.75" hidden="1" thickBot="1" x14ac:dyDescent="0.3">
      <c r="A135" s="20"/>
      <c r="B135" s="21" t="s">
        <v>31</v>
      </c>
      <c r="C135" s="36"/>
      <c r="D135" s="36"/>
      <c r="E135" s="36">
        <v>0</v>
      </c>
      <c r="F135" s="36"/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/>
      <c r="P135" s="36">
        <v>0</v>
      </c>
      <c r="Q135" s="36">
        <v>0</v>
      </c>
      <c r="R135" s="36">
        <v>0</v>
      </c>
      <c r="S135" s="36">
        <f t="shared" si="7"/>
        <v>0</v>
      </c>
      <c r="T135" s="25">
        <f t="shared" si="4"/>
        <v>0</v>
      </c>
      <c r="U135" s="25">
        <f t="shared" si="5"/>
        <v>0</v>
      </c>
      <c r="V135" s="36"/>
      <c r="W135" s="25">
        <f t="shared" si="3"/>
        <v>0</v>
      </c>
      <c r="Y135">
        <f t="shared" si="2"/>
        <v>0</v>
      </c>
    </row>
    <row r="136" spans="1:25" ht="15.75" hidden="1" thickBot="1" x14ac:dyDescent="0.3">
      <c r="A136" s="20"/>
      <c r="B136" s="21" t="s">
        <v>32</v>
      </c>
      <c r="C136" s="36"/>
      <c r="D136" s="36"/>
      <c r="E136" s="36">
        <v>0</v>
      </c>
      <c r="F136" s="36"/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/>
      <c r="P136" s="36">
        <v>0</v>
      </c>
      <c r="Q136" s="36">
        <v>0</v>
      </c>
      <c r="R136" s="36">
        <v>0</v>
      </c>
      <c r="S136" s="36">
        <f t="shared" si="7"/>
        <v>0</v>
      </c>
      <c r="T136" s="25">
        <f t="shared" si="4"/>
        <v>0</v>
      </c>
      <c r="U136" s="25">
        <f t="shared" si="5"/>
        <v>0</v>
      </c>
      <c r="V136" s="36"/>
      <c r="W136" s="25">
        <f t="shared" si="3"/>
        <v>0</v>
      </c>
      <c r="Y136">
        <f t="shared" si="2"/>
        <v>0</v>
      </c>
    </row>
    <row r="137" spans="1:25" ht="15.75" hidden="1" thickBot="1" x14ac:dyDescent="0.3">
      <c r="A137" s="20"/>
      <c r="B137" s="21" t="s">
        <v>33</v>
      </c>
      <c r="C137" s="36">
        <v>2</v>
      </c>
      <c r="D137" s="36">
        <v>2</v>
      </c>
      <c r="E137" s="36">
        <v>0</v>
      </c>
      <c r="F137" s="36">
        <v>146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/>
      <c r="P137" s="36">
        <v>0</v>
      </c>
      <c r="Q137" s="36">
        <v>0</v>
      </c>
      <c r="R137" s="36">
        <v>0</v>
      </c>
      <c r="S137" s="36">
        <f t="shared" si="7"/>
        <v>0</v>
      </c>
      <c r="T137" s="25">
        <f t="shared" si="4"/>
        <v>0</v>
      </c>
      <c r="U137" s="25">
        <f t="shared" si="5"/>
        <v>0</v>
      </c>
      <c r="V137" s="36">
        <v>8760</v>
      </c>
      <c r="W137" s="25">
        <f t="shared" si="3"/>
        <v>-8760</v>
      </c>
      <c r="Y137">
        <f t="shared" ref="Y137:Y182" si="8">IF(W137&gt;1,Y136+1,)</f>
        <v>0</v>
      </c>
    </row>
    <row r="138" spans="1:25" ht="15.75" hidden="1" thickBot="1" x14ac:dyDescent="0.3">
      <c r="A138" s="20"/>
      <c r="B138" s="21" t="s">
        <v>34</v>
      </c>
      <c r="C138" s="36">
        <v>2</v>
      </c>
      <c r="D138" s="36">
        <v>12</v>
      </c>
      <c r="E138" s="36">
        <v>10</v>
      </c>
      <c r="F138" s="36">
        <v>146</v>
      </c>
      <c r="G138" s="36">
        <v>1460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/>
      <c r="P138" s="36">
        <v>0</v>
      </c>
      <c r="Q138" s="36">
        <v>0</v>
      </c>
      <c r="R138" s="36">
        <v>0</v>
      </c>
      <c r="S138" s="36">
        <f t="shared" si="7"/>
        <v>1460</v>
      </c>
      <c r="T138" s="25">
        <f t="shared" si="4"/>
        <v>-8760</v>
      </c>
      <c r="U138" s="25">
        <f t="shared" si="5"/>
        <v>-7300</v>
      </c>
      <c r="V138" s="36"/>
      <c r="W138" s="25">
        <f t="shared" si="3"/>
        <v>-7300</v>
      </c>
      <c r="Y138">
        <f t="shared" si="8"/>
        <v>0</v>
      </c>
    </row>
    <row r="139" spans="1:25" ht="15.75" hidden="1" thickBot="1" x14ac:dyDescent="0.3">
      <c r="A139" s="20">
        <v>2014</v>
      </c>
      <c r="B139" s="21" t="s">
        <v>35</v>
      </c>
      <c r="C139" s="36">
        <v>12</v>
      </c>
      <c r="D139" s="36">
        <v>24</v>
      </c>
      <c r="E139" s="36">
        <v>12</v>
      </c>
      <c r="F139" s="36">
        <v>146</v>
      </c>
      <c r="G139" s="36">
        <v>1752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/>
      <c r="P139" s="36">
        <v>0</v>
      </c>
      <c r="Q139" s="36">
        <v>0</v>
      </c>
      <c r="R139" s="36">
        <v>0</v>
      </c>
      <c r="S139" s="36">
        <f t="shared" si="7"/>
        <v>1752</v>
      </c>
      <c r="T139" s="25">
        <f t="shared" si="4"/>
        <v>-7300</v>
      </c>
      <c r="U139" s="25">
        <f t="shared" si="5"/>
        <v>-5548</v>
      </c>
      <c r="V139" s="36"/>
      <c r="W139" s="25">
        <f t="shared" ref="W139:W185" si="9">U139-V139</f>
        <v>-5548</v>
      </c>
      <c r="Y139">
        <f t="shared" si="8"/>
        <v>0</v>
      </c>
    </row>
    <row r="140" spans="1:25" ht="15.75" hidden="1" thickBot="1" x14ac:dyDescent="0.3">
      <c r="A140" s="20"/>
      <c r="B140" s="21" t="s">
        <v>24</v>
      </c>
      <c r="C140" s="36">
        <v>24</v>
      </c>
      <c r="D140" s="36">
        <v>32</v>
      </c>
      <c r="E140" s="36">
        <v>8</v>
      </c>
      <c r="F140" s="36">
        <v>146</v>
      </c>
      <c r="G140" s="36">
        <v>1168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/>
      <c r="P140" s="36">
        <v>0</v>
      </c>
      <c r="Q140" s="36">
        <v>0</v>
      </c>
      <c r="R140" s="36">
        <v>0</v>
      </c>
      <c r="S140" s="36">
        <f t="shared" si="7"/>
        <v>1168</v>
      </c>
      <c r="T140" s="25">
        <f t="shared" si="4"/>
        <v>-5548</v>
      </c>
      <c r="U140" s="25">
        <f t="shared" si="5"/>
        <v>-4380</v>
      </c>
      <c r="V140" s="36"/>
      <c r="W140" s="25">
        <f t="shared" si="9"/>
        <v>-4380</v>
      </c>
      <c r="Y140">
        <f t="shared" si="8"/>
        <v>0</v>
      </c>
    </row>
    <row r="141" spans="1:25" ht="15.75" hidden="1" thickBot="1" x14ac:dyDescent="0.3">
      <c r="A141" s="20"/>
      <c r="B141" s="21" t="s">
        <v>25</v>
      </c>
      <c r="C141" s="36">
        <v>32</v>
      </c>
      <c r="D141" s="36">
        <v>51</v>
      </c>
      <c r="E141" s="36">
        <v>19</v>
      </c>
      <c r="F141" s="36">
        <v>146</v>
      </c>
      <c r="G141" s="36">
        <v>2774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/>
      <c r="P141" s="36">
        <v>0</v>
      </c>
      <c r="Q141" s="36">
        <v>0</v>
      </c>
      <c r="R141" s="36">
        <v>0</v>
      </c>
      <c r="S141" s="36">
        <f t="shared" si="7"/>
        <v>2774</v>
      </c>
      <c r="T141" s="25">
        <f t="shared" si="4"/>
        <v>-4380</v>
      </c>
      <c r="U141" s="25">
        <f t="shared" si="5"/>
        <v>-1606</v>
      </c>
      <c r="V141" s="36"/>
      <c r="W141" s="25">
        <f t="shared" si="9"/>
        <v>-1606</v>
      </c>
      <c r="Y141">
        <f t="shared" si="8"/>
        <v>0</v>
      </c>
    </row>
    <row r="142" spans="1:25" ht="15.75" hidden="1" thickBot="1" x14ac:dyDescent="0.3">
      <c r="A142" s="20"/>
      <c r="B142" s="21" t="s">
        <v>26</v>
      </c>
      <c r="C142" s="36">
        <v>51</v>
      </c>
      <c r="D142" s="36">
        <v>64</v>
      </c>
      <c r="E142" s="36">
        <v>13</v>
      </c>
      <c r="F142" s="36">
        <v>146</v>
      </c>
      <c r="G142" s="36">
        <v>1898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/>
      <c r="P142" s="36">
        <v>0</v>
      </c>
      <c r="Q142" s="36">
        <v>0</v>
      </c>
      <c r="R142" s="36">
        <v>0</v>
      </c>
      <c r="S142" s="36">
        <f t="shared" si="7"/>
        <v>1898</v>
      </c>
      <c r="T142" s="25">
        <f t="shared" si="4"/>
        <v>-1606</v>
      </c>
      <c r="U142" s="25">
        <f t="shared" si="5"/>
        <v>292</v>
      </c>
      <c r="V142" s="36"/>
      <c r="W142" s="25">
        <f t="shared" si="9"/>
        <v>292</v>
      </c>
      <c r="Y142">
        <f t="shared" si="8"/>
        <v>1</v>
      </c>
    </row>
    <row r="143" spans="1:25" ht="15.75" hidden="1" thickBot="1" x14ac:dyDescent="0.3">
      <c r="A143" s="20"/>
      <c r="B143" s="21" t="s">
        <v>27</v>
      </c>
      <c r="C143" s="36">
        <v>64</v>
      </c>
      <c r="D143" s="36">
        <v>72</v>
      </c>
      <c r="E143" s="36">
        <v>8</v>
      </c>
      <c r="F143" s="36">
        <v>146</v>
      </c>
      <c r="G143" s="36">
        <v>1168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/>
      <c r="P143" s="36">
        <v>0</v>
      </c>
      <c r="Q143" s="36">
        <v>0</v>
      </c>
      <c r="R143" s="36">
        <v>0</v>
      </c>
      <c r="S143" s="36">
        <f t="shared" si="7"/>
        <v>1168</v>
      </c>
      <c r="T143" s="25">
        <f t="shared" si="4"/>
        <v>292</v>
      </c>
      <c r="U143" s="25">
        <f t="shared" si="5"/>
        <v>1460</v>
      </c>
      <c r="V143" s="36"/>
      <c r="W143" s="25">
        <f t="shared" si="9"/>
        <v>1460</v>
      </c>
      <c r="Y143">
        <f t="shared" si="8"/>
        <v>2</v>
      </c>
    </row>
    <row r="144" spans="1:25" ht="15.75" hidden="1" thickBot="1" x14ac:dyDescent="0.3">
      <c r="A144" s="20"/>
      <c r="B144" s="21" t="s">
        <v>28</v>
      </c>
      <c r="C144" s="36">
        <v>72</v>
      </c>
      <c r="D144" s="36">
        <v>94</v>
      </c>
      <c r="E144" s="36">
        <v>22</v>
      </c>
      <c r="F144" s="36">
        <v>146</v>
      </c>
      <c r="G144" s="36">
        <v>3212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/>
      <c r="P144" s="36">
        <v>0</v>
      </c>
      <c r="Q144" s="36">
        <v>0</v>
      </c>
      <c r="R144" s="36">
        <v>0</v>
      </c>
      <c r="S144" s="36">
        <f t="shared" si="7"/>
        <v>3212</v>
      </c>
      <c r="T144" s="25">
        <f t="shared" si="4"/>
        <v>1460</v>
      </c>
      <c r="U144" s="25">
        <f t="shared" si="5"/>
        <v>4672</v>
      </c>
      <c r="V144" s="36">
        <v>25000</v>
      </c>
      <c r="W144" s="25">
        <f t="shared" si="9"/>
        <v>-20328</v>
      </c>
      <c r="Y144">
        <f t="shared" si="8"/>
        <v>0</v>
      </c>
    </row>
    <row r="145" spans="1:25" ht="15.75" hidden="1" thickBot="1" x14ac:dyDescent="0.3">
      <c r="A145" s="20"/>
      <c r="B145" s="21" t="s">
        <v>29</v>
      </c>
      <c r="C145" s="36">
        <v>94</v>
      </c>
      <c r="D145" s="36">
        <v>113</v>
      </c>
      <c r="E145" s="36">
        <v>19</v>
      </c>
      <c r="F145" s="36">
        <v>146</v>
      </c>
      <c r="G145" s="36">
        <v>2774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/>
      <c r="P145" s="36">
        <v>0</v>
      </c>
      <c r="Q145" s="36">
        <v>0</v>
      </c>
      <c r="R145" s="36">
        <v>0</v>
      </c>
      <c r="S145" s="36">
        <f t="shared" si="7"/>
        <v>2774</v>
      </c>
      <c r="T145" s="25">
        <f t="shared" si="4"/>
        <v>-20328</v>
      </c>
      <c r="U145" s="25">
        <f t="shared" si="5"/>
        <v>-17554</v>
      </c>
      <c r="V145" s="36"/>
      <c r="W145" s="25">
        <f t="shared" si="9"/>
        <v>-17554</v>
      </c>
      <c r="Y145">
        <f t="shared" si="8"/>
        <v>0</v>
      </c>
    </row>
    <row r="146" spans="1:25" ht="15.75" hidden="1" thickBot="1" x14ac:dyDescent="0.3">
      <c r="A146" s="20"/>
      <c r="B146" s="21" t="s">
        <v>30</v>
      </c>
      <c r="C146" s="36">
        <v>113</v>
      </c>
      <c r="D146" s="36">
        <v>156</v>
      </c>
      <c r="E146" s="36">
        <v>43</v>
      </c>
      <c r="F146" s="36">
        <v>146</v>
      </c>
      <c r="G146" s="36">
        <v>6278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/>
      <c r="P146" s="36">
        <v>0</v>
      </c>
      <c r="Q146" s="36">
        <v>0</v>
      </c>
      <c r="R146" s="36">
        <v>0</v>
      </c>
      <c r="S146" s="36">
        <f t="shared" si="7"/>
        <v>6278</v>
      </c>
      <c r="T146" s="25">
        <f t="shared" si="4"/>
        <v>-17554</v>
      </c>
      <c r="U146" s="25">
        <f t="shared" si="5"/>
        <v>-11276</v>
      </c>
      <c r="V146" s="36"/>
      <c r="W146" s="25">
        <f t="shared" si="9"/>
        <v>-11276</v>
      </c>
      <c r="Y146">
        <f t="shared" si="8"/>
        <v>0</v>
      </c>
    </row>
    <row r="147" spans="1:25" ht="15.75" hidden="1" thickBot="1" x14ac:dyDescent="0.3">
      <c r="A147" s="20"/>
      <c r="B147" s="21" t="s">
        <v>31</v>
      </c>
      <c r="C147" s="36">
        <v>156</v>
      </c>
      <c r="D147" s="36">
        <v>198</v>
      </c>
      <c r="E147" s="36">
        <v>42</v>
      </c>
      <c r="F147" s="36">
        <v>146</v>
      </c>
      <c r="G147" s="36">
        <v>6132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/>
      <c r="P147" s="36">
        <v>0</v>
      </c>
      <c r="Q147" s="36">
        <v>0</v>
      </c>
      <c r="R147" s="36">
        <v>0</v>
      </c>
      <c r="S147" s="36">
        <f t="shared" si="7"/>
        <v>6132</v>
      </c>
      <c r="T147" s="25">
        <f t="shared" si="4"/>
        <v>-11276</v>
      </c>
      <c r="U147" s="25">
        <f t="shared" si="5"/>
        <v>-5144</v>
      </c>
      <c r="V147" s="36"/>
      <c r="W147" s="25">
        <f t="shared" si="9"/>
        <v>-5144</v>
      </c>
      <c r="Y147">
        <f t="shared" si="8"/>
        <v>0</v>
      </c>
    </row>
    <row r="148" spans="1:25" ht="15.75" hidden="1" thickBot="1" x14ac:dyDescent="0.3">
      <c r="A148" s="20"/>
      <c r="B148" s="21" t="s">
        <v>32</v>
      </c>
      <c r="C148" s="36">
        <v>198</v>
      </c>
      <c r="D148" s="36">
        <v>371</v>
      </c>
      <c r="E148" s="36">
        <v>173</v>
      </c>
      <c r="F148" s="36">
        <v>146</v>
      </c>
      <c r="G148" s="36">
        <v>25258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/>
      <c r="P148" s="36">
        <v>0</v>
      </c>
      <c r="Q148" s="36">
        <v>0</v>
      </c>
      <c r="R148" s="36">
        <v>0</v>
      </c>
      <c r="S148" s="36">
        <f t="shared" si="7"/>
        <v>25258</v>
      </c>
      <c r="T148" s="25">
        <f t="shared" si="4"/>
        <v>-5144</v>
      </c>
      <c r="U148" s="25">
        <f t="shared" si="5"/>
        <v>20114</v>
      </c>
      <c r="V148" s="36">
        <v>50000</v>
      </c>
      <c r="W148" s="25">
        <f t="shared" si="9"/>
        <v>-29886</v>
      </c>
      <c r="Y148">
        <f t="shared" si="8"/>
        <v>0</v>
      </c>
    </row>
    <row r="149" spans="1:25" ht="15.75" hidden="1" thickBot="1" x14ac:dyDescent="0.3">
      <c r="A149" s="20"/>
      <c r="B149" s="21" t="s">
        <v>33</v>
      </c>
      <c r="C149" s="36">
        <v>371</v>
      </c>
      <c r="D149" s="36">
        <v>577</v>
      </c>
      <c r="E149" s="36">
        <v>206</v>
      </c>
      <c r="F149" s="36">
        <v>146</v>
      </c>
      <c r="G149" s="36">
        <v>30076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/>
      <c r="P149" s="36">
        <v>0</v>
      </c>
      <c r="Q149" s="36">
        <v>0</v>
      </c>
      <c r="R149" s="36">
        <v>0</v>
      </c>
      <c r="S149" s="36">
        <f t="shared" si="7"/>
        <v>30076</v>
      </c>
      <c r="T149" s="25">
        <f t="shared" si="4"/>
        <v>-29886</v>
      </c>
      <c r="U149" s="25">
        <f t="shared" si="5"/>
        <v>190</v>
      </c>
      <c r="V149" s="36">
        <v>60000</v>
      </c>
      <c r="W149" s="25">
        <f t="shared" si="9"/>
        <v>-59810</v>
      </c>
      <c r="Y149">
        <f t="shared" si="8"/>
        <v>0</v>
      </c>
    </row>
    <row r="150" spans="1:25" ht="15.75" hidden="1" thickBot="1" x14ac:dyDescent="0.3">
      <c r="A150" s="20"/>
      <c r="B150" s="21" t="s">
        <v>34</v>
      </c>
      <c r="C150" s="36">
        <v>577</v>
      </c>
      <c r="D150" s="36">
        <v>791</v>
      </c>
      <c r="E150" s="36">
        <v>214</v>
      </c>
      <c r="F150" s="36">
        <v>146</v>
      </c>
      <c r="G150" s="36">
        <v>31244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/>
      <c r="P150" s="36">
        <v>0</v>
      </c>
      <c r="Q150" s="36">
        <v>0</v>
      </c>
      <c r="R150" s="36">
        <v>0</v>
      </c>
      <c r="S150" s="36">
        <f t="shared" si="7"/>
        <v>31244</v>
      </c>
      <c r="T150" s="25">
        <f t="shared" si="4"/>
        <v>-59810</v>
      </c>
      <c r="U150" s="25">
        <f t="shared" si="5"/>
        <v>-28566</v>
      </c>
      <c r="V150" s="36"/>
      <c r="W150" s="25">
        <f t="shared" si="9"/>
        <v>-28566</v>
      </c>
      <c r="Y150">
        <f t="shared" si="8"/>
        <v>0</v>
      </c>
    </row>
    <row r="151" spans="1:25" ht="15.75" hidden="1" thickBot="1" x14ac:dyDescent="0.3">
      <c r="A151" s="20">
        <v>2015</v>
      </c>
      <c r="B151" s="21" t="s">
        <v>35</v>
      </c>
      <c r="C151" s="36">
        <v>791</v>
      </c>
      <c r="D151" s="36">
        <v>1046</v>
      </c>
      <c r="E151" s="36">
        <v>255</v>
      </c>
      <c r="F151" s="36">
        <v>146</v>
      </c>
      <c r="G151" s="36">
        <v>37230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/>
      <c r="P151" s="36">
        <v>0</v>
      </c>
      <c r="Q151" s="36">
        <v>0</v>
      </c>
      <c r="R151" s="36">
        <v>0</v>
      </c>
      <c r="S151" s="36">
        <f t="shared" si="7"/>
        <v>37230</v>
      </c>
      <c r="T151" s="25">
        <f t="shared" si="4"/>
        <v>-28566</v>
      </c>
      <c r="U151" s="25">
        <f t="shared" si="5"/>
        <v>8664</v>
      </c>
      <c r="V151" s="36">
        <v>60000</v>
      </c>
      <c r="W151" s="25">
        <f t="shared" si="9"/>
        <v>-51336</v>
      </c>
      <c r="Y151">
        <f t="shared" si="8"/>
        <v>0</v>
      </c>
    </row>
    <row r="152" spans="1:25" ht="15.75" hidden="1" thickBot="1" x14ac:dyDescent="0.3">
      <c r="A152" s="20"/>
      <c r="B152" s="21" t="s">
        <v>24</v>
      </c>
      <c r="C152" s="36">
        <v>1046</v>
      </c>
      <c r="D152" s="36">
        <v>1563</v>
      </c>
      <c r="E152" s="36">
        <v>517</v>
      </c>
      <c r="F152" s="36">
        <v>146</v>
      </c>
      <c r="G152" s="36">
        <v>75482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/>
      <c r="P152" s="36">
        <v>0</v>
      </c>
      <c r="Q152" s="36">
        <v>0</v>
      </c>
      <c r="R152" s="36">
        <v>0</v>
      </c>
      <c r="S152" s="36">
        <f t="shared" si="7"/>
        <v>75482</v>
      </c>
      <c r="T152" s="25">
        <f t="shared" si="4"/>
        <v>-51336</v>
      </c>
      <c r="U152" s="25">
        <f t="shared" si="5"/>
        <v>24146</v>
      </c>
      <c r="V152" s="36">
        <v>120000</v>
      </c>
      <c r="W152" s="25">
        <f t="shared" si="9"/>
        <v>-95854</v>
      </c>
      <c r="Y152">
        <f t="shared" si="8"/>
        <v>0</v>
      </c>
    </row>
    <row r="153" spans="1:25" ht="15.75" hidden="1" thickBot="1" x14ac:dyDescent="0.3">
      <c r="A153" s="20"/>
      <c r="B153" s="21" t="s">
        <v>25</v>
      </c>
      <c r="C153" s="36">
        <v>1563</v>
      </c>
      <c r="D153" s="36">
        <v>2079</v>
      </c>
      <c r="E153" s="36">
        <v>516</v>
      </c>
      <c r="F153" s="36">
        <v>146</v>
      </c>
      <c r="G153" s="36">
        <v>75336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>
        <v>3468</v>
      </c>
      <c r="P153" s="36">
        <v>0</v>
      </c>
      <c r="Q153" s="36">
        <v>0</v>
      </c>
      <c r="R153" s="36">
        <v>0</v>
      </c>
      <c r="S153" s="36">
        <f t="shared" si="7"/>
        <v>75336</v>
      </c>
      <c r="T153" s="25">
        <f t="shared" si="4"/>
        <v>-95854</v>
      </c>
      <c r="U153" s="25">
        <f t="shared" si="5"/>
        <v>-20518</v>
      </c>
      <c r="V153" s="36"/>
      <c r="W153" s="25">
        <f t="shared" si="9"/>
        <v>-20518</v>
      </c>
      <c r="Y153">
        <f t="shared" si="8"/>
        <v>0</v>
      </c>
    </row>
    <row r="154" spans="1:25" ht="15.75" hidden="1" thickBot="1" x14ac:dyDescent="0.3">
      <c r="A154" s="20"/>
      <c r="B154" s="21" t="s">
        <v>26</v>
      </c>
      <c r="C154" s="36">
        <v>2079</v>
      </c>
      <c r="D154" s="36">
        <v>2682</v>
      </c>
      <c r="E154" s="36">
        <v>603</v>
      </c>
      <c r="F154" s="36">
        <v>146</v>
      </c>
      <c r="G154" s="36">
        <v>88038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>
        <v>3468</v>
      </c>
      <c r="P154" s="36">
        <v>0</v>
      </c>
      <c r="Q154" s="36">
        <v>0</v>
      </c>
      <c r="R154" s="36">
        <v>0</v>
      </c>
      <c r="S154" s="36">
        <f t="shared" si="7"/>
        <v>88038</v>
      </c>
      <c r="T154" s="25">
        <f t="shared" si="4"/>
        <v>-20518</v>
      </c>
      <c r="U154" s="25">
        <f t="shared" si="5"/>
        <v>67520</v>
      </c>
      <c r="V154" s="36">
        <v>100000</v>
      </c>
      <c r="W154" s="25">
        <f t="shared" si="9"/>
        <v>-32480</v>
      </c>
      <c r="Y154">
        <f t="shared" si="8"/>
        <v>0</v>
      </c>
    </row>
    <row r="155" spans="1:25" ht="15.75" hidden="1" thickBot="1" x14ac:dyDescent="0.3">
      <c r="A155" s="20"/>
      <c r="B155" s="21" t="s">
        <v>27</v>
      </c>
      <c r="C155" s="36">
        <v>2682</v>
      </c>
      <c r="D155" s="36">
        <v>3233</v>
      </c>
      <c r="E155" s="36">
        <v>551</v>
      </c>
      <c r="F155" s="36">
        <v>146</v>
      </c>
      <c r="G155" s="36">
        <v>80446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>
        <v>3468</v>
      </c>
      <c r="P155" s="36">
        <v>0</v>
      </c>
      <c r="Q155" s="36">
        <v>0</v>
      </c>
      <c r="R155" s="36">
        <v>0</v>
      </c>
      <c r="S155" s="36">
        <f t="shared" si="7"/>
        <v>80446</v>
      </c>
      <c r="T155" s="25">
        <f t="shared" si="4"/>
        <v>-32480</v>
      </c>
      <c r="U155" s="25">
        <f t="shared" si="5"/>
        <v>47966</v>
      </c>
      <c r="V155" s="36"/>
      <c r="W155" s="25">
        <f t="shared" si="9"/>
        <v>47966</v>
      </c>
      <c r="Y155">
        <f t="shared" si="8"/>
        <v>1</v>
      </c>
    </row>
    <row r="156" spans="1:25" ht="15.75" hidden="1" thickBot="1" x14ac:dyDescent="0.3">
      <c r="A156" s="20"/>
      <c r="B156" s="21" t="s">
        <v>28</v>
      </c>
      <c r="C156" s="36">
        <v>3233</v>
      </c>
      <c r="D156" s="36">
        <v>3673</v>
      </c>
      <c r="E156" s="36">
        <v>440</v>
      </c>
      <c r="F156" s="36">
        <v>146</v>
      </c>
      <c r="G156" s="36">
        <v>64240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>
        <v>3468</v>
      </c>
      <c r="P156" s="36">
        <v>0</v>
      </c>
      <c r="Q156" s="36">
        <v>0</v>
      </c>
      <c r="R156" s="36">
        <v>0</v>
      </c>
      <c r="S156" s="36">
        <f t="shared" si="7"/>
        <v>64240</v>
      </c>
      <c r="T156" s="25">
        <f t="shared" si="4"/>
        <v>47966</v>
      </c>
      <c r="U156" s="25">
        <f t="shared" si="5"/>
        <v>112206</v>
      </c>
      <c r="V156" s="36">
        <v>120000</v>
      </c>
      <c r="W156" s="25">
        <f t="shared" si="9"/>
        <v>-7794</v>
      </c>
      <c r="Y156">
        <f t="shared" si="8"/>
        <v>0</v>
      </c>
    </row>
    <row r="157" spans="1:25" ht="15.75" hidden="1" thickBot="1" x14ac:dyDescent="0.3">
      <c r="A157" s="20"/>
      <c r="B157" s="21" t="s">
        <v>29</v>
      </c>
      <c r="C157" s="36">
        <v>3673</v>
      </c>
      <c r="D157" s="36">
        <v>4271</v>
      </c>
      <c r="E157" s="36">
        <v>598</v>
      </c>
      <c r="F157" s="36">
        <v>146</v>
      </c>
      <c r="G157" s="36">
        <v>87308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>
        <v>3468</v>
      </c>
      <c r="P157" s="36">
        <v>0</v>
      </c>
      <c r="Q157" s="36">
        <v>0</v>
      </c>
      <c r="R157" s="36">
        <v>0</v>
      </c>
      <c r="S157" s="36">
        <f t="shared" si="7"/>
        <v>87308</v>
      </c>
      <c r="T157" s="25">
        <f t="shared" si="4"/>
        <v>-7794</v>
      </c>
      <c r="U157" s="25">
        <f t="shared" si="5"/>
        <v>79514</v>
      </c>
      <c r="V157" s="36"/>
      <c r="W157" s="25">
        <f t="shared" si="9"/>
        <v>79514</v>
      </c>
      <c r="Y157">
        <f t="shared" si="8"/>
        <v>1</v>
      </c>
    </row>
    <row r="158" spans="1:25" ht="15.75" hidden="1" thickBot="1" x14ac:dyDescent="0.3">
      <c r="A158" s="20"/>
      <c r="B158" s="21" t="s">
        <v>30</v>
      </c>
      <c r="C158" s="36">
        <v>4271</v>
      </c>
      <c r="D158" s="36">
        <v>4583</v>
      </c>
      <c r="E158" s="36">
        <v>312</v>
      </c>
      <c r="F158" s="36">
        <v>146</v>
      </c>
      <c r="G158" s="36">
        <v>45552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>
        <v>3468</v>
      </c>
      <c r="P158" s="36">
        <v>0</v>
      </c>
      <c r="Q158" s="36">
        <v>0</v>
      </c>
      <c r="R158" s="36">
        <v>0</v>
      </c>
      <c r="S158" s="36">
        <f t="shared" si="7"/>
        <v>45552</v>
      </c>
      <c r="T158" s="25">
        <f t="shared" si="4"/>
        <v>79514</v>
      </c>
      <c r="U158" s="25">
        <f t="shared" si="5"/>
        <v>125066</v>
      </c>
      <c r="V158" s="36">
        <v>125066</v>
      </c>
      <c r="W158" s="25">
        <f t="shared" si="9"/>
        <v>0</v>
      </c>
      <c r="Y158">
        <f t="shared" si="8"/>
        <v>0</v>
      </c>
    </row>
    <row r="159" spans="1:25" ht="15.75" hidden="1" thickBot="1" x14ac:dyDescent="0.3">
      <c r="A159" s="20"/>
      <c r="B159" s="21" t="s">
        <v>31</v>
      </c>
      <c r="C159" s="36">
        <v>4583</v>
      </c>
      <c r="D159" s="36">
        <v>5047</v>
      </c>
      <c r="E159" s="36">
        <v>464</v>
      </c>
      <c r="F159" s="36">
        <v>146</v>
      </c>
      <c r="G159" s="36">
        <v>67744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/>
      <c r="P159" s="36">
        <v>0</v>
      </c>
      <c r="Q159" s="36">
        <v>0</v>
      </c>
      <c r="R159" s="36">
        <v>0</v>
      </c>
      <c r="S159" s="36">
        <f t="shared" si="7"/>
        <v>67744</v>
      </c>
      <c r="T159" s="25">
        <f t="shared" si="4"/>
        <v>0</v>
      </c>
      <c r="U159" s="25">
        <f t="shared" si="5"/>
        <v>67744</v>
      </c>
      <c r="V159" s="36">
        <v>67744</v>
      </c>
      <c r="W159" s="25">
        <f t="shared" si="9"/>
        <v>0</v>
      </c>
      <c r="Y159">
        <f t="shared" si="8"/>
        <v>0</v>
      </c>
    </row>
    <row r="160" spans="1:25" ht="15.75" hidden="1" thickBot="1" x14ac:dyDescent="0.3">
      <c r="A160" s="20"/>
      <c r="B160" s="21" t="s">
        <v>32</v>
      </c>
      <c r="C160" s="36">
        <v>5047</v>
      </c>
      <c r="D160" s="36">
        <v>5504</v>
      </c>
      <c r="E160" s="36">
        <v>457</v>
      </c>
      <c r="F160" s="36">
        <v>146</v>
      </c>
      <c r="G160" s="36">
        <v>66722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/>
      <c r="P160" s="36">
        <v>0</v>
      </c>
      <c r="Q160" s="36">
        <v>0</v>
      </c>
      <c r="R160" s="36">
        <v>0</v>
      </c>
      <c r="S160" s="36">
        <f t="shared" si="7"/>
        <v>66722</v>
      </c>
      <c r="T160" s="25">
        <f t="shared" si="4"/>
        <v>0</v>
      </c>
      <c r="U160" s="25">
        <f t="shared" si="5"/>
        <v>66722</v>
      </c>
      <c r="V160" s="36">
        <v>66722</v>
      </c>
      <c r="W160" s="25">
        <f t="shared" si="9"/>
        <v>0</v>
      </c>
      <c r="Y160">
        <f t="shared" si="8"/>
        <v>0</v>
      </c>
    </row>
    <row r="161" spans="1:25" ht="15.75" hidden="1" thickBot="1" x14ac:dyDescent="0.3">
      <c r="A161" s="20"/>
      <c r="B161" s="21" t="s">
        <v>33</v>
      </c>
      <c r="C161" s="36">
        <v>5504</v>
      </c>
      <c r="D161" s="36">
        <v>5962</v>
      </c>
      <c r="E161" s="36">
        <v>458</v>
      </c>
      <c r="F161" s="36">
        <v>146</v>
      </c>
      <c r="G161" s="36">
        <v>66868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/>
      <c r="P161" s="36">
        <v>0</v>
      </c>
      <c r="Q161" s="36">
        <v>0</v>
      </c>
      <c r="R161" s="36">
        <v>0</v>
      </c>
      <c r="S161" s="36">
        <f t="shared" si="7"/>
        <v>66868</v>
      </c>
      <c r="T161" s="25">
        <f t="shared" si="4"/>
        <v>0</v>
      </c>
      <c r="U161" s="25">
        <f t="shared" si="5"/>
        <v>66868</v>
      </c>
      <c r="V161" s="36">
        <v>66868</v>
      </c>
      <c r="W161" s="25">
        <f t="shared" si="9"/>
        <v>0</v>
      </c>
      <c r="Y161">
        <f t="shared" si="8"/>
        <v>0</v>
      </c>
    </row>
    <row r="162" spans="1:25" ht="15.75" hidden="1" thickBot="1" x14ac:dyDescent="0.3">
      <c r="A162" s="20"/>
      <c r="B162" s="21" t="s">
        <v>34</v>
      </c>
      <c r="C162" s="36">
        <v>5962</v>
      </c>
      <c r="D162" s="36">
        <v>6778</v>
      </c>
      <c r="E162" s="36">
        <v>816</v>
      </c>
      <c r="F162" s="36">
        <v>146</v>
      </c>
      <c r="G162" s="36">
        <v>119136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/>
      <c r="P162" s="36">
        <v>0</v>
      </c>
      <c r="Q162" s="36">
        <v>0</v>
      </c>
      <c r="R162" s="36">
        <v>0</v>
      </c>
      <c r="S162" s="36">
        <f t="shared" si="7"/>
        <v>119136</v>
      </c>
      <c r="T162" s="25">
        <f t="shared" si="4"/>
        <v>0</v>
      </c>
      <c r="U162" s="25">
        <f t="shared" si="5"/>
        <v>119136</v>
      </c>
      <c r="V162" s="36">
        <v>119136</v>
      </c>
      <c r="W162" s="25">
        <f t="shared" si="9"/>
        <v>0</v>
      </c>
      <c r="Y162">
        <f t="shared" si="8"/>
        <v>0</v>
      </c>
    </row>
    <row r="163" spans="1:25" ht="15.75" hidden="1" thickBot="1" x14ac:dyDescent="0.3">
      <c r="A163" s="20">
        <v>2016</v>
      </c>
      <c r="B163" s="21" t="s">
        <v>35</v>
      </c>
      <c r="C163" s="36">
        <v>6778</v>
      </c>
      <c r="D163" s="36">
        <v>7477</v>
      </c>
      <c r="E163" s="36">
        <v>699</v>
      </c>
      <c r="F163" s="36">
        <v>146</v>
      </c>
      <c r="G163" s="36">
        <v>102054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/>
      <c r="P163" s="36">
        <v>0</v>
      </c>
      <c r="Q163" s="36">
        <v>0</v>
      </c>
      <c r="R163" s="36">
        <v>0</v>
      </c>
      <c r="S163" s="36">
        <f t="shared" si="7"/>
        <v>102054</v>
      </c>
      <c r="T163" s="25">
        <f t="shared" ref="T163:T185" si="10">W162</f>
        <v>0</v>
      </c>
      <c r="U163" s="25">
        <f t="shared" ref="U163:U185" si="11">S163+T163</f>
        <v>102054</v>
      </c>
      <c r="V163" s="36">
        <v>102054</v>
      </c>
      <c r="W163" s="25">
        <f t="shared" si="9"/>
        <v>0</v>
      </c>
      <c r="Y163">
        <f t="shared" si="8"/>
        <v>0</v>
      </c>
    </row>
    <row r="164" spans="1:25" ht="15.75" hidden="1" thickBot="1" x14ac:dyDescent="0.3">
      <c r="A164" s="20"/>
      <c r="B164" s="21" t="s">
        <v>24</v>
      </c>
      <c r="C164" s="36">
        <v>7477</v>
      </c>
      <c r="D164" s="36">
        <v>8295</v>
      </c>
      <c r="E164" s="36">
        <v>818</v>
      </c>
      <c r="F164" s="36">
        <v>146</v>
      </c>
      <c r="G164" s="36">
        <v>119428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/>
      <c r="P164" s="36">
        <v>0</v>
      </c>
      <c r="Q164" s="36">
        <v>0</v>
      </c>
      <c r="R164" s="36">
        <v>0</v>
      </c>
      <c r="S164" s="36">
        <f t="shared" si="7"/>
        <v>119428</v>
      </c>
      <c r="T164" s="25">
        <f t="shared" si="10"/>
        <v>0</v>
      </c>
      <c r="U164" s="25">
        <f t="shared" si="11"/>
        <v>119428</v>
      </c>
      <c r="V164" s="36">
        <v>119428</v>
      </c>
      <c r="W164" s="25">
        <f t="shared" si="9"/>
        <v>0</v>
      </c>
      <c r="Y164">
        <f t="shared" si="8"/>
        <v>0</v>
      </c>
    </row>
    <row r="165" spans="1:25" ht="15.75" hidden="1" thickBot="1" x14ac:dyDescent="0.3">
      <c r="A165" s="20"/>
      <c r="B165" s="21" t="s">
        <v>25</v>
      </c>
      <c r="C165" s="36">
        <v>8295</v>
      </c>
      <c r="D165" s="36">
        <v>9264</v>
      </c>
      <c r="E165" s="36">
        <v>969</v>
      </c>
      <c r="F165" s="36">
        <v>146</v>
      </c>
      <c r="G165" s="36">
        <v>141474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/>
      <c r="P165" s="36">
        <v>0</v>
      </c>
      <c r="Q165" s="36">
        <v>0</v>
      </c>
      <c r="R165" s="36">
        <v>0</v>
      </c>
      <c r="S165" s="36">
        <f t="shared" si="7"/>
        <v>141474</v>
      </c>
      <c r="T165" s="25">
        <f t="shared" si="10"/>
        <v>0</v>
      </c>
      <c r="U165" s="25">
        <f t="shared" si="11"/>
        <v>141474</v>
      </c>
      <c r="V165" s="36">
        <v>141474</v>
      </c>
      <c r="W165" s="25">
        <f t="shared" si="9"/>
        <v>0</v>
      </c>
      <c r="Y165">
        <f t="shared" si="8"/>
        <v>0</v>
      </c>
    </row>
    <row r="166" spans="1:25" ht="15.75" hidden="1" thickBot="1" x14ac:dyDescent="0.3">
      <c r="A166" s="20"/>
      <c r="B166" s="21" t="s">
        <v>26</v>
      </c>
      <c r="C166" s="36">
        <v>9264</v>
      </c>
      <c r="D166" s="36">
        <v>9682</v>
      </c>
      <c r="E166" s="36">
        <v>418</v>
      </c>
      <c r="F166" s="36">
        <v>146</v>
      </c>
      <c r="G166" s="36">
        <v>61028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/>
      <c r="P166" s="36">
        <v>0</v>
      </c>
      <c r="Q166" s="36">
        <v>0</v>
      </c>
      <c r="R166" s="36">
        <v>0</v>
      </c>
      <c r="S166" s="36">
        <f t="shared" si="7"/>
        <v>61028</v>
      </c>
      <c r="T166" s="25">
        <f t="shared" si="10"/>
        <v>0</v>
      </c>
      <c r="U166" s="25">
        <f t="shared" si="11"/>
        <v>61028</v>
      </c>
      <c r="V166" s="36">
        <v>61028</v>
      </c>
      <c r="W166" s="25">
        <f t="shared" si="9"/>
        <v>0</v>
      </c>
      <c r="Y166">
        <f t="shared" si="8"/>
        <v>0</v>
      </c>
    </row>
    <row r="167" spans="1:25" ht="15.75" hidden="1" thickBot="1" x14ac:dyDescent="0.3">
      <c r="A167" s="20"/>
      <c r="B167" s="21" t="s">
        <v>27</v>
      </c>
      <c r="C167" s="36">
        <v>9682</v>
      </c>
      <c r="D167" s="36">
        <v>10129</v>
      </c>
      <c r="E167" s="36">
        <v>447</v>
      </c>
      <c r="F167" s="36">
        <v>146</v>
      </c>
      <c r="G167" s="36">
        <v>65262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/>
      <c r="P167" s="36">
        <v>0</v>
      </c>
      <c r="Q167" s="36">
        <v>0</v>
      </c>
      <c r="R167" s="36">
        <v>0</v>
      </c>
      <c r="S167" s="36">
        <f t="shared" si="7"/>
        <v>65262</v>
      </c>
      <c r="T167" s="25">
        <f t="shared" si="10"/>
        <v>0</v>
      </c>
      <c r="U167" s="25">
        <f t="shared" si="11"/>
        <v>65262</v>
      </c>
      <c r="V167" s="36"/>
      <c r="W167" s="25">
        <f t="shared" si="9"/>
        <v>65262</v>
      </c>
      <c r="Y167">
        <f t="shared" si="8"/>
        <v>1</v>
      </c>
    </row>
    <row r="168" spans="1:25" ht="15.75" hidden="1" thickBot="1" x14ac:dyDescent="0.3">
      <c r="A168" s="20"/>
      <c r="B168" s="21" t="s">
        <v>28</v>
      </c>
      <c r="C168" s="36">
        <v>10129</v>
      </c>
      <c r="D168" s="36">
        <v>10618</v>
      </c>
      <c r="E168" s="36">
        <v>489</v>
      </c>
      <c r="F168" s="36">
        <v>146</v>
      </c>
      <c r="G168" s="36">
        <v>71394</v>
      </c>
      <c r="H168" s="36">
        <v>0</v>
      </c>
      <c r="I168" s="36">
        <v>0</v>
      </c>
      <c r="J168" s="36">
        <v>0</v>
      </c>
      <c r="K168" s="36">
        <v>0</v>
      </c>
      <c r="L168" s="36">
        <v>0</v>
      </c>
      <c r="M168" s="36">
        <v>0</v>
      </c>
      <c r="N168" s="36">
        <v>0</v>
      </c>
      <c r="O168" s="36"/>
      <c r="P168" s="36">
        <v>0</v>
      </c>
      <c r="Q168" s="36">
        <v>0</v>
      </c>
      <c r="R168" s="36">
        <v>0</v>
      </c>
      <c r="S168" s="36">
        <f t="shared" si="7"/>
        <v>71394</v>
      </c>
      <c r="T168" s="25">
        <f t="shared" si="10"/>
        <v>65262</v>
      </c>
      <c r="U168" s="25">
        <f t="shared" si="11"/>
        <v>136656</v>
      </c>
      <c r="V168" s="36">
        <v>136656</v>
      </c>
      <c r="W168" s="25">
        <f t="shared" si="9"/>
        <v>0</v>
      </c>
      <c r="Y168">
        <f t="shared" si="8"/>
        <v>0</v>
      </c>
    </row>
    <row r="169" spans="1:25" ht="15.75" hidden="1" thickBot="1" x14ac:dyDescent="0.3">
      <c r="A169" s="20"/>
      <c r="B169" s="21" t="s">
        <v>29</v>
      </c>
      <c r="C169" s="36">
        <v>10618</v>
      </c>
      <c r="D169" s="36">
        <v>11303</v>
      </c>
      <c r="E169" s="36">
        <v>685</v>
      </c>
      <c r="F169" s="36">
        <v>146</v>
      </c>
      <c r="G169" s="36">
        <v>100010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/>
      <c r="P169" s="36">
        <v>0</v>
      </c>
      <c r="Q169" s="36">
        <v>0</v>
      </c>
      <c r="R169" s="36">
        <v>0</v>
      </c>
      <c r="S169" s="36">
        <f t="shared" si="7"/>
        <v>100010</v>
      </c>
      <c r="T169" s="25">
        <f t="shared" si="10"/>
        <v>0</v>
      </c>
      <c r="U169" s="25">
        <f t="shared" si="11"/>
        <v>100010</v>
      </c>
      <c r="V169" s="36">
        <v>100010</v>
      </c>
      <c r="W169" s="25">
        <f t="shared" si="9"/>
        <v>0</v>
      </c>
      <c r="Y169">
        <f t="shared" si="8"/>
        <v>0</v>
      </c>
    </row>
    <row r="170" spans="1:25" ht="15.75" hidden="1" thickBot="1" x14ac:dyDescent="0.3">
      <c r="A170" s="20"/>
      <c r="B170" s="21" t="s">
        <v>30</v>
      </c>
      <c r="C170" s="36">
        <v>11303</v>
      </c>
      <c r="D170" s="36">
        <v>11457</v>
      </c>
      <c r="E170" s="36">
        <v>154</v>
      </c>
      <c r="F170" s="36">
        <v>146</v>
      </c>
      <c r="G170" s="36">
        <v>22484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/>
      <c r="P170" s="36">
        <v>0</v>
      </c>
      <c r="Q170" s="36">
        <v>0</v>
      </c>
      <c r="R170" s="36">
        <v>0</v>
      </c>
      <c r="S170" s="36">
        <f t="shared" si="7"/>
        <v>22484</v>
      </c>
      <c r="T170" s="25">
        <f t="shared" si="10"/>
        <v>0</v>
      </c>
      <c r="U170" s="25">
        <f t="shared" si="11"/>
        <v>22484</v>
      </c>
      <c r="V170" s="36">
        <v>22484</v>
      </c>
      <c r="W170" s="25">
        <f t="shared" si="9"/>
        <v>0</v>
      </c>
      <c r="Y170">
        <f t="shared" si="8"/>
        <v>0</v>
      </c>
    </row>
    <row r="171" spans="1:25" ht="15.75" hidden="1" thickBot="1" x14ac:dyDescent="0.3">
      <c r="A171" s="20"/>
      <c r="B171" s="21" t="s">
        <v>31</v>
      </c>
      <c r="C171" s="36">
        <v>11457</v>
      </c>
      <c r="D171" s="36">
        <v>11992</v>
      </c>
      <c r="E171" s="36">
        <v>535</v>
      </c>
      <c r="F171" s="36">
        <v>146</v>
      </c>
      <c r="G171" s="36">
        <v>78110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/>
      <c r="P171" s="36">
        <v>0</v>
      </c>
      <c r="Q171" s="36">
        <v>0</v>
      </c>
      <c r="R171" s="36">
        <v>0</v>
      </c>
      <c r="S171" s="36">
        <f t="shared" si="7"/>
        <v>78110</v>
      </c>
      <c r="T171" s="25">
        <f t="shared" si="10"/>
        <v>0</v>
      </c>
      <c r="U171" s="25">
        <f t="shared" si="11"/>
        <v>78110</v>
      </c>
      <c r="V171" s="36">
        <v>78110</v>
      </c>
      <c r="W171" s="25">
        <f t="shared" si="9"/>
        <v>0</v>
      </c>
      <c r="Y171">
        <f t="shared" si="8"/>
        <v>0</v>
      </c>
    </row>
    <row r="172" spans="1:25" ht="15.75" hidden="1" thickBot="1" x14ac:dyDescent="0.3">
      <c r="A172" s="20"/>
      <c r="B172" s="21" t="s">
        <v>32</v>
      </c>
      <c r="C172" s="36">
        <v>11992</v>
      </c>
      <c r="D172" s="36">
        <v>13086</v>
      </c>
      <c r="E172" s="36">
        <v>1094</v>
      </c>
      <c r="F172" s="36">
        <v>146</v>
      </c>
      <c r="G172" s="36">
        <v>159724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/>
      <c r="P172" s="36">
        <v>0</v>
      </c>
      <c r="Q172" s="36">
        <v>0</v>
      </c>
      <c r="R172" s="36">
        <v>0</v>
      </c>
      <c r="S172" s="36">
        <f t="shared" si="7"/>
        <v>159724</v>
      </c>
      <c r="T172" s="25">
        <f t="shared" si="10"/>
        <v>0</v>
      </c>
      <c r="U172" s="25">
        <f t="shared" si="11"/>
        <v>159724</v>
      </c>
      <c r="V172" s="36">
        <v>159724</v>
      </c>
      <c r="W172" s="25">
        <f t="shared" si="9"/>
        <v>0</v>
      </c>
      <c r="Y172">
        <f t="shared" si="8"/>
        <v>0</v>
      </c>
    </row>
    <row r="173" spans="1:25" ht="15.75" hidden="1" thickBot="1" x14ac:dyDescent="0.3">
      <c r="A173" s="20"/>
      <c r="B173" s="21" t="s">
        <v>33</v>
      </c>
      <c r="C173" s="36">
        <v>13086</v>
      </c>
      <c r="D173" s="36">
        <v>13819</v>
      </c>
      <c r="E173" s="36">
        <v>733</v>
      </c>
      <c r="F173" s="36">
        <v>146</v>
      </c>
      <c r="G173" s="36">
        <v>107018</v>
      </c>
      <c r="H173" s="36">
        <v>0</v>
      </c>
      <c r="I173" s="36">
        <v>0</v>
      </c>
      <c r="J173" s="36">
        <v>0</v>
      </c>
      <c r="K173" s="36">
        <v>0</v>
      </c>
      <c r="L173" s="36">
        <v>0</v>
      </c>
      <c r="M173" s="36">
        <v>0</v>
      </c>
      <c r="N173" s="36">
        <v>0</v>
      </c>
      <c r="O173" s="36"/>
      <c r="P173" s="36">
        <v>0</v>
      </c>
      <c r="Q173" s="36">
        <v>0</v>
      </c>
      <c r="R173" s="36">
        <v>0</v>
      </c>
      <c r="S173" s="36">
        <f t="shared" si="7"/>
        <v>107018</v>
      </c>
      <c r="T173" s="25">
        <f t="shared" si="10"/>
        <v>0</v>
      </c>
      <c r="U173" s="25">
        <f t="shared" si="11"/>
        <v>107018</v>
      </c>
      <c r="V173" s="36">
        <v>107018</v>
      </c>
      <c r="W173" s="25">
        <f t="shared" si="9"/>
        <v>0</v>
      </c>
      <c r="Y173">
        <f t="shared" si="8"/>
        <v>0</v>
      </c>
    </row>
    <row r="174" spans="1:25" ht="15.75" hidden="1" thickBot="1" x14ac:dyDescent="0.3">
      <c r="A174" s="20"/>
      <c r="B174" s="21" t="s">
        <v>34</v>
      </c>
      <c r="C174" s="36">
        <v>13819</v>
      </c>
      <c r="D174" s="36">
        <v>14787</v>
      </c>
      <c r="E174" s="36">
        <v>968</v>
      </c>
      <c r="F174" s="36">
        <v>146</v>
      </c>
      <c r="G174" s="36">
        <v>141328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/>
      <c r="P174" s="36">
        <v>0</v>
      </c>
      <c r="Q174" s="36">
        <v>0</v>
      </c>
      <c r="R174" s="36">
        <v>0</v>
      </c>
      <c r="S174" s="36">
        <f t="shared" si="7"/>
        <v>141328</v>
      </c>
      <c r="T174" s="25">
        <f t="shared" si="10"/>
        <v>0</v>
      </c>
      <c r="U174" s="25">
        <f t="shared" si="11"/>
        <v>141328</v>
      </c>
      <c r="V174" s="36">
        <v>140890</v>
      </c>
      <c r="W174" s="25">
        <f t="shared" si="9"/>
        <v>438</v>
      </c>
      <c r="Y174">
        <f t="shared" si="8"/>
        <v>1</v>
      </c>
    </row>
    <row r="175" spans="1:25" hidden="1" x14ac:dyDescent="0.25">
      <c r="A175" s="20">
        <v>2017</v>
      </c>
      <c r="B175" s="47" t="s">
        <v>35</v>
      </c>
      <c r="C175" s="48">
        <v>14787</v>
      </c>
      <c r="D175" s="48">
        <v>15708</v>
      </c>
      <c r="E175" s="48">
        <v>921</v>
      </c>
      <c r="F175" s="48">
        <v>146</v>
      </c>
      <c r="G175" s="61">
        <v>134466</v>
      </c>
      <c r="H175" s="61">
        <v>0</v>
      </c>
      <c r="I175" s="61">
        <v>0</v>
      </c>
      <c r="J175" s="61">
        <v>0</v>
      </c>
      <c r="K175" s="61">
        <v>0</v>
      </c>
      <c r="L175" s="61">
        <v>0</v>
      </c>
      <c r="M175" s="61">
        <v>0</v>
      </c>
      <c r="N175" s="61">
        <v>0</v>
      </c>
      <c r="O175" s="61"/>
      <c r="P175" s="61">
        <v>0</v>
      </c>
      <c r="Q175" s="61">
        <v>0</v>
      </c>
      <c r="R175" s="61">
        <v>0</v>
      </c>
      <c r="S175" s="61">
        <f t="shared" si="7"/>
        <v>134466</v>
      </c>
      <c r="T175" s="49">
        <f t="shared" si="10"/>
        <v>438</v>
      </c>
      <c r="U175" s="49">
        <f t="shared" si="11"/>
        <v>134904</v>
      </c>
      <c r="V175" s="65">
        <v>134904</v>
      </c>
      <c r="W175" s="49">
        <f t="shared" si="9"/>
        <v>0</v>
      </c>
      <c r="Y175">
        <f t="shared" si="8"/>
        <v>0</v>
      </c>
    </row>
    <row r="176" spans="1:25" hidden="1" x14ac:dyDescent="0.25">
      <c r="A176" s="20"/>
      <c r="B176" s="50" t="s">
        <v>24</v>
      </c>
      <c r="C176" s="51">
        <v>15708</v>
      </c>
      <c r="D176" s="51">
        <v>16572</v>
      </c>
      <c r="E176" s="51">
        <v>864</v>
      </c>
      <c r="F176" s="51">
        <v>146</v>
      </c>
      <c r="G176" s="62">
        <v>126144</v>
      </c>
      <c r="H176" s="62">
        <v>0</v>
      </c>
      <c r="I176" s="62">
        <v>0</v>
      </c>
      <c r="J176" s="62">
        <v>0</v>
      </c>
      <c r="K176" s="62">
        <v>0</v>
      </c>
      <c r="L176" s="62">
        <v>0</v>
      </c>
      <c r="M176" s="62">
        <v>0</v>
      </c>
      <c r="N176" s="62">
        <v>0</v>
      </c>
      <c r="O176" s="62"/>
      <c r="P176" s="62">
        <v>0</v>
      </c>
      <c r="Q176" s="62">
        <v>0</v>
      </c>
      <c r="R176" s="62">
        <v>0</v>
      </c>
      <c r="S176" s="62">
        <f t="shared" si="7"/>
        <v>126144</v>
      </c>
      <c r="T176" s="52">
        <f t="shared" si="10"/>
        <v>0</v>
      </c>
      <c r="U176" s="52">
        <f t="shared" si="11"/>
        <v>126144</v>
      </c>
      <c r="V176" s="66"/>
      <c r="W176" s="52">
        <f t="shared" si="9"/>
        <v>126144</v>
      </c>
      <c r="Y176">
        <f t="shared" si="8"/>
        <v>1</v>
      </c>
    </row>
    <row r="177" spans="1:25" hidden="1" x14ac:dyDescent="0.25">
      <c r="A177" s="20"/>
      <c r="B177" s="50" t="s">
        <v>25</v>
      </c>
      <c r="C177" s="51">
        <v>16572</v>
      </c>
      <c r="D177" s="51">
        <v>17424</v>
      </c>
      <c r="E177" s="51">
        <v>852</v>
      </c>
      <c r="F177" s="51">
        <v>146</v>
      </c>
      <c r="G177" s="62">
        <v>124392</v>
      </c>
      <c r="H177" s="62">
        <v>0</v>
      </c>
      <c r="I177" s="62">
        <v>0</v>
      </c>
      <c r="J177" s="62">
        <v>0</v>
      </c>
      <c r="K177" s="62">
        <v>0</v>
      </c>
      <c r="L177" s="62">
        <v>0</v>
      </c>
      <c r="M177" s="62">
        <v>0</v>
      </c>
      <c r="N177" s="62">
        <v>0</v>
      </c>
      <c r="O177" s="62"/>
      <c r="P177" s="62">
        <v>0</v>
      </c>
      <c r="Q177" s="62">
        <v>0</v>
      </c>
      <c r="R177" s="62">
        <v>0</v>
      </c>
      <c r="S177" s="62">
        <f t="shared" si="7"/>
        <v>124392</v>
      </c>
      <c r="T177" s="52">
        <f t="shared" si="10"/>
        <v>126144</v>
      </c>
      <c r="U177" s="52">
        <f t="shared" si="11"/>
        <v>250536</v>
      </c>
      <c r="V177" s="66">
        <v>250536</v>
      </c>
      <c r="W177" s="52">
        <f t="shared" si="9"/>
        <v>0</v>
      </c>
      <c r="Y177">
        <f t="shared" si="8"/>
        <v>0</v>
      </c>
    </row>
    <row r="178" spans="1:25" hidden="1" x14ac:dyDescent="0.25">
      <c r="A178" s="20"/>
      <c r="B178" s="50" t="s">
        <v>26</v>
      </c>
      <c r="C178" s="51">
        <v>17424</v>
      </c>
      <c r="D178" s="51">
        <v>18072</v>
      </c>
      <c r="E178" s="51">
        <v>648</v>
      </c>
      <c r="F178" s="51">
        <v>146</v>
      </c>
      <c r="G178" s="62">
        <v>94608</v>
      </c>
      <c r="H178" s="62">
        <v>0</v>
      </c>
      <c r="I178" s="62">
        <v>0</v>
      </c>
      <c r="J178" s="62">
        <v>0</v>
      </c>
      <c r="K178" s="62">
        <v>0</v>
      </c>
      <c r="L178" s="62">
        <v>0</v>
      </c>
      <c r="M178" s="62">
        <v>0</v>
      </c>
      <c r="N178" s="62">
        <v>0</v>
      </c>
      <c r="O178" s="62"/>
      <c r="P178" s="62">
        <v>0</v>
      </c>
      <c r="Q178" s="62">
        <v>0</v>
      </c>
      <c r="R178" s="62">
        <v>0</v>
      </c>
      <c r="S178" s="62">
        <f t="shared" si="7"/>
        <v>94608</v>
      </c>
      <c r="T178" s="52">
        <f t="shared" si="10"/>
        <v>0</v>
      </c>
      <c r="U178" s="52">
        <f t="shared" si="11"/>
        <v>94608</v>
      </c>
      <c r="V178" s="66">
        <v>94608</v>
      </c>
      <c r="W178" s="52">
        <f t="shared" si="9"/>
        <v>0</v>
      </c>
      <c r="Y178">
        <f t="shared" si="8"/>
        <v>0</v>
      </c>
    </row>
    <row r="179" spans="1:25" hidden="1" x14ac:dyDescent="0.25">
      <c r="A179" s="20"/>
      <c r="B179" s="50" t="s">
        <v>27</v>
      </c>
      <c r="C179" s="51">
        <v>18072</v>
      </c>
      <c r="D179" s="51">
        <v>18837</v>
      </c>
      <c r="E179" s="51">
        <v>765</v>
      </c>
      <c r="F179" s="51">
        <v>146</v>
      </c>
      <c r="G179" s="62">
        <v>111690</v>
      </c>
      <c r="H179" s="62">
        <v>0</v>
      </c>
      <c r="I179" s="62">
        <v>0</v>
      </c>
      <c r="J179" s="62">
        <v>0</v>
      </c>
      <c r="K179" s="62">
        <v>0</v>
      </c>
      <c r="L179" s="62">
        <v>0</v>
      </c>
      <c r="M179" s="62">
        <v>0</v>
      </c>
      <c r="N179" s="62">
        <v>0</v>
      </c>
      <c r="O179" s="62"/>
      <c r="P179" s="62">
        <v>0</v>
      </c>
      <c r="Q179" s="62">
        <v>0</v>
      </c>
      <c r="R179" s="62">
        <v>0</v>
      </c>
      <c r="S179" s="62">
        <f t="shared" si="7"/>
        <v>111690</v>
      </c>
      <c r="T179" s="52">
        <f t="shared" si="10"/>
        <v>0</v>
      </c>
      <c r="U179" s="52">
        <f t="shared" si="11"/>
        <v>111690</v>
      </c>
      <c r="V179" s="66">
        <v>111690</v>
      </c>
      <c r="W179" s="52">
        <f t="shared" si="9"/>
        <v>0</v>
      </c>
      <c r="Y179">
        <f t="shared" si="8"/>
        <v>0</v>
      </c>
    </row>
    <row r="180" spans="1:25" hidden="1" x14ac:dyDescent="0.25">
      <c r="A180" s="20"/>
      <c r="B180" s="50" t="s">
        <v>28</v>
      </c>
      <c r="C180" s="51">
        <v>18837</v>
      </c>
      <c r="D180" s="51">
        <v>19627</v>
      </c>
      <c r="E180" s="51">
        <v>790</v>
      </c>
      <c r="F180" s="51">
        <v>146</v>
      </c>
      <c r="G180" s="62">
        <v>115340</v>
      </c>
      <c r="H180" s="62">
        <v>0</v>
      </c>
      <c r="I180" s="62">
        <v>0</v>
      </c>
      <c r="J180" s="62">
        <v>0</v>
      </c>
      <c r="K180" s="62">
        <v>0</v>
      </c>
      <c r="L180" s="62">
        <v>0</v>
      </c>
      <c r="M180" s="62">
        <v>0</v>
      </c>
      <c r="N180" s="62">
        <v>0</v>
      </c>
      <c r="O180" s="62"/>
      <c r="P180" s="62">
        <v>0</v>
      </c>
      <c r="Q180" s="62">
        <v>0</v>
      </c>
      <c r="R180" s="62">
        <v>0</v>
      </c>
      <c r="S180" s="62">
        <f t="shared" si="7"/>
        <v>115340</v>
      </c>
      <c r="T180" s="52">
        <f t="shared" si="10"/>
        <v>0</v>
      </c>
      <c r="U180" s="52">
        <f t="shared" si="11"/>
        <v>115340</v>
      </c>
      <c r="V180" s="66">
        <v>115440</v>
      </c>
      <c r="W180" s="52">
        <f t="shared" si="9"/>
        <v>-100</v>
      </c>
      <c r="Y180">
        <f t="shared" si="8"/>
        <v>0</v>
      </c>
    </row>
    <row r="181" spans="1:25" hidden="1" x14ac:dyDescent="0.25">
      <c r="A181" s="20"/>
      <c r="B181" s="50" t="s">
        <v>29</v>
      </c>
      <c r="C181" s="51">
        <v>19627</v>
      </c>
      <c r="D181" s="51">
        <v>20133</v>
      </c>
      <c r="E181" s="51">
        <v>506</v>
      </c>
      <c r="F181" s="51">
        <v>146</v>
      </c>
      <c r="G181" s="62">
        <v>73876</v>
      </c>
      <c r="H181" s="62">
        <v>0</v>
      </c>
      <c r="I181" s="62">
        <v>0</v>
      </c>
      <c r="J181" s="62">
        <v>0</v>
      </c>
      <c r="K181" s="62">
        <v>0</v>
      </c>
      <c r="L181" s="62">
        <v>0</v>
      </c>
      <c r="M181" s="62">
        <v>0</v>
      </c>
      <c r="N181" s="62">
        <v>0</v>
      </c>
      <c r="O181" s="62"/>
      <c r="P181" s="62">
        <v>0</v>
      </c>
      <c r="Q181" s="62">
        <v>0</v>
      </c>
      <c r="R181" s="62">
        <v>0</v>
      </c>
      <c r="S181" s="62">
        <f t="shared" si="7"/>
        <v>73876</v>
      </c>
      <c r="T181" s="52">
        <f t="shared" si="10"/>
        <v>-100</v>
      </c>
      <c r="U181" s="52">
        <f t="shared" si="11"/>
        <v>73776</v>
      </c>
      <c r="V181" s="66">
        <v>73766</v>
      </c>
      <c r="W181" s="52">
        <f t="shared" si="9"/>
        <v>10</v>
      </c>
      <c r="Y181">
        <f t="shared" si="8"/>
        <v>1</v>
      </c>
    </row>
    <row r="182" spans="1:25" hidden="1" x14ac:dyDescent="0.25">
      <c r="A182" s="20"/>
      <c r="B182" s="50" t="s">
        <v>30</v>
      </c>
      <c r="C182" s="51">
        <v>20133</v>
      </c>
      <c r="D182" s="51">
        <v>20300</v>
      </c>
      <c r="E182" s="51">
        <f>D182-C182</f>
        <v>167</v>
      </c>
      <c r="F182" s="51">
        <v>146</v>
      </c>
      <c r="G182" s="62">
        <f>F182*E182</f>
        <v>24382</v>
      </c>
      <c r="H182" s="62">
        <v>0</v>
      </c>
      <c r="I182" s="62">
        <v>0</v>
      </c>
      <c r="J182" s="62">
        <v>0</v>
      </c>
      <c r="K182" s="62">
        <v>0</v>
      </c>
      <c r="L182" s="62">
        <v>0</v>
      </c>
      <c r="M182" s="62">
        <v>0</v>
      </c>
      <c r="N182" s="62">
        <v>0</v>
      </c>
      <c r="O182" s="62"/>
      <c r="P182" s="62">
        <v>0</v>
      </c>
      <c r="Q182" s="62">
        <v>0</v>
      </c>
      <c r="R182" s="62">
        <v>0</v>
      </c>
      <c r="S182" s="62">
        <f t="shared" si="7"/>
        <v>24382</v>
      </c>
      <c r="T182" s="52">
        <f t="shared" si="10"/>
        <v>10</v>
      </c>
      <c r="U182" s="52">
        <f t="shared" si="11"/>
        <v>24392</v>
      </c>
      <c r="V182" s="62"/>
      <c r="W182" s="52">
        <f t="shared" si="9"/>
        <v>24392</v>
      </c>
      <c r="Y182">
        <f t="shared" si="8"/>
        <v>2</v>
      </c>
    </row>
    <row r="183" spans="1:25" hidden="1" x14ac:dyDescent="0.25">
      <c r="A183" s="20"/>
      <c r="B183" s="50" t="s">
        <v>31</v>
      </c>
      <c r="C183" s="51">
        <f>D182</f>
        <v>20300</v>
      </c>
      <c r="D183" s="51">
        <v>20808</v>
      </c>
      <c r="E183" s="51">
        <f t="shared" ref="E183:E186" si="12">D183-C183</f>
        <v>508</v>
      </c>
      <c r="F183" s="51">
        <v>146</v>
      </c>
      <c r="G183" s="62">
        <f t="shared" ref="G183:G186" si="13">F183*E183</f>
        <v>74168</v>
      </c>
      <c r="H183" s="62">
        <v>0</v>
      </c>
      <c r="I183" s="62">
        <v>0</v>
      </c>
      <c r="J183" s="62">
        <v>0</v>
      </c>
      <c r="K183" s="62">
        <v>0</v>
      </c>
      <c r="L183" s="62">
        <v>0</v>
      </c>
      <c r="M183" s="62">
        <v>0</v>
      </c>
      <c r="N183" s="62">
        <v>0</v>
      </c>
      <c r="O183" s="62"/>
      <c r="P183" s="62">
        <v>0</v>
      </c>
      <c r="Q183" s="62">
        <v>0</v>
      </c>
      <c r="R183" s="62">
        <v>0</v>
      </c>
      <c r="S183" s="62">
        <f t="shared" si="7"/>
        <v>74168</v>
      </c>
      <c r="T183" s="52">
        <f t="shared" si="10"/>
        <v>24392</v>
      </c>
      <c r="U183" s="52">
        <f t="shared" si="11"/>
        <v>98560</v>
      </c>
      <c r="V183" s="62">
        <v>98560</v>
      </c>
      <c r="W183" s="52">
        <f t="shared" si="9"/>
        <v>0</v>
      </c>
    </row>
    <row r="184" spans="1:25" hidden="1" x14ac:dyDescent="0.25">
      <c r="A184" s="20"/>
      <c r="B184" s="50" t="s">
        <v>32</v>
      </c>
      <c r="C184" s="51">
        <f t="shared" ref="C184:C185" si="14">D183</f>
        <v>20808</v>
      </c>
      <c r="D184" s="51">
        <v>21483</v>
      </c>
      <c r="E184" s="51">
        <f t="shared" si="12"/>
        <v>675</v>
      </c>
      <c r="F184" s="51">
        <v>146</v>
      </c>
      <c r="G184" s="62">
        <f t="shared" si="13"/>
        <v>98550</v>
      </c>
      <c r="H184" s="62">
        <v>0</v>
      </c>
      <c r="I184" s="62">
        <v>0</v>
      </c>
      <c r="J184" s="62">
        <v>0</v>
      </c>
      <c r="K184" s="62">
        <v>0</v>
      </c>
      <c r="L184" s="62">
        <v>0</v>
      </c>
      <c r="M184" s="62">
        <v>0</v>
      </c>
      <c r="N184" s="62">
        <v>0</v>
      </c>
      <c r="O184" s="62"/>
      <c r="P184" s="62">
        <v>0</v>
      </c>
      <c r="Q184" s="62">
        <v>0</v>
      </c>
      <c r="R184" s="62">
        <v>0</v>
      </c>
      <c r="S184" s="62">
        <f t="shared" ref="S184:S185" si="15">G184</f>
        <v>98550</v>
      </c>
      <c r="T184" s="52">
        <f t="shared" si="10"/>
        <v>0</v>
      </c>
      <c r="U184" s="52">
        <f t="shared" si="11"/>
        <v>98550</v>
      </c>
      <c r="V184" s="62">
        <v>98550</v>
      </c>
      <c r="W184" s="52">
        <f t="shared" si="9"/>
        <v>0</v>
      </c>
    </row>
    <row r="185" spans="1:25" hidden="1" x14ac:dyDescent="0.25">
      <c r="A185" s="20"/>
      <c r="B185" s="50" t="s">
        <v>33</v>
      </c>
      <c r="C185" s="51">
        <f t="shared" si="14"/>
        <v>21483</v>
      </c>
      <c r="D185" s="51">
        <v>22138</v>
      </c>
      <c r="E185" s="51">
        <f t="shared" si="12"/>
        <v>655</v>
      </c>
      <c r="F185" s="51">
        <v>146</v>
      </c>
      <c r="G185" s="62">
        <f t="shared" si="13"/>
        <v>95630</v>
      </c>
      <c r="H185" s="62">
        <v>0</v>
      </c>
      <c r="I185" s="62">
        <v>0</v>
      </c>
      <c r="J185" s="62">
        <v>0</v>
      </c>
      <c r="K185" s="62">
        <v>0</v>
      </c>
      <c r="L185" s="62">
        <v>0</v>
      </c>
      <c r="M185" s="62">
        <v>0</v>
      </c>
      <c r="N185" s="62">
        <v>0</v>
      </c>
      <c r="O185" s="62"/>
      <c r="P185" s="62">
        <v>0</v>
      </c>
      <c r="Q185" s="62">
        <v>0</v>
      </c>
      <c r="R185" s="62">
        <v>0</v>
      </c>
      <c r="S185" s="62">
        <f t="shared" si="15"/>
        <v>95630</v>
      </c>
      <c r="T185" s="52">
        <f t="shared" si="10"/>
        <v>0</v>
      </c>
      <c r="U185" s="52">
        <f t="shared" si="11"/>
        <v>95630</v>
      </c>
      <c r="V185" s="62">
        <v>95630</v>
      </c>
      <c r="W185" s="52">
        <f t="shared" si="9"/>
        <v>0</v>
      </c>
    </row>
    <row r="186" spans="1:25" ht="15.75" hidden="1" thickBot="1" x14ac:dyDescent="0.3">
      <c r="A186" s="20"/>
      <c r="B186" s="74" t="s">
        <v>34</v>
      </c>
      <c r="C186" s="75">
        <f>D185</f>
        <v>22138</v>
      </c>
      <c r="D186" s="75">
        <v>22762</v>
      </c>
      <c r="E186" s="75">
        <f t="shared" si="12"/>
        <v>624</v>
      </c>
      <c r="F186" s="75">
        <v>146</v>
      </c>
      <c r="G186" s="23">
        <f t="shared" si="13"/>
        <v>91104</v>
      </c>
      <c r="H186" s="23">
        <v>0</v>
      </c>
      <c r="I186" s="23">
        <v>0</v>
      </c>
      <c r="J186" s="23">
        <v>0</v>
      </c>
      <c r="K186" s="23">
        <v>0</v>
      </c>
      <c r="L186" s="23">
        <v>0</v>
      </c>
      <c r="M186" s="23">
        <v>0</v>
      </c>
      <c r="N186" s="23">
        <v>0</v>
      </c>
      <c r="O186" s="23"/>
      <c r="P186" s="23">
        <v>0</v>
      </c>
      <c r="Q186" s="23">
        <v>0</v>
      </c>
      <c r="R186" s="23">
        <v>0</v>
      </c>
      <c r="S186" s="23">
        <f>G186</f>
        <v>91104</v>
      </c>
      <c r="T186" s="24">
        <f>W185</f>
        <v>0</v>
      </c>
      <c r="U186" s="24">
        <f>S186+T186</f>
        <v>91104</v>
      </c>
      <c r="V186" s="23">
        <v>91104</v>
      </c>
      <c r="W186" s="24">
        <f>U186-V186</f>
        <v>0</v>
      </c>
    </row>
    <row r="187" spans="1:25" x14ac:dyDescent="0.25">
      <c r="A187">
        <v>2018</v>
      </c>
      <c r="B187" s="47" t="s">
        <v>35</v>
      </c>
      <c r="C187" s="48">
        <f t="shared" ref="C187:C198" si="16">D186</f>
        <v>22762</v>
      </c>
      <c r="D187" s="48">
        <v>23539</v>
      </c>
      <c r="E187" s="48">
        <f t="shared" ref="E187:E198" si="17">D187-C187</f>
        <v>777</v>
      </c>
      <c r="F187" s="48">
        <v>146</v>
      </c>
      <c r="G187" s="61">
        <f t="shared" ref="G187:G198" si="18">F187*E187</f>
        <v>113442</v>
      </c>
      <c r="H187" s="61">
        <v>0</v>
      </c>
      <c r="I187" s="61">
        <v>0</v>
      </c>
      <c r="J187" s="61">
        <v>0</v>
      </c>
      <c r="K187" s="61">
        <v>0</v>
      </c>
      <c r="L187" s="61">
        <v>0</v>
      </c>
      <c r="M187" s="61">
        <v>0</v>
      </c>
      <c r="N187" s="61">
        <v>0</v>
      </c>
      <c r="O187" s="61"/>
      <c r="P187" s="61">
        <v>0</v>
      </c>
      <c r="Q187" s="61">
        <v>0</v>
      </c>
      <c r="R187" s="61">
        <v>0</v>
      </c>
      <c r="S187" s="61">
        <f t="shared" ref="S187:S198" si="19">G187</f>
        <v>113442</v>
      </c>
      <c r="T187" s="49">
        <f t="shared" ref="T187:T198" si="20">W186</f>
        <v>0</v>
      </c>
      <c r="U187" s="49">
        <f t="shared" ref="U187:U198" si="21">S187+T187</f>
        <v>113442</v>
      </c>
      <c r="V187" s="61">
        <v>113442</v>
      </c>
      <c r="W187" s="49">
        <f t="shared" ref="W187:W198" si="22">U187-V187</f>
        <v>0</v>
      </c>
    </row>
    <row r="188" spans="1:25" x14ac:dyDescent="0.25">
      <c r="B188" s="50" t="s">
        <v>24</v>
      </c>
      <c r="C188" s="51">
        <f t="shared" si="16"/>
        <v>23539</v>
      </c>
      <c r="D188" s="51">
        <v>24509</v>
      </c>
      <c r="E188" s="51">
        <f t="shared" si="17"/>
        <v>970</v>
      </c>
      <c r="F188" s="51">
        <v>146</v>
      </c>
      <c r="G188" s="62">
        <f t="shared" si="18"/>
        <v>141620</v>
      </c>
      <c r="H188" s="62">
        <v>0</v>
      </c>
      <c r="I188" s="62">
        <v>0</v>
      </c>
      <c r="J188" s="62">
        <v>0</v>
      </c>
      <c r="K188" s="62">
        <v>0</v>
      </c>
      <c r="L188" s="62">
        <v>0</v>
      </c>
      <c r="M188" s="62">
        <v>0</v>
      </c>
      <c r="N188" s="62">
        <v>0</v>
      </c>
      <c r="O188" s="62"/>
      <c r="P188" s="62">
        <v>0</v>
      </c>
      <c r="Q188" s="62">
        <v>0</v>
      </c>
      <c r="R188" s="62">
        <v>0</v>
      </c>
      <c r="S188" s="62">
        <f t="shared" si="19"/>
        <v>141620</v>
      </c>
      <c r="T188" s="52">
        <f t="shared" si="20"/>
        <v>0</v>
      </c>
      <c r="U188" s="52">
        <f t="shared" si="21"/>
        <v>141620</v>
      </c>
      <c r="V188" s="62">
        <v>141620</v>
      </c>
      <c r="W188" s="52">
        <f t="shared" si="22"/>
        <v>0</v>
      </c>
    </row>
    <row r="189" spans="1:25" x14ac:dyDescent="0.25">
      <c r="B189" s="50" t="s">
        <v>25</v>
      </c>
      <c r="C189" s="51">
        <f t="shared" si="16"/>
        <v>24509</v>
      </c>
      <c r="D189" s="51">
        <v>25450</v>
      </c>
      <c r="E189" s="51">
        <f t="shared" si="17"/>
        <v>941</v>
      </c>
      <c r="F189" s="51">
        <v>146</v>
      </c>
      <c r="G189" s="62">
        <f t="shared" si="18"/>
        <v>137386</v>
      </c>
      <c r="H189" s="62">
        <v>0</v>
      </c>
      <c r="I189" s="62">
        <v>0</v>
      </c>
      <c r="J189" s="62">
        <v>0</v>
      </c>
      <c r="K189" s="62">
        <v>0</v>
      </c>
      <c r="L189" s="62">
        <v>0</v>
      </c>
      <c r="M189" s="62">
        <v>0</v>
      </c>
      <c r="N189" s="62">
        <v>0</v>
      </c>
      <c r="O189" s="62"/>
      <c r="P189" s="62">
        <v>0</v>
      </c>
      <c r="Q189" s="62">
        <v>0</v>
      </c>
      <c r="R189" s="62">
        <v>0</v>
      </c>
      <c r="S189" s="62">
        <f t="shared" si="19"/>
        <v>137386</v>
      </c>
      <c r="T189" s="52">
        <f t="shared" si="20"/>
        <v>0</v>
      </c>
      <c r="U189" s="52">
        <f t="shared" si="21"/>
        <v>137386</v>
      </c>
      <c r="V189" s="62">
        <v>137386</v>
      </c>
      <c r="W189" s="52">
        <f t="shared" si="22"/>
        <v>0</v>
      </c>
    </row>
    <row r="190" spans="1:25" x14ac:dyDescent="0.25">
      <c r="B190" s="50" t="s">
        <v>26</v>
      </c>
      <c r="C190" s="51">
        <f t="shared" si="16"/>
        <v>25450</v>
      </c>
      <c r="D190" s="51">
        <v>26066</v>
      </c>
      <c r="E190" s="51">
        <f t="shared" si="17"/>
        <v>616</v>
      </c>
      <c r="F190" s="51">
        <v>146</v>
      </c>
      <c r="G190" s="62">
        <f t="shared" si="18"/>
        <v>89936</v>
      </c>
      <c r="H190" s="62">
        <v>0</v>
      </c>
      <c r="I190" s="62">
        <v>0</v>
      </c>
      <c r="J190" s="62">
        <v>0</v>
      </c>
      <c r="K190" s="62">
        <v>0</v>
      </c>
      <c r="L190" s="62">
        <v>0</v>
      </c>
      <c r="M190" s="62">
        <v>0</v>
      </c>
      <c r="N190" s="62">
        <v>0</v>
      </c>
      <c r="O190" s="62"/>
      <c r="P190" s="62">
        <v>0</v>
      </c>
      <c r="Q190" s="62">
        <v>0</v>
      </c>
      <c r="R190" s="62">
        <v>0</v>
      </c>
      <c r="S190" s="62">
        <f t="shared" si="19"/>
        <v>89936</v>
      </c>
      <c r="T190" s="52">
        <f t="shared" si="20"/>
        <v>0</v>
      </c>
      <c r="U190" s="52">
        <f t="shared" si="21"/>
        <v>89936</v>
      </c>
      <c r="V190" s="62">
        <v>89936</v>
      </c>
      <c r="W190" s="52">
        <f t="shared" si="22"/>
        <v>0</v>
      </c>
    </row>
    <row r="191" spans="1:25" x14ac:dyDescent="0.25">
      <c r="B191" s="50" t="s">
        <v>27</v>
      </c>
      <c r="C191" s="51">
        <f t="shared" si="16"/>
        <v>26066</v>
      </c>
      <c r="D191" s="51">
        <v>27117</v>
      </c>
      <c r="E191" s="51">
        <f>D191-C191</f>
        <v>1051</v>
      </c>
      <c r="F191" s="51">
        <v>146</v>
      </c>
      <c r="G191" s="62">
        <f t="shared" si="18"/>
        <v>153446</v>
      </c>
      <c r="H191" s="62">
        <v>0</v>
      </c>
      <c r="I191" s="62">
        <v>0</v>
      </c>
      <c r="J191" s="62">
        <v>0</v>
      </c>
      <c r="K191" s="62">
        <v>0</v>
      </c>
      <c r="L191" s="62">
        <v>0</v>
      </c>
      <c r="M191" s="62">
        <v>0</v>
      </c>
      <c r="N191" s="62">
        <v>0</v>
      </c>
      <c r="O191" s="62"/>
      <c r="P191" s="62">
        <v>0</v>
      </c>
      <c r="Q191" s="62">
        <v>0</v>
      </c>
      <c r="R191" s="62">
        <v>0</v>
      </c>
      <c r="S191" s="62">
        <f t="shared" si="19"/>
        <v>153446</v>
      </c>
      <c r="T191" s="52">
        <f t="shared" si="20"/>
        <v>0</v>
      </c>
      <c r="U191" s="52">
        <f t="shared" si="21"/>
        <v>153446</v>
      </c>
      <c r="V191" s="62">
        <v>153446</v>
      </c>
      <c r="W191" s="52">
        <f t="shared" si="22"/>
        <v>0</v>
      </c>
    </row>
    <row r="192" spans="1:25" x14ac:dyDescent="0.25">
      <c r="B192" s="50" t="s">
        <v>28</v>
      </c>
      <c r="C192" s="51">
        <f t="shared" si="16"/>
        <v>27117</v>
      </c>
      <c r="D192" s="51">
        <v>27584</v>
      </c>
      <c r="E192" s="51">
        <f t="shared" si="17"/>
        <v>467</v>
      </c>
      <c r="F192" s="51">
        <v>146</v>
      </c>
      <c r="G192" s="62">
        <f t="shared" si="18"/>
        <v>68182</v>
      </c>
      <c r="H192" s="62">
        <v>0</v>
      </c>
      <c r="I192" s="62">
        <v>0</v>
      </c>
      <c r="J192" s="62">
        <v>0</v>
      </c>
      <c r="K192" s="62">
        <v>0</v>
      </c>
      <c r="L192" s="62">
        <v>0</v>
      </c>
      <c r="M192" s="62">
        <v>0</v>
      </c>
      <c r="N192" s="62">
        <v>0</v>
      </c>
      <c r="O192" s="62"/>
      <c r="P192" s="62">
        <v>0</v>
      </c>
      <c r="Q192" s="62">
        <v>0</v>
      </c>
      <c r="R192" s="62">
        <v>0</v>
      </c>
      <c r="S192" s="62">
        <f t="shared" si="19"/>
        <v>68182</v>
      </c>
      <c r="T192" s="52">
        <f t="shared" si="20"/>
        <v>0</v>
      </c>
      <c r="U192" s="52">
        <f t="shared" si="21"/>
        <v>68182</v>
      </c>
      <c r="V192" s="62"/>
      <c r="W192" s="52">
        <f t="shared" si="22"/>
        <v>68182</v>
      </c>
    </row>
    <row r="193" spans="1:23" x14ac:dyDescent="0.25">
      <c r="B193" s="50" t="s">
        <v>29</v>
      </c>
      <c r="C193" s="51">
        <f t="shared" si="16"/>
        <v>27584</v>
      </c>
      <c r="D193" s="51">
        <v>28019</v>
      </c>
      <c r="E193" s="51">
        <f t="shared" si="17"/>
        <v>435</v>
      </c>
      <c r="F193" s="51">
        <v>146</v>
      </c>
      <c r="G193" s="62">
        <f t="shared" si="18"/>
        <v>63510</v>
      </c>
      <c r="H193" s="62">
        <v>0</v>
      </c>
      <c r="I193" s="62">
        <v>0</v>
      </c>
      <c r="J193" s="62">
        <v>0</v>
      </c>
      <c r="K193" s="62">
        <v>0</v>
      </c>
      <c r="L193" s="62">
        <v>0</v>
      </c>
      <c r="M193" s="62">
        <v>0</v>
      </c>
      <c r="N193" s="62">
        <v>0</v>
      </c>
      <c r="O193" s="62"/>
      <c r="P193" s="62">
        <v>0</v>
      </c>
      <c r="Q193" s="62">
        <v>0</v>
      </c>
      <c r="R193" s="62">
        <v>0</v>
      </c>
      <c r="S193" s="62">
        <f t="shared" si="19"/>
        <v>63510</v>
      </c>
      <c r="T193" s="52">
        <f t="shared" si="20"/>
        <v>68182</v>
      </c>
      <c r="U193" s="52">
        <f t="shared" si="21"/>
        <v>131692</v>
      </c>
      <c r="V193" s="62">
        <v>131692</v>
      </c>
      <c r="W193" s="52">
        <f t="shared" si="22"/>
        <v>0</v>
      </c>
    </row>
    <row r="194" spans="1:23" x14ac:dyDescent="0.25">
      <c r="B194" s="50" t="s">
        <v>30</v>
      </c>
      <c r="C194" s="51">
        <f t="shared" si="16"/>
        <v>28019</v>
      </c>
      <c r="D194" s="51">
        <v>28287</v>
      </c>
      <c r="E194" s="51">
        <f t="shared" si="17"/>
        <v>268</v>
      </c>
      <c r="F194" s="51">
        <v>146</v>
      </c>
      <c r="G194" s="62">
        <f t="shared" si="18"/>
        <v>39128</v>
      </c>
      <c r="H194" s="62">
        <v>0</v>
      </c>
      <c r="I194" s="62">
        <v>0</v>
      </c>
      <c r="J194" s="62">
        <v>0</v>
      </c>
      <c r="K194" s="62">
        <v>0</v>
      </c>
      <c r="L194" s="62">
        <v>0</v>
      </c>
      <c r="M194" s="62">
        <v>0</v>
      </c>
      <c r="N194" s="62">
        <v>0</v>
      </c>
      <c r="O194" s="62"/>
      <c r="P194" s="62">
        <v>0</v>
      </c>
      <c r="Q194" s="62">
        <v>0</v>
      </c>
      <c r="R194" s="62">
        <v>0</v>
      </c>
      <c r="S194" s="62">
        <f t="shared" si="19"/>
        <v>39128</v>
      </c>
      <c r="T194" s="52">
        <f t="shared" si="20"/>
        <v>0</v>
      </c>
      <c r="U194" s="52">
        <f t="shared" si="21"/>
        <v>39128</v>
      </c>
      <c r="V194" s="62">
        <v>39128</v>
      </c>
      <c r="W194" s="52">
        <f t="shared" si="22"/>
        <v>0</v>
      </c>
    </row>
    <row r="195" spans="1:23" x14ac:dyDescent="0.25">
      <c r="B195" s="50" t="s">
        <v>31</v>
      </c>
      <c r="C195" s="51">
        <f t="shared" si="16"/>
        <v>28287</v>
      </c>
      <c r="D195" s="51">
        <v>28933</v>
      </c>
      <c r="E195" s="51">
        <f t="shared" si="17"/>
        <v>646</v>
      </c>
      <c r="F195" s="51">
        <v>146</v>
      </c>
      <c r="G195" s="62">
        <f t="shared" si="18"/>
        <v>94316</v>
      </c>
      <c r="H195" s="62">
        <v>0</v>
      </c>
      <c r="I195" s="62">
        <v>0</v>
      </c>
      <c r="J195" s="62">
        <v>0</v>
      </c>
      <c r="K195" s="62">
        <v>0</v>
      </c>
      <c r="L195" s="62">
        <v>0</v>
      </c>
      <c r="M195" s="62">
        <v>0</v>
      </c>
      <c r="N195" s="62">
        <v>0</v>
      </c>
      <c r="O195" s="62"/>
      <c r="P195" s="62">
        <v>0</v>
      </c>
      <c r="Q195" s="62">
        <v>0</v>
      </c>
      <c r="R195" s="62">
        <v>0</v>
      </c>
      <c r="S195" s="62">
        <f t="shared" si="19"/>
        <v>94316</v>
      </c>
      <c r="T195" s="52">
        <f t="shared" si="20"/>
        <v>0</v>
      </c>
      <c r="U195" s="52">
        <f t="shared" si="21"/>
        <v>94316</v>
      </c>
      <c r="V195" s="62">
        <v>94316</v>
      </c>
      <c r="W195" s="52">
        <f t="shared" si="22"/>
        <v>0</v>
      </c>
    </row>
    <row r="196" spans="1:23" x14ac:dyDescent="0.25">
      <c r="B196" s="50" t="s">
        <v>32</v>
      </c>
      <c r="C196" s="51">
        <f t="shared" si="16"/>
        <v>28933</v>
      </c>
      <c r="D196" s="51">
        <v>29213</v>
      </c>
      <c r="E196" s="51">
        <f t="shared" si="17"/>
        <v>280</v>
      </c>
      <c r="F196" s="51">
        <v>146</v>
      </c>
      <c r="G196" s="62">
        <f t="shared" si="18"/>
        <v>40880</v>
      </c>
      <c r="H196" s="62">
        <v>0</v>
      </c>
      <c r="I196" s="62">
        <v>0</v>
      </c>
      <c r="J196" s="62">
        <v>0</v>
      </c>
      <c r="K196" s="62">
        <v>0</v>
      </c>
      <c r="L196" s="62">
        <v>0</v>
      </c>
      <c r="M196" s="62">
        <v>0</v>
      </c>
      <c r="N196" s="62">
        <v>0</v>
      </c>
      <c r="O196" s="62"/>
      <c r="P196" s="62">
        <v>0</v>
      </c>
      <c r="Q196" s="62">
        <v>0</v>
      </c>
      <c r="R196" s="62">
        <v>0</v>
      </c>
      <c r="S196" s="62">
        <f t="shared" si="19"/>
        <v>40880</v>
      </c>
      <c r="T196" s="52">
        <f t="shared" si="20"/>
        <v>0</v>
      </c>
      <c r="U196" s="52">
        <f t="shared" si="21"/>
        <v>40880</v>
      </c>
      <c r="V196" s="62">
        <v>40880</v>
      </c>
      <c r="W196" s="52">
        <f t="shared" si="22"/>
        <v>0</v>
      </c>
    </row>
    <row r="197" spans="1:23" x14ac:dyDescent="0.25">
      <c r="B197" s="50" t="s">
        <v>33</v>
      </c>
      <c r="C197" s="51">
        <f t="shared" si="16"/>
        <v>29213</v>
      </c>
      <c r="D197" s="51">
        <v>29769</v>
      </c>
      <c r="E197" s="51">
        <f t="shared" si="17"/>
        <v>556</v>
      </c>
      <c r="F197" s="51">
        <v>146</v>
      </c>
      <c r="G197" s="62">
        <f t="shared" si="18"/>
        <v>81176</v>
      </c>
      <c r="H197" s="62">
        <v>0</v>
      </c>
      <c r="I197" s="62">
        <v>0</v>
      </c>
      <c r="J197" s="62">
        <v>0</v>
      </c>
      <c r="K197" s="62">
        <v>0</v>
      </c>
      <c r="L197" s="62">
        <v>0</v>
      </c>
      <c r="M197" s="62">
        <v>0</v>
      </c>
      <c r="N197" s="62">
        <v>0</v>
      </c>
      <c r="O197" s="62"/>
      <c r="P197" s="62">
        <v>0</v>
      </c>
      <c r="Q197" s="62">
        <v>0</v>
      </c>
      <c r="R197" s="62">
        <v>0</v>
      </c>
      <c r="S197" s="62">
        <f t="shared" si="19"/>
        <v>81176</v>
      </c>
      <c r="T197" s="52">
        <f t="shared" si="20"/>
        <v>0</v>
      </c>
      <c r="U197" s="52">
        <f t="shared" si="21"/>
        <v>81176</v>
      </c>
      <c r="V197" s="62">
        <v>81176</v>
      </c>
      <c r="W197" s="52">
        <f t="shared" si="22"/>
        <v>0</v>
      </c>
    </row>
    <row r="198" spans="1:23" ht="15.75" thickBot="1" x14ac:dyDescent="0.3">
      <c r="B198" s="74" t="s">
        <v>34</v>
      </c>
      <c r="C198" s="75">
        <f t="shared" si="16"/>
        <v>29769</v>
      </c>
      <c r="D198" s="75">
        <v>30524</v>
      </c>
      <c r="E198" s="75">
        <f t="shared" si="17"/>
        <v>755</v>
      </c>
      <c r="F198" s="75">
        <v>146</v>
      </c>
      <c r="G198" s="23">
        <f t="shared" si="18"/>
        <v>110230</v>
      </c>
      <c r="H198" s="23">
        <v>0</v>
      </c>
      <c r="I198" s="23">
        <v>0</v>
      </c>
      <c r="J198" s="23">
        <v>0</v>
      </c>
      <c r="K198" s="23">
        <v>0</v>
      </c>
      <c r="L198" s="23">
        <v>0</v>
      </c>
      <c r="M198" s="23">
        <v>0</v>
      </c>
      <c r="N198" s="23">
        <v>0</v>
      </c>
      <c r="O198" s="23"/>
      <c r="P198" s="23">
        <v>0</v>
      </c>
      <c r="Q198" s="23">
        <v>0</v>
      </c>
      <c r="R198" s="23">
        <v>0</v>
      </c>
      <c r="S198" s="23">
        <f t="shared" si="19"/>
        <v>110230</v>
      </c>
      <c r="T198" s="24">
        <f t="shared" si="20"/>
        <v>0</v>
      </c>
      <c r="U198" s="24">
        <f t="shared" si="21"/>
        <v>110230</v>
      </c>
      <c r="V198" s="23">
        <v>110230</v>
      </c>
      <c r="W198" s="24">
        <f t="shared" si="22"/>
        <v>0</v>
      </c>
    </row>
    <row r="199" spans="1:23" x14ac:dyDescent="0.25">
      <c r="A199">
        <v>2019</v>
      </c>
      <c r="B199" s="47" t="s">
        <v>35</v>
      </c>
      <c r="C199" s="48">
        <f t="shared" ref="C199:C210" si="23">D198</f>
        <v>30524</v>
      </c>
      <c r="D199" s="48">
        <v>31627</v>
      </c>
      <c r="E199" s="48">
        <f t="shared" ref="E199:E210" si="24">D199-C199</f>
        <v>1103</v>
      </c>
      <c r="F199" s="48">
        <v>150</v>
      </c>
      <c r="G199" s="61">
        <f t="shared" ref="G199:G210" si="25">F199*E199</f>
        <v>165450</v>
      </c>
      <c r="H199" s="61">
        <v>0</v>
      </c>
      <c r="I199" s="61">
        <v>0</v>
      </c>
      <c r="J199" s="61">
        <v>0</v>
      </c>
      <c r="K199" s="61">
        <v>0</v>
      </c>
      <c r="L199" s="61">
        <v>0</v>
      </c>
      <c r="M199" s="61">
        <v>0</v>
      </c>
      <c r="N199" s="61">
        <v>0</v>
      </c>
      <c r="O199" s="61"/>
      <c r="P199" s="61">
        <v>0</v>
      </c>
      <c r="Q199" s="61">
        <v>0</v>
      </c>
      <c r="R199" s="61">
        <v>0</v>
      </c>
      <c r="S199" s="61">
        <f t="shared" ref="S199:S210" si="26">G199</f>
        <v>165450</v>
      </c>
      <c r="T199" s="49">
        <f t="shared" ref="T199:T210" si="27">W198</f>
        <v>0</v>
      </c>
      <c r="U199" s="49">
        <f t="shared" ref="U199:U210" si="28">S199+T199</f>
        <v>165450</v>
      </c>
      <c r="V199" s="61">
        <v>165450</v>
      </c>
      <c r="W199" s="49">
        <f t="shared" ref="W199:W210" si="29">U199-V199</f>
        <v>0</v>
      </c>
    </row>
    <row r="200" spans="1:23" x14ac:dyDescent="0.25">
      <c r="B200" s="50" t="s">
        <v>24</v>
      </c>
      <c r="C200" s="51">
        <f t="shared" si="23"/>
        <v>31627</v>
      </c>
      <c r="D200" s="51">
        <v>32528</v>
      </c>
      <c r="E200" s="51">
        <f t="shared" si="24"/>
        <v>901</v>
      </c>
      <c r="F200" s="51">
        <v>150</v>
      </c>
      <c r="G200" s="62">
        <f t="shared" si="25"/>
        <v>135150</v>
      </c>
      <c r="H200" s="62">
        <v>0</v>
      </c>
      <c r="I200" s="62">
        <v>0</v>
      </c>
      <c r="J200" s="62">
        <v>0</v>
      </c>
      <c r="K200" s="62">
        <v>0</v>
      </c>
      <c r="L200" s="62">
        <v>0</v>
      </c>
      <c r="M200" s="62">
        <v>0</v>
      </c>
      <c r="N200" s="62">
        <v>0</v>
      </c>
      <c r="O200" s="62"/>
      <c r="P200" s="62">
        <v>0</v>
      </c>
      <c r="Q200" s="62">
        <v>0</v>
      </c>
      <c r="R200" s="62">
        <v>0</v>
      </c>
      <c r="S200" s="62">
        <f t="shared" si="26"/>
        <v>135150</v>
      </c>
      <c r="T200" s="52">
        <f t="shared" si="27"/>
        <v>0</v>
      </c>
      <c r="U200" s="52">
        <f t="shared" si="28"/>
        <v>135150</v>
      </c>
      <c r="V200" s="62">
        <v>135150</v>
      </c>
      <c r="W200" s="52">
        <f t="shared" si="29"/>
        <v>0</v>
      </c>
    </row>
    <row r="201" spans="1:23" x14ac:dyDescent="0.25">
      <c r="B201" s="150" t="s">
        <v>25</v>
      </c>
      <c r="C201" s="151">
        <f t="shared" si="23"/>
        <v>32528</v>
      </c>
      <c r="D201" s="151">
        <v>33314</v>
      </c>
      <c r="E201" s="151">
        <f t="shared" si="24"/>
        <v>786</v>
      </c>
      <c r="F201" s="151">
        <v>150</v>
      </c>
      <c r="G201" s="156">
        <f t="shared" si="25"/>
        <v>117900</v>
      </c>
      <c r="H201" s="156">
        <v>0</v>
      </c>
      <c r="I201" s="156">
        <v>0</v>
      </c>
      <c r="J201" s="156">
        <v>0</v>
      </c>
      <c r="K201" s="156">
        <v>0</v>
      </c>
      <c r="L201" s="156">
        <v>0</v>
      </c>
      <c r="M201" s="156">
        <v>0</v>
      </c>
      <c r="N201" s="156">
        <v>0</v>
      </c>
      <c r="O201" s="156"/>
      <c r="P201" s="156">
        <v>0</v>
      </c>
      <c r="Q201" s="156">
        <v>0</v>
      </c>
      <c r="R201" s="156">
        <v>0</v>
      </c>
      <c r="S201" s="156">
        <f t="shared" si="26"/>
        <v>117900</v>
      </c>
      <c r="T201" s="155">
        <f t="shared" si="27"/>
        <v>0</v>
      </c>
      <c r="U201" s="155">
        <f t="shared" si="28"/>
        <v>117900</v>
      </c>
      <c r="V201" s="156">
        <v>117900</v>
      </c>
      <c r="W201" s="155">
        <f t="shared" si="29"/>
        <v>0</v>
      </c>
    </row>
    <row r="202" spans="1:23" ht="15.75" thickBot="1" x14ac:dyDescent="0.3">
      <c r="B202" s="143" t="s">
        <v>26</v>
      </c>
      <c r="C202" s="144">
        <f t="shared" si="23"/>
        <v>33314</v>
      </c>
      <c r="D202" s="144">
        <v>34090</v>
      </c>
      <c r="E202" s="144">
        <f t="shared" si="24"/>
        <v>776</v>
      </c>
      <c r="F202" s="144">
        <v>150</v>
      </c>
      <c r="G202" s="149">
        <f t="shared" si="25"/>
        <v>116400</v>
      </c>
      <c r="H202" s="149">
        <v>0</v>
      </c>
      <c r="I202" s="149">
        <v>0</v>
      </c>
      <c r="J202" s="149">
        <v>0</v>
      </c>
      <c r="K202" s="149">
        <v>0</v>
      </c>
      <c r="L202" s="149">
        <v>0</v>
      </c>
      <c r="M202" s="149">
        <v>0</v>
      </c>
      <c r="N202" s="149">
        <v>0</v>
      </c>
      <c r="O202" s="149"/>
      <c r="P202" s="149">
        <v>0</v>
      </c>
      <c r="Q202" s="149">
        <v>0</v>
      </c>
      <c r="R202" s="149">
        <v>0</v>
      </c>
      <c r="S202" s="149">
        <f t="shared" si="26"/>
        <v>116400</v>
      </c>
      <c r="T202" s="148">
        <f t="shared" si="27"/>
        <v>0</v>
      </c>
      <c r="U202" s="148">
        <f t="shared" si="28"/>
        <v>116400</v>
      </c>
      <c r="V202" s="149">
        <v>116400</v>
      </c>
      <c r="W202" s="148">
        <f t="shared" si="29"/>
        <v>0</v>
      </c>
    </row>
    <row r="203" spans="1:23" ht="15.75" thickBot="1" x14ac:dyDescent="0.3">
      <c r="B203" s="41" t="s">
        <v>27</v>
      </c>
      <c r="C203" s="42">
        <f t="shared" si="23"/>
        <v>34090</v>
      </c>
      <c r="D203" s="42">
        <v>34871</v>
      </c>
      <c r="E203" s="42">
        <f t="shared" si="24"/>
        <v>781</v>
      </c>
      <c r="F203" s="42">
        <v>150</v>
      </c>
      <c r="G203" s="63">
        <f t="shared" si="25"/>
        <v>117150</v>
      </c>
      <c r="H203" s="63">
        <v>0</v>
      </c>
      <c r="I203" s="63">
        <v>0</v>
      </c>
      <c r="J203" s="63">
        <v>0</v>
      </c>
      <c r="K203" s="63">
        <v>0</v>
      </c>
      <c r="L203" s="63">
        <v>0</v>
      </c>
      <c r="M203" s="63">
        <v>0</v>
      </c>
      <c r="N203" s="63">
        <v>0</v>
      </c>
      <c r="O203" s="63"/>
      <c r="P203" s="63">
        <v>0</v>
      </c>
      <c r="Q203" s="63">
        <v>0</v>
      </c>
      <c r="R203" s="63">
        <v>0</v>
      </c>
      <c r="S203" s="63">
        <f t="shared" si="26"/>
        <v>117150</v>
      </c>
      <c r="T203" s="43">
        <f t="shared" si="27"/>
        <v>0</v>
      </c>
      <c r="U203" s="43">
        <f t="shared" si="28"/>
        <v>117150</v>
      </c>
      <c r="V203" s="63"/>
      <c r="W203" s="43">
        <f t="shared" si="29"/>
        <v>117150</v>
      </c>
    </row>
    <row r="204" spans="1:23" ht="15.75" hidden="1" thickBot="1" x14ac:dyDescent="0.3">
      <c r="B204" s="41" t="s">
        <v>28</v>
      </c>
      <c r="C204" s="42">
        <f t="shared" si="23"/>
        <v>34871</v>
      </c>
      <c r="D204" s="42"/>
      <c r="E204" s="42">
        <f t="shared" si="24"/>
        <v>-34871</v>
      </c>
      <c r="F204" s="42">
        <v>150</v>
      </c>
      <c r="G204" s="63">
        <f t="shared" si="25"/>
        <v>-5230650</v>
      </c>
      <c r="H204" s="63">
        <v>0</v>
      </c>
      <c r="I204" s="63">
        <v>0</v>
      </c>
      <c r="J204" s="63">
        <v>0</v>
      </c>
      <c r="K204" s="63">
        <v>0</v>
      </c>
      <c r="L204" s="63">
        <v>0</v>
      </c>
      <c r="M204" s="63">
        <v>0</v>
      </c>
      <c r="N204" s="63">
        <v>0</v>
      </c>
      <c r="O204" s="63"/>
      <c r="P204" s="63">
        <v>0</v>
      </c>
      <c r="Q204" s="63">
        <v>0</v>
      </c>
      <c r="R204" s="63">
        <v>0</v>
      </c>
      <c r="S204" s="63">
        <f t="shared" si="26"/>
        <v>-5230650</v>
      </c>
      <c r="T204" s="43">
        <f t="shared" si="27"/>
        <v>117150</v>
      </c>
      <c r="U204" s="43">
        <f t="shared" si="28"/>
        <v>-5113500</v>
      </c>
      <c r="V204" s="63"/>
      <c r="W204" s="43">
        <f t="shared" si="29"/>
        <v>-5113500</v>
      </c>
    </row>
    <row r="205" spans="1:23" ht="15.75" hidden="1" thickBot="1" x14ac:dyDescent="0.3">
      <c r="B205" s="41" t="s">
        <v>29</v>
      </c>
      <c r="C205" s="42">
        <f t="shared" si="23"/>
        <v>0</v>
      </c>
      <c r="D205" s="42"/>
      <c r="E205" s="42">
        <f t="shared" si="24"/>
        <v>0</v>
      </c>
      <c r="F205" s="42">
        <v>150</v>
      </c>
      <c r="G205" s="63">
        <f t="shared" si="25"/>
        <v>0</v>
      </c>
      <c r="H205" s="63">
        <v>0</v>
      </c>
      <c r="I205" s="63">
        <v>0</v>
      </c>
      <c r="J205" s="63">
        <v>0</v>
      </c>
      <c r="K205" s="63">
        <v>0</v>
      </c>
      <c r="L205" s="63">
        <v>0</v>
      </c>
      <c r="M205" s="63">
        <v>0</v>
      </c>
      <c r="N205" s="63">
        <v>0</v>
      </c>
      <c r="O205" s="63"/>
      <c r="P205" s="63">
        <v>0</v>
      </c>
      <c r="Q205" s="63">
        <v>0</v>
      </c>
      <c r="R205" s="63">
        <v>0</v>
      </c>
      <c r="S205" s="63">
        <f t="shared" si="26"/>
        <v>0</v>
      </c>
      <c r="T205" s="43">
        <f t="shared" si="27"/>
        <v>-5113500</v>
      </c>
      <c r="U205" s="43">
        <f t="shared" si="28"/>
        <v>-5113500</v>
      </c>
      <c r="V205" s="63"/>
      <c r="W205" s="43">
        <f t="shared" si="29"/>
        <v>-5113500</v>
      </c>
    </row>
    <row r="206" spans="1:23" ht="15.75" hidden="1" thickBot="1" x14ac:dyDescent="0.3">
      <c r="B206" s="41" t="s">
        <v>30</v>
      </c>
      <c r="C206" s="42">
        <f t="shared" si="23"/>
        <v>0</v>
      </c>
      <c r="D206" s="42"/>
      <c r="E206" s="42">
        <f t="shared" si="24"/>
        <v>0</v>
      </c>
      <c r="F206" s="42">
        <v>150</v>
      </c>
      <c r="G206" s="63">
        <f t="shared" si="25"/>
        <v>0</v>
      </c>
      <c r="H206" s="63">
        <v>0</v>
      </c>
      <c r="I206" s="63">
        <v>0</v>
      </c>
      <c r="J206" s="63">
        <v>0</v>
      </c>
      <c r="K206" s="63">
        <v>0</v>
      </c>
      <c r="L206" s="63">
        <v>0</v>
      </c>
      <c r="M206" s="63">
        <v>0</v>
      </c>
      <c r="N206" s="63">
        <v>0</v>
      </c>
      <c r="O206" s="63"/>
      <c r="P206" s="63">
        <v>0</v>
      </c>
      <c r="Q206" s="63">
        <v>0</v>
      </c>
      <c r="R206" s="63">
        <v>0</v>
      </c>
      <c r="S206" s="63">
        <f t="shared" si="26"/>
        <v>0</v>
      </c>
      <c r="T206" s="43">
        <f t="shared" si="27"/>
        <v>-5113500</v>
      </c>
      <c r="U206" s="43">
        <f t="shared" si="28"/>
        <v>-5113500</v>
      </c>
      <c r="V206" s="63"/>
      <c r="W206" s="43">
        <f t="shared" si="29"/>
        <v>-5113500</v>
      </c>
    </row>
    <row r="207" spans="1:23" ht="15.75" hidden="1" thickBot="1" x14ac:dyDescent="0.3">
      <c r="B207" s="41" t="s">
        <v>31</v>
      </c>
      <c r="C207" s="42">
        <f t="shared" si="23"/>
        <v>0</v>
      </c>
      <c r="D207" s="42"/>
      <c r="E207" s="42">
        <f t="shared" si="24"/>
        <v>0</v>
      </c>
      <c r="F207" s="42">
        <v>150</v>
      </c>
      <c r="G207" s="63">
        <f t="shared" si="25"/>
        <v>0</v>
      </c>
      <c r="H207" s="63">
        <v>0</v>
      </c>
      <c r="I207" s="63">
        <v>0</v>
      </c>
      <c r="J207" s="63">
        <v>0</v>
      </c>
      <c r="K207" s="63">
        <v>0</v>
      </c>
      <c r="L207" s="63">
        <v>0</v>
      </c>
      <c r="M207" s="63">
        <v>0</v>
      </c>
      <c r="N207" s="63">
        <v>0</v>
      </c>
      <c r="O207" s="63"/>
      <c r="P207" s="63">
        <v>0</v>
      </c>
      <c r="Q207" s="63">
        <v>0</v>
      </c>
      <c r="R207" s="63">
        <v>0</v>
      </c>
      <c r="S207" s="63">
        <f t="shared" si="26"/>
        <v>0</v>
      </c>
      <c r="T207" s="43">
        <f t="shared" si="27"/>
        <v>-5113500</v>
      </c>
      <c r="U207" s="43">
        <f t="shared" si="28"/>
        <v>-5113500</v>
      </c>
      <c r="V207" s="63"/>
      <c r="W207" s="43">
        <f t="shared" si="29"/>
        <v>-5113500</v>
      </c>
    </row>
    <row r="208" spans="1:23" ht="15.75" hidden="1" thickBot="1" x14ac:dyDescent="0.3">
      <c r="B208" s="41" t="s">
        <v>32</v>
      </c>
      <c r="C208" s="42">
        <f t="shared" si="23"/>
        <v>0</v>
      </c>
      <c r="D208" s="42"/>
      <c r="E208" s="42">
        <f t="shared" si="24"/>
        <v>0</v>
      </c>
      <c r="F208" s="42">
        <v>150</v>
      </c>
      <c r="G208" s="63">
        <f t="shared" si="25"/>
        <v>0</v>
      </c>
      <c r="H208" s="63">
        <v>0</v>
      </c>
      <c r="I208" s="63">
        <v>0</v>
      </c>
      <c r="J208" s="63">
        <v>0</v>
      </c>
      <c r="K208" s="63">
        <v>0</v>
      </c>
      <c r="L208" s="63">
        <v>0</v>
      </c>
      <c r="M208" s="63">
        <v>0</v>
      </c>
      <c r="N208" s="63">
        <v>0</v>
      </c>
      <c r="O208" s="63"/>
      <c r="P208" s="63">
        <v>0</v>
      </c>
      <c r="Q208" s="63">
        <v>0</v>
      </c>
      <c r="R208" s="63">
        <v>0</v>
      </c>
      <c r="S208" s="63">
        <f t="shared" si="26"/>
        <v>0</v>
      </c>
      <c r="T208" s="43">
        <f t="shared" si="27"/>
        <v>-5113500</v>
      </c>
      <c r="U208" s="43">
        <f t="shared" si="28"/>
        <v>-5113500</v>
      </c>
      <c r="V208" s="63"/>
      <c r="W208" s="43">
        <f t="shared" si="29"/>
        <v>-5113500</v>
      </c>
    </row>
    <row r="209" spans="2:23" ht="15.75" hidden="1" thickBot="1" x14ac:dyDescent="0.3">
      <c r="B209" s="41" t="s">
        <v>33</v>
      </c>
      <c r="C209" s="42">
        <f t="shared" si="23"/>
        <v>0</v>
      </c>
      <c r="D209" s="42"/>
      <c r="E209" s="42">
        <f t="shared" si="24"/>
        <v>0</v>
      </c>
      <c r="F209" s="42">
        <v>150</v>
      </c>
      <c r="G209" s="63">
        <f t="shared" si="25"/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  <c r="M209" s="63">
        <v>0</v>
      </c>
      <c r="N209" s="63">
        <v>0</v>
      </c>
      <c r="O209" s="63"/>
      <c r="P209" s="63">
        <v>0</v>
      </c>
      <c r="Q209" s="63">
        <v>0</v>
      </c>
      <c r="R209" s="63">
        <v>0</v>
      </c>
      <c r="S209" s="63">
        <f t="shared" si="26"/>
        <v>0</v>
      </c>
      <c r="T209" s="43">
        <f t="shared" si="27"/>
        <v>-5113500</v>
      </c>
      <c r="U209" s="43">
        <f t="shared" si="28"/>
        <v>-5113500</v>
      </c>
      <c r="V209" s="63"/>
      <c r="W209" s="43">
        <f t="shared" si="29"/>
        <v>-5113500</v>
      </c>
    </row>
    <row r="210" spans="2:23" ht="15.75" hidden="1" thickBot="1" x14ac:dyDescent="0.3">
      <c r="B210" s="41" t="s">
        <v>34</v>
      </c>
      <c r="C210" s="42">
        <f t="shared" si="23"/>
        <v>0</v>
      </c>
      <c r="D210" s="42"/>
      <c r="E210" s="42">
        <f t="shared" si="24"/>
        <v>0</v>
      </c>
      <c r="F210" s="42">
        <v>150</v>
      </c>
      <c r="G210" s="63">
        <f t="shared" si="25"/>
        <v>0</v>
      </c>
      <c r="H210" s="63">
        <v>0</v>
      </c>
      <c r="I210" s="63">
        <v>0</v>
      </c>
      <c r="J210" s="63">
        <v>0</v>
      </c>
      <c r="K210" s="63">
        <v>0</v>
      </c>
      <c r="L210" s="63">
        <v>0</v>
      </c>
      <c r="M210" s="63">
        <v>0</v>
      </c>
      <c r="N210" s="63">
        <v>0</v>
      </c>
      <c r="O210" s="63"/>
      <c r="P210" s="63">
        <v>0</v>
      </c>
      <c r="Q210" s="63">
        <v>0</v>
      </c>
      <c r="R210" s="63">
        <v>0</v>
      </c>
      <c r="S210" s="63">
        <f t="shared" si="26"/>
        <v>0</v>
      </c>
      <c r="T210" s="43">
        <f t="shared" si="27"/>
        <v>-5113500</v>
      </c>
      <c r="U210" s="43">
        <f t="shared" si="28"/>
        <v>-5113500</v>
      </c>
      <c r="V210" s="63"/>
      <c r="W210" s="43">
        <f t="shared" si="29"/>
        <v>-5113500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conditionalFormatting sqref="J7:J210">
    <cfRule type="cellIs" dxfId="3" priority="2" operator="greaterThan">
      <formula>100</formula>
    </cfRule>
  </conditionalFormatting>
  <conditionalFormatting sqref="V7:V192">
    <cfRule type="cellIs" dxfId="2" priority="1" operator="lessThan">
      <formula>1</formula>
    </cfRule>
  </conditionalFormatting>
  <pageMargins left="0.31496062992125984" right="0.70866141732283472" top="0.74803149606299213" bottom="0.74803149606299213" header="0.31496062992125984" footer="0.31496062992125984"/>
  <pageSetup scale="85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Y5:Y6"/>
  <sheetViews>
    <sheetView topLeftCell="N1" workbookViewId="0">
      <selection activeCell="V7" sqref="V7:V192"/>
    </sheetView>
  </sheetViews>
  <sheetFormatPr baseColWidth="10" defaultRowHeight="15" x14ac:dyDescent="0.25"/>
  <cols>
    <col min="25" max="25" width="11.28515625" customWidth="1"/>
  </cols>
  <sheetData>
    <row r="5" spans="25:25" x14ac:dyDescent="0.25">
      <c r="Y5" s="172"/>
    </row>
    <row r="6" spans="25:25" x14ac:dyDescent="0.25">
      <c r="Y6" s="172"/>
    </row>
  </sheetData>
  <mergeCells count="1">
    <mergeCell ref="Y5:Y6"/>
  </mergeCells>
  <conditionalFormatting sqref="J7:J199">
    <cfRule type="cellIs" dxfId="1" priority="2" operator="greaterThan">
      <formula>100</formula>
    </cfRule>
  </conditionalFormatting>
  <conditionalFormatting sqref="V7:V192">
    <cfRule type="cellIs" dxfId="0" priority="1" operator="lessThan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2:Z26"/>
  <sheetViews>
    <sheetView workbookViewId="0">
      <selection activeCell="B2" sqref="B2:E14"/>
    </sheetView>
  </sheetViews>
  <sheetFormatPr baseColWidth="10" defaultRowHeight="15" x14ac:dyDescent="0.25"/>
  <cols>
    <col min="1" max="1" width="6.5703125" customWidth="1"/>
    <col min="2" max="2" width="12.5703125" customWidth="1"/>
    <col min="3" max="5" width="14.85546875" customWidth="1"/>
  </cols>
  <sheetData>
    <row r="2" spans="1:26" x14ac:dyDescent="0.25">
      <c r="B2" s="39" t="s">
        <v>22</v>
      </c>
      <c r="C2" s="40" t="s">
        <v>57</v>
      </c>
      <c r="D2" s="40" t="s">
        <v>58</v>
      </c>
      <c r="E2" s="40" t="s">
        <v>74</v>
      </c>
    </row>
    <row r="3" spans="1:26" x14ac:dyDescent="0.25">
      <c r="A3">
        <v>2017</v>
      </c>
      <c r="B3" s="39" t="s">
        <v>35</v>
      </c>
      <c r="C3" s="78">
        <v>6348</v>
      </c>
      <c r="D3" s="78">
        <v>6605</v>
      </c>
      <c r="E3" s="79">
        <f>(D3-C3)</f>
        <v>257</v>
      </c>
    </row>
    <row r="4" spans="1:26" x14ac:dyDescent="0.25">
      <c r="B4" s="39" t="s">
        <v>24</v>
      </c>
      <c r="C4" s="78">
        <f>D3</f>
        <v>6605</v>
      </c>
      <c r="D4" s="78">
        <v>6851</v>
      </c>
      <c r="E4" s="79">
        <f t="shared" ref="E4:E14" si="0">(D4-C4)</f>
        <v>246</v>
      </c>
    </row>
    <row r="5" spans="1:26" x14ac:dyDescent="0.25">
      <c r="B5" s="39" t="s">
        <v>25</v>
      </c>
      <c r="C5" s="78">
        <f t="shared" ref="C5:C14" si="1">D4</f>
        <v>6851</v>
      </c>
      <c r="D5" s="78">
        <v>7179</v>
      </c>
      <c r="E5" s="79">
        <f t="shared" si="0"/>
        <v>328</v>
      </c>
      <c r="Z5" s="172"/>
    </row>
    <row r="6" spans="1:26" x14ac:dyDescent="0.25">
      <c r="B6" s="39" t="s">
        <v>26</v>
      </c>
      <c r="C6" s="78">
        <f t="shared" si="1"/>
        <v>7179</v>
      </c>
      <c r="D6" s="78">
        <v>7502</v>
      </c>
      <c r="E6" s="79">
        <f t="shared" si="0"/>
        <v>323</v>
      </c>
      <c r="Z6" s="172"/>
    </row>
    <row r="7" spans="1:26" x14ac:dyDescent="0.25">
      <c r="B7" s="39" t="s">
        <v>27</v>
      </c>
      <c r="C7" s="78">
        <f t="shared" si="1"/>
        <v>7502</v>
      </c>
      <c r="D7" s="78">
        <v>7956</v>
      </c>
      <c r="E7" s="79">
        <f t="shared" si="0"/>
        <v>454</v>
      </c>
    </row>
    <row r="8" spans="1:26" x14ac:dyDescent="0.25">
      <c r="B8" s="39" t="s">
        <v>28</v>
      </c>
      <c r="C8" s="78">
        <f t="shared" si="1"/>
        <v>7956</v>
      </c>
      <c r="D8" s="78">
        <v>8582</v>
      </c>
      <c r="E8" s="79">
        <f t="shared" si="0"/>
        <v>626</v>
      </c>
    </row>
    <row r="9" spans="1:26" x14ac:dyDescent="0.25">
      <c r="B9" s="39" t="s">
        <v>29</v>
      </c>
      <c r="C9" s="78">
        <f t="shared" si="1"/>
        <v>8582</v>
      </c>
      <c r="D9" s="78">
        <v>9104</v>
      </c>
      <c r="E9" s="79">
        <f t="shared" si="0"/>
        <v>522</v>
      </c>
    </row>
    <row r="10" spans="1:26" x14ac:dyDescent="0.25">
      <c r="B10" s="39" t="s">
        <v>30</v>
      </c>
      <c r="C10" s="78">
        <f t="shared" si="1"/>
        <v>9104</v>
      </c>
      <c r="D10" s="78">
        <v>9693</v>
      </c>
      <c r="E10" s="79">
        <f t="shared" si="0"/>
        <v>589</v>
      </c>
    </row>
    <row r="11" spans="1:26" x14ac:dyDescent="0.25">
      <c r="B11" s="39" t="s">
        <v>31</v>
      </c>
      <c r="C11" s="78">
        <f t="shared" si="1"/>
        <v>9693</v>
      </c>
      <c r="D11" s="78">
        <v>10192</v>
      </c>
      <c r="E11" s="79">
        <f t="shared" si="0"/>
        <v>499</v>
      </c>
    </row>
    <row r="12" spans="1:26" x14ac:dyDescent="0.25">
      <c r="B12" s="39" t="s">
        <v>32</v>
      </c>
      <c r="C12" s="78">
        <f t="shared" si="1"/>
        <v>10192</v>
      </c>
      <c r="D12" s="78">
        <v>10625</v>
      </c>
      <c r="E12" s="79">
        <f t="shared" si="0"/>
        <v>433</v>
      </c>
    </row>
    <row r="13" spans="1:26" x14ac:dyDescent="0.25">
      <c r="B13" s="39" t="s">
        <v>33</v>
      </c>
      <c r="C13" s="78">
        <f t="shared" si="1"/>
        <v>10625</v>
      </c>
      <c r="D13" s="78">
        <v>10862</v>
      </c>
      <c r="E13" s="79">
        <f t="shared" si="0"/>
        <v>237</v>
      </c>
    </row>
    <row r="14" spans="1:26" x14ac:dyDescent="0.25">
      <c r="B14" s="39" t="s">
        <v>34</v>
      </c>
      <c r="C14" s="78">
        <f t="shared" si="1"/>
        <v>10862</v>
      </c>
      <c r="D14" s="78">
        <v>11069</v>
      </c>
      <c r="E14" s="79">
        <f t="shared" si="0"/>
        <v>207</v>
      </c>
    </row>
    <row r="15" spans="1:26" x14ac:dyDescent="0.25">
      <c r="A15">
        <v>2018</v>
      </c>
      <c r="B15" s="80" t="s">
        <v>35</v>
      </c>
      <c r="C15" s="78">
        <f t="shared" ref="C15:C26" si="2">D14</f>
        <v>11069</v>
      </c>
      <c r="D15" s="78">
        <v>11298</v>
      </c>
      <c r="E15" s="79">
        <f t="shared" ref="E15:E26" si="3">(D15-C15)</f>
        <v>229</v>
      </c>
    </row>
    <row r="16" spans="1:26" x14ac:dyDescent="0.25">
      <c r="B16" s="80" t="s">
        <v>24</v>
      </c>
      <c r="C16" s="78">
        <f t="shared" si="2"/>
        <v>11298</v>
      </c>
      <c r="D16" s="78">
        <v>11510</v>
      </c>
      <c r="E16" s="79">
        <f t="shared" si="3"/>
        <v>212</v>
      </c>
    </row>
    <row r="17" spans="2:5" x14ac:dyDescent="0.25">
      <c r="B17" s="80" t="s">
        <v>25</v>
      </c>
      <c r="C17" s="78">
        <f t="shared" si="2"/>
        <v>11510</v>
      </c>
      <c r="D17" s="78">
        <v>12130</v>
      </c>
      <c r="E17" s="79">
        <f t="shared" si="3"/>
        <v>620</v>
      </c>
    </row>
    <row r="18" spans="2:5" x14ac:dyDescent="0.25">
      <c r="B18" s="80" t="s">
        <v>26</v>
      </c>
      <c r="C18" s="78">
        <f t="shared" si="2"/>
        <v>12130</v>
      </c>
      <c r="D18" s="78">
        <v>12652</v>
      </c>
      <c r="E18" s="79">
        <f t="shared" si="3"/>
        <v>522</v>
      </c>
    </row>
    <row r="19" spans="2:5" x14ac:dyDescent="0.25">
      <c r="B19" s="80" t="s">
        <v>27</v>
      </c>
      <c r="C19" s="78">
        <f t="shared" si="2"/>
        <v>12652</v>
      </c>
      <c r="D19" s="78">
        <v>13359</v>
      </c>
      <c r="E19" s="79">
        <f t="shared" si="3"/>
        <v>707</v>
      </c>
    </row>
    <row r="20" spans="2:5" x14ac:dyDescent="0.25">
      <c r="B20" s="80" t="s">
        <v>28</v>
      </c>
      <c r="C20" s="78">
        <f t="shared" si="2"/>
        <v>13359</v>
      </c>
      <c r="D20" s="78">
        <v>13966</v>
      </c>
      <c r="E20" s="79">
        <f t="shared" si="3"/>
        <v>607</v>
      </c>
    </row>
    <row r="21" spans="2:5" x14ac:dyDescent="0.25">
      <c r="B21" s="80" t="s">
        <v>29</v>
      </c>
      <c r="C21" s="78">
        <f t="shared" si="2"/>
        <v>13966</v>
      </c>
      <c r="D21" s="78">
        <v>14512</v>
      </c>
      <c r="E21" s="79">
        <f t="shared" si="3"/>
        <v>546</v>
      </c>
    </row>
    <row r="22" spans="2:5" x14ac:dyDescent="0.25">
      <c r="B22" s="80" t="s">
        <v>30</v>
      </c>
      <c r="C22" s="78">
        <f t="shared" si="2"/>
        <v>14512</v>
      </c>
      <c r="D22" s="78">
        <v>14862</v>
      </c>
      <c r="E22" s="79">
        <f t="shared" si="3"/>
        <v>350</v>
      </c>
    </row>
    <row r="23" spans="2:5" x14ac:dyDescent="0.25">
      <c r="B23" s="80" t="s">
        <v>31</v>
      </c>
      <c r="C23" s="78">
        <f t="shared" si="2"/>
        <v>14862</v>
      </c>
      <c r="D23" s="78"/>
      <c r="E23" s="79">
        <f t="shared" si="3"/>
        <v>-14862</v>
      </c>
    </row>
    <row r="24" spans="2:5" x14ac:dyDescent="0.25">
      <c r="B24" s="80" t="s">
        <v>32</v>
      </c>
      <c r="C24" s="78">
        <f t="shared" si="2"/>
        <v>0</v>
      </c>
      <c r="D24" s="78">
        <v>15565</v>
      </c>
      <c r="E24" s="79">
        <f t="shared" si="3"/>
        <v>15565</v>
      </c>
    </row>
    <row r="25" spans="2:5" x14ac:dyDescent="0.25">
      <c r="B25" s="80" t="s">
        <v>33</v>
      </c>
      <c r="C25" s="78">
        <f t="shared" si="2"/>
        <v>15565</v>
      </c>
      <c r="D25" s="78">
        <v>15857</v>
      </c>
      <c r="E25" s="79">
        <f t="shared" si="3"/>
        <v>292</v>
      </c>
    </row>
    <row r="26" spans="2:5" x14ac:dyDescent="0.25">
      <c r="B26" s="80" t="s">
        <v>34</v>
      </c>
      <c r="C26" s="78">
        <f t="shared" si="2"/>
        <v>15857</v>
      </c>
      <c r="D26" s="78"/>
      <c r="E26" s="79">
        <f t="shared" si="3"/>
        <v>-15857</v>
      </c>
    </row>
  </sheetData>
  <mergeCells count="1">
    <mergeCell ref="Z5:Z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29F62-D3A9-4EBA-839F-A58BC53929CD}">
  <dimension ref="A2:L15"/>
  <sheetViews>
    <sheetView workbookViewId="0">
      <selection activeCell="J14" sqref="J14"/>
    </sheetView>
  </sheetViews>
  <sheetFormatPr baseColWidth="10" defaultRowHeight="15" x14ac:dyDescent="0.25"/>
  <cols>
    <col min="1" max="1" width="7" style="116" customWidth="1"/>
    <col min="4" max="4" width="10.5703125" customWidth="1"/>
    <col min="5" max="5" width="9.7109375" customWidth="1"/>
    <col min="6" max="6" width="7.140625" customWidth="1"/>
    <col min="7" max="7" width="9.7109375" customWidth="1"/>
    <col min="8" max="8" width="10" customWidth="1"/>
    <col min="9" max="9" width="9.5703125" customWidth="1"/>
    <col min="10" max="10" width="10.5703125" customWidth="1"/>
    <col min="11" max="11" width="7.85546875" customWidth="1"/>
  </cols>
  <sheetData>
    <row r="2" spans="1:12" ht="15.75" thickBot="1" x14ac:dyDescent="0.3"/>
    <row r="3" spans="1:12" ht="26.25" thickBot="1" x14ac:dyDescent="0.3">
      <c r="B3" s="133" t="s">
        <v>22</v>
      </c>
      <c r="C3" s="137" t="s">
        <v>57</v>
      </c>
      <c r="D3" s="137" t="s">
        <v>58</v>
      </c>
      <c r="E3" s="137" t="s">
        <v>74</v>
      </c>
      <c r="F3" s="138" t="s">
        <v>43</v>
      </c>
      <c r="G3" s="138" t="s">
        <v>6</v>
      </c>
      <c r="H3" s="139" t="s">
        <v>57</v>
      </c>
      <c r="I3" s="140" t="s">
        <v>58</v>
      </c>
      <c r="J3" s="141" t="s">
        <v>18</v>
      </c>
      <c r="K3" s="140" t="s">
        <v>43</v>
      </c>
      <c r="L3" s="142" t="s">
        <v>6</v>
      </c>
    </row>
    <row r="4" spans="1:12" x14ac:dyDescent="0.25">
      <c r="A4" s="116">
        <v>2019</v>
      </c>
      <c r="B4" s="134" t="s">
        <v>35</v>
      </c>
      <c r="C4" s="127">
        <v>15857</v>
      </c>
      <c r="D4" s="128">
        <v>16214</v>
      </c>
      <c r="E4" s="129">
        <f>(D4-C4)</f>
        <v>357</v>
      </c>
      <c r="F4" s="130">
        <v>150</v>
      </c>
      <c r="G4" s="131">
        <f>F4*E4</f>
        <v>53550</v>
      </c>
      <c r="H4" s="127">
        <v>3177</v>
      </c>
      <c r="I4" s="128">
        <v>3555</v>
      </c>
      <c r="J4" s="129">
        <f>(I4-H4)</f>
        <v>378</v>
      </c>
      <c r="K4" s="132">
        <v>559</v>
      </c>
      <c r="L4" s="131">
        <f>K4*J4</f>
        <v>211302</v>
      </c>
    </row>
    <row r="5" spans="1:12" x14ac:dyDescent="0.25">
      <c r="B5" s="135" t="s">
        <v>24</v>
      </c>
      <c r="C5" s="119">
        <f t="shared" ref="C5:C15" si="0">D4</f>
        <v>16214</v>
      </c>
      <c r="D5" s="78">
        <v>16437</v>
      </c>
      <c r="E5" s="79">
        <f t="shared" ref="E5:E15" si="1">(D5-C5)</f>
        <v>223</v>
      </c>
      <c r="F5" s="117">
        <v>150</v>
      </c>
      <c r="G5" s="120">
        <f t="shared" ref="G5:G15" si="2">F5*E5</f>
        <v>33450</v>
      </c>
      <c r="H5" s="119">
        <f t="shared" ref="H5:H15" si="3">I4</f>
        <v>3555</v>
      </c>
      <c r="I5" s="78">
        <v>3875</v>
      </c>
      <c r="J5" s="79">
        <f t="shared" ref="J5:J15" si="4">(I5-H5)</f>
        <v>320</v>
      </c>
      <c r="K5" s="118">
        <v>559</v>
      </c>
      <c r="L5" s="120">
        <f t="shared" ref="L5:L15" si="5">K5*J5</f>
        <v>178880</v>
      </c>
    </row>
    <row r="6" spans="1:12" x14ac:dyDescent="0.25">
      <c r="B6" s="135" t="s">
        <v>25</v>
      </c>
      <c r="C6" s="119">
        <f t="shared" si="0"/>
        <v>16437</v>
      </c>
      <c r="D6" s="78">
        <v>16750</v>
      </c>
      <c r="E6" s="79">
        <f t="shared" si="1"/>
        <v>313</v>
      </c>
      <c r="F6" s="117">
        <v>150</v>
      </c>
      <c r="G6" s="120">
        <f t="shared" si="2"/>
        <v>46950</v>
      </c>
      <c r="H6" s="119">
        <f t="shared" si="3"/>
        <v>3875</v>
      </c>
      <c r="I6" s="78">
        <v>4304</v>
      </c>
      <c r="J6" s="79">
        <f t="shared" si="4"/>
        <v>429</v>
      </c>
      <c r="K6" s="118">
        <v>559</v>
      </c>
      <c r="L6" s="120">
        <f t="shared" si="5"/>
        <v>239811</v>
      </c>
    </row>
    <row r="7" spans="1:12" x14ac:dyDescent="0.25">
      <c r="B7" s="135" t="s">
        <v>26</v>
      </c>
      <c r="C7" s="119">
        <f t="shared" si="0"/>
        <v>16750</v>
      </c>
      <c r="D7" s="78">
        <v>17082</v>
      </c>
      <c r="E7" s="79">
        <f t="shared" si="1"/>
        <v>332</v>
      </c>
      <c r="F7" s="117">
        <v>150</v>
      </c>
      <c r="G7" s="120">
        <f t="shared" si="2"/>
        <v>49800</v>
      </c>
      <c r="H7" s="119">
        <f t="shared" si="3"/>
        <v>4304</v>
      </c>
      <c r="I7" s="78">
        <v>4691</v>
      </c>
      <c r="J7" s="79">
        <f t="shared" si="4"/>
        <v>387</v>
      </c>
      <c r="K7" s="118">
        <v>559</v>
      </c>
      <c r="L7" s="120">
        <f t="shared" si="5"/>
        <v>216333</v>
      </c>
    </row>
    <row r="8" spans="1:12" x14ac:dyDescent="0.25">
      <c r="B8" s="135" t="s">
        <v>27</v>
      </c>
      <c r="C8" s="119">
        <f t="shared" si="0"/>
        <v>17082</v>
      </c>
      <c r="D8" s="78">
        <v>17548</v>
      </c>
      <c r="E8" s="79">
        <f t="shared" si="1"/>
        <v>466</v>
      </c>
      <c r="F8" s="117">
        <v>150</v>
      </c>
      <c r="G8" s="120">
        <f t="shared" si="2"/>
        <v>69900</v>
      </c>
      <c r="H8" s="119">
        <f t="shared" si="3"/>
        <v>4691</v>
      </c>
      <c r="I8" s="78">
        <v>5120</v>
      </c>
      <c r="J8" s="79">
        <f t="shared" si="4"/>
        <v>429</v>
      </c>
      <c r="K8" s="118">
        <v>559</v>
      </c>
      <c r="L8" s="120">
        <f t="shared" si="5"/>
        <v>239811</v>
      </c>
    </row>
    <row r="9" spans="1:12" x14ac:dyDescent="0.25">
      <c r="B9" s="135" t="s">
        <v>28</v>
      </c>
      <c r="C9" s="119">
        <f t="shared" si="0"/>
        <v>17548</v>
      </c>
      <c r="D9" s="78"/>
      <c r="E9" s="79">
        <f t="shared" si="1"/>
        <v>-17548</v>
      </c>
      <c r="F9" s="117">
        <v>150</v>
      </c>
      <c r="G9" s="120">
        <f t="shared" si="2"/>
        <v>-2632200</v>
      </c>
      <c r="H9" s="119">
        <f t="shared" si="3"/>
        <v>5120</v>
      </c>
      <c r="I9" s="78"/>
      <c r="J9" s="79">
        <f t="shared" si="4"/>
        <v>-5120</v>
      </c>
      <c r="K9" s="118">
        <v>559</v>
      </c>
      <c r="L9" s="120">
        <f t="shared" si="5"/>
        <v>-2862080</v>
      </c>
    </row>
    <row r="10" spans="1:12" x14ac:dyDescent="0.25">
      <c r="B10" s="135" t="s">
        <v>29</v>
      </c>
      <c r="C10" s="119">
        <f t="shared" si="0"/>
        <v>0</v>
      </c>
      <c r="D10" s="78"/>
      <c r="E10" s="79">
        <f t="shared" si="1"/>
        <v>0</v>
      </c>
      <c r="F10" s="117">
        <v>150</v>
      </c>
      <c r="G10" s="120">
        <f t="shared" si="2"/>
        <v>0</v>
      </c>
      <c r="H10" s="119">
        <f t="shared" si="3"/>
        <v>0</v>
      </c>
      <c r="I10" s="78"/>
      <c r="J10" s="79">
        <f t="shared" si="4"/>
        <v>0</v>
      </c>
      <c r="K10" s="118">
        <v>559</v>
      </c>
      <c r="L10" s="120">
        <f t="shared" si="5"/>
        <v>0</v>
      </c>
    </row>
    <row r="11" spans="1:12" x14ac:dyDescent="0.25">
      <c r="B11" s="135" t="s">
        <v>30</v>
      </c>
      <c r="C11" s="119">
        <f t="shared" si="0"/>
        <v>0</v>
      </c>
      <c r="D11" s="78"/>
      <c r="E11" s="79">
        <f t="shared" si="1"/>
        <v>0</v>
      </c>
      <c r="F11" s="117">
        <v>150</v>
      </c>
      <c r="G11" s="120">
        <f t="shared" si="2"/>
        <v>0</v>
      </c>
      <c r="H11" s="119">
        <f t="shared" si="3"/>
        <v>0</v>
      </c>
      <c r="I11" s="78"/>
      <c r="J11" s="79">
        <f t="shared" si="4"/>
        <v>0</v>
      </c>
      <c r="K11" s="118">
        <v>559</v>
      </c>
      <c r="L11" s="120">
        <f t="shared" si="5"/>
        <v>0</v>
      </c>
    </row>
    <row r="12" spans="1:12" x14ac:dyDescent="0.25">
      <c r="B12" s="135" t="s">
        <v>31</v>
      </c>
      <c r="C12" s="119">
        <f t="shared" si="0"/>
        <v>0</v>
      </c>
      <c r="D12" s="78"/>
      <c r="E12" s="79">
        <f t="shared" si="1"/>
        <v>0</v>
      </c>
      <c r="F12" s="117">
        <v>150</v>
      </c>
      <c r="G12" s="120">
        <f t="shared" si="2"/>
        <v>0</v>
      </c>
      <c r="H12" s="119">
        <f t="shared" si="3"/>
        <v>0</v>
      </c>
      <c r="I12" s="78"/>
      <c r="J12" s="79">
        <f t="shared" si="4"/>
        <v>0</v>
      </c>
      <c r="K12" s="118">
        <v>559</v>
      </c>
      <c r="L12" s="120">
        <f t="shared" si="5"/>
        <v>0</v>
      </c>
    </row>
    <row r="13" spans="1:12" x14ac:dyDescent="0.25">
      <c r="B13" s="135" t="s">
        <v>32</v>
      </c>
      <c r="C13" s="119">
        <f t="shared" si="0"/>
        <v>0</v>
      </c>
      <c r="D13" s="78"/>
      <c r="E13" s="79">
        <f t="shared" si="1"/>
        <v>0</v>
      </c>
      <c r="F13" s="117">
        <v>150</v>
      </c>
      <c r="G13" s="120">
        <f t="shared" si="2"/>
        <v>0</v>
      </c>
      <c r="H13" s="119">
        <f t="shared" si="3"/>
        <v>0</v>
      </c>
      <c r="I13" s="78"/>
      <c r="J13" s="79">
        <f t="shared" si="4"/>
        <v>0</v>
      </c>
      <c r="K13" s="118">
        <v>559</v>
      </c>
      <c r="L13" s="120">
        <f t="shared" si="5"/>
        <v>0</v>
      </c>
    </row>
    <row r="14" spans="1:12" x14ac:dyDescent="0.25">
      <c r="B14" s="135" t="s">
        <v>33</v>
      </c>
      <c r="C14" s="119">
        <f t="shared" si="0"/>
        <v>0</v>
      </c>
      <c r="D14" s="78"/>
      <c r="E14" s="79">
        <f t="shared" si="1"/>
        <v>0</v>
      </c>
      <c r="F14" s="117">
        <v>150</v>
      </c>
      <c r="G14" s="120">
        <f t="shared" si="2"/>
        <v>0</v>
      </c>
      <c r="H14" s="119">
        <f t="shared" si="3"/>
        <v>0</v>
      </c>
      <c r="I14" s="78"/>
      <c r="J14" s="79">
        <f t="shared" si="4"/>
        <v>0</v>
      </c>
      <c r="K14" s="118">
        <v>559</v>
      </c>
      <c r="L14" s="120">
        <f t="shared" si="5"/>
        <v>0</v>
      </c>
    </row>
    <row r="15" spans="1:12" ht="15.75" thickBot="1" x14ac:dyDescent="0.3">
      <c r="B15" s="136" t="s">
        <v>34</v>
      </c>
      <c r="C15" s="121">
        <f t="shared" si="0"/>
        <v>0</v>
      </c>
      <c r="D15" s="122"/>
      <c r="E15" s="123">
        <f t="shared" si="1"/>
        <v>0</v>
      </c>
      <c r="F15" s="124">
        <v>150</v>
      </c>
      <c r="G15" s="125">
        <f t="shared" si="2"/>
        <v>0</v>
      </c>
      <c r="H15" s="121">
        <f t="shared" si="3"/>
        <v>0</v>
      </c>
      <c r="I15" s="122"/>
      <c r="J15" s="123">
        <f t="shared" si="4"/>
        <v>0</v>
      </c>
      <c r="K15" s="126">
        <v>559</v>
      </c>
      <c r="L15" s="125">
        <f t="shared" si="5"/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054CE-4439-492B-8F0C-1BFE968C9620}">
  <dimension ref="B2:M17"/>
  <sheetViews>
    <sheetView workbookViewId="0">
      <selection activeCell="O25" sqref="O25"/>
    </sheetView>
  </sheetViews>
  <sheetFormatPr baseColWidth="10" defaultRowHeight="15" x14ac:dyDescent="0.25"/>
  <cols>
    <col min="1" max="1" width="2.7109375" customWidth="1"/>
    <col min="3" max="3" width="13.42578125" customWidth="1"/>
    <col min="4" max="4" width="12.5703125" customWidth="1"/>
    <col min="6" max="6" width="12.7109375" bestFit="1" customWidth="1"/>
    <col min="8" max="8" width="12.7109375" bestFit="1" customWidth="1"/>
    <col min="10" max="10" width="12.7109375" bestFit="1" customWidth="1"/>
    <col min="12" max="12" width="12.7109375" bestFit="1" customWidth="1"/>
    <col min="13" max="13" width="12" bestFit="1" customWidth="1"/>
  </cols>
  <sheetData>
    <row r="2" spans="2:13" x14ac:dyDescent="0.25">
      <c r="C2" s="173">
        <v>2</v>
      </c>
      <c r="D2" s="173"/>
      <c r="E2" s="173">
        <v>3</v>
      </c>
      <c r="F2" s="173"/>
      <c r="G2" s="173">
        <v>4</v>
      </c>
      <c r="H2" s="173"/>
      <c r="I2" s="173">
        <v>5</v>
      </c>
      <c r="J2" s="173"/>
      <c r="K2" s="173">
        <v>6</v>
      </c>
      <c r="L2" s="173"/>
    </row>
    <row r="3" spans="2:13" x14ac:dyDescent="0.25">
      <c r="C3" s="98" t="s">
        <v>6</v>
      </c>
      <c r="D3" s="99" t="s">
        <v>75</v>
      </c>
      <c r="E3" s="98" t="s">
        <v>6</v>
      </c>
      <c r="F3" s="99" t="s">
        <v>75</v>
      </c>
      <c r="G3" s="98" t="s">
        <v>6</v>
      </c>
      <c r="H3" s="99" t="s">
        <v>75</v>
      </c>
      <c r="I3" s="98" t="s">
        <v>6</v>
      </c>
      <c r="J3" s="99" t="s">
        <v>75</v>
      </c>
      <c r="K3" s="100" t="s">
        <v>6</v>
      </c>
      <c r="L3" s="99" t="s">
        <v>75</v>
      </c>
    </row>
    <row r="4" spans="2:13" ht="15.75" x14ac:dyDescent="0.25">
      <c r="B4" s="96"/>
      <c r="C4" s="101" t="s">
        <v>18</v>
      </c>
      <c r="D4" s="102" t="s">
        <v>19</v>
      </c>
      <c r="E4" s="101" t="s">
        <v>18</v>
      </c>
      <c r="F4" s="103" t="s">
        <v>19</v>
      </c>
      <c r="G4" s="104" t="s">
        <v>18</v>
      </c>
      <c r="H4" s="103" t="s">
        <v>19</v>
      </c>
      <c r="I4" s="101" t="s">
        <v>18</v>
      </c>
      <c r="J4" s="103" t="s">
        <v>19</v>
      </c>
      <c r="K4" s="105" t="s">
        <v>18</v>
      </c>
      <c r="L4" s="103" t="s">
        <v>19</v>
      </c>
    </row>
    <row r="5" spans="2:13" x14ac:dyDescent="0.25">
      <c r="B5" s="97" t="s">
        <v>35</v>
      </c>
      <c r="C5" s="106">
        <v>14760</v>
      </c>
      <c r="D5" s="106">
        <v>4970</v>
      </c>
      <c r="E5" s="107">
        <v>57600</v>
      </c>
      <c r="F5" s="106">
        <v>4970</v>
      </c>
      <c r="G5" s="106">
        <v>4680</v>
      </c>
      <c r="H5" s="107">
        <v>4970</v>
      </c>
      <c r="I5" s="106">
        <v>1080</v>
      </c>
      <c r="J5" s="107">
        <v>4970</v>
      </c>
      <c r="K5" s="106">
        <v>3600</v>
      </c>
      <c r="L5" s="107">
        <v>4970</v>
      </c>
      <c r="M5" s="108">
        <f>SUM(C5:L5)</f>
        <v>106570</v>
      </c>
    </row>
    <row r="6" spans="2:13" x14ac:dyDescent="0.25">
      <c r="B6" s="97" t="s">
        <v>24</v>
      </c>
      <c r="C6" s="106">
        <v>12960</v>
      </c>
      <c r="D6" s="106"/>
      <c r="E6" s="106">
        <v>4680</v>
      </c>
      <c r="F6" s="106"/>
      <c r="G6" s="106">
        <v>6480</v>
      </c>
      <c r="H6" s="106"/>
      <c r="I6" s="106">
        <v>1440</v>
      </c>
      <c r="J6" s="106"/>
      <c r="K6" s="106">
        <v>16920</v>
      </c>
      <c r="L6" s="106"/>
      <c r="M6" s="108">
        <f t="shared" ref="M6:M16" si="0">SUM(C6:L6)</f>
        <v>42480</v>
      </c>
    </row>
    <row r="7" spans="2:13" x14ac:dyDescent="0.25">
      <c r="B7" s="97" t="s">
        <v>25</v>
      </c>
      <c r="C7" s="106">
        <v>13320</v>
      </c>
      <c r="D7" s="106"/>
      <c r="E7" s="106">
        <v>1080</v>
      </c>
      <c r="F7" s="106"/>
      <c r="G7" s="106">
        <v>1080</v>
      </c>
      <c r="H7" s="106"/>
      <c r="I7" s="106">
        <v>720</v>
      </c>
      <c r="J7" s="106"/>
      <c r="K7" s="106">
        <v>11160</v>
      </c>
      <c r="L7" s="106"/>
      <c r="M7" s="108">
        <f t="shared" si="0"/>
        <v>27360</v>
      </c>
    </row>
    <row r="8" spans="2:13" x14ac:dyDescent="0.25">
      <c r="B8" s="97" t="s">
        <v>26</v>
      </c>
      <c r="C8" s="106">
        <v>12240</v>
      </c>
      <c r="D8" s="106">
        <v>42500</v>
      </c>
      <c r="E8" s="106">
        <v>4680</v>
      </c>
      <c r="F8" s="106">
        <v>42500</v>
      </c>
      <c r="G8" s="106">
        <v>1080</v>
      </c>
      <c r="H8" s="106">
        <v>42500</v>
      </c>
      <c r="I8" s="106">
        <v>360</v>
      </c>
      <c r="J8" s="106">
        <v>42500</v>
      </c>
      <c r="K8" s="106">
        <v>6480</v>
      </c>
      <c r="L8" s="106">
        <v>42500</v>
      </c>
      <c r="M8" s="108">
        <f t="shared" si="0"/>
        <v>237340</v>
      </c>
    </row>
    <row r="9" spans="2:13" x14ac:dyDescent="0.25">
      <c r="B9" s="97" t="s">
        <v>27</v>
      </c>
      <c r="C9" s="106">
        <v>18360</v>
      </c>
      <c r="D9" s="106"/>
      <c r="E9" s="106">
        <v>360</v>
      </c>
      <c r="F9" s="106"/>
      <c r="G9" s="106">
        <v>1800</v>
      </c>
      <c r="H9" s="106"/>
      <c r="I9" s="106">
        <v>1080</v>
      </c>
      <c r="J9" s="106"/>
      <c r="K9" s="106">
        <v>11160</v>
      </c>
      <c r="L9" s="106"/>
      <c r="M9" s="108">
        <f t="shared" si="0"/>
        <v>32760</v>
      </c>
    </row>
    <row r="10" spans="2:13" x14ac:dyDescent="0.25">
      <c r="B10" s="97" t="s">
        <v>28</v>
      </c>
      <c r="C10" s="106">
        <v>0</v>
      </c>
      <c r="D10" s="106">
        <v>104167</v>
      </c>
      <c r="E10" s="106">
        <v>0</v>
      </c>
      <c r="F10" s="106">
        <v>104167</v>
      </c>
      <c r="G10" s="106">
        <v>720</v>
      </c>
      <c r="H10" s="106">
        <v>104167</v>
      </c>
      <c r="I10" s="106">
        <v>360</v>
      </c>
      <c r="J10" s="106">
        <v>104167</v>
      </c>
      <c r="K10" s="106">
        <v>720</v>
      </c>
      <c r="L10" s="106">
        <v>104167</v>
      </c>
      <c r="M10" s="108">
        <f t="shared" si="0"/>
        <v>522635</v>
      </c>
    </row>
    <row r="11" spans="2:13" x14ac:dyDescent="0.25">
      <c r="B11" s="97" t="s">
        <v>29</v>
      </c>
      <c r="C11" s="106">
        <v>0</v>
      </c>
      <c r="D11" s="106">
        <v>33430</v>
      </c>
      <c r="E11" s="106">
        <v>0</v>
      </c>
      <c r="F11" s="106">
        <v>33430</v>
      </c>
      <c r="G11" s="106">
        <v>1440</v>
      </c>
      <c r="H11" s="106">
        <v>33430</v>
      </c>
      <c r="I11" s="106">
        <v>360</v>
      </c>
      <c r="J11" s="106">
        <v>33430</v>
      </c>
      <c r="K11" s="106">
        <v>360</v>
      </c>
      <c r="L11" s="106">
        <v>33430</v>
      </c>
      <c r="M11" s="108">
        <f t="shared" si="0"/>
        <v>169310</v>
      </c>
    </row>
    <row r="12" spans="2:13" x14ac:dyDescent="0.25">
      <c r="B12" s="97" t="s">
        <v>30</v>
      </c>
      <c r="C12" s="106">
        <v>0</v>
      </c>
      <c r="D12" s="106"/>
      <c r="E12" s="106">
        <v>0</v>
      </c>
      <c r="F12" s="106"/>
      <c r="G12" s="106">
        <v>1800</v>
      </c>
      <c r="H12" s="106"/>
      <c r="I12" s="106">
        <v>360</v>
      </c>
      <c r="J12" s="106"/>
      <c r="K12" s="106">
        <v>1440</v>
      </c>
      <c r="L12" s="106"/>
      <c r="M12" s="108">
        <f t="shared" si="0"/>
        <v>3600</v>
      </c>
    </row>
    <row r="13" spans="2:13" x14ac:dyDescent="0.25">
      <c r="B13" s="97" t="s">
        <v>31</v>
      </c>
      <c r="C13" s="106">
        <v>0</v>
      </c>
      <c r="D13" s="106"/>
      <c r="E13" s="106">
        <v>0</v>
      </c>
      <c r="F13" s="106"/>
      <c r="G13" s="106">
        <v>2520</v>
      </c>
      <c r="H13" s="106"/>
      <c r="I13" s="106">
        <v>360</v>
      </c>
      <c r="J13" s="106"/>
      <c r="K13" s="106">
        <v>7560</v>
      </c>
      <c r="L13" s="106"/>
      <c r="M13" s="108">
        <f t="shared" si="0"/>
        <v>10440</v>
      </c>
    </row>
    <row r="14" spans="2:13" x14ac:dyDescent="0.25">
      <c r="B14" s="97" t="s">
        <v>32</v>
      </c>
      <c r="C14" s="106">
        <v>0</v>
      </c>
      <c r="D14" s="106"/>
      <c r="E14" s="106">
        <v>0</v>
      </c>
      <c r="F14" s="106"/>
      <c r="G14" s="106">
        <v>7380</v>
      </c>
      <c r="H14" s="106"/>
      <c r="I14" s="106">
        <v>1230</v>
      </c>
      <c r="J14" s="106"/>
      <c r="K14" s="106">
        <v>39360</v>
      </c>
      <c r="L14" s="106"/>
      <c r="M14" s="108">
        <f t="shared" si="0"/>
        <v>47970</v>
      </c>
    </row>
    <row r="15" spans="2:13" x14ac:dyDescent="0.25">
      <c r="B15" s="97" t="s">
        <v>33</v>
      </c>
      <c r="C15" s="106">
        <v>47970</v>
      </c>
      <c r="D15" s="106"/>
      <c r="E15" s="106">
        <v>0</v>
      </c>
      <c r="F15" s="106"/>
      <c r="G15" s="106">
        <v>4920</v>
      </c>
      <c r="H15" s="106"/>
      <c r="I15" s="106">
        <v>1230</v>
      </c>
      <c r="J15" s="106"/>
      <c r="K15" s="106">
        <v>54120</v>
      </c>
      <c r="L15" s="106"/>
      <c r="M15" s="108">
        <f t="shared" si="0"/>
        <v>108240</v>
      </c>
    </row>
    <row r="16" spans="2:13" x14ac:dyDescent="0.25">
      <c r="B16" s="97" t="s">
        <v>34</v>
      </c>
      <c r="C16" s="106">
        <v>66420</v>
      </c>
      <c r="D16" s="106"/>
      <c r="E16" s="106">
        <v>0</v>
      </c>
      <c r="F16" s="106"/>
      <c r="G16" s="106">
        <v>6150</v>
      </c>
      <c r="H16" s="106"/>
      <c r="I16" s="106">
        <v>1230</v>
      </c>
      <c r="J16" s="106"/>
      <c r="K16" s="106">
        <v>123000</v>
      </c>
      <c r="L16" s="106"/>
      <c r="M16" s="108">
        <f t="shared" si="0"/>
        <v>196800</v>
      </c>
    </row>
    <row r="17" spans="3:13" x14ac:dyDescent="0.25">
      <c r="C17" s="108">
        <f>SUM(C5:C16)</f>
        <v>186030</v>
      </c>
      <c r="D17" s="108">
        <f t="shared" ref="D17:L17" si="1">SUM(D5:D16)</f>
        <v>185067</v>
      </c>
      <c r="E17" s="108">
        <f t="shared" si="1"/>
        <v>68400</v>
      </c>
      <c r="F17" s="108">
        <f t="shared" si="1"/>
        <v>185067</v>
      </c>
      <c r="G17" s="108">
        <f t="shared" si="1"/>
        <v>40050</v>
      </c>
      <c r="H17" s="108">
        <f t="shared" si="1"/>
        <v>185067</v>
      </c>
      <c r="I17" s="108">
        <f t="shared" si="1"/>
        <v>9810</v>
      </c>
      <c r="J17" s="108">
        <f t="shared" si="1"/>
        <v>185067</v>
      </c>
      <c r="K17" s="108">
        <f t="shared" si="1"/>
        <v>275880</v>
      </c>
      <c r="L17" s="108">
        <f t="shared" si="1"/>
        <v>185067</v>
      </c>
      <c r="M17" s="108">
        <f>SUM(M5:M16)</f>
        <v>1505505</v>
      </c>
    </row>
  </sheetData>
  <mergeCells count="5"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Resumen</vt:lpstr>
      <vt:lpstr>Morosos</vt:lpstr>
      <vt:lpstr>Inicio</vt:lpstr>
      <vt:lpstr>Parcela 1</vt:lpstr>
      <vt:lpstr>Parcela 2</vt:lpstr>
      <vt:lpstr>Parcela 3</vt:lpstr>
      <vt:lpstr>Parcela 4</vt:lpstr>
      <vt:lpstr>Parcela 5</vt:lpstr>
      <vt:lpstr>Parcela 6</vt:lpstr>
      <vt:lpstr>Peter Dragicevic</vt:lpstr>
      <vt:lpstr>Final</vt:lpstr>
      <vt:lpstr>Luz Marina</vt:lpstr>
      <vt:lpstr>Lectura Marina 2019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pc</dc:creator>
  <cp:lastModifiedBy>Beatriz</cp:lastModifiedBy>
  <cp:lastPrinted>2018-06-04T16:54:38Z</cp:lastPrinted>
  <dcterms:created xsi:type="dcterms:W3CDTF">2017-09-03T15:49:01Z</dcterms:created>
  <dcterms:modified xsi:type="dcterms:W3CDTF">2019-06-04T13:05:07Z</dcterms:modified>
</cp:coreProperties>
</file>